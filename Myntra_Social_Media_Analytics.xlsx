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NTERNSHALA\projects\"/>
    </mc:Choice>
  </mc:AlternateContent>
  <xr:revisionPtr revIDLastSave="0" documentId="13_ncr:1_{13B2E334-F8B5-4CEF-BA2E-2CC70DD632D4}" xr6:coauthVersionLast="47" xr6:coauthVersionMax="47" xr10:uidLastSave="{00000000-0000-0000-0000-000000000000}"/>
  <bookViews>
    <workbookView xWindow="-108" yWindow="-108" windowWidth="23256" windowHeight="12456" firstSheet="4" activeTab="12" xr2:uid="{00000000-000D-0000-FFFF-FFFF00000000}"/>
  </bookViews>
  <sheets>
    <sheet name="Post" sheetId="1" r:id="rId1"/>
    <sheet name="Engagment Summary" sheetId="2" r:id="rId2"/>
    <sheet name="Campaign Data" sheetId="3" r:id="rId3"/>
    <sheet name="TASK1.1" sheetId="10" r:id="rId4"/>
    <sheet name="TASK 1.2" sheetId="9" r:id="rId5"/>
    <sheet name="TASK 1.3" sheetId="13" r:id="rId6"/>
    <sheet name="optinal" sheetId="6" r:id="rId7"/>
    <sheet name="TASK 2.1" sheetId="11" r:id="rId8"/>
    <sheet name="TASK 2.2" sheetId="12" r:id="rId9"/>
    <sheet name="TASK 3" sheetId="14" r:id="rId10"/>
    <sheet name="TASK4.1" sheetId="15" r:id="rId11"/>
    <sheet name="TASK 5" sheetId="33" r:id="rId12"/>
    <sheet name="task5.1" sheetId="32" r:id="rId13"/>
  </sheets>
  <definedNames>
    <definedName name="_xlnm._FilterDatabase" localSheetId="6" hidden="1">optinal!$A$1:$O$300</definedName>
    <definedName name="_xlnm._FilterDatabase" localSheetId="0" hidden="1">Post!$A$1:$M$1</definedName>
    <definedName name="_xlnm._FilterDatabase" localSheetId="4" hidden="1">'TASK 1.2'!$A$1:$M$457</definedName>
    <definedName name="_xlnm._FilterDatabase" localSheetId="3" hidden="1">TASK1.1!$A$1:$M$301</definedName>
    <definedName name="_xlnm._FilterDatabase" localSheetId="10" hidden="1">TASK4.1!$A$1:$M$457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6" r:id="rId20"/>
    <pivotCache cacheId="7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gsBh9W7a48zZe43sKmwdG/98/HB9TUkO8zrb1W442d8="/>
    </ext>
  </extLst>
</workbook>
</file>

<file path=xl/calcChain.xml><?xml version="1.0" encoding="utf-8"?>
<calcChain xmlns="http://schemas.openxmlformats.org/spreadsheetml/2006/main">
  <c r="N153" i="32" l="1"/>
  <c r="N115" i="32"/>
  <c r="N116" i="32"/>
  <c r="N117" i="32"/>
  <c r="N118" i="32"/>
  <c r="N119" i="32"/>
  <c r="N120" i="32"/>
  <c r="N121" i="32"/>
  <c r="N122" i="32"/>
  <c r="N123" i="32"/>
  <c r="N124" i="32"/>
  <c r="N125" i="32"/>
  <c r="N126" i="32"/>
  <c r="N127" i="32"/>
  <c r="N128" i="32"/>
  <c r="N129" i="32"/>
  <c r="N130" i="32"/>
  <c r="N131" i="32"/>
  <c r="N132" i="32"/>
  <c r="N133" i="32"/>
  <c r="N134" i="32"/>
  <c r="N135" i="32"/>
  <c r="N136" i="32"/>
  <c r="N137" i="32"/>
  <c r="N138" i="32"/>
  <c r="N139" i="32"/>
  <c r="N140" i="32"/>
  <c r="N141" i="32"/>
  <c r="N142" i="32"/>
  <c r="N143" i="32"/>
  <c r="N144" i="32"/>
  <c r="N145" i="32"/>
  <c r="N146" i="32"/>
  <c r="N147" i="32"/>
  <c r="N148" i="32"/>
  <c r="N149" i="32"/>
  <c r="N150" i="32"/>
  <c r="N151" i="32"/>
  <c r="N152" i="32"/>
  <c r="N114" i="32"/>
  <c r="N110" i="32"/>
  <c r="N104" i="32"/>
  <c r="N105" i="32"/>
  <c r="N106" i="32"/>
  <c r="N107" i="32"/>
  <c r="N108" i="32"/>
  <c r="N109" i="32"/>
  <c r="N103" i="32"/>
  <c r="N99" i="32"/>
  <c r="N71" i="32"/>
  <c r="N72" i="32"/>
  <c r="N73" i="32"/>
  <c r="N74" i="32"/>
  <c r="N75" i="32"/>
  <c r="N76" i="32"/>
  <c r="N77" i="32"/>
  <c r="N78" i="32"/>
  <c r="N79" i="32"/>
  <c r="N80" i="32"/>
  <c r="N81" i="32"/>
  <c r="N82" i="32"/>
  <c r="N83" i="32"/>
  <c r="N84" i="32"/>
  <c r="N85" i="32"/>
  <c r="N86" i="32"/>
  <c r="N87" i="32"/>
  <c r="N88" i="32"/>
  <c r="N89" i="32"/>
  <c r="N90" i="32"/>
  <c r="N91" i="32"/>
  <c r="N92" i="32"/>
  <c r="N93" i="32"/>
  <c r="N94" i="32"/>
  <c r="N95" i="32"/>
  <c r="N96" i="32"/>
  <c r="N97" i="32"/>
  <c r="N98" i="32"/>
  <c r="N70" i="32"/>
  <c r="N66" i="32"/>
  <c r="N59" i="32"/>
  <c r="N60" i="32"/>
  <c r="N61" i="32"/>
  <c r="N62" i="32"/>
  <c r="N63" i="32"/>
  <c r="N64" i="32"/>
  <c r="N65" i="32"/>
  <c r="N58" i="32"/>
  <c r="N54" i="32"/>
  <c r="N37" i="32"/>
  <c r="N38" i="32"/>
  <c r="N39" i="32"/>
  <c r="N40" i="32"/>
  <c r="N41" i="32"/>
  <c r="N42" i="32"/>
  <c r="N43" i="32"/>
  <c r="N44" i="32"/>
  <c r="N45" i="32"/>
  <c r="N46" i="32"/>
  <c r="N47" i="32"/>
  <c r="N48" i="32"/>
  <c r="N49" i="32"/>
  <c r="N50" i="32"/>
  <c r="N51" i="32"/>
  <c r="N52" i="32"/>
  <c r="N53" i="32"/>
  <c r="N36" i="32"/>
  <c r="N32" i="32"/>
  <c r="N25" i="32"/>
  <c r="N26" i="32"/>
  <c r="N27" i="32"/>
  <c r="N28" i="32"/>
  <c r="N29" i="32"/>
  <c r="N30" i="32"/>
  <c r="N31" i="32"/>
  <c r="N24" i="32"/>
  <c r="N20" i="32"/>
  <c r="N14" i="32"/>
  <c r="N15" i="32"/>
  <c r="N16" i="32"/>
  <c r="N17" i="32"/>
  <c r="N18" i="32"/>
  <c r="N19" i="32"/>
  <c r="N13" i="32"/>
  <c r="N3" i="32"/>
  <c r="N9" i="32" s="1"/>
  <c r="N4" i="32"/>
  <c r="N5" i="32"/>
  <c r="N6" i="32"/>
  <c r="N7" i="32"/>
  <c r="N8" i="32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51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190" i="15"/>
  <c r="N191" i="15"/>
  <c r="N192" i="15"/>
  <c r="N193" i="15"/>
  <c r="N194" i="15"/>
  <c r="N195" i="15"/>
  <c r="N196" i="15"/>
  <c r="N197" i="15"/>
  <c r="N198" i="15"/>
  <c r="N199" i="15"/>
  <c r="N200" i="15"/>
  <c r="N201" i="15"/>
  <c r="N202" i="15"/>
  <c r="N203" i="15"/>
  <c r="N204" i="15"/>
  <c r="N205" i="15"/>
  <c r="N206" i="15"/>
  <c r="N207" i="15"/>
  <c r="N208" i="15"/>
  <c r="N209" i="15"/>
  <c r="N210" i="15"/>
  <c r="N211" i="15"/>
  <c r="N212" i="15"/>
  <c r="N213" i="15"/>
  <c r="N214" i="15"/>
  <c r="N215" i="15"/>
  <c r="N216" i="15"/>
  <c r="N217" i="15"/>
  <c r="N218" i="15"/>
  <c r="N219" i="15"/>
  <c r="N220" i="15"/>
  <c r="N221" i="15"/>
  <c r="N222" i="15"/>
  <c r="N223" i="15"/>
  <c r="N224" i="15"/>
  <c r="N225" i="15"/>
  <c r="N226" i="15"/>
  <c r="N227" i="15"/>
  <c r="N228" i="15"/>
  <c r="N229" i="15"/>
  <c r="N230" i="15"/>
  <c r="N231" i="15"/>
  <c r="N232" i="15"/>
  <c r="N233" i="15"/>
  <c r="N234" i="15"/>
  <c r="N235" i="15"/>
  <c r="N236" i="15"/>
  <c r="N237" i="15"/>
  <c r="N238" i="15"/>
  <c r="N239" i="15"/>
  <c r="N240" i="15"/>
  <c r="N241" i="15"/>
  <c r="N242" i="15"/>
  <c r="N243" i="15"/>
  <c r="N244" i="15"/>
  <c r="N245" i="15"/>
  <c r="N246" i="15"/>
  <c r="N247" i="15"/>
  <c r="N248" i="15"/>
  <c r="N249" i="15"/>
  <c r="N250" i="15"/>
  <c r="N251" i="15"/>
  <c r="N252" i="15"/>
  <c r="N253" i="15"/>
  <c r="N254" i="15"/>
  <c r="N255" i="15"/>
  <c r="N256" i="15"/>
  <c r="N257" i="15"/>
  <c r="N258" i="15"/>
  <c r="N259" i="15"/>
  <c r="N260" i="15"/>
  <c r="N261" i="15"/>
  <c r="N262" i="15"/>
  <c r="N263" i="15"/>
  <c r="N264" i="15"/>
  <c r="N265" i="15"/>
  <c r="N266" i="15"/>
  <c r="N267" i="15"/>
  <c r="N268" i="15"/>
  <c r="N269" i="15"/>
  <c r="N270" i="15"/>
  <c r="N271" i="15"/>
  <c r="N272" i="15"/>
  <c r="N273" i="15"/>
  <c r="N274" i="15"/>
  <c r="N275" i="15"/>
  <c r="N276" i="15"/>
  <c r="N277" i="15"/>
  <c r="N278" i="15"/>
  <c r="N279" i="15"/>
  <c r="N280" i="15"/>
  <c r="N281" i="15"/>
  <c r="N282" i="15"/>
  <c r="N283" i="15"/>
  <c r="N284" i="15"/>
  <c r="N285" i="15"/>
  <c r="N286" i="15"/>
  <c r="N287" i="15"/>
  <c r="N288" i="15"/>
  <c r="N289" i="15"/>
  <c r="N290" i="15"/>
  <c r="N291" i="15"/>
  <c r="N292" i="15"/>
  <c r="N293" i="15"/>
  <c r="N294" i="15"/>
  <c r="N295" i="15"/>
  <c r="N296" i="15"/>
  <c r="N297" i="15"/>
  <c r="N298" i="15"/>
  <c r="N299" i="15"/>
  <c r="N300" i="15"/>
  <c r="N301" i="15"/>
  <c r="N302" i="15"/>
  <c r="N303" i="15"/>
  <c r="N304" i="15"/>
  <c r="N305" i="15"/>
  <c r="N306" i="15"/>
  <c r="N307" i="15"/>
  <c r="N308" i="15"/>
  <c r="N309" i="15"/>
  <c r="N310" i="15"/>
  <c r="N311" i="15"/>
  <c r="N312" i="15"/>
  <c r="N313" i="15"/>
  <c r="N314" i="15"/>
  <c r="N315" i="15"/>
  <c r="N316" i="15"/>
  <c r="N317" i="15"/>
  <c r="N318" i="15"/>
  <c r="N319" i="15"/>
  <c r="N320" i="15"/>
  <c r="N321" i="15"/>
  <c r="N322" i="15"/>
  <c r="N323" i="15"/>
  <c r="N324" i="15"/>
  <c r="N325" i="15"/>
  <c r="N326" i="15"/>
  <c r="N327" i="15"/>
  <c r="N328" i="15"/>
  <c r="N329" i="15"/>
  <c r="N330" i="15"/>
  <c r="N331" i="15"/>
  <c r="N332" i="15"/>
  <c r="N333" i="15"/>
  <c r="N334" i="15"/>
  <c r="N335" i="15"/>
  <c r="N336" i="15"/>
  <c r="N337" i="15"/>
  <c r="N338" i="15"/>
  <c r="N339" i="15"/>
  <c r="N340" i="15"/>
  <c r="N341" i="15"/>
  <c r="N342" i="15"/>
  <c r="N343" i="15"/>
  <c r="N344" i="15"/>
  <c r="N345" i="15"/>
  <c r="N346" i="15"/>
  <c r="N347" i="15"/>
  <c r="N348" i="15"/>
  <c r="N349" i="15"/>
  <c r="N350" i="15"/>
  <c r="N351" i="15"/>
  <c r="N352" i="15"/>
  <c r="N353" i="15"/>
  <c r="N354" i="15"/>
  <c r="N355" i="15"/>
  <c r="N356" i="15"/>
  <c r="N357" i="15"/>
  <c r="N358" i="15"/>
  <c r="N359" i="15"/>
  <c r="N360" i="15"/>
  <c r="N361" i="15"/>
  <c r="N362" i="15"/>
  <c r="N363" i="15"/>
  <c r="N364" i="15"/>
  <c r="N365" i="15"/>
  <c r="N366" i="15"/>
  <c r="N367" i="15"/>
  <c r="N368" i="15"/>
  <c r="N369" i="15"/>
  <c r="N370" i="15"/>
  <c r="N371" i="15"/>
  <c r="N372" i="15"/>
  <c r="N373" i="15"/>
  <c r="N374" i="15"/>
  <c r="N375" i="15"/>
  <c r="N376" i="15"/>
  <c r="N377" i="15"/>
  <c r="N378" i="15"/>
  <c r="N379" i="15"/>
  <c r="N380" i="15"/>
  <c r="N381" i="15"/>
  <c r="N382" i="15"/>
  <c r="N383" i="15"/>
  <c r="N384" i="15"/>
  <c r="N385" i="15"/>
  <c r="N386" i="15"/>
  <c r="N387" i="15"/>
  <c r="N388" i="15"/>
  <c r="N389" i="15"/>
  <c r="N390" i="15"/>
  <c r="N391" i="15"/>
  <c r="N392" i="15"/>
  <c r="N393" i="15"/>
  <c r="N394" i="15"/>
  <c r="N395" i="15"/>
  <c r="N396" i="15"/>
  <c r="N397" i="15"/>
  <c r="N398" i="15"/>
  <c r="N399" i="15"/>
  <c r="N400" i="15"/>
  <c r="N401" i="15"/>
  <c r="N402" i="15"/>
  <c r="N403" i="15"/>
  <c r="N404" i="15"/>
  <c r="N405" i="15"/>
  <c r="N406" i="15"/>
  <c r="N407" i="15"/>
  <c r="N408" i="15"/>
  <c r="N409" i="15"/>
  <c r="N410" i="15"/>
  <c r="N411" i="15"/>
  <c r="N412" i="15"/>
  <c r="N413" i="15"/>
  <c r="N414" i="15"/>
  <c r="N415" i="15"/>
  <c r="N416" i="15"/>
  <c r="N417" i="15"/>
  <c r="N418" i="15"/>
  <c r="N419" i="15"/>
  <c r="N420" i="15"/>
  <c r="N421" i="15"/>
  <c r="N422" i="15"/>
  <c r="N423" i="15"/>
  <c r="N424" i="15"/>
  <c r="N425" i="15"/>
  <c r="N426" i="15"/>
  <c r="N427" i="15"/>
  <c r="N428" i="15"/>
  <c r="N429" i="15"/>
  <c r="N430" i="15"/>
  <c r="N431" i="15"/>
  <c r="N432" i="15"/>
  <c r="N433" i="15"/>
  <c r="N434" i="15"/>
  <c r="N435" i="15"/>
  <c r="N436" i="15"/>
  <c r="N437" i="15"/>
  <c r="N438" i="15"/>
  <c r="N439" i="15"/>
  <c r="N440" i="15"/>
  <c r="N441" i="15"/>
  <c r="N442" i="15"/>
  <c r="N443" i="15"/>
  <c r="N444" i="15"/>
  <c r="N445" i="15"/>
  <c r="N446" i="15"/>
  <c r="N447" i="15"/>
  <c r="N448" i="15"/>
  <c r="N449" i="15"/>
  <c r="N450" i="15"/>
  <c r="N451" i="15"/>
  <c r="N452" i="15"/>
  <c r="N453" i="15"/>
  <c r="N454" i="15"/>
  <c r="N455" i="15"/>
  <c r="N456" i="15"/>
  <c r="N457" i="15"/>
  <c r="N2" i="15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" i="14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402" i="12"/>
  <c r="N403" i="12"/>
  <c r="N404" i="12"/>
  <c r="N405" i="12"/>
  <c r="N406" i="12"/>
  <c r="N407" i="12"/>
  <c r="N408" i="12"/>
  <c r="N409" i="12"/>
  <c r="N410" i="12"/>
  <c r="N411" i="12"/>
  <c r="N412" i="12"/>
  <c r="N413" i="12"/>
  <c r="N414" i="12"/>
  <c r="N415" i="12"/>
  <c r="N416" i="12"/>
  <c r="N417" i="12"/>
  <c r="N418" i="12"/>
  <c r="N419" i="12"/>
  <c r="N420" i="12"/>
  <c r="N421" i="12"/>
  <c r="N422" i="12"/>
  <c r="N423" i="12"/>
  <c r="N424" i="12"/>
  <c r="N425" i="12"/>
  <c r="N426" i="12"/>
  <c r="N427" i="12"/>
  <c r="N428" i="12"/>
  <c r="N429" i="12"/>
  <c r="N430" i="12"/>
  <c r="N431" i="12"/>
  <c r="N432" i="12"/>
  <c r="N433" i="12"/>
  <c r="N434" i="12"/>
  <c r="N435" i="12"/>
  <c r="N436" i="12"/>
  <c r="N437" i="12"/>
  <c r="N438" i="12"/>
  <c r="N439" i="12"/>
  <c r="N440" i="12"/>
  <c r="N441" i="12"/>
  <c r="N442" i="12"/>
  <c r="N443" i="12"/>
  <c r="N444" i="12"/>
  <c r="N445" i="12"/>
  <c r="N446" i="12"/>
  <c r="N447" i="12"/>
  <c r="N448" i="12"/>
  <c r="N449" i="12"/>
  <c r="N450" i="12"/>
  <c r="N451" i="12"/>
  <c r="N452" i="12"/>
  <c r="N453" i="12"/>
  <c r="N454" i="12"/>
  <c r="N455" i="12"/>
  <c r="N456" i="12"/>
  <c r="N457" i="12"/>
  <c r="N2" i="12"/>
  <c r="AE22" i="11"/>
  <c r="AE21" i="11"/>
  <c r="AE20" i="11"/>
  <c r="AE19" i="11"/>
  <c r="AE18" i="11"/>
  <c r="AE17" i="11"/>
  <c r="AE16" i="11"/>
  <c r="AE15" i="11"/>
  <c r="AE14" i="11"/>
  <c r="AE13" i="11"/>
  <c r="O301" i="6"/>
  <c r="N235" i="11"/>
  <c r="N299" i="11"/>
  <c r="N94" i="11"/>
  <c r="N270" i="11"/>
  <c r="N67" i="11"/>
  <c r="N262" i="11"/>
  <c r="N159" i="11"/>
  <c r="N192" i="11"/>
  <c r="N255" i="11"/>
  <c r="N142" i="11"/>
  <c r="N122" i="11"/>
  <c r="N237" i="11"/>
  <c r="N95" i="11"/>
  <c r="N288" i="11"/>
  <c r="N238" i="11"/>
  <c r="N177" i="11"/>
  <c r="N161" i="11"/>
  <c r="N164" i="11"/>
  <c r="N277" i="11"/>
  <c r="N232" i="11"/>
  <c r="N223" i="11"/>
  <c r="N233" i="11"/>
  <c r="N253" i="11"/>
  <c r="N287" i="11"/>
  <c r="N188" i="11"/>
  <c r="N258" i="11"/>
  <c r="N73" i="11"/>
  <c r="N47" i="11"/>
  <c r="N294" i="11"/>
  <c r="N24" i="11"/>
  <c r="N61" i="11"/>
  <c r="N124" i="11"/>
  <c r="N261" i="11"/>
  <c r="N139" i="11"/>
  <c r="N234" i="11"/>
  <c r="N69" i="11"/>
  <c r="N125" i="11"/>
  <c r="N251" i="11"/>
  <c r="N103" i="11"/>
  <c r="N65" i="11"/>
  <c r="N43" i="11"/>
  <c r="N44" i="11"/>
  <c r="N171" i="11"/>
  <c r="N240" i="11"/>
  <c r="N74" i="11"/>
  <c r="N80" i="11"/>
  <c r="N244" i="11"/>
  <c r="N157" i="11"/>
  <c r="N112" i="11"/>
  <c r="N228" i="11"/>
  <c r="N88" i="11"/>
  <c r="N13" i="11"/>
  <c r="N82" i="11"/>
  <c r="N182" i="11"/>
  <c r="N120" i="11"/>
  <c r="N221" i="11"/>
  <c r="N3" i="11"/>
  <c r="N180" i="11"/>
  <c r="N83" i="11"/>
  <c r="N100" i="11"/>
  <c r="N7" i="11"/>
  <c r="N301" i="11"/>
  <c r="N218" i="11"/>
  <c r="N137" i="11"/>
  <c r="N22" i="11"/>
  <c r="N278" i="11"/>
  <c r="N59" i="11"/>
  <c r="N179" i="11"/>
  <c r="N11" i="11"/>
  <c r="N136" i="11"/>
  <c r="N191" i="11"/>
  <c r="N275" i="11"/>
  <c r="N115" i="11"/>
  <c r="N134" i="11"/>
  <c r="N220" i="11"/>
  <c r="N51" i="11"/>
  <c r="N217" i="11"/>
  <c r="N190" i="11"/>
  <c r="N229" i="11"/>
  <c r="N176" i="11"/>
  <c r="N203" i="11"/>
  <c r="N84" i="11"/>
  <c r="N197" i="11"/>
  <c r="N60" i="11"/>
  <c r="N271" i="11"/>
  <c r="N49" i="11"/>
  <c r="N110" i="11"/>
  <c r="N75" i="11"/>
  <c r="N260" i="11"/>
  <c r="N226" i="11"/>
  <c r="N109" i="11"/>
  <c r="N25" i="11"/>
  <c r="N76" i="11"/>
  <c r="N266" i="11"/>
  <c r="N160" i="11"/>
  <c r="N195" i="11"/>
  <c r="N148" i="11"/>
  <c r="N254" i="11"/>
  <c r="N181" i="11"/>
  <c r="N243" i="11"/>
  <c r="N14" i="11"/>
  <c r="N167" i="11"/>
  <c r="N106" i="11"/>
  <c r="N121" i="11"/>
  <c r="N202" i="11"/>
  <c r="N283" i="11"/>
  <c r="N165" i="11"/>
  <c r="N79" i="11"/>
  <c r="N132" i="11"/>
  <c r="N242" i="11"/>
  <c r="N71" i="11"/>
  <c r="N146" i="11"/>
  <c r="N119" i="11"/>
  <c r="N284" i="11"/>
  <c r="N77" i="11"/>
  <c r="N140" i="11"/>
  <c r="N224" i="11"/>
  <c r="N19" i="11"/>
  <c r="N39" i="11"/>
  <c r="N16" i="11"/>
  <c r="N222" i="11"/>
  <c r="N38" i="11"/>
  <c r="N15" i="11"/>
  <c r="N101" i="11"/>
  <c r="N166" i="11"/>
  <c r="N264" i="11"/>
  <c r="N127" i="11"/>
  <c r="N72" i="11"/>
  <c r="N189" i="11"/>
  <c r="N117" i="11"/>
  <c r="N113" i="11"/>
  <c r="N257" i="11"/>
  <c r="N259" i="11"/>
  <c r="N274" i="11"/>
  <c r="N52" i="11"/>
  <c r="N48" i="11"/>
  <c r="N85" i="11"/>
  <c r="N178" i="11"/>
  <c r="N89" i="11"/>
  <c r="N40" i="11"/>
  <c r="N263" i="11"/>
  <c r="N9" i="11"/>
  <c r="N272" i="11"/>
  <c r="N297" i="11"/>
  <c r="N46" i="11"/>
  <c r="N93" i="11"/>
  <c r="N55" i="11"/>
  <c r="N231" i="11"/>
  <c r="N279" i="11"/>
  <c r="N152" i="11"/>
  <c r="N57" i="11"/>
  <c r="N68" i="11"/>
  <c r="N18" i="11"/>
  <c r="N144" i="11"/>
  <c r="N153" i="11"/>
  <c r="N154" i="11"/>
  <c r="N147" i="11"/>
  <c r="N45" i="11"/>
  <c r="N184" i="11"/>
  <c r="N143" i="11"/>
  <c r="N198" i="11"/>
  <c r="N41" i="11"/>
  <c r="N91" i="11"/>
  <c r="N90" i="11"/>
  <c r="N98" i="11"/>
  <c r="N170" i="11"/>
  <c r="N241" i="11"/>
  <c r="N128" i="11"/>
  <c r="N265" i="11"/>
  <c r="N172" i="11"/>
  <c r="N248" i="11"/>
  <c r="N97" i="11"/>
  <c r="N105" i="11"/>
  <c r="N6" i="11"/>
  <c r="N300" i="11"/>
  <c r="N183" i="11"/>
  <c r="N5" i="11"/>
  <c r="N239" i="11"/>
  <c r="N187" i="11"/>
  <c r="N36" i="11"/>
  <c r="N162" i="11"/>
  <c r="N23" i="11"/>
  <c r="N108" i="11"/>
  <c r="N175" i="11"/>
  <c r="N206" i="11"/>
  <c r="N210" i="11"/>
  <c r="N205" i="11"/>
  <c r="N250" i="11"/>
  <c r="N298" i="11"/>
  <c r="N168" i="11"/>
  <c r="N96" i="11"/>
  <c r="N169" i="11"/>
  <c r="N207" i="11"/>
  <c r="N107" i="11"/>
  <c r="N126" i="11"/>
  <c r="N273" i="11"/>
  <c r="N56" i="11"/>
  <c r="N204" i="11"/>
  <c r="N282" i="11"/>
  <c r="N186" i="11"/>
  <c r="N216" i="11"/>
  <c r="N295" i="11"/>
  <c r="N21" i="11"/>
  <c r="N158" i="11"/>
  <c r="N155" i="11"/>
  <c r="N99" i="11"/>
  <c r="N199" i="11"/>
  <c r="N214" i="11"/>
  <c r="N10" i="11"/>
  <c r="N63" i="11"/>
  <c r="N131" i="11"/>
  <c r="N215" i="11"/>
  <c r="N12" i="11"/>
  <c r="N252" i="11"/>
  <c r="N291" i="11"/>
  <c r="N281" i="11"/>
  <c r="N62" i="11"/>
  <c r="N30" i="11"/>
  <c r="N2" i="11"/>
  <c r="N86" i="11"/>
  <c r="N150" i="11"/>
  <c r="N285" i="11"/>
  <c r="N17" i="11"/>
  <c r="N296" i="11"/>
  <c r="N31" i="11"/>
  <c r="N149" i="11"/>
  <c r="N219" i="11"/>
  <c r="N114" i="11"/>
  <c r="N230" i="11"/>
  <c r="N201" i="11"/>
  <c r="N4" i="11"/>
  <c r="N247" i="11"/>
  <c r="N236" i="11"/>
  <c r="N123" i="11"/>
  <c r="N118" i="11"/>
  <c r="N268" i="11"/>
  <c r="N249" i="11"/>
  <c r="N33" i="11"/>
  <c r="N200" i="11"/>
  <c r="N70" i="11"/>
  <c r="N64" i="11"/>
  <c r="N174" i="11"/>
  <c r="N28" i="11"/>
  <c r="N133" i="11"/>
  <c r="N37" i="11"/>
  <c r="N138" i="11"/>
  <c r="N27" i="11"/>
  <c r="N194" i="11"/>
  <c r="N245" i="11"/>
  <c r="N141" i="11"/>
  <c r="N87" i="11"/>
  <c r="N196" i="11"/>
  <c r="N116" i="11"/>
  <c r="N135" i="11"/>
  <c r="N293" i="11"/>
  <c r="N225" i="11"/>
  <c r="N53" i="11"/>
  <c r="N29" i="11"/>
  <c r="N193" i="11"/>
  <c r="N213" i="11"/>
  <c r="N92" i="11"/>
  <c r="N26" i="11"/>
  <c r="N8" i="11"/>
  <c r="N32" i="11"/>
  <c r="N163" i="11"/>
  <c r="N276" i="11"/>
  <c r="N208" i="11"/>
  <c r="N42" i="11"/>
  <c r="N269" i="11"/>
  <c r="N50" i="11"/>
  <c r="N102" i="11"/>
  <c r="N173" i="11"/>
  <c r="N227" i="11"/>
  <c r="N78" i="11"/>
  <c r="N54" i="11"/>
  <c r="N34" i="11"/>
  <c r="N151" i="11"/>
  <c r="N286" i="11"/>
  <c r="N212" i="11"/>
  <c r="N280" i="11"/>
  <c r="N156" i="11"/>
  <c r="N292" i="11"/>
  <c r="N145" i="11"/>
  <c r="N111" i="11"/>
  <c r="N58" i="11"/>
  <c r="N20" i="11"/>
  <c r="N267" i="11"/>
  <c r="N246" i="11"/>
  <c r="N209" i="11"/>
  <c r="N256" i="11"/>
  <c r="N130" i="11"/>
  <c r="N129" i="11"/>
  <c r="N66" i="11"/>
  <c r="N81" i="11"/>
  <c r="N289" i="11"/>
  <c r="N35" i="11"/>
  <c r="N290" i="11"/>
  <c r="N104" i="11"/>
  <c r="N211" i="11"/>
  <c r="N185" i="11"/>
  <c r="O33" i="6"/>
  <c r="AG21" i="6"/>
  <c r="AG20" i="6"/>
  <c r="AG19" i="6"/>
  <c r="AG18" i="6"/>
  <c r="AG17" i="6"/>
  <c r="AG16" i="6"/>
  <c r="AG15" i="6"/>
  <c r="AG14" i="6"/>
  <c r="AG13" i="6"/>
  <c r="AG12" i="6"/>
  <c r="O107" i="6"/>
  <c r="O235" i="6"/>
  <c r="O289" i="6"/>
  <c r="O24" i="6"/>
  <c r="O41" i="6"/>
  <c r="O21" i="6"/>
  <c r="O212" i="6"/>
  <c r="O146" i="6"/>
  <c r="O167" i="6"/>
  <c r="O115" i="6"/>
  <c r="O39" i="6"/>
  <c r="O15" i="6"/>
  <c r="O117" i="6"/>
  <c r="O75" i="6"/>
  <c r="O19" i="6"/>
  <c r="O267" i="6"/>
  <c r="O299" i="6"/>
  <c r="O183" i="6"/>
  <c r="O40" i="6"/>
  <c r="O53" i="6"/>
  <c r="O200" i="6"/>
  <c r="O149" i="6"/>
  <c r="O3" i="6"/>
  <c r="O86" i="6"/>
  <c r="O57" i="6"/>
  <c r="O209" i="6"/>
  <c r="O224" i="6"/>
  <c r="O190" i="6"/>
  <c r="O73" i="6"/>
  <c r="O128" i="6"/>
  <c r="O232" i="6"/>
  <c r="O82" i="6"/>
  <c r="O37" i="6"/>
  <c r="O192" i="6"/>
  <c r="O84" i="6"/>
  <c r="O246" i="6"/>
  <c r="O58" i="6"/>
  <c r="O14" i="6"/>
  <c r="O244" i="6"/>
  <c r="O13" i="6"/>
  <c r="O217" i="6"/>
  <c r="O42" i="6"/>
  <c r="O43" i="6"/>
  <c r="O264" i="6"/>
  <c r="O32" i="6"/>
  <c r="O274" i="6"/>
  <c r="O189" i="6"/>
  <c r="O173" i="6"/>
  <c r="O152" i="6"/>
  <c r="O241" i="6"/>
  <c r="O148" i="6"/>
  <c r="O48" i="6"/>
  <c r="O121" i="6"/>
  <c r="O175" i="6"/>
  <c r="O35" i="6"/>
  <c r="O18" i="6"/>
  <c r="O234" i="6"/>
  <c r="O238" i="6"/>
  <c r="O202" i="6"/>
  <c r="O253" i="6"/>
  <c r="O66" i="6"/>
  <c r="O210" i="6"/>
  <c r="O280" i="6"/>
  <c r="O51" i="6"/>
  <c r="O231" i="6"/>
  <c r="O2" i="6"/>
  <c r="O4" i="6"/>
  <c r="O254" i="6"/>
  <c r="O273" i="6"/>
  <c r="O297" i="6"/>
  <c r="O226" i="6"/>
  <c r="O118" i="6"/>
  <c r="O256" i="6"/>
  <c r="O29" i="6"/>
  <c r="O111" i="6"/>
  <c r="O290" i="6"/>
  <c r="O249" i="6"/>
  <c r="O218" i="6"/>
  <c r="O5" i="6"/>
  <c r="O215" i="6"/>
  <c r="O83" i="6"/>
  <c r="O125" i="6"/>
  <c r="O179" i="6"/>
  <c r="O268" i="6"/>
  <c r="O243" i="6"/>
  <c r="O78" i="6"/>
  <c r="O114" i="6"/>
  <c r="O28" i="6"/>
  <c r="O295" i="6"/>
  <c r="O164" i="6"/>
  <c r="O252" i="6"/>
  <c r="O133" i="6"/>
  <c r="O31" i="6"/>
  <c r="O44" i="6"/>
  <c r="O206" i="6"/>
  <c r="O92" i="6"/>
  <c r="O195" i="6"/>
  <c r="O186" i="6"/>
  <c r="O63" i="6"/>
  <c r="O236" i="6"/>
  <c r="O97" i="6"/>
  <c r="O120" i="6"/>
  <c r="O38" i="6"/>
  <c r="O185" i="6"/>
  <c r="O155" i="6"/>
  <c r="O90" i="6"/>
  <c r="O216" i="6"/>
  <c r="O116" i="6"/>
  <c r="O69" i="6"/>
  <c r="O10" i="6"/>
  <c r="O296" i="6"/>
  <c r="O223" i="6"/>
  <c r="O291" i="6"/>
  <c r="O219" i="6"/>
  <c r="O177" i="6"/>
  <c r="O284" i="6"/>
  <c r="O160" i="6"/>
  <c r="O124" i="6"/>
  <c r="O287" i="6"/>
  <c r="O85" i="6"/>
  <c r="O68" i="6"/>
  <c r="O94" i="6"/>
  <c r="O180" i="6"/>
  <c r="O89" i="6"/>
  <c r="O25" i="6"/>
  <c r="O165" i="6"/>
  <c r="O135" i="6"/>
  <c r="O204" i="6"/>
  <c r="O76" i="6"/>
  <c r="O70" i="6"/>
  <c r="O292" i="6"/>
  <c r="O52" i="6"/>
  <c r="O172" i="6"/>
  <c r="O227" i="6"/>
  <c r="O79" i="6"/>
  <c r="O196" i="6"/>
  <c r="O182" i="6"/>
  <c r="O109" i="6"/>
  <c r="O250" i="6"/>
  <c r="O91" i="6"/>
  <c r="O158" i="6"/>
  <c r="O49" i="6"/>
  <c r="O288" i="6"/>
  <c r="O239" i="6"/>
  <c r="O108" i="6"/>
  <c r="O81" i="6"/>
  <c r="O229" i="6"/>
  <c r="O150" i="6"/>
  <c r="O151" i="6"/>
  <c r="O119" i="6"/>
  <c r="O277" i="6"/>
  <c r="O176" i="6"/>
  <c r="O8" i="6"/>
  <c r="O56" i="6"/>
  <c r="O67" i="6"/>
  <c r="O45" i="6"/>
  <c r="O170" i="6"/>
  <c r="O22" i="6"/>
  <c r="O262" i="6"/>
  <c r="O272" i="6"/>
  <c r="O102" i="6"/>
  <c r="O259" i="6"/>
  <c r="O74" i="6"/>
  <c r="O194" i="6"/>
  <c r="O127" i="6"/>
  <c r="O199" i="6"/>
  <c r="O263" i="6"/>
  <c r="O7" i="6"/>
  <c r="O171" i="6"/>
  <c r="O137" i="6"/>
  <c r="O159" i="6"/>
  <c r="O105" i="6"/>
  <c r="O269" i="6"/>
  <c r="O103" i="6"/>
  <c r="O161" i="6"/>
  <c r="O93" i="6"/>
  <c r="O248" i="6"/>
  <c r="O205" i="6"/>
  <c r="O138" i="6"/>
  <c r="O142" i="6"/>
  <c r="O222" i="6"/>
  <c r="O282" i="6"/>
  <c r="O104" i="6"/>
  <c r="O157" i="6"/>
  <c r="O213" i="6"/>
  <c r="O20" i="6"/>
  <c r="O193" i="6"/>
  <c r="O34" i="6"/>
  <c r="O169" i="6"/>
  <c r="O265" i="6"/>
  <c r="O240" i="6"/>
  <c r="O154" i="6"/>
  <c r="O201" i="6"/>
  <c r="O100" i="6"/>
  <c r="O101" i="6"/>
  <c r="O181" i="6"/>
  <c r="O294" i="6"/>
  <c r="O279" i="6"/>
  <c r="O174" i="6"/>
  <c r="O251" i="6"/>
  <c r="O65" i="6"/>
  <c r="O276" i="6"/>
  <c r="O153" i="6"/>
  <c r="O17" i="6"/>
  <c r="O147" i="6"/>
  <c r="O55" i="6"/>
  <c r="O214" i="6"/>
  <c r="O191" i="6"/>
  <c r="O6" i="6"/>
  <c r="O188" i="6"/>
  <c r="O11" i="6"/>
  <c r="O141" i="6"/>
  <c r="O140" i="6"/>
  <c r="O208" i="6"/>
  <c r="O211" i="6"/>
  <c r="O99" i="6"/>
  <c r="O46" i="6"/>
  <c r="O184" i="6"/>
  <c r="O59" i="6"/>
  <c r="O230" i="6"/>
  <c r="O144" i="6"/>
  <c r="O237" i="6"/>
  <c r="O80" i="6"/>
  <c r="O293" i="6"/>
  <c r="O54" i="6"/>
  <c r="O61" i="6"/>
  <c r="O145" i="6"/>
  <c r="O113" i="6"/>
  <c r="O281" i="6"/>
  <c r="O298" i="6"/>
  <c r="O36" i="6"/>
  <c r="O122" i="6"/>
  <c r="O221" i="6"/>
  <c r="O139" i="6"/>
  <c r="O275" i="6"/>
  <c r="O26" i="6"/>
  <c r="O60" i="6"/>
  <c r="O203" i="6"/>
  <c r="O178" i="6"/>
  <c r="O300" i="6"/>
  <c r="O96" i="6"/>
  <c r="O257" i="6"/>
  <c r="O112" i="6"/>
  <c r="O233" i="6"/>
  <c r="O47" i="6"/>
  <c r="O187" i="6"/>
  <c r="O168" i="6"/>
  <c r="O27" i="6"/>
  <c r="O88" i="6"/>
  <c r="O270" i="6"/>
  <c r="O106" i="6"/>
  <c r="O283" i="6"/>
  <c r="O258" i="6"/>
  <c r="O129" i="6"/>
  <c r="O16" i="6"/>
  <c r="O87" i="6"/>
  <c r="O72" i="6"/>
  <c r="O95" i="6"/>
  <c r="O130" i="6"/>
  <c r="O225" i="6"/>
  <c r="O286" i="6"/>
  <c r="O261" i="6"/>
  <c r="O23" i="6"/>
  <c r="O197" i="6"/>
  <c r="O77" i="6"/>
  <c r="O98" i="6"/>
  <c r="O64" i="6"/>
  <c r="O207" i="6"/>
  <c r="O156" i="6"/>
  <c r="O242" i="6"/>
  <c r="O247" i="6"/>
  <c r="O30" i="6"/>
  <c r="O50" i="6"/>
  <c r="O12" i="6"/>
  <c r="O123" i="6"/>
  <c r="O278" i="6"/>
  <c r="O110" i="6"/>
  <c r="O62" i="6"/>
  <c r="O285" i="6"/>
  <c r="O143" i="6"/>
  <c r="O255" i="6"/>
  <c r="O271" i="6"/>
  <c r="O131" i="6"/>
  <c r="O220" i="6"/>
  <c r="O163" i="6"/>
  <c r="O162" i="6"/>
  <c r="O132" i="6"/>
  <c r="O198" i="6"/>
  <c r="O134" i="6"/>
  <c r="O71" i="6"/>
  <c r="O126" i="6"/>
  <c r="O136" i="6"/>
  <c r="O228" i="6"/>
  <c r="O266" i="6"/>
  <c r="O260" i="6"/>
  <c r="O245" i="6"/>
  <c r="O166" i="6"/>
  <c r="O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A0E3FA-3048-4A10-A409-5DD9182F334A}" keepAlive="1" name="Query - myntra dataprocesing1" description="Connection to the 'myntra dataprocesing1' query in the workbook." type="5" refreshedVersion="0" background="1">
    <dbPr connection="Provider=Microsoft.Mashup.OleDb.1;Data Source=$Workbook$;Location=&quot;myntra dataprocesing1&quot;;Extended Properties=&quot;&quot;" command="SELECT * FROM [myntra dataprocesing1]"/>
  </connection>
  <connection id="2" xr16:uid="{16A38AC7-8BC5-48F8-B61D-7AD72855B13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<sst xmlns="http://schemas.openxmlformats.org/spreadsheetml/2006/main" count="20002" uniqueCount="635">
  <si>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</si>
  <si>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</si>
  <si>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</si>
  <si>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</si>
  <si>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</si>
  <si>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</si>
  <si>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</si>
  <si>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</si>
  <si>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</si>
  <si>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</si>
  <si>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</si>
  <si>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</si>
  <si>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</si>
  <si>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</si>
  <si>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</si>
  <si>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</si>
  <si>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</si>
  <si>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</si>
  <si>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</si>
  <si>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</si>
  <si>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</si>
  <si>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</si>
  <si>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</si>
  <si>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</si>
  <si>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</si>
  <si>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</si>
  <si>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</si>
  <si>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</si>
  <si>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</si>
  <si>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#MyntraFashion,#MyntraSale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</si>
  <si>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</si>
  <si>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</si>
  <si>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</si>
  <si>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</si>
  <si>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</si>
  <si>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</si>
  <si>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</si>
  <si>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#StyleWithMyntra,#MyntraFashion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</si>
  <si>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</si>
  <si>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</si>
  <si>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</si>
  <si>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</si>
  <si>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</si>
  <si>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</si>
  <si>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</si>
  <si>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</si>
  <si>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</si>
  <si>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</si>
  <si>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</si>
  <si>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</si>
  <si>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</si>
  <si>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</si>
  <si>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</si>
  <si>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</si>
  <si>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</si>
  <si>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</si>
  <si>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</si>
  <si>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</si>
  <si>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</si>
  <si>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</si>
  <si>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</si>
  <si>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#StyleWithMyntra,#MyntraSale</t>
  </si>
  <si>
    <t>P013</t>
  </si>
  <si>
    <t>2024-11-18</t>
  </si>
  <si>
    <t>P014</t>
  </si>
  <si>
    <t>2025-02-16</t>
  </si>
  <si>
    <t>#MyntraSale,#MyntraFashion</t>
  </si>
  <si>
    <t>P015</t>
  </si>
  <si>
    <t>2024-10-24</t>
  </si>
  <si>
    <t>Video</t>
  </si>
  <si>
    <t>Explore the latest video on Myntra! Trendy styles await.</t>
  </si>
  <si>
    <t>#MyntraFashion,#FashionDeals</t>
  </si>
  <si>
    <t>P016</t>
  </si>
  <si>
    <t>2024-08-26</t>
  </si>
  <si>
    <t>#MyntraSale,#FashionDeals</t>
  </si>
  <si>
    <t>P017</t>
  </si>
  <si>
    <t>2025-05-05</t>
  </si>
  <si>
    <t>#FashionDeals</t>
  </si>
  <si>
    <t>P018</t>
  </si>
  <si>
    <t>2024-08-19</t>
  </si>
  <si>
    <t>P019</t>
  </si>
  <si>
    <t>2024-06-23</t>
  </si>
  <si>
    <t>#MyntraSale,#StyleWithMyntra</t>
  </si>
  <si>
    <t>P020</t>
  </si>
  <si>
    <t>2024-09-09</t>
  </si>
  <si>
    <t>P021</t>
  </si>
  <si>
    <t>2025-01-04</t>
  </si>
  <si>
    <t>#StyleWithMyntra,#MyntraTrend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</si>
  <si>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</si>
  <si>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</si>
  <si>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</si>
  <si>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</si>
  <si>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</si>
  <si>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</si>
  <si>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</si>
  <si>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</si>
  <si>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</si>
  <si>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</si>
  <si>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</si>
  <si>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</si>
  <si>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</si>
  <si>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</si>
  <si>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#MyntraSale,#MyntraTrend</t>
  </si>
  <si>
    <t>P029</t>
  </si>
  <si>
    <t>2025-01-31</t>
  </si>
  <si>
    <t>#MyntraTrend,#MyntraFashion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</si>
  <si>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</si>
  <si>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</si>
  <si>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</si>
  <si>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</si>
  <si>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</si>
  <si>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</si>
  <si>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</si>
  <si>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</si>
  <si>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</si>
  <si>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</si>
  <si>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#MyntraTrend,#FashionDeals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</si>
  <si>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</si>
  <si>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</si>
  <si>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</si>
  <si>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</si>
  <si>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</si>
  <si>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</si>
  <si>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</si>
  <si>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</si>
  <si>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</si>
  <si>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</si>
  <si>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#FashionDeals,#MyntraSale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</si>
  <si>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</si>
  <si>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</si>
  <si>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</si>
  <si>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</si>
  <si>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</si>
  <si>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</si>
  <si>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</si>
  <si>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</si>
  <si>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</si>
  <si>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</si>
  <si>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</si>
  <si>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</si>
  <si>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</si>
  <si>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</si>
  <si>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</si>
  <si>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</si>
  <si>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#FashionDeals,#MyntraFashion</t>
  </si>
  <si>
    <t>P048</t>
  </si>
  <si>
    <t>#MyntraFashion,#StyleWithMyntra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</si>
  <si>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</si>
  <si>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</si>
  <si>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</si>
  <si>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</si>
  <si>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</si>
  <si>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</si>
  <si>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</si>
  <si>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</si>
  <si>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</si>
  <si>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</si>
  <si>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</si>
  <si>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</si>
  <si>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</si>
  <si>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</si>
  <si>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</si>
  <si>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#StyleWithMyntra,#FashionDeals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</si>
  <si>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</si>
  <si>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</si>
  <si>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</si>
  <si>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</si>
  <si>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</si>
  <si>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</si>
  <si>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</si>
  <si>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</si>
  <si>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</si>
  <si>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</si>
  <si>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</si>
  <si>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</si>
  <si>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</si>
  <si>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</si>
  <si>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</si>
  <si>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#FashionDeals,#MyntraTrend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</si>
  <si>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</si>
  <si>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</si>
  <si>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</si>
  <si>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</si>
  <si>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</si>
  <si>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</si>
  <si>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</si>
  <si>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</si>
  <si>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</si>
  <si>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</si>
  <si>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</si>
  <si>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</si>
  <si>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</si>
  <si>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</si>
  <si>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</si>
  <si>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</si>
  <si>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</si>
  <si>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</si>
  <si>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</si>
  <si>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</si>
  <si>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</si>
  <si>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</si>
  <si>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</si>
  <si>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</si>
  <si>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</si>
  <si>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</si>
  <si>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</si>
  <si>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</si>
  <si>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</si>
  <si>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</si>
  <si>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#MyntraTrend,#MyntraSale</t>
  </si>
  <si>
    <t>P082</t>
  </si>
  <si>
    <t>2024-07-24</t>
  </si>
  <si>
    <t>P083</t>
  </si>
  <si>
    <t>2024-10-15</t>
  </si>
  <si>
    <t>#MyntraTrend,#StyleWithMyntra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</si>
  <si>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</si>
  <si>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</si>
  <si>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</si>
  <si>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</si>
  <si>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</si>
  <si>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</si>
  <si>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</si>
  <si>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</si>
  <si>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</si>
  <si>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</si>
  <si>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</si>
  <si>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</si>
  <si>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</si>
  <si>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</si>
  <si>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</si>
  <si>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</si>
  <si>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</si>
  <si>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</si>
  <si>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</si>
  <si>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</si>
  <si>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</si>
  <si>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</si>
  <si>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</si>
  <si>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</si>
  <si>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</si>
  <si>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</si>
  <si>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</si>
  <si>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</si>
  <si>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</si>
  <si>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</si>
  <si>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</si>
  <si>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</si>
  <si>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</si>
  <si>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</si>
  <si>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</si>
  <si>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</si>
  <si>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</si>
  <si>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</si>
  <si>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</si>
  <si>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</si>
  <si>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</si>
  <si>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</si>
  <si>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</si>
  <si>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</si>
  <si>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</si>
  <si>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</si>
  <si>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</si>
  <si>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</si>
  <si>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</si>
  <si>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#FashionDeals,#StyleWithMyntra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</si>
  <si>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</si>
  <si>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</si>
  <si>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</si>
  <si>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</si>
  <si>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</si>
  <si>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</si>
  <si>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</si>
  <si>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</si>
  <si>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</si>
  <si>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</si>
  <si>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</si>
  <si>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</si>
  <si>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</si>
  <si>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</si>
  <si>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</si>
  <si>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</si>
  <si>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</si>
  <si>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</si>
  <si>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</si>
  <si>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</si>
  <si>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#MyntraFashion,#MyntraTrend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</si>
  <si>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</si>
  <si>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</si>
  <si>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</si>
  <si>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</si>
  <si>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</si>
  <si>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</si>
  <si>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</si>
  <si>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</si>
  <si>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</si>
  <si>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</si>
  <si>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</si>
  <si>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</si>
  <si>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</si>
  <si>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</si>
  <si>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</si>
  <si>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</si>
  <si>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</si>
  <si>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</si>
  <si>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</si>
  <si>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</si>
  <si>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</si>
  <si>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</si>
  <si>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</si>
  <si>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</si>
  <si>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</si>
  <si>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</si>
  <si>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</si>
  <si>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</si>
  <si>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</si>
  <si>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</si>
  <si>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</si>
  <si>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</si>
  <si>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</si>
  <si>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</si>
  <si>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</si>
  <si>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</si>
  <si>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</si>
  <si>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</si>
  <si>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</si>
  <si>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</si>
  <si>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</si>
  <si>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</si>
  <si>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</si>
  <si>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</si>
  <si>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</si>
  <si>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</si>
  <si>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</si>
  <si>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</si>
  <si>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</si>
  <si>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</si>
  <si>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</si>
  <si>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</si>
  <si>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</si>
  <si>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</si>
  <si>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</si>
  <si>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</si>
  <si>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</si>
  <si>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</si>
  <si>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</si>
  <si>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</si>
  <si>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</si>
  <si>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</si>
  <si>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</si>
  <si>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</si>
  <si>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</si>
  <si>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</si>
  <si>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</si>
  <si>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</si>
  <si>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</si>
  <si>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</si>
  <si>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</si>
  <si>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</si>
  <si>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</si>
  <si>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</si>
  <si>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</si>
  <si>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</si>
  <si>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</si>
  <si>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</si>
  <si>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</si>
  <si>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</si>
  <si>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</si>
  <si>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</si>
  <si>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</si>
  <si>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</si>
  <si>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</si>
  <si>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</si>
  <si>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</si>
  <si>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</si>
  <si>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</si>
  <si>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</si>
  <si>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</si>
  <si>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</si>
  <si>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</si>
  <si>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</si>
  <si>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</si>
  <si>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</si>
  <si>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</si>
  <si>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</si>
  <si>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</si>
  <si>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</si>
  <si>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</si>
  <si>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</si>
  <si>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</si>
  <si>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</si>
  <si>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</si>
  <si>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</si>
  <si>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</si>
  <si>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</si>
  <si>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</si>
  <si>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</si>
  <si>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</si>
  <si>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</si>
  <si>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</si>
  <si>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</si>
  <si>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</si>
  <si>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</si>
  <si>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</si>
  <si>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</si>
  <si>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</si>
  <si>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</si>
  <si>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</si>
  <si>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</si>
  <si>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</si>
  <si>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</si>
  <si>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</si>
  <si>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</si>
  <si>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</si>
  <si>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</si>
  <si>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</si>
  <si>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</si>
  <si>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</si>
  <si>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</si>
  <si>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</si>
  <si>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</si>
  <si>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</si>
  <si>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</si>
  <si>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</si>
  <si>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</si>
  <si>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</si>
  <si>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</si>
  <si>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</si>
  <si>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</si>
  <si>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</si>
  <si>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</si>
  <si>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</si>
  <si>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</si>
  <si>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</si>
  <si>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</si>
  <si>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</si>
  <si>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</si>
  <si>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</si>
  <si>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</si>
  <si>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</si>
  <si>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</si>
  <si>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</si>
  <si>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</si>
  <si>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</si>
  <si>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</si>
  <si>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</si>
  <si>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</si>
  <si>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</si>
  <si>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</si>
  <si>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</si>
  <si>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</si>
  <si>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</si>
  <si>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</si>
  <si>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</si>
  <si>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</si>
  <si>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</si>
  <si>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</si>
  <si>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</si>
  <si>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</si>
  <si>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</si>
  <si>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</si>
  <si>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</si>
  <si>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</si>
  <si>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</si>
  <si>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</si>
  <si>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</si>
  <si>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</si>
  <si>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</si>
  <si>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</si>
  <si>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</si>
  <si>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</si>
  <si>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</si>
  <si>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</si>
  <si>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</si>
  <si>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</si>
  <si>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</si>
  <si>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</si>
  <si>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</si>
  <si>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</si>
  <si>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</si>
  <si>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</si>
  <si>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</si>
  <si>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</si>
  <si>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</si>
  <si>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</si>
  <si>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</si>
  <si>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</si>
  <si>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</si>
  <si>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</si>
  <si>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</si>
  <si>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</si>
  <si>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</si>
  <si>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</si>
  <si>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</si>
  <si>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</si>
  <si>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</si>
  <si>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</si>
  <si>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</si>
  <si>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</si>
  <si>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</si>
  <si>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</si>
  <si>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</si>
  <si>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</si>
  <si>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</si>
  <si>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</si>
  <si>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</si>
  <si>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</si>
  <si>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</si>
  <si>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</si>
  <si>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</si>
  <si>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</si>
  <si>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</si>
  <si>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</si>
  <si>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</si>
  <si>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</si>
  <si>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</si>
  <si>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</si>
  <si>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</si>
  <si>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</si>
  <si>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</si>
  <si>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</si>
  <si>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</si>
  <si>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</si>
  <si>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</si>
  <si>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</si>
  <si>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</si>
  <si>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</si>
  <si>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</si>
  <si>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</si>
  <si>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</si>
  <si>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</si>
  <si>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</si>
  <si>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</si>
  <si>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</si>
  <si>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</si>
  <si>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</si>
  <si>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</si>
  <si>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</si>
  <si>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</si>
  <si>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</si>
  <si>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</si>
  <si>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</si>
  <si>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</si>
  <si>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</si>
  <si>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</si>
  <si>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</si>
  <si>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</si>
  <si>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</si>
  <si>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</si>
  <si>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</si>
  <si>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</si>
  <si>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</si>
  <si>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</si>
  <si>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</si>
  <si>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</si>
  <si>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</si>
  <si>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</si>
  <si>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</si>
  <si>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</si>
  <si>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</si>
  <si>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</si>
  <si>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</si>
  <si>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</si>
  <si>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</si>
  <si>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</si>
  <si>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</si>
  <si>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</si>
  <si>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</si>
  <si>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</si>
  <si>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</si>
  <si>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</si>
  <si>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</si>
  <si>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</si>
  <si>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</si>
  <si>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</si>
  <si>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</si>
  <si>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Hashtag1</t>
  </si>
  <si>
    <t>Hashtag2</t>
  </si>
  <si>
    <t>Youtube</t>
  </si>
  <si>
    <t>Row Labels</t>
  </si>
  <si>
    <t>Grand Total</t>
  </si>
  <si>
    <t>TOP 10 POSTS</t>
  </si>
  <si>
    <t xml:space="preserve">Total Likes, Shares, Comments by Content Type &amp; Platform </t>
  </si>
  <si>
    <t>Column Labels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</si>
  <si>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</si>
  <si>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</si>
  <si>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</si>
  <si>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</si>
  <si>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</si>
  <si>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</si>
  <si>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Average Clicks per Post by Hashtag</t>
  </si>
  <si>
    <t>Avg of Engagement_Rate</t>
  </si>
  <si>
    <t>AverageClicks</t>
  </si>
  <si>
    <t>Average Engagement Rate Per Platform</t>
  </si>
  <si>
    <t>Top 10 Myntra Posts With Highest Engagement_Rate</t>
  </si>
  <si>
    <t>Avg Engagement_Rate</t>
  </si>
  <si>
    <t>Total Likes, Shares, Comments by Content Type &amp; Platform</t>
  </si>
  <si>
    <t>Average Clicks Per Post by Hashtag</t>
  </si>
  <si>
    <t>Average of Clicks</t>
  </si>
  <si>
    <t>Platform With Highest Engagement</t>
  </si>
  <si>
    <t>Growth_Rate</t>
  </si>
  <si>
    <t>Compare Follower Growth Rates Across Platforms.</t>
  </si>
  <si>
    <t>Average of Growth_Rate</t>
  </si>
  <si>
    <t>Average of Engagement_Rate</t>
  </si>
  <si>
    <t>Average of Ad_Spend</t>
  </si>
  <si>
    <t>Platforms</t>
  </si>
  <si>
    <t>Visualize Engagement vs. Ad Spend per Platform.</t>
  </si>
  <si>
    <t>frequently Used Myntra Hashtags.</t>
  </si>
  <si>
    <t>FrequencyOfHashtags</t>
  </si>
  <si>
    <t>Hashtags</t>
  </si>
  <si>
    <t>Audience_Resonance</t>
  </si>
  <si>
    <t>Average of Audience_Resonance</t>
  </si>
  <si>
    <t>Average of Comments</t>
  </si>
  <si>
    <t>Average of Likes</t>
  </si>
  <si>
    <t>Average of Impressions</t>
  </si>
  <si>
    <t>Average of Shares</t>
  </si>
  <si>
    <t>Average of Reach</t>
  </si>
  <si>
    <t>Average Performance Of Posts Containing Each Hashtag</t>
  </si>
  <si>
    <t>Compare Content Performance:</t>
  </si>
  <si>
    <t>During_Compaign</t>
  </si>
  <si>
    <t>Before_Compaign_FUG</t>
  </si>
  <si>
    <t>Before_Compaign_EOSS</t>
  </si>
  <si>
    <t>During_compaign_EOSS</t>
  </si>
  <si>
    <t>During_compaign_FUG</t>
  </si>
  <si>
    <t>During_compaign_MFE</t>
  </si>
  <si>
    <t>Before_Compaign_MFE</t>
  </si>
  <si>
    <t>During_compaign_SR</t>
  </si>
  <si>
    <t>Before_Compaign_SR</t>
  </si>
  <si>
    <t>AVG</t>
  </si>
  <si>
    <t>Avg</t>
  </si>
  <si>
    <t>Campaign_Names</t>
  </si>
  <si>
    <t>Before_Compaign</t>
  </si>
  <si>
    <t>Total &amp; Average Impressions, Likes, Clicks per Campaign</t>
  </si>
  <si>
    <t>Sum of Impressions</t>
  </si>
  <si>
    <t>Sum of Clicks</t>
  </si>
  <si>
    <t>Engagement uplift during vs. before campaigns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</si>
</sst>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u/>
      <sz val="11"/>
      <color theme="8" tint="-0.249977111117893"/>
      <name val="Calibri"/>
      <family val="2"/>
      <scheme val="minor"/>
    </font>
    <font>
      <b/>
      <u/>
      <sz val="11"/>
      <color theme="3" tint="0.14999847407452621"/>
      <name val="Calibri"/>
      <family val="2"/>
      <scheme val="minor"/>
    </font>
    <font>
      <b/>
      <u/>
      <sz val="12"/>
      <color theme="3" tint="0.14999847407452621"/>
      <name val="Calibri"/>
      <family val="2"/>
      <scheme val="minor"/>
    </font>
    <font>
      <b/>
      <u/>
      <sz val="12"/>
      <color theme="3" tint="0.249977111117893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61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4" fontId="6" fillId="0" borderId="0" xfId="0" applyNumberFormat="1" applyFont="1"/>
    <xf numFmtId="0" fontId="6" fillId="0" borderId="2" xfId="0" applyFont="1" applyBorder="1" applyAlignment="1">
      <alignment wrapText="1"/>
    </xf>
    <xf numFmtId="14" fontId="6" fillId="0" borderId="2" xfId="0" applyNumberFormat="1" applyFont="1" applyBorder="1" applyAlignment="1">
      <alignment wrapText="1"/>
    </xf>
    <xf numFmtId="0" fontId="6" fillId="0" borderId="2" xfId="0" applyFont="1" applyBorder="1" applyAlignment="1">
      <alignment horizontal="right" wrapText="1"/>
    </xf>
    <xf numFmtId="0" fontId="7" fillId="0" borderId="2" xfId="0" applyFont="1" applyBorder="1" applyAlignment="1">
      <alignment wrapText="1"/>
    </xf>
    <xf numFmtId="14" fontId="7" fillId="0" borderId="2" xfId="0" applyNumberFormat="1" applyFont="1" applyBorder="1" applyAlignment="1">
      <alignment horizontal="right" wrapText="1"/>
    </xf>
    <xf numFmtId="0" fontId="7" fillId="0" borderId="2" xfId="0" applyFont="1" applyBorder="1" applyAlignment="1">
      <alignment horizontal="right" wrapText="1"/>
    </xf>
    <xf numFmtId="0" fontId="7" fillId="0" borderId="2" xfId="0" applyFont="1" applyBorder="1" applyAlignment="1">
      <alignment vertical="center"/>
    </xf>
    <xf numFmtId="14" fontId="5" fillId="0" borderId="0" xfId="0" applyNumberFormat="1" applyFont="1"/>
    <xf numFmtId="0" fontId="4" fillId="2" borderId="1" xfId="0" applyFont="1" applyFill="1" applyBorder="1" applyAlignment="1">
      <alignment horizontal="center" vertical="top"/>
    </xf>
    <xf numFmtId="14" fontId="4" fillId="2" borderId="1" xfId="0" applyNumberFormat="1" applyFont="1" applyFill="1" applyBorder="1" applyAlignment="1">
      <alignment horizontal="center" vertical="top"/>
    </xf>
    <xf numFmtId="1" fontId="5" fillId="0" borderId="0" xfId="0" applyNumberFormat="1" applyFont="1"/>
    <xf numFmtId="49" fontId="5" fillId="0" borderId="0" xfId="0" applyNumberFormat="1" applyFont="1"/>
    <xf numFmtId="49" fontId="0" fillId="0" borderId="0" xfId="0" applyNumberFormat="1"/>
    <xf numFmtId="49" fontId="4" fillId="2" borderId="1" xfId="0" applyNumberFormat="1" applyFont="1" applyFill="1" applyBorder="1" applyAlignment="1">
      <alignment horizontal="center" vertical="top"/>
    </xf>
    <xf numFmtId="49" fontId="9" fillId="2" borderId="1" xfId="0" applyNumberFormat="1" applyFont="1" applyFill="1" applyBorder="1" applyAlignment="1">
      <alignment horizontal="center" vertical="top"/>
    </xf>
    <xf numFmtId="2" fontId="8" fillId="2" borderId="0" xfId="1" applyNumberFormat="1" applyFont="1" applyFill="1"/>
    <xf numFmtId="2" fontId="0" fillId="0" borderId="0" xfId="1" applyNumberFormat="1" applyFont="1"/>
    <xf numFmtId="0" fontId="11" fillId="0" borderId="0" xfId="0" applyFont="1"/>
    <xf numFmtId="0" fontId="12" fillId="6" borderId="5" xfId="0" applyFont="1" applyFill="1" applyBorder="1"/>
    <xf numFmtId="0" fontId="5" fillId="0" borderId="9" xfId="0" applyFont="1" applyBorder="1"/>
    <xf numFmtId="2" fontId="0" fillId="0" borderId="10" xfId="1" applyNumberFormat="1" applyFont="1" applyBorder="1"/>
    <xf numFmtId="0" fontId="5" fillId="0" borderId="11" xfId="0" applyFont="1" applyBorder="1"/>
    <xf numFmtId="49" fontId="5" fillId="0" borderId="12" xfId="0" applyNumberFormat="1" applyFont="1" applyBorder="1"/>
    <xf numFmtId="14" fontId="5" fillId="0" borderId="12" xfId="0" applyNumberFormat="1" applyFont="1" applyBorder="1"/>
    <xf numFmtId="1" fontId="5" fillId="0" borderId="12" xfId="0" applyNumberFormat="1" applyFont="1" applyBorder="1"/>
    <xf numFmtId="2" fontId="0" fillId="0" borderId="13" xfId="1" applyNumberFormat="1" applyFont="1" applyBorder="1"/>
    <xf numFmtId="0" fontId="4" fillId="3" borderId="6" xfId="0" applyFont="1" applyFill="1" applyBorder="1" applyAlignment="1">
      <alignment horizontal="center" vertical="top"/>
    </xf>
    <xf numFmtId="49" fontId="4" fillId="3" borderId="7" xfId="0" applyNumberFormat="1" applyFont="1" applyFill="1" applyBorder="1" applyAlignment="1">
      <alignment horizontal="center" vertical="top"/>
    </xf>
    <xf numFmtId="14" fontId="4" fillId="3" borderId="7" xfId="0" applyNumberFormat="1" applyFont="1" applyFill="1" applyBorder="1" applyAlignment="1">
      <alignment horizontal="center" vertical="top"/>
    </xf>
    <xf numFmtId="0" fontId="4" fillId="3" borderId="7" xfId="0" applyFont="1" applyFill="1" applyBorder="1" applyAlignment="1">
      <alignment horizontal="center" vertical="top"/>
    </xf>
    <xf numFmtId="49" fontId="9" fillId="3" borderId="7" xfId="0" applyNumberFormat="1" applyFont="1" applyFill="1" applyBorder="1" applyAlignment="1">
      <alignment horizontal="center" vertical="top"/>
    </xf>
    <xf numFmtId="2" fontId="8" fillId="3" borderId="8" xfId="1" applyNumberFormat="1" applyFont="1" applyFill="1" applyBorder="1"/>
    <xf numFmtId="0" fontId="0" fillId="5" borderId="15" xfId="0" applyFill="1" applyBorder="1"/>
    <xf numFmtId="0" fontId="0" fillId="3" borderId="9" xfId="0" applyFill="1" applyBorder="1"/>
    <xf numFmtId="0" fontId="0" fillId="3" borderId="0" xfId="0" applyFill="1"/>
    <xf numFmtId="1" fontId="0" fillId="0" borderId="0" xfId="0" applyNumberFormat="1"/>
    <xf numFmtId="1" fontId="0" fillId="0" borderId="10" xfId="0" applyNumberFormat="1" applyBorder="1"/>
    <xf numFmtId="1" fontId="0" fillId="0" borderId="12" xfId="0" applyNumberFormat="1" applyBorder="1"/>
    <xf numFmtId="1" fontId="0" fillId="0" borderId="13" xfId="0" applyNumberFormat="1" applyBorder="1"/>
    <xf numFmtId="0" fontId="0" fillId="0" borderId="17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3" borderId="19" xfId="0" applyFill="1" applyBorder="1"/>
    <xf numFmtId="1" fontId="0" fillId="0" borderId="19" xfId="0" applyNumberFormat="1" applyBorder="1"/>
    <xf numFmtId="1" fontId="0" fillId="0" borderId="18" xfId="0" applyNumberFormat="1" applyBorder="1"/>
    <xf numFmtId="0" fontId="0" fillId="3" borderId="20" xfId="0" applyFill="1" applyBorder="1"/>
    <xf numFmtId="1" fontId="0" fillId="0" borderId="20" xfId="0" applyNumberFormat="1" applyBorder="1"/>
    <xf numFmtId="1" fontId="0" fillId="0" borderId="22" xfId="0" applyNumberFormat="1" applyBorder="1"/>
    <xf numFmtId="0" fontId="0" fillId="3" borderId="24" xfId="0" applyFill="1" applyBorder="1"/>
    <xf numFmtId="1" fontId="0" fillId="0" borderId="24" xfId="0" applyNumberFormat="1" applyBorder="1"/>
    <xf numFmtId="1" fontId="0" fillId="0" borderId="25" xfId="0" applyNumberFormat="1" applyBorder="1"/>
    <xf numFmtId="0" fontId="0" fillId="3" borderId="15" xfId="0" applyFill="1" applyBorder="1"/>
    <xf numFmtId="0" fontId="0" fillId="3" borderId="21" xfId="0" applyFill="1" applyBorder="1"/>
    <xf numFmtId="0" fontId="0" fillId="3" borderId="0" xfId="0" applyFill="1" applyAlignment="1">
      <alignment horizontal="center"/>
    </xf>
    <xf numFmtId="0" fontId="0" fillId="3" borderId="23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21" xfId="0" applyFill="1" applyBorder="1" applyAlignment="1">
      <alignment horizontal="left"/>
    </xf>
    <xf numFmtId="0" fontId="0" fillId="3" borderId="23" xfId="0" applyFill="1" applyBorder="1"/>
    <xf numFmtId="0" fontId="0" fillId="3" borderId="26" xfId="0" applyFill="1" applyBorder="1"/>
    <xf numFmtId="0" fontId="0" fillId="3" borderId="8" xfId="0" applyFill="1" applyBorder="1"/>
    <xf numFmtId="0" fontId="0" fillId="3" borderId="24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20" xfId="0" applyFill="1" applyBorder="1" applyAlignment="1">
      <alignment horizontal="left"/>
    </xf>
    <xf numFmtId="0" fontId="0" fillId="3" borderId="10" xfId="0" applyFill="1" applyBorder="1"/>
    <xf numFmtId="0" fontId="0" fillId="4" borderId="0" xfId="0" applyFill="1"/>
    <xf numFmtId="0" fontId="0" fillId="4" borderId="20" xfId="0" applyFill="1" applyBorder="1"/>
    <xf numFmtId="0" fontId="0" fillId="4" borderId="24" xfId="0" applyFill="1" applyBorder="1"/>
    <xf numFmtId="0" fontId="0" fillId="4" borderId="17" xfId="0" applyFill="1" applyBorder="1"/>
    <xf numFmtId="0" fontId="0" fillId="3" borderId="14" xfId="0" applyFill="1" applyBorder="1"/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1" fontId="0" fillId="0" borderId="3" xfId="0" applyNumberFormat="1" applyBorder="1"/>
    <xf numFmtId="0" fontId="13" fillId="0" borderId="0" xfId="0" applyFont="1"/>
    <xf numFmtId="0" fontId="10" fillId="3" borderId="29" xfId="0" applyFont="1" applyFill="1" applyBorder="1"/>
    <xf numFmtId="0" fontId="0" fillId="3" borderId="3" xfId="0" applyFill="1" applyBorder="1"/>
    <xf numFmtId="0" fontId="0" fillId="0" borderId="31" xfId="0" applyBorder="1"/>
    <xf numFmtId="0" fontId="15" fillId="7" borderId="32" xfId="0" applyFont="1" applyFill="1" applyBorder="1"/>
    <xf numFmtId="0" fontId="15" fillId="7" borderId="33" xfId="0" applyFont="1" applyFill="1" applyBorder="1"/>
    <xf numFmtId="0" fontId="0" fillId="0" borderId="32" xfId="0" applyBorder="1"/>
    <xf numFmtId="0" fontId="0" fillId="0" borderId="33" xfId="0" applyBorder="1"/>
    <xf numFmtId="14" fontId="0" fillId="0" borderId="33" xfId="0" applyNumberFormat="1" applyBorder="1"/>
    <xf numFmtId="0" fontId="0" fillId="0" borderId="30" xfId="0" applyBorder="1"/>
    <xf numFmtId="14" fontId="0" fillId="0" borderId="31" xfId="0" applyNumberFormat="1" applyBorder="1"/>
    <xf numFmtId="49" fontId="0" fillId="0" borderId="33" xfId="0" applyNumberFormat="1" applyBorder="1"/>
    <xf numFmtId="1" fontId="15" fillId="7" borderId="33" xfId="0" applyNumberFormat="1" applyFont="1" applyFill="1" applyBorder="1"/>
    <xf numFmtId="1" fontId="0" fillId="0" borderId="33" xfId="0" applyNumberFormat="1" applyBorder="1"/>
    <xf numFmtId="1" fontId="0" fillId="0" borderId="31" xfId="0" applyNumberFormat="1" applyBorder="1"/>
    <xf numFmtId="49" fontId="15" fillId="7" borderId="33" xfId="0" applyNumberFormat="1" applyFont="1" applyFill="1" applyBorder="1"/>
    <xf numFmtId="49" fontId="0" fillId="0" borderId="31" xfId="0" applyNumberFormat="1" applyBorder="1"/>
    <xf numFmtId="0" fontId="16" fillId="7" borderId="32" xfId="0" applyFont="1" applyFill="1" applyBorder="1"/>
    <xf numFmtId="0" fontId="16" fillId="7" borderId="33" xfId="0" applyFont="1" applyFill="1" applyBorder="1"/>
    <xf numFmtId="0" fontId="16" fillId="7" borderId="35" xfId="0" applyFont="1" applyFill="1" applyBorder="1"/>
    <xf numFmtId="0" fontId="3" fillId="0" borderId="32" xfId="0" applyFont="1" applyBorder="1"/>
    <xf numFmtId="0" fontId="3" fillId="0" borderId="33" xfId="0" applyFont="1" applyBorder="1"/>
    <xf numFmtId="14" fontId="3" fillId="0" borderId="33" xfId="0" applyNumberFormat="1" applyFont="1" applyBorder="1"/>
    <xf numFmtId="0" fontId="3" fillId="0" borderId="35" xfId="0" applyFont="1" applyBorder="1"/>
    <xf numFmtId="0" fontId="3" fillId="0" borderId="30" xfId="0" applyFont="1" applyBorder="1"/>
    <xf numFmtId="0" fontId="3" fillId="0" borderId="31" xfId="0" applyFont="1" applyBorder="1"/>
    <xf numFmtId="14" fontId="3" fillId="0" borderId="31" xfId="0" applyNumberFormat="1" applyFont="1" applyBorder="1"/>
    <xf numFmtId="0" fontId="3" fillId="0" borderId="34" xfId="0" applyFont="1" applyBorder="1"/>
    <xf numFmtId="0" fontId="15" fillId="0" borderId="0" xfId="0" applyFont="1"/>
    <xf numFmtId="0" fontId="3" fillId="4" borderId="0" xfId="0" applyFont="1" applyFill="1"/>
    <xf numFmtId="0" fontId="17" fillId="8" borderId="0" xfId="0" applyFont="1" applyFill="1"/>
    <xf numFmtId="0" fontId="0" fillId="0" borderId="3" xfId="0" pivotButton="1" applyBorder="1"/>
    <xf numFmtId="0" fontId="0" fillId="0" borderId="3" xfId="0" applyBorder="1"/>
    <xf numFmtId="2" fontId="0" fillId="0" borderId="3" xfId="0" applyNumberFormat="1" applyBorder="1"/>
    <xf numFmtId="0" fontId="16" fillId="7" borderId="3" xfId="0" applyFont="1" applyFill="1" applyBorder="1"/>
    <xf numFmtId="0" fontId="3" fillId="4" borderId="3" xfId="0" applyFont="1" applyFill="1" applyBorder="1"/>
    <xf numFmtId="0" fontId="3" fillId="0" borderId="3" xfId="0" applyFont="1" applyBorder="1"/>
    <xf numFmtId="14" fontId="3" fillId="0" borderId="3" xfId="0" applyNumberFormat="1" applyFont="1" applyBorder="1"/>
    <xf numFmtId="2" fontId="0" fillId="0" borderId="3" xfId="1" applyNumberFormat="1" applyFont="1" applyBorder="1"/>
    <xf numFmtId="0" fontId="0" fillId="9" borderId="3" xfId="0" applyFill="1" applyBorder="1"/>
    <xf numFmtId="1" fontId="16" fillId="7" borderId="0" xfId="0" applyNumberFormat="1" applyFont="1" applyFill="1"/>
    <xf numFmtId="2" fontId="0" fillId="0" borderId="0" xfId="0" applyNumberFormat="1"/>
    <xf numFmtId="14" fontId="0" fillId="0" borderId="0" xfId="0" applyNumberFormat="1"/>
    <xf numFmtId="2" fontId="5" fillId="0" borderId="0" xfId="0" applyNumberFormat="1" applyFont="1"/>
    <xf numFmtId="14" fontId="5" fillId="4" borderId="0" xfId="0" applyNumberFormat="1" applyFont="1" applyFill="1"/>
    <xf numFmtId="49" fontId="5" fillId="4" borderId="0" xfId="0" applyNumberFormat="1" applyFont="1" applyFill="1"/>
    <xf numFmtId="1" fontId="5" fillId="4" borderId="0" xfId="0" applyNumberFormat="1" applyFont="1" applyFill="1"/>
    <xf numFmtId="2" fontId="5" fillId="4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1" fontId="2" fillId="4" borderId="0" xfId="0" applyNumberFormat="1" applyFont="1" applyFill="1"/>
    <xf numFmtId="0" fontId="8" fillId="2" borderId="0" xfId="0" applyFont="1" applyFill="1"/>
    <xf numFmtId="0" fontId="0" fillId="2" borderId="0" xfId="0" applyFill="1"/>
    <xf numFmtId="2" fontId="0" fillId="2" borderId="0" xfId="0" applyNumberFormat="1" applyFill="1"/>
    <xf numFmtId="1" fontId="15" fillId="7" borderId="0" xfId="0" applyNumberFormat="1" applyFont="1" applyFill="1"/>
    <xf numFmtId="9" fontId="0" fillId="0" borderId="0" xfId="1" applyFont="1"/>
    <xf numFmtId="9" fontId="0" fillId="0" borderId="0" xfId="0" applyNumberFormat="1"/>
    <xf numFmtId="164" fontId="0" fillId="0" borderId="0" xfId="0" applyNumberFormat="1"/>
    <xf numFmtId="0" fontId="16" fillId="0" borderId="32" xfId="0" applyFont="1" applyBorder="1"/>
    <xf numFmtId="0" fontId="16" fillId="0" borderId="33" xfId="0" applyFont="1" applyBorder="1"/>
    <xf numFmtId="0" fontId="16" fillId="0" borderId="35" xfId="0" applyFont="1" applyBorder="1"/>
    <xf numFmtId="0" fontId="6" fillId="4" borderId="2" xfId="0" applyFont="1" applyFill="1" applyBorder="1" applyAlignment="1">
      <alignment wrapText="1"/>
    </xf>
    <xf numFmtId="14" fontId="6" fillId="4" borderId="2" xfId="0" applyNumberFormat="1" applyFont="1" applyFill="1" applyBorder="1" applyAlignment="1">
      <alignment wrapText="1"/>
    </xf>
    <xf numFmtId="0" fontId="6" fillId="4" borderId="2" xfId="0" applyFont="1" applyFill="1" applyBorder="1" applyAlignment="1">
      <alignment horizontal="right" wrapText="1"/>
    </xf>
    <xf numFmtId="0" fontId="16" fillId="7" borderId="0" xfId="0" applyFont="1" applyFill="1"/>
    <xf numFmtId="0" fontId="8" fillId="3" borderId="3" xfId="0" applyFont="1" applyFill="1" applyBorder="1"/>
    <xf numFmtId="0" fontId="1" fillId="11" borderId="37" xfId="0" applyFont="1" applyFill="1" applyBorder="1"/>
    <xf numFmtId="2" fontId="0" fillId="11" borderId="0" xfId="0" applyNumberFormat="1" applyFill="1"/>
    <xf numFmtId="0" fontId="13" fillId="6" borderId="3" xfId="0" applyFont="1" applyFill="1" applyBorder="1" applyAlignment="1">
      <alignment horizontal="center"/>
    </xf>
    <xf numFmtId="0" fontId="13" fillId="6" borderId="25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14" fillId="6" borderId="3" xfId="0" applyFont="1" applyFill="1" applyBorder="1"/>
    <xf numFmtId="0" fontId="17" fillId="8" borderId="0" xfId="0" applyFont="1" applyFill="1"/>
    <xf numFmtId="0" fontId="17" fillId="3" borderId="0" xfId="0" applyFont="1" applyFill="1"/>
    <xf numFmtId="0" fontId="18" fillId="3" borderId="0" xfId="0" applyFont="1" applyFill="1"/>
    <xf numFmtId="0" fontId="17" fillId="5" borderId="0" xfId="0" applyFont="1" applyFill="1"/>
    <xf numFmtId="0" fontId="19" fillId="12" borderId="0" xfId="0" applyFont="1" applyFill="1"/>
    <xf numFmtId="0" fontId="17" fillId="12" borderId="0" xfId="0" applyFont="1" applyFill="1"/>
    <xf numFmtId="0" fontId="0" fillId="10" borderId="0" xfId="0" applyFill="1"/>
    <xf numFmtId="0" fontId="0" fillId="10" borderId="36" xfId="0" applyFill="1" applyBorder="1"/>
  </cellXfs>
  <cellStyles count="2">
    <cellStyle name="Normal" xfId="0" builtinId="0"/>
    <cellStyle name="Percent" xfId="1" builtinId="5"/>
  </cellStyles>
  <dxfs count="108">
    <dxf>
      <fill>
        <patternFill>
          <bgColor theme="6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%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alignment vertical="bottom"/>
    </dxf>
    <dxf>
      <alignment horizontal="center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customschemas.google.com/relationships/workbookmetadata" Target="metadata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[Myntra_Social_Media_Analytics.xlsx]TASK 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2608804127621"/>
          <c:y val="0.33707413202014241"/>
          <c:w val="0.69142640439906988"/>
          <c:h val="0.444694229996494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3'!$L$13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3'!$K$14:$K$18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3'!$L$14:$L$18</c:f>
              <c:numCache>
                <c:formatCode>0.00</c:formatCode>
                <c:ptCount val="4"/>
                <c:pt idx="0">
                  <c:v>513.93737785777751</c:v>
                </c:pt>
                <c:pt idx="1">
                  <c:v>1118.4604820083548</c:v>
                </c:pt>
                <c:pt idx="2">
                  <c:v>714.92043769941665</c:v>
                </c:pt>
                <c:pt idx="3">
                  <c:v>616.84686799421195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5-4A17-9A7D-37F248B1DD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285552"/>
        <c:axId val="729461344"/>
      </c:barChart>
      <c:catAx>
        <c:axId val="1128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461344"/>
        <c:crosses val="autoZero"/>
        <c:auto val="1"/>
        <c:lblAlgn val="ctr"/>
        <c:lblOffset val="100"/>
        <c:noMultiLvlLbl val="0"/>
      </c:catAx>
      <c:valAx>
        <c:axId val="7294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u="sng"/>
              <a:t>Engagement_Rate</a:t>
            </a:r>
            <a:r>
              <a:rPr lang="en-IN" u="sng" baseline="0"/>
              <a:t> Vs Ad_spend</a:t>
            </a:r>
            <a:endParaRPr lang="en-IN" u="sng"/>
          </a:p>
        </c:rich>
      </c:tx>
      <c:layout>
        <c:manualLayout>
          <c:xMode val="edge"/>
          <c:yMode val="edge"/>
          <c:x val="0.16652077865266843"/>
          <c:y val="2.1344717182497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6664260717410327E-2"/>
          <c:y val="0.25967592592592598"/>
          <c:w val="0.8098659230096237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3'!$L$25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3'!$K$26:$K$30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Grand Total</c:v>
                </c:pt>
              </c:strCache>
            </c:strRef>
          </c:cat>
          <c:val>
            <c:numRef>
              <c:f>'TASK 3'!$L$26:$L$30</c:f>
              <c:numCache>
                <c:formatCode>0.00</c:formatCode>
                <c:ptCount val="5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  <c:pt idx="4">
                  <c:v>5.6446999999999994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4-4A47-B2DE-FDB767F050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29461824"/>
        <c:axId val="729464224"/>
      </c:barChart>
      <c:lineChart>
        <c:grouping val="standard"/>
        <c:varyColors val="0"/>
        <c:ser>
          <c:idx val="1"/>
          <c:order val="1"/>
          <c:tx>
            <c:strRef>
              <c:f>'TASK 3'!$M$25</c:f>
              <c:strCache>
                <c:ptCount val="1"/>
                <c:pt idx="0">
                  <c:v>Average of Ad_Spend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3'!$K$26:$K$30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Grand Total</c:v>
                </c:pt>
              </c:strCache>
            </c:strRef>
          </c:cat>
          <c:val>
            <c:numRef>
              <c:f>'TASK 3'!$M$26:$M$30</c:f>
              <c:numCache>
                <c:formatCode>0.00</c:formatCode>
                <c:ptCount val="5"/>
                <c:pt idx="0">
                  <c:v>27590.78</c:v>
                </c:pt>
                <c:pt idx="1">
                  <c:v>23287.46</c:v>
                </c:pt>
                <c:pt idx="2">
                  <c:v>21207.14</c:v>
                </c:pt>
                <c:pt idx="3">
                  <c:v>24572.94</c:v>
                </c:pt>
                <c:pt idx="4">
                  <c:v>24164.58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54-4A47-B2DE-FDB767F050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30733968"/>
        <c:axId val="730736848"/>
      </c:lineChart>
      <c:catAx>
        <c:axId val="72946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464224"/>
        <c:crosses val="autoZero"/>
        <c:auto val="1"/>
        <c:lblAlgn val="ctr"/>
        <c:lblOffset val="100"/>
        <c:noMultiLvlLbl val="0"/>
      </c:catAx>
      <c:valAx>
        <c:axId val="7294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461824"/>
        <c:crosses val="autoZero"/>
        <c:crossBetween val="between"/>
      </c:valAx>
      <c:valAx>
        <c:axId val="730736848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33968"/>
        <c:crosses val="max"/>
        <c:crossBetween val="between"/>
      </c:valAx>
      <c:catAx>
        <c:axId val="730733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0736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 b="1" i="0" u="sng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Engagement uplift during vs. before campaigns</a:t>
            </a:r>
            <a:endParaRPr lang="en-IN" sz="1400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242835848464932"/>
          <c:y val="0.16348726336744143"/>
          <c:w val="0.82837729658792647"/>
          <c:h val="0.716488772236803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5'!$R$14</c:f>
              <c:strCache>
                <c:ptCount val="1"/>
                <c:pt idx="0">
                  <c:v>During_Compaign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5'!$Q$15:$Q$18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'TASK 5'!$R$15:$R$18</c:f>
              <c:numCache>
                <c:formatCode>0.00</c:formatCode>
                <c:ptCount val="4"/>
                <c:pt idx="0">
                  <c:v>0.12027717500246841</c:v>
                </c:pt>
                <c:pt idx="1">
                  <c:v>0.12855150630297563</c:v>
                </c:pt>
                <c:pt idx="2" formatCode="General">
                  <c:v>0.14000000000000001</c:v>
                </c:pt>
                <c:pt idx="3" formatCode="General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0-45C5-AF19-26455350E1BA}"/>
            </c:ext>
          </c:extLst>
        </c:ser>
        <c:ser>
          <c:idx val="1"/>
          <c:order val="1"/>
          <c:tx>
            <c:strRef>
              <c:f>'TASK 5'!$S$14</c:f>
              <c:strCache>
                <c:ptCount val="1"/>
                <c:pt idx="0">
                  <c:v>Before_Compaign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5'!$Q$15:$Q$18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'TASK 5'!$S$15:$S$18</c:f>
              <c:numCache>
                <c:formatCode>0.00</c:formatCode>
                <c:ptCount val="4"/>
                <c:pt idx="0">
                  <c:v>0.36243387046213948</c:v>
                </c:pt>
                <c:pt idx="1">
                  <c:v>0.11784200972263299</c:v>
                </c:pt>
                <c:pt idx="2" formatCode="General">
                  <c:v>0.12</c:v>
                </c:pt>
                <c:pt idx="3" formatCode="General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0-45C5-AF19-26455350E1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40827280"/>
        <c:axId val="740827760"/>
      </c:barChart>
      <c:catAx>
        <c:axId val="740827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Campaign_NAMEs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27760"/>
        <c:crosses val="autoZero"/>
        <c:auto val="1"/>
        <c:lblAlgn val="ctr"/>
        <c:lblOffset val="100"/>
        <c:noMultiLvlLbl val="0"/>
      </c:catAx>
      <c:valAx>
        <c:axId val="74082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Engagement_RATE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2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754380</xdr:colOff>
      <xdr:row>7</xdr:row>
      <xdr:rowOff>38100</xdr:rowOff>
    </xdr:from>
    <xdr:to>
      <xdr:col>18</xdr:col>
      <xdr:colOff>381000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7F55E-0889-F900-CBB0-92B18E981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579120</xdr:colOff>
      <xdr:row>30</xdr:row>
      <xdr:rowOff>34290</xdr:rowOff>
    </xdr:from>
    <xdr:to>
      <xdr:col>13</xdr:col>
      <xdr:colOff>541020</xdr:colOff>
      <xdr:row>49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1CF55D-F29F-8D3C-E730-5B3F1CFA6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53340</xdr:colOff>
      <xdr:row>15</xdr:row>
      <xdr:rowOff>15240</xdr:rowOff>
    </xdr:from>
    <xdr:to>
      <xdr:col>12</xdr:col>
      <xdr:colOff>716280</xdr:colOff>
      <xdr:row>15</xdr:row>
      <xdr:rowOff>160020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5BB20863-6651-B717-8D64-49D95274CB6C}"/>
            </a:ext>
          </a:extLst>
        </xdr:cNvPr>
        <xdr:cNvSpPr/>
      </xdr:nvSpPr>
      <xdr:spPr>
        <a:xfrm>
          <a:off x="11170920" y="2788920"/>
          <a:ext cx="662940" cy="1447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571500</xdr:colOff>
      <xdr:row>18</xdr:row>
      <xdr:rowOff>60960</xdr:rowOff>
    </xdr:from>
    <xdr:to>
      <xdr:col>20</xdr:col>
      <xdr:colOff>434340</xdr:colOff>
      <xdr:row>35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28CB9-B2D2-F079-250A-C5D2A9899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5992.52460960648" createdVersion="8" refreshedVersion="8" minRefreshableVersion="3" recordCount="300" xr:uid="{603E6136-C167-452A-8636-026BEF7D1B9E}">
  <cacheSource type="worksheet">
    <worksheetSource ref="A1:O300" sheet="optinal"/>
  </cacheSource>
  <cacheFields count="15">
    <cacheField name="Post ID" numFmtId="0">
      <sharedItems/>
    </cacheField>
    <cacheField name="Platform" numFmtId="49">
      <sharedItems count="4">
        <s v="Twitter"/>
        <s v="Youtube"/>
        <s v="Instagram"/>
        <s v="Facebook"/>
      </sharedItems>
    </cacheField>
    <cacheField name="Date" numFmtId="14">
      <sharedItems/>
    </cacheField>
    <cacheField name="Content Type" numFmtId="49">
      <sharedItems count="6">
        <s v="Reel"/>
        <s v="Text"/>
        <s v="Story"/>
        <s v="Carousel"/>
        <s v="Image"/>
        <s v="Video"/>
      </sharedItems>
    </cacheField>
    <cacheField name="Post Text" numFmtId="49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 count="191">
        <n v="15"/>
        <n v="117"/>
        <n v="204"/>
        <n v="128"/>
        <n v="224"/>
        <n v="256"/>
        <n v="235"/>
        <n v="39"/>
        <n v="131"/>
        <n v="167"/>
        <n v="65"/>
        <n v="213"/>
        <n v="114"/>
        <n v="265"/>
        <n v="20"/>
        <n v="87"/>
        <n v="159"/>
        <n v="19"/>
        <n v="103"/>
        <n v="25"/>
        <n v="83"/>
        <n v="133"/>
        <n v="225"/>
        <n v="161"/>
        <n v="238"/>
        <n v="211"/>
        <n v="51"/>
        <n v="79"/>
        <n v="221"/>
        <n v="93"/>
        <n v="282"/>
        <n v="275"/>
        <n v="113"/>
        <n v="215"/>
        <n v="271"/>
        <n v="31"/>
        <n v="36"/>
        <n v="92"/>
        <n v="299"/>
        <n v="205"/>
        <n v="241"/>
        <n v="137"/>
        <n v="216"/>
        <n v="176"/>
        <n v="97"/>
        <n v="127"/>
        <n v="119"/>
        <n v="177"/>
        <n v="112"/>
        <n v="34"/>
        <n v="11"/>
        <n v="52"/>
        <n v="123"/>
        <n v="60"/>
        <n v="169"/>
        <n v="262"/>
        <n v="174"/>
        <n v="84"/>
        <n v="148"/>
        <n v="125"/>
        <n v="75"/>
        <n v="289"/>
        <n v="184"/>
        <n v="100"/>
        <n v="73"/>
        <n v="149"/>
        <n v="43"/>
        <n v="227"/>
        <n v="88"/>
        <n v="255"/>
        <n v="99"/>
        <n v="63"/>
        <n v="21"/>
        <n v="266"/>
        <n v="28"/>
        <n v="283"/>
        <n v="200"/>
        <n v="230"/>
        <n v="242"/>
        <n v="197"/>
        <n v="180"/>
        <n v="297"/>
        <n v="236"/>
        <n v="150"/>
        <n v="46"/>
        <n v="163"/>
        <n v="17"/>
        <n v="173"/>
        <n v="12"/>
        <n v="223"/>
        <n v="212"/>
        <n v="199"/>
        <n v="32"/>
        <n v="298"/>
        <n v="182"/>
        <n v="209"/>
        <n v="270"/>
        <n v="40"/>
        <n v="10"/>
        <n v="44"/>
        <n v="219"/>
        <n v="57"/>
        <n v="91"/>
        <n v="185"/>
        <n v="264"/>
        <n v="157"/>
        <n v="233"/>
        <n v="142"/>
        <n v="158"/>
        <n v="102"/>
        <n v="170"/>
        <n v="22"/>
        <n v="186"/>
        <n v="272"/>
        <n v="130"/>
        <n v="277"/>
        <n v="234"/>
        <n v="147"/>
        <n v="240"/>
        <n v="66"/>
        <n v="143"/>
        <n v="76"/>
        <n v="290"/>
        <n v="122"/>
        <n v="47"/>
        <n v="64"/>
        <n v="187"/>
        <n v="245"/>
        <n v="120"/>
        <n v="132"/>
        <n v="104"/>
        <n v="53"/>
        <n v="38"/>
        <n v="246"/>
        <n v="229"/>
        <n v="154"/>
        <n v="292"/>
        <n v="239"/>
        <n v="208"/>
        <n v="251"/>
        <n v="71"/>
        <n v="300"/>
        <n v="192"/>
        <n v="145"/>
        <n v="195"/>
        <n v="85"/>
        <n v="49"/>
        <n v="288"/>
        <n v="286"/>
        <n v="198"/>
        <n v="171"/>
        <n v="129"/>
        <n v="135"/>
        <n v="287"/>
        <n v="248"/>
        <n v="89"/>
        <n v="56"/>
        <n v="23"/>
        <n v="252"/>
        <n v="164"/>
        <n v="118"/>
        <n v="121"/>
        <n v="217"/>
        <n v="201"/>
        <n v="249"/>
        <n v="42"/>
        <n v="194"/>
        <n v="210"/>
        <n v="160"/>
        <n v="254"/>
        <n v="189"/>
        <n v="226"/>
        <n v="172"/>
        <n v="237"/>
        <n v="293"/>
        <n v="41"/>
        <n v="62"/>
        <n v="269"/>
        <n v="45"/>
        <n v="296"/>
        <n v="58"/>
        <n v="279"/>
        <n v="30"/>
        <n v="231"/>
        <n v="228"/>
        <n v="82"/>
        <n v="191"/>
        <n v="35"/>
        <n v="24"/>
        <n v="14"/>
        <n v="70"/>
      </sharedItems>
    </cacheField>
    <cacheField name="Hashtag1" numFmtId="49">
      <sharedItems count="5">
        <s v="#MyntraSale"/>
        <s v="#MyntraFashion"/>
        <s v="#StyleWithMyntra"/>
        <s v="#MyntraTrend"/>
        <s v="#FashionDeals"/>
      </sharedItems>
    </cacheField>
    <cacheField name="Hashtag2" numFmtId="49">
      <sharedItems containsBlank="1" count="6">
        <m/>
        <s v="#MyntraSale"/>
        <s v="#MyntraFashion"/>
        <s v="#FashionDeals"/>
        <s v="#StyleWithMyntra"/>
        <s v="#MyntraTrend"/>
      </sharedItems>
    </cacheField>
    <cacheField name="Campaign_Name" numFmtId="49">
      <sharedItems/>
    </cacheField>
    <cacheField name="Engagement_Rate" numFmtId="2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5993.483522337963" createdVersion="8" refreshedVersion="8" minRefreshableVersion="3" recordCount="300" xr:uid="{151DC059-05A2-4A47-9F98-EF75819F3CE8}">
  <cacheSource type="worksheet">
    <worksheetSource ref="A1:N301" sheet="TASK 2.1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/>
    </cacheField>
    <cacheField name="Engagement_Rate" numFmtId="2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5993.502304745372" createdVersion="8" refreshedVersion="8" minRefreshableVersion="3" recordCount="456" xr:uid="{3A625473-9372-43CC-8B00-0CE8A1517AAB}">
  <cacheSource type="worksheet">
    <worksheetSource ref="A1:N457" sheet="TASK 2.2"/>
  </cacheSource>
  <cacheFields count="14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49">
      <sharedItems count="5">
        <s v="#MyntraSale"/>
        <s v="#MyntraFashion"/>
        <s v="#StyleWithMyntra"/>
        <s v="#MyntraTrend"/>
        <s v="#FashionDeals"/>
      </sharedItems>
    </cacheField>
    <cacheField name="Campaign_Name" numFmtId="49">
      <sharedItems/>
    </cacheField>
    <cacheField name="Engagement_Rate" numFmtId="2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5994.181868981483" createdVersion="8" refreshedVersion="8" minRefreshableVersion="3" recordCount="200" xr:uid="{67DA0C89-223F-44BA-8784-506481D93DE4}">
  <cacheSource type="worksheet">
    <worksheetSource ref="A1:G201" sheet="TASK 3"/>
  </cacheSource>
  <cacheFields count="7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49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2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5994.207114814817" createdVersion="8" refreshedVersion="8" minRefreshableVersion="3" recordCount="200" xr:uid="{33F440A6-77B3-4871-867B-355648C3F9EF}">
  <cacheSource type="worksheet">
    <worksheetSource ref="A1:H201" sheet="TASK 3"/>
  </cacheSource>
  <cacheFields count="8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49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2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Growth_Rate" numFmtId="2">
      <sharedItems containsSemiMixedTypes="0" containsString="0" containsNumber="1" minValue="26.096491228070175" maxValue="7959.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5994.4979662037" createdVersion="8" refreshedVersion="8" minRefreshableVersion="3" recordCount="456" xr:uid="{44B8C37B-3939-493D-B51A-2421DA8872D1}">
  <cacheSource type="worksheet">
    <worksheetSource ref="A1:M457" sheet="TASK4.1"/>
  </cacheSource>
  <cacheFields count="13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49">
      <sharedItems count="5">
        <s v="#MyntraSale"/>
        <s v="#MyntraFashion"/>
        <s v="#StyleWithMyntra"/>
        <s v="#MyntraTrend"/>
        <s v="#FashionDeals"/>
      </sharedItems>
    </cacheField>
    <cacheField name="Campaign_Nam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5994.541568981484" createdVersion="8" refreshedVersion="8" minRefreshableVersion="3" recordCount="456" xr:uid="{2DF0CA72-66AB-43AA-B031-9E126DB45ADF}">
  <cacheSource type="worksheet">
    <worksheetSource ref="A1:N457" sheet="TASK4.1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49">
      <sharedItems count="5">
        <s v="#MyntraSale"/>
        <s v="#MyntraFashion"/>
        <s v="#StyleWithMyntra"/>
        <s v="#MyntraTrend"/>
        <s v="#FashionDeals"/>
      </sharedItems>
    </cacheField>
    <cacheField name="Campaign_Name" numFmtId="49">
      <sharedItems/>
    </cacheField>
    <cacheField name="Audience_Resonance" numFmtId="9">
      <sharedItems containsSemiMixedTypes="0" containsString="0" containsNumber="1" minValue="5.2873614537174492E-2" maxValue="133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5994.779275231478" createdVersion="8" refreshedVersion="8" minRefreshableVersion="3" recordCount="300" xr:uid="{A6F39474-C436-4B87-9A1E-BD682FD3CF08}">
  <cacheSource type="worksheet">
    <worksheetSource ref="A1:M301" sheet="TASK 5"/>
  </cacheSource>
  <cacheFields count="13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unt="4">
        <s v="FashionUpgrade"/>
        <s v="EndOfSeasonSale"/>
        <s v="MyntraFestiveEdit"/>
        <s v="StyleRevolu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x v="0"/>
    <s v="Explore the latest reel on Myntra! Trendy styles await."/>
    <n v="1461"/>
    <n v="184"/>
    <n v="344"/>
    <n v="21915"/>
    <n v="21675"/>
    <x v="0"/>
    <x v="0"/>
    <x v="0"/>
    <s v="FashionUpgrade"/>
    <n v="9.0759753593429152E-2"/>
  </r>
  <r>
    <s v="P002"/>
    <x v="0"/>
    <s v="2025-04-03"/>
    <x v="1"/>
    <s v="Explore the latest text on Myntra! Trendy styles await."/>
    <n v="4054"/>
    <n v="389"/>
    <n v="493"/>
    <n v="64864"/>
    <n v="64383"/>
    <x v="1"/>
    <x v="1"/>
    <x v="0"/>
    <s v="EndOfSeasonSale"/>
    <n v="7.6097681302417369E-2"/>
  </r>
  <r>
    <s v="P003"/>
    <x v="1"/>
    <s v="2025-05-12"/>
    <x v="0"/>
    <s v="Explore the latest reel on Myntra! Trendy styles await."/>
    <n v="2795"/>
    <n v="105"/>
    <n v="49"/>
    <n v="53105"/>
    <n v="52307"/>
    <x v="2"/>
    <x v="1"/>
    <x v="1"/>
    <s v="FashionUpgrade"/>
    <n v="5.5531494209584788E-2"/>
  </r>
  <r>
    <s v="P004"/>
    <x v="2"/>
    <s v="2024-08-12"/>
    <x v="2"/>
    <s v="Explore the latest story on Myntra! Trendy styles await."/>
    <n v="2404"/>
    <n v="363"/>
    <n v="138"/>
    <n v="19232"/>
    <n v="18636"/>
    <x v="3"/>
    <x v="0"/>
    <x v="0"/>
    <s v="FashionUpgrade"/>
    <n v="0.15105033277870217"/>
  </r>
  <r>
    <s v="P005"/>
    <x v="1"/>
    <s v="2024-06-26"/>
    <x v="0"/>
    <s v="Explore the latest reel on Myntra! Trendy styles await."/>
    <n v="3557"/>
    <n v="687"/>
    <n v="424"/>
    <n v="71140"/>
    <n v="70701"/>
    <x v="4"/>
    <x v="2"/>
    <x v="2"/>
    <s v="MyntraFestiveEdit"/>
    <n v="6.5617093055946027E-2"/>
  </r>
  <r>
    <s v="P006"/>
    <x v="3"/>
    <s v="2024-10-31"/>
    <x v="3"/>
    <s v="Explore the latest carousel on Myntra! Trendy styles await."/>
    <n v="2945"/>
    <n v="930"/>
    <n v="355"/>
    <n v="23560"/>
    <n v="23275"/>
    <x v="5"/>
    <x v="3"/>
    <x v="0"/>
    <s v="EndOfSeasonSale"/>
    <n v="0.17954159592529711"/>
  </r>
  <r>
    <s v="P007"/>
    <x v="0"/>
    <s v="2024-06-24"/>
    <x v="3"/>
    <s v="Explore the latest carousel on Myntra! Trendy styles await."/>
    <n v="3860"/>
    <n v="201"/>
    <n v="279"/>
    <n v="61760"/>
    <n v="61660"/>
    <x v="6"/>
    <x v="3"/>
    <x v="0"/>
    <s v="MyntraFestiveEdit"/>
    <n v="7.0272020725388601E-2"/>
  </r>
  <r>
    <s v="P008"/>
    <x v="1"/>
    <s v="2024-07-13"/>
    <x v="4"/>
    <s v="Explore the latest image on Myntra! Trendy styles await."/>
    <n v="3929"/>
    <n v="262"/>
    <n v="278"/>
    <n v="43219"/>
    <n v="42841"/>
    <x v="7"/>
    <x v="1"/>
    <x v="1"/>
    <s v="MyntraFestiveEdit"/>
    <n v="0.10340359564080613"/>
  </r>
  <r>
    <s v="P009"/>
    <x v="3"/>
    <s v="2024-08-30"/>
    <x v="1"/>
    <s v="Explore the latest text on Myntra! Trendy styles await."/>
    <n v="3784"/>
    <n v="808"/>
    <n v="404"/>
    <n v="56760"/>
    <n v="56343"/>
    <x v="8"/>
    <x v="1"/>
    <x v="1"/>
    <s v="MyntraFestiveEdit"/>
    <n v="8.8019732205778717E-2"/>
  </r>
  <r>
    <s v="P010"/>
    <x v="3"/>
    <s v="2025-03-11"/>
    <x v="4"/>
    <s v="Explore the latest image on Myntra! Trendy styles await."/>
    <n v="4241"/>
    <n v="902"/>
    <n v="47"/>
    <n v="72097"/>
    <n v="71598"/>
    <x v="9"/>
    <x v="3"/>
    <x v="0"/>
    <s v="StyleRevolution"/>
    <n v="7.198635172059864E-2"/>
  </r>
  <r>
    <s v="P011"/>
    <x v="2"/>
    <s v="2025-02-02"/>
    <x v="2"/>
    <s v="Explore the latest story on Myntra! Trendy styles await."/>
    <n v="1792"/>
    <n v="614"/>
    <n v="497"/>
    <n v="25088"/>
    <n v="24675"/>
    <x v="10"/>
    <x v="2"/>
    <x v="0"/>
    <s v="FashionUpgrade"/>
    <n v="0.11571269132653061"/>
  </r>
  <r>
    <s v="P012"/>
    <x v="3"/>
    <s v="2024-07-21"/>
    <x v="0"/>
    <s v="Explore the latest reel on Myntra! Trendy styles await."/>
    <n v="1946"/>
    <n v="686"/>
    <n v="377"/>
    <n v="23352"/>
    <n v="22982"/>
    <x v="11"/>
    <x v="2"/>
    <x v="1"/>
    <s v="MyntraFestiveEdit"/>
    <n v="0.12885405960945528"/>
  </r>
  <r>
    <s v="P013"/>
    <x v="1"/>
    <s v="2024-11-18"/>
    <x v="3"/>
    <s v="Explore the latest carousel on Myntra! Trendy styles await."/>
    <n v="1171"/>
    <n v="286"/>
    <n v="231"/>
    <n v="22249"/>
    <n v="21282"/>
    <x v="12"/>
    <x v="1"/>
    <x v="0"/>
    <s v="StyleRevolution"/>
    <n v="7.5868578363072495E-2"/>
  </r>
  <r>
    <s v="P014"/>
    <x v="3"/>
    <s v="2025-02-16"/>
    <x v="2"/>
    <s v="Explore the latest story on Myntra! Trendy styles await."/>
    <n v="4242"/>
    <n v="555"/>
    <n v="131"/>
    <n v="33936"/>
    <n v="33802"/>
    <x v="13"/>
    <x v="0"/>
    <x v="2"/>
    <s v="MyntraFestiveEdit"/>
    <n v="0.14521452145214522"/>
  </r>
  <r>
    <s v="P015"/>
    <x v="3"/>
    <s v="2024-10-24"/>
    <x v="5"/>
    <s v="Explore the latest video on Myntra! Trendy styles await."/>
    <n v="3888"/>
    <n v="604"/>
    <n v="128"/>
    <n v="77760"/>
    <n v="77167"/>
    <x v="14"/>
    <x v="1"/>
    <x v="3"/>
    <s v="FashionUpgrade"/>
    <n v="5.941358024691358E-2"/>
  </r>
  <r>
    <s v="P016"/>
    <x v="3"/>
    <s v="2024-08-26"/>
    <x v="1"/>
    <s v="Explore the latest text on Myntra! Trendy styles await."/>
    <n v="3452"/>
    <n v="377"/>
    <n v="360"/>
    <n v="55232"/>
    <n v="55075"/>
    <x v="15"/>
    <x v="0"/>
    <x v="3"/>
    <s v="MyntraFestiveEdit"/>
    <n v="7.5843713789107758E-2"/>
  </r>
  <r>
    <s v="P017"/>
    <x v="3"/>
    <s v="2025-05-05"/>
    <x v="1"/>
    <s v="Explore the latest text on Myntra! Trendy styles await."/>
    <n v="4441"/>
    <n v="511"/>
    <n v="70"/>
    <n v="53292"/>
    <n v="53082"/>
    <x v="16"/>
    <x v="4"/>
    <x v="0"/>
    <s v="MyntraFestiveEdit"/>
    <n v="9.4235532537716729E-2"/>
  </r>
  <r>
    <s v="P018"/>
    <x v="2"/>
    <s v="2024-08-19"/>
    <x v="0"/>
    <s v="Explore the latest reel on Myntra! Trendy styles await."/>
    <n v="3000"/>
    <n v="382"/>
    <n v="325"/>
    <n v="36000"/>
    <n v="35819"/>
    <x v="17"/>
    <x v="2"/>
    <x v="0"/>
    <s v="EndOfSeasonSale"/>
    <n v="0.10297222222222223"/>
  </r>
  <r>
    <s v="P019"/>
    <x v="2"/>
    <s v="2024-06-23"/>
    <x v="5"/>
    <s v="Explore the latest video on Myntra! Trendy styles await."/>
    <n v="1071"/>
    <n v="519"/>
    <n v="22"/>
    <n v="16065"/>
    <n v="15865"/>
    <x v="18"/>
    <x v="0"/>
    <x v="4"/>
    <s v="MyntraFestiveEdit"/>
    <n v="0.10034235916588857"/>
  </r>
  <r>
    <s v="P020"/>
    <x v="2"/>
    <s v="2024-09-09"/>
    <x v="3"/>
    <s v="Explore the latest carousel on Myntra! Trendy styles await."/>
    <n v="4054"/>
    <n v="488"/>
    <n v="373"/>
    <n v="77026"/>
    <n v="76881"/>
    <x v="19"/>
    <x v="1"/>
    <x v="1"/>
    <s v="MyntraFestiveEdit"/>
    <n v="6.3809622724794221E-2"/>
  </r>
  <r>
    <s v="P021"/>
    <x v="2"/>
    <s v="2025-01-04"/>
    <x v="0"/>
    <s v="Explore the latest reel on Myntra! Trendy styles await."/>
    <n v="4838"/>
    <n v="640"/>
    <n v="128"/>
    <n v="72570"/>
    <n v="72396"/>
    <x v="20"/>
    <x v="2"/>
    <x v="5"/>
    <s v="MyntraFestiveEdit"/>
    <n v="7.7249552156538517E-2"/>
  </r>
  <r>
    <s v="P022"/>
    <x v="3"/>
    <s v="2025-02-27"/>
    <x v="1"/>
    <s v="Explore the latest text on Myntra! Trendy styles await."/>
    <n v="1570"/>
    <n v="187"/>
    <n v="260"/>
    <n v="25120"/>
    <n v="24613"/>
    <x v="21"/>
    <x v="0"/>
    <x v="0"/>
    <s v="StyleRevolution"/>
    <n v="8.0294585987261149E-2"/>
  </r>
  <r>
    <s v="P023"/>
    <x v="3"/>
    <s v="2024-11-06"/>
    <x v="5"/>
    <s v="Explore the latest video on Myntra! Trendy styles await."/>
    <n v="1606"/>
    <n v="547"/>
    <n v="316"/>
    <n v="32120"/>
    <n v="31736"/>
    <x v="22"/>
    <x v="0"/>
    <x v="0"/>
    <s v="MyntraFestiveEdit"/>
    <n v="7.6867995018679955E-2"/>
  </r>
  <r>
    <s v="P024"/>
    <x v="3"/>
    <s v="2025-01-23"/>
    <x v="5"/>
    <s v="Explore the latest video on Myntra! Trendy styles await."/>
    <n v="3961"/>
    <n v="761"/>
    <n v="131"/>
    <n v="67337"/>
    <n v="66615"/>
    <x v="23"/>
    <x v="3"/>
    <x v="0"/>
    <s v="EndOfSeasonSale"/>
    <n v="7.2070332803659209E-2"/>
  </r>
  <r>
    <s v="P025"/>
    <x v="0"/>
    <s v="2025-04-10"/>
    <x v="3"/>
    <s v="Explore the latest carousel on Myntra! Trendy styles await."/>
    <n v="3128"/>
    <n v="211"/>
    <n v="197"/>
    <n v="59432"/>
    <n v="59182"/>
    <x v="24"/>
    <x v="2"/>
    <x v="1"/>
    <s v="FashionUpgrade"/>
    <n v="5.9496567505720827E-2"/>
  </r>
  <r>
    <s v="P026"/>
    <x v="1"/>
    <s v="2025-04-05"/>
    <x v="0"/>
    <s v="Explore the latest reel on Myntra! Trendy styles await."/>
    <n v="3009"/>
    <n v="413"/>
    <n v="358"/>
    <n v="42126"/>
    <n v="41309"/>
    <x v="25"/>
    <x v="0"/>
    <x v="0"/>
    <s v="EndOfSeasonSale"/>
    <n v="8.9730807577268201E-2"/>
  </r>
  <r>
    <s v="P027"/>
    <x v="1"/>
    <s v="2024-09-17"/>
    <x v="1"/>
    <s v="Explore the latest text on Myntra! Trendy styles await."/>
    <n v="2076"/>
    <n v="195"/>
    <n v="104"/>
    <n v="33216"/>
    <n v="32244"/>
    <x v="26"/>
    <x v="3"/>
    <x v="0"/>
    <s v="StyleRevolution"/>
    <n v="7.1501685934489398E-2"/>
  </r>
  <r>
    <s v="P028"/>
    <x v="2"/>
    <s v="2025-03-04"/>
    <x v="5"/>
    <s v="Explore the latest video on Myntra! Trendy styles await."/>
    <n v="432"/>
    <n v="624"/>
    <n v="123"/>
    <n v="6912"/>
    <n v="6259"/>
    <x v="27"/>
    <x v="0"/>
    <x v="5"/>
    <s v="EndOfSeasonSale"/>
    <n v="0.17057291666666666"/>
  </r>
  <r>
    <s v="P029"/>
    <x v="2"/>
    <s v="2025-01-31"/>
    <x v="3"/>
    <s v="Explore the latest carousel on Myntra! Trendy styles await."/>
    <n v="2566"/>
    <n v="118"/>
    <n v="37"/>
    <n v="12830"/>
    <n v="12264"/>
    <x v="28"/>
    <x v="3"/>
    <x v="2"/>
    <s v="MyntraFestiveEdit"/>
    <n v="0.21208106001558846"/>
  </r>
  <r>
    <s v="P030"/>
    <x v="2"/>
    <s v="2025-02-25"/>
    <x v="5"/>
    <s v="Explore the latest video on Myntra! Trendy styles await."/>
    <n v="3095"/>
    <n v="39"/>
    <n v="78"/>
    <n v="55710"/>
    <n v="54808"/>
    <x v="29"/>
    <x v="0"/>
    <x v="0"/>
    <s v="StyleRevolution"/>
    <n v="5.7655717106444085E-2"/>
  </r>
  <r>
    <s v="P031"/>
    <x v="2"/>
    <s v="2024-12-16"/>
    <x v="1"/>
    <s v="Explore the latest text on Myntra! Trendy styles await."/>
    <n v="438"/>
    <n v="153"/>
    <n v="275"/>
    <n v="3066"/>
    <n v="2701"/>
    <x v="30"/>
    <x v="3"/>
    <x v="0"/>
    <s v="StyleRevolution"/>
    <n v="0.28245270711024134"/>
  </r>
  <r>
    <s v="P032"/>
    <x v="0"/>
    <s v="2024-07-31"/>
    <x v="3"/>
    <s v="Explore the latest carousel on Myntra! Trendy styles await."/>
    <n v="2278"/>
    <n v="10"/>
    <n v="321"/>
    <n v="13668"/>
    <n v="12676"/>
    <x v="31"/>
    <x v="3"/>
    <x v="2"/>
    <s v="StyleRevolution"/>
    <n v="0.19088381621305239"/>
  </r>
  <r>
    <s v="P033"/>
    <x v="3"/>
    <s v="2024-08-21"/>
    <x v="4"/>
    <s v="Explore the latest image on Myntra! Trendy styles await."/>
    <n v="1407"/>
    <n v="400"/>
    <n v="351"/>
    <n v="16884"/>
    <n v="15954"/>
    <x v="32"/>
    <x v="1"/>
    <x v="3"/>
    <s v="MyntraFestiveEdit"/>
    <n v="0.12781331438047855"/>
  </r>
  <r>
    <s v="P034"/>
    <x v="3"/>
    <s v="2025-03-26"/>
    <x v="1"/>
    <s v="Explore the latest text on Myntra! Trendy styles await."/>
    <n v="1652"/>
    <n v="89"/>
    <n v="357"/>
    <n v="29736"/>
    <n v="28771"/>
    <x v="33"/>
    <x v="3"/>
    <x v="3"/>
    <s v="EndOfSeasonSale"/>
    <n v="7.055421038471886E-2"/>
  </r>
  <r>
    <s v="P035"/>
    <x v="2"/>
    <s v="2024-11-30"/>
    <x v="5"/>
    <s v="Explore the latest video on Myntra! Trendy styles await."/>
    <n v="3775"/>
    <n v="16"/>
    <n v="239"/>
    <n v="33975"/>
    <n v="33310"/>
    <x v="34"/>
    <x v="2"/>
    <x v="1"/>
    <s v="MyntraFestiveEdit"/>
    <n v="0.11861662987490802"/>
  </r>
  <r>
    <s v="P036"/>
    <x v="2"/>
    <s v="2025-04-19"/>
    <x v="2"/>
    <s v="Explore the latest story on Myntra! Trendy styles await."/>
    <n v="4518"/>
    <n v="285"/>
    <n v="383"/>
    <n v="67770"/>
    <n v="67621"/>
    <x v="35"/>
    <x v="4"/>
    <x v="0"/>
    <s v="EndOfSeasonSale"/>
    <n v="7.6523535487678915E-2"/>
  </r>
  <r>
    <s v="P037"/>
    <x v="3"/>
    <s v="2025-01-06"/>
    <x v="3"/>
    <s v="Explore the latest carousel on Myntra! Trendy styles await."/>
    <n v="3024"/>
    <n v="925"/>
    <n v="350"/>
    <n v="24192"/>
    <n v="23518"/>
    <x v="36"/>
    <x v="0"/>
    <x v="0"/>
    <s v="MyntraFestiveEdit"/>
    <n v="0.17770337301587302"/>
  </r>
  <r>
    <s v="P038"/>
    <x v="1"/>
    <s v="2025-02-17"/>
    <x v="0"/>
    <s v="Explore the latest reel on Myntra! Trendy styles await."/>
    <n v="3138"/>
    <n v="123"/>
    <n v="291"/>
    <n v="28242"/>
    <n v="27550"/>
    <x v="15"/>
    <x v="4"/>
    <x v="0"/>
    <s v="StyleRevolution"/>
    <n v="0.12577012959422137"/>
  </r>
  <r>
    <s v="P039"/>
    <x v="3"/>
    <s v="2024-11-25"/>
    <x v="4"/>
    <s v="Explore the latest image on Myntra! Trendy styles await."/>
    <n v="3564"/>
    <n v="629"/>
    <n v="177"/>
    <n v="60588"/>
    <n v="59627"/>
    <x v="37"/>
    <x v="4"/>
    <x v="1"/>
    <s v="MyntraFestiveEdit"/>
    <n v="7.2126493695121141E-2"/>
  </r>
  <r>
    <s v="P040"/>
    <x v="0"/>
    <s v="2025-03-07"/>
    <x v="4"/>
    <s v="Explore the latest image on Myntra! Trendy styles await."/>
    <n v="4750"/>
    <n v="151"/>
    <n v="415"/>
    <n v="38000"/>
    <n v="37792"/>
    <x v="38"/>
    <x v="2"/>
    <x v="1"/>
    <s v="EndOfSeasonSale"/>
    <n v="0.13989473684210527"/>
  </r>
  <r>
    <s v="P041"/>
    <x v="2"/>
    <s v="2025-03-08"/>
    <x v="0"/>
    <s v="Explore the latest reel on Myntra! Trendy styles await."/>
    <n v="456"/>
    <n v="629"/>
    <n v="428"/>
    <n v="8208"/>
    <n v="7377"/>
    <x v="39"/>
    <x v="0"/>
    <x v="3"/>
    <s v="MyntraFestiveEdit"/>
    <n v="0.18433235867446393"/>
  </r>
  <r>
    <s v="P042"/>
    <x v="1"/>
    <s v="2025-03-05"/>
    <x v="0"/>
    <s v="Explore the latest reel on Myntra! Trendy styles await."/>
    <n v="1543"/>
    <n v="820"/>
    <n v="333"/>
    <n v="12344"/>
    <n v="11496"/>
    <x v="40"/>
    <x v="2"/>
    <x v="0"/>
    <s v="MyntraFestiveEdit"/>
    <n v="0.21840570317563188"/>
  </r>
  <r>
    <s v="P043"/>
    <x v="2"/>
    <s v="2024-12-14"/>
    <x v="3"/>
    <s v="Explore the latest carousel on Myntra! Trendy styles await."/>
    <n v="2174"/>
    <n v="658"/>
    <n v="15"/>
    <n v="13044"/>
    <n v="12206"/>
    <x v="41"/>
    <x v="0"/>
    <x v="2"/>
    <s v="StyleRevolution"/>
    <n v="0.21826126954921804"/>
  </r>
  <r>
    <s v="P044"/>
    <x v="0"/>
    <s v="2025-03-02"/>
    <x v="4"/>
    <s v="Explore the latest image on Myntra! Trendy styles await."/>
    <n v="2358"/>
    <n v="784"/>
    <n v="344"/>
    <n v="35370"/>
    <n v="34475"/>
    <x v="42"/>
    <x v="0"/>
    <x v="4"/>
    <s v="FashionUpgrade"/>
    <n v="9.8558100084817649E-2"/>
  </r>
  <r>
    <s v="P045"/>
    <x v="3"/>
    <s v="2024-11-01"/>
    <x v="5"/>
    <s v="Explore the latest video on Myntra! Trendy styles await."/>
    <n v="3371"/>
    <n v="106"/>
    <n v="327"/>
    <n v="50565"/>
    <n v="49816"/>
    <x v="43"/>
    <x v="4"/>
    <x v="0"/>
    <s v="StyleRevolution"/>
    <n v="7.5229902106199939E-2"/>
  </r>
  <r>
    <s v="P046"/>
    <x v="0"/>
    <s v="2025-05-02"/>
    <x v="5"/>
    <s v="Explore the latest video on Myntra! Trendy styles await."/>
    <n v="1108"/>
    <n v="177"/>
    <n v="212"/>
    <n v="8864"/>
    <n v="8710"/>
    <x v="44"/>
    <x v="1"/>
    <x v="0"/>
    <s v="StyleRevolution"/>
    <n v="0.16888537906137185"/>
  </r>
  <r>
    <s v="P047"/>
    <x v="0"/>
    <s v="2025-02-24"/>
    <x v="3"/>
    <s v="Explore the latest carousel on Myntra! Trendy styles await."/>
    <n v="2704"/>
    <n v="752"/>
    <n v="153"/>
    <n v="21632"/>
    <n v="20792"/>
    <x v="45"/>
    <x v="4"/>
    <x v="2"/>
    <s v="FashionUpgrade"/>
    <n v="0.16683616863905326"/>
  </r>
  <r>
    <s v="P048"/>
    <x v="0"/>
    <s v="2025-03-11"/>
    <x v="2"/>
    <s v="Explore the latest story on Myntra! Trendy styles await."/>
    <n v="1950"/>
    <n v="295"/>
    <n v="478"/>
    <n v="37050"/>
    <n v="36272"/>
    <x v="46"/>
    <x v="1"/>
    <x v="4"/>
    <s v="StyleRevolution"/>
    <n v="7.349527665317139E-2"/>
  </r>
  <r>
    <s v="P049"/>
    <x v="0"/>
    <s v="2024-06-10"/>
    <x v="2"/>
    <s v="Explore the latest story on Myntra! Trendy styles await."/>
    <n v="2164"/>
    <n v="549"/>
    <n v="274"/>
    <n v="28132"/>
    <n v="27361"/>
    <x v="47"/>
    <x v="2"/>
    <x v="0"/>
    <s v="FashionUpgrade"/>
    <n v="0.10617801791554102"/>
  </r>
  <r>
    <s v="P050"/>
    <x v="1"/>
    <s v="2024-07-03"/>
    <x v="2"/>
    <s v="Explore the latest story on Myntra! Trendy styles await."/>
    <n v="2754"/>
    <n v="130"/>
    <n v="90"/>
    <n v="22032"/>
    <n v="21288"/>
    <x v="48"/>
    <x v="1"/>
    <x v="0"/>
    <s v="FashionUpgrade"/>
    <n v="0.13498547567175018"/>
  </r>
  <r>
    <s v="P051"/>
    <x v="3"/>
    <s v="2024-06-13"/>
    <x v="3"/>
    <s v="Explore the latest carousel on Myntra! Trendy styles await."/>
    <n v="2200"/>
    <n v="504"/>
    <n v="239"/>
    <n v="37400"/>
    <n v="36938"/>
    <x v="22"/>
    <x v="0"/>
    <x v="0"/>
    <s v="MyntraFestiveEdit"/>
    <n v="7.8689839572192513E-2"/>
  </r>
  <r>
    <s v="P052"/>
    <x v="3"/>
    <s v="2025-01-03"/>
    <x v="4"/>
    <s v="Explore the latest image on Myntra! Trendy styles await."/>
    <n v="947"/>
    <n v="338"/>
    <n v="350"/>
    <n v="10417"/>
    <n v="9730"/>
    <x v="49"/>
    <x v="1"/>
    <x v="1"/>
    <s v="MyntraFestiveEdit"/>
    <n v="0.1569549774407219"/>
  </r>
  <r>
    <s v="P053"/>
    <x v="1"/>
    <s v="2025-02-24"/>
    <x v="3"/>
    <s v="Explore the latest carousel on Myntra! Trendy styles await."/>
    <n v="804"/>
    <n v="639"/>
    <n v="43"/>
    <n v="4020"/>
    <n v="3144"/>
    <x v="50"/>
    <x v="2"/>
    <x v="5"/>
    <s v="StyleRevolution"/>
    <n v="0.36965174129353234"/>
  </r>
  <r>
    <s v="P054"/>
    <x v="1"/>
    <s v="2025-03-13"/>
    <x v="3"/>
    <s v="Explore the latest carousel on Myntra! Trendy styles await."/>
    <n v="1686"/>
    <n v="904"/>
    <n v="472"/>
    <n v="18546"/>
    <n v="18171"/>
    <x v="51"/>
    <x v="1"/>
    <x v="3"/>
    <s v="EndOfSeasonSale"/>
    <n v="0.16510298716704411"/>
  </r>
  <r>
    <s v="P055"/>
    <x v="3"/>
    <s v="2024-06-17"/>
    <x v="4"/>
    <s v="Explore the latest image on Myntra! Trendy styles await."/>
    <n v="1226"/>
    <n v="119"/>
    <n v="7"/>
    <n v="14712"/>
    <n v="14049"/>
    <x v="52"/>
    <x v="0"/>
    <x v="5"/>
    <s v="StyleRevolution"/>
    <n v="9.1897770527460579E-2"/>
  </r>
  <r>
    <s v="P056"/>
    <x v="3"/>
    <s v="2024-12-18"/>
    <x v="3"/>
    <s v="Explore the latest carousel on Myntra! Trendy styles await."/>
    <n v="2946"/>
    <n v="498"/>
    <n v="367"/>
    <n v="29460"/>
    <n v="28527"/>
    <x v="53"/>
    <x v="2"/>
    <x v="3"/>
    <s v="EndOfSeasonSale"/>
    <n v="0.12936184657162253"/>
  </r>
  <r>
    <s v="P057"/>
    <x v="0"/>
    <s v="2024-10-21"/>
    <x v="5"/>
    <s v="Explore the latest video on Myntra! Trendy styles await."/>
    <n v="2825"/>
    <n v="535"/>
    <n v="295"/>
    <n v="45200"/>
    <n v="44739"/>
    <x v="54"/>
    <x v="2"/>
    <x v="0"/>
    <s v="EndOfSeasonSale"/>
    <n v="8.0862831858407078E-2"/>
  </r>
  <r>
    <s v="P058"/>
    <x v="2"/>
    <s v="2025-04-15"/>
    <x v="0"/>
    <s v="Explore the latest reel on Myntra! Trendy styles await."/>
    <n v="103"/>
    <n v="770"/>
    <n v="19"/>
    <n v="1030"/>
    <n v="410"/>
    <x v="55"/>
    <x v="0"/>
    <x v="0"/>
    <s v="MyntraFestiveEdit"/>
    <n v="0.86601941747572819"/>
  </r>
  <r>
    <s v="P059"/>
    <x v="2"/>
    <s v="2024-06-22"/>
    <x v="1"/>
    <s v="Explore the latest text on Myntra! Trendy styles await."/>
    <n v="2180"/>
    <n v="263"/>
    <n v="387"/>
    <n v="30520"/>
    <n v="30059"/>
    <x v="56"/>
    <x v="4"/>
    <x v="0"/>
    <s v="FashionUpgrade"/>
    <n v="9.2726081258191345E-2"/>
  </r>
  <r>
    <s v="P060"/>
    <x v="2"/>
    <s v="2025-01-28"/>
    <x v="5"/>
    <s v="Explore the latest video on Myntra! Trendy styles await."/>
    <n v="904"/>
    <n v="973"/>
    <n v="63"/>
    <n v="11752"/>
    <n v="11580"/>
    <x v="57"/>
    <x v="2"/>
    <x v="0"/>
    <s v="FashionUpgrade"/>
    <n v="0.1650782845473111"/>
  </r>
  <r>
    <s v="P061"/>
    <x v="0"/>
    <s v="2024-09-05"/>
    <x v="5"/>
    <s v="Explore the latest video on Myntra! Trendy styles await."/>
    <n v="4886"/>
    <n v="983"/>
    <n v="409"/>
    <n v="43974"/>
    <n v="43239"/>
    <x v="10"/>
    <x v="1"/>
    <x v="0"/>
    <s v="FashionUpgrade"/>
    <n v="0.14276618001546368"/>
  </r>
  <r>
    <s v="P062"/>
    <x v="0"/>
    <s v="2024-11-22"/>
    <x v="3"/>
    <s v="Explore the latest carousel on Myntra! Trendy styles await."/>
    <n v="53"/>
    <n v="81"/>
    <n v="379"/>
    <n v="954"/>
    <n v="7"/>
    <x v="58"/>
    <x v="4"/>
    <x v="0"/>
    <s v="MyntraFestiveEdit"/>
    <n v="0.53773584905660377"/>
  </r>
  <r>
    <s v="P063"/>
    <x v="0"/>
    <s v="2024-07-31"/>
    <x v="3"/>
    <s v="Explore the latest carousel on Myntra! Trendy styles await."/>
    <n v="4507"/>
    <n v="217"/>
    <n v="13"/>
    <n v="90140"/>
    <n v="89591"/>
    <x v="59"/>
    <x v="0"/>
    <x v="0"/>
    <s v="FashionUpgrade"/>
    <n v="5.2551586421122697E-2"/>
  </r>
  <r>
    <s v="P064"/>
    <x v="3"/>
    <s v="2024-08-17"/>
    <x v="4"/>
    <s v="Explore the latest image on Myntra! Trendy styles await."/>
    <n v="2878"/>
    <n v="248"/>
    <n v="416"/>
    <n v="43170"/>
    <n v="42667"/>
    <x v="60"/>
    <x v="4"/>
    <x v="5"/>
    <s v="EndOfSeasonSale"/>
    <n v="8.2047718322909427E-2"/>
  </r>
  <r>
    <s v="P065"/>
    <x v="2"/>
    <s v="2025-03-28"/>
    <x v="2"/>
    <s v="Explore the latest story on Myntra! Trendy styles await."/>
    <n v="1881"/>
    <n v="501"/>
    <n v="99"/>
    <n v="20691"/>
    <n v="19987"/>
    <x v="61"/>
    <x v="4"/>
    <x v="0"/>
    <s v="EndOfSeasonSale"/>
    <n v="0.11990720603160794"/>
  </r>
  <r>
    <s v="P066"/>
    <x v="0"/>
    <s v="2024-07-26"/>
    <x v="3"/>
    <s v="Explore the latest carousel on Myntra! Trendy styles await."/>
    <n v="432"/>
    <n v="171"/>
    <n v="280"/>
    <n v="3024"/>
    <n v="2285"/>
    <x v="62"/>
    <x v="1"/>
    <x v="0"/>
    <s v="MyntraFestiveEdit"/>
    <n v="0.29199735449735448"/>
  </r>
  <r>
    <s v="P067"/>
    <x v="3"/>
    <s v="2025-03-29"/>
    <x v="3"/>
    <s v="Explore the latest carousel on Myntra! Trendy styles await."/>
    <n v="4712"/>
    <n v="568"/>
    <n v="127"/>
    <n v="84816"/>
    <n v="84691"/>
    <x v="63"/>
    <x v="4"/>
    <x v="0"/>
    <s v="FashionUpgrade"/>
    <n v="6.3749764195434822E-2"/>
  </r>
  <r>
    <s v="P068"/>
    <x v="2"/>
    <s v="2024-12-08"/>
    <x v="2"/>
    <s v="Explore the latest story on Myntra! Trendy styles await."/>
    <n v="2610"/>
    <n v="126"/>
    <n v="288"/>
    <n v="15660"/>
    <n v="15145"/>
    <x v="64"/>
    <x v="1"/>
    <x v="0"/>
    <s v="FashionUpgrade"/>
    <n v="0.19310344827586207"/>
  </r>
  <r>
    <s v="P069"/>
    <x v="0"/>
    <s v="2025-03-08"/>
    <x v="1"/>
    <s v="Explore the latest text on Myntra! Trendy styles await."/>
    <n v="1292"/>
    <n v="626"/>
    <n v="496"/>
    <n v="25840"/>
    <n v="24916"/>
    <x v="65"/>
    <x v="2"/>
    <x v="5"/>
    <s v="StyleRevolution"/>
    <n v="9.3421052631578946E-2"/>
  </r>
  <r>
    <s v="P070"/>
    <x v="3"/>
    <s v="2025-04-02"/>
    <x v="5"/>
    <s v="Explore the latest video on Myntra! Trendy styles await."/>
    <n v="199"/>
    <n v="772"/>
    <n v="400"/>
    <n v="3582"/>
    <n v="2988"/>
    <x v="66"/>
    <x v="3"/>
    <x v="0"/>
    <s v="FashionUpgrade"/>
    <n v="0.38274706867671693"/>
  </r>
  <r>
    <s v="P071"/>
    <x v="1"/>
    <s v="2024-09-02"/>
    <x v="3"/>
    <s v="Explore the latest carousel on Myntra! Trendy styles await."/>
    <n v="2551"/>
    <n v="915"/>
    <n v="205"/>
    <n v="30612"/>
    <n v="30360"/>
    <x v="67"/>
    <x v="0"/>
    <x v="3"/>
    <s v="EndOfSeasonSale"/>
    <n v="0.1199202926956749"/>
  </r>
  <r>
    <s v="P072"/>
    <x v="1"/>
    <s v="2025-03-03"/>
    <x v="0"/>
    <s v="Explore the latest reel on Myntra! Trendy styles await."/>
    <n v="296"/>
    <n v="60"/>
    <n v="141"/>
    <n v="5624"/>
    <n v="5239"/>
    <x v="68"/>
    <x v="3"/>
    <x v="0"/>
    <s v="StyleRevolution"/>
    <n v="8.837126600284495E-2"/>
  </r>
  <r>
    <s v="P073"/>
    <x v="3"/>
    <s v="2024-10-18"/>
    <x v="2"/>
    <s v="Explore the latest story on Myntra! Trendy styles await."/>
    <n v="4126"/>
    <n v="426"/>
    <n v="486"/>
    <n v="78394"/>
    <n v="77798"/>
    <x v="68"/>
    <x v="1"/>
    <x v="0"/>
    <s v="FashionUpgrade"/>
    <n v="6.4265122330790625E-2"/>
  </r>
  <r>
    <s v="P074"/>
    <x v="1"/>
    <s v="2024-10-28"/>
    <x v="0"/>
    <s v="Explore the latest reel on Myntra! Trendy styles await."/>
    <n v="1855"/>
    <n v="200"/>
    <n v="174"/>
    <n v="16695"/>
    <n v="16330"/>
    <x v="52"/>
    <x v="1"/>
    <x v="0"/>
    <s v="MyntraFestiveEdit"/>
    <n v="0.13351302785265048"/>
  </r>
  <r>
    <s v="P075"/>
    <x v="2"/>
    <s v="2024-08-01"/>
    <x v="0"/>
    <s v="Explore the latest reel on Myntra! Trendy styles await."/>
    <n v="1674"/>
    <n v="929"/>
    <n v="37"/>
    <n v="21762"/>
    <n v="20998"/>
    <x v="69"/>
    <x v="2"/>
    <x v="3"/>
    <s v="MyntraFestiveEdit"/>
    <n v="0.12131237937689551"/>
  </r>
  <r>
    <s v="P076"/>
    <x v="0"/>
    <s v="2024-11-07"/>
    <x v="2"/>
    <s v="Explore the latest story on Myntra! Trendy styles await."/>
    <n v="1121"/>
    <n v="135"/>
    <n v="18"/>
    <n v="15694"/>
    <n v="14957"/>
    <x v="70"/>
    <x v="0"/>
    <x v="2"/>
    <s v="StyleRevolution"/>
    <n v="8.1177520071364848E-2"/>
  </r>
  <r>
    <s v="P077"/>
    <x v="3"/>
    <s v="2025-03-04"/>
    <x v="2"/>
    <s v="Explore the latest story on Myntra! Trendy styles await."/>
    <n v="1249"/>
    <n v="116"/>
    <n v="420"/>
    <n v="8743"/>
    <n v="8538"/>
    <x v="71"/>
    <x v="1"/>
    <x v="3"/>
    <s v="MyntraFestiveEdit"/>
    <n v="0.20416333066453163"/>
  </r>
  <r>
    <s v="P078"/>
    <x v="0"/>
    <s v="2024-06-17"/>
    <x v="4"/>
    <s v="Explore the latest image on Myntra! Trendy styles await."/>
    <n v="954"/>
    <n v="324"/>
    <n v="288"/>
    <n v="19080"/>
    <n v="18859"/>
    <x v="72"/>
    <x v="3"/>
    <x v="0"/>
    <s v="MyntraFestiveEdit"/>
    <n v="8.2075471698113203E-2"/>
  </r>
  <r>
    <s v="P079"/>
    <x v="2"/>
    <s v="2024-10-09"/>
    <x v="3"/>
    <s v="Explore the latest carousel on Myntra! Trendy styles await."/>
    <n v="3068"/>
    <n v="137"/>
    <n v="329"/>
    <n v="39884"/>
    <n v="39404"/>
    <x v="73"/>
    <x v="0"/>
    <x v="5"/>
    <s v="MyntraFestiveEdit"/>
    <n v="8.860696018453515E-2"/>
  </r>
  <r>
    <s v="P080"/>
    <x v="2"/>
    <s v="2024-06-13"/>
    <x v="2"/>
    <s v="Explore the latest story on Myntra! Trendy styles await."/>
    <n v="2103"/>
    <n v="892"/>
    <n v="103"/>
    <n v="39957"/>
    <n v="39466"/>
    <x v="74"/>
    <x v="4"/>
    <x v="2"/>
    <s v="EndOfSeasonSale"/>
    <n v="7.7533348349475686E-2"/>
  </r>
  <r>
    <s v="P081"/>
    <x v="2"/>
    <s v="2024-10-19"/>
    <x v="2"/>
    <s v="Explore the latest story on Myntra! Trendy styles await."/>
    <n v="1816"/>
    <n v="29"/>
    <n v="41"/>
    <n v="19976"/>
    <n v="19262"/>
    <x v="75"/>
    <x v="3"/>
    <x v="1"/>
    <s v="MyntraFestiveEdit"/>
    <n v="9.4413295955146179E-2"/>
  </r>
  <r>
    <s v="P082"/>
    <x v="2"/>
    <s v="2024-07-24"/>
    <x v="4"/>
    <s v="Explore the latest image on Myntra! Trendy styles await."/>
    <n v="725"/>
    <n v="88"/>
    <n v="428"/>
    <n v="14500"/>
    <n v="13637"/>
    <x v="76"/>
    <x v="3"/>
    <x v="0"/>
    <s v="MyntraFestiveEdit"/>
    <n v="8.558620689655172E-2"/>
  </r>
  <r>
    <s v="P083"/>
    <x v="1"/>
    <s v="2024-10-15"/>
    <x v="5"/>
    <s v="Explore the latest video on Myntra! Trendy styles await."/>
    <n v="1094"/>
    <n v="472"/>
    <n v="21"/>
    <n v="9846"/>
    <n v="9609"/>
    <x v="48"/>
    <x v="3"/>
    <x v="4"/>
    <s v="MyntraFestiveEdit"/>
    <n v="0.16118220597196831"/>
  </r>
  <r>
    <s v="P084"/>
    <x v="3"/>
    <s v="2024-12-09"/>
    <x v="4"/>
    <s v="Explore the latest image on Myntra! Trendy styles await."/>
    <n v="1841"/>
    <n v="851"/>
    <n v="342"/>
    <n v="34979"/>
    <n v="34154"/>
    <x v="69"/>
    <x v="1"/>
    <x v="3"/>
    <s v="FashionUpgrade"/>
    <n v="8.6737756939878216E-2"/>
  </r>
  <r>
    <s v="P085"/>
    <x v="2"/>
    <s v="2025-04-19"/>
    <x v="4"/>
    <s v="Explore the latest image on Myntra! Trendy styles await."/>
    <n v="4177"/>
    <n v="569"/>
    <n v="55"/>
    <n v="25062"/>
    <n v="24847"/>
    <x v="77"/>
    <x v="1"/>
    <x v="0"/>
    <s v="FashionUpgrade"/>
    <n v="0.19156491900087783"/>
  </r>
  <r>
    <s v="P086"/>
    <x v="1"/>
    <s v="2025-01-27"/>
    <x v="1"/>
    <s v="Explore the latest text on Myntra! Trendy styles await."/>
    <n v="3428"/>
    <n v="305"/>
    <n v="85"/>
    <n v="58276"/>
    <n v="58052"/>
    <x v="78"/>
    <x v="3"/>
    <x v="4"/>
    <s v="MyntraFestiveEdit"/>
    <n v="6.5515821264328367E-2"/>
  </r>
  <r>
    <s v="P087"/>
    <x v="0"/>
    <s v="2024-06-06"/>
    <x v="5"/>
    <s v="Explore the latest video on Myntra! Trendy styles await."/>
    <n v="1436"/>
    <n v="765"/>
    <n v="496"/>
    <n v="12924"/>
    <n v="12701"/>
    <x v="79"/>
    <x v="3"/>
    <x v="1"/>
    <s v="EndOfSeasonSale"/>
    <n v="0.20868152274837512"/>
  </r>
  <r>
    <s v="P088"/>
    <x v="3"/>
    <s v="2024-07-07"/>
    <x v="2"/>
    <s v="Explore the latest story on Myntra! Trendy styles await."/>
    <n v="302"/>
    <n v="47"/>
    <n v="430"/>
    <n v="5738"/>
    <n v="4890"/>
    <x v="19"/>
    <x v="1"/>
    <x v="1"/>
    <s v="EndOfSeasonSale"/>
    <n v="0.13576158940397351"/>
  </r>
  <r>
    <s v="P089"/>
    <x v="0"/>
    <s v="2025-01-10"/>
    <x v="4"/>
    <s v="Explore the latest image on Myntra! Trendy styles await."/>
    <n v="2214"/>
    <n v="249"/>
    <n v="152"/>
    <n v="15498"/>
    <n v="14800"/>
    <x v="80"/>
    <x v="0"/>
    <x v="0"/>
    <s v="EndOfSeasonSale"/>
    <n v="0.16873144921925409"/>
  </r>
  <r>
    <s v="P090"/>
    <x v="2"/>
    <s v="2024-06-03"/>
    <x v="4"/>
    <s v="Explore the latest image on Myntra! Trendy styles await."/>
    <n v="3861"/>
    <n v="960"/>
    <n v="101"/>
    <n v="69498"/>
    <n v="68817"/>
    <x v="81"/>
    <x v="1"/>
    <x v="0"/>
    <s v="EndOfSeasonSale"/>
    <n v="7.0822181933293038E-2"/>
  </r>
  <r>
    <s v="P091"/>
    <x v="3"/>
    <s v="2025-03-24"/>
    <x v="4"/>
    <s v="Explore the latest image on Myntra! Trendy styles await."/>
    <n v="1263"/>
    <n v="397"/>
    <n v="357"/>
    <n v="25260"/>
    <n v="24615"/>
    <x v="41"/>
    <x v="0"/>
    <x v="0"/>
    <s v="EndOfSeasonSale"/>
    <n v="7.984956452889945E-2"/>
  </r>
  <r>
    <s v="P092"/>
    <x v="0"/>
    <s v="2024-10-21"/>
    <x v="2"/>
    <s v="Explore the latest story on Myntra! Trendy styles await."/>
    <n v="3801"/>
    <n v="967"/>
    <n v="401"/>
    <n v="38010"/>
    <n v="37625"/>
    <x v="82"/>
    <x v="2"/>
    <x v="0"/>
    <s v="StyleRevolution"/>
    <n v="0.13599052880820836"/>
  </r>
  <r>
    <s v="P093"/>
    <x v="2"/>
    <s v="2024-12-11"/>
    <x v="5"/>
    <s v="Explore the latest video on Myntra! Trendy styles await."/>
    <n v="1431"/>
    <n v="951"/>
    <n v="26"/>
    <n v="8586"/>
    <n v="8396"/>
    <x v="83"/>
    <x v="3"/>
    <x v="3"/>
    <s v="FashionUpgrade"/>
    <n v="0.28045655718611695"/>
  </r>
  <r>
    <s v="P094"/>
    <x v="2"/>
    <s v="2024-11-07"/>
    <x v="4"/>
    <s v="Explore the latest image on Myntra! Trendy styles await."/>
    <n v="2647"/>
    <n v="304"/>
    <n v="170"/>
    <n v="18529"/>
    <n v="17841"/>
    <x v="84"/>
    <x v="2"/>
    <x v="0"/>
    <s v="EndOfSeasonSale"/>
    <n v="0.16843866371633656"/>
  </r>
  <r>
    <s v="P095"/>
    <x v="2"/>
    <s v="2024-11-08"/>
    <x v="1"/>
    <s v="Explore the latest text on Myntra! Trendy styles await."/>
    <n v="3182"/>
    <n v="559"/>
    <n v="160"/>
    <n v="57276"/>
    <n v="56890"/>
    <x v="85"/>
    <x v="2"/>
    <x v="5"/>
    <s v="EndOfSeasonSale"/>
    <n v="6.8108806480899509E-2"/>
  </r>
  <r>
    <s v="P096"/>
    <x v="0"/>
    <s v="2024-09-10"/>
    <x v="4"/>
    <s v="Explore the latest image on Myntra! Trendy styles await."/>
    <n v="1238"/>
    <n v="366"/>
    <n v="444"/>
    <n v="19808"/>
    <n v="19334"/>
    <x v="52"/>
    <x v="4"/>
    <x v="0"/>
    <s v="MyntraFestiveEdit"/>
    <n v="0.10339256865912763"/>
  </r>
  <r>
    <s v="P097"/>
    <x v="2"/>
    <s v="2024-08-13"/>
    <x v="4"/>
    <s v="Explore the latest image on Myntra! Trendy styles await."/>
    <n v="4739"/>
    <n v="527"/>
    <n v="135"/>
    <n v="61607"/>
    <n v="61333"/>
    <x v="36"/>
    <x v="2"/>
    <x v="1"/>
    <s v="EndOfSeasonSale"/>
    <n v="8.7668609086629767E-2"/>
  </r>
  <r>
    <s v="P098"/>
    <x v="0"/>
    <s v="2024-06-10"/>
    <x v="2"/>
    <s v="Explore the latest story on Myntra! Trendy styles await."/>
    <n v="1575"/>
    <n v="771"/>
    <n v="486"/>
    <n v="25200"/>
    <n v="24826"/>
    <x v="86"/>
    <x v="2"/>
    <x v="0"/>
    <s v="MyntraFestiveEdit"/>
    <n v="0.11238095238095239"/>
  </r>
  <r>
    <s v="P099"/>
    <x v="1"/>
    <s v="2024-07-02"/>
    <x v="3"/>
    <s v="Explore the latest carousel on Myntra! Trendy styles await."/>
    <n v="4171"/>
    <n v="548"/>
    <n v="86"/>
    <n v="66736"/>
    <n v="66634"/>
    <x v="87"/>
    <x v="2"/>
    <x v="0"/>
    <s v="MyntraFestiveEdit"/>
    <n v="7.2000119875329657E-2"/>
  </r>
  <r>
    <s v="P100"/>
    <x v="1"/>
    <s v="2025-02-10"/>
    <x v="5"/>
    <s v="Explore the latest video on Myntra! Trendy styles await."/>
    <n v="1766"/>
    <n v="92"/>
    <n v="424"/>
    <n v="24724"/>
    <n v="24333"/>
    <x v="51"/>
    <x v="2"/>
    <x v="0"/>
    <s v="FashionUpgrade"/>
    <n v="9.2298980747451867E-2"/>
  </r>
  <r>
    <s v="P101"/>
    <x v="1"/>
    <s v="2024-10-18"/>
    <x v="5"/>
    <s v="Explore the latest video on Myntra! Trendy styles await."/>
    <n v="4450"/>
    <n v="983"/>
    <n v="143"/>
    <n v="75650"/>
    <n v="75008"/>
    <x v="88"/>
    <x v="0"/>
    <x v="4"/>
    <s v="EndOfSeasonSale"/>
    <n v="7.3707865168539333E-2"/>
  </r>
  <r>
    <s v="P102"/>
    <x v="0"/>
    <s v="2024-09-18"/>
    <x v="0"/>
    <s v="Explore the latest reel on Myntra! Trendy styles await."/>
    <n v="1000"/>
    <n v="978"/>
    <n v="162"/>
    <n v="6000"/>
    <n v="5221"/>
    <x v="89"/>
    <x v="3"/>
    <x v="2"/>
    <s v="MyntraFestiveEdit"/>
    <n v="0.35666666666666669"/>
  </r>
  <r>
    <s v="P103"/>
    <x v="3"/>
    <s v="2024-06-11"/>
    <x v="4"/>
    <s v="Explore the latest image on Myntra! Trendy styles await."/>
    <n v="3689"/>
    <n v="48"/>
    <n v="306"/>
    <n v="40579"/>
    <n v="39588"/>
    <x v="90"/>
    <x v="3"/>
    <x v="0"/>
    <s v="FashionUpgrade"/>
    <n v="9.9632815002833983E-2"/>
  </r>
  <r>
    <s v="P104"/>
    <x v="1"/>
    <s v="2025-03-23"/>
    <x v="2"/>
    <s v="Explore the latest story on Myntra! Trendy styles await."/>
    <n v="3655"/>
    <n v="568"/>
    <n v="286"/>
    <n v="32895"/>
    <n v="32015"/>
    <x v="91"/>
    <x v="3"/>
    <x v="0"/>
    <s v="StyleRevolution"/>
    <n v="0.13707250341997265"/>
  </r>
  <r>
    <s v="P105"/>
    <x v="2"/>
    <s v="2024-06-14"/>
    <x v="3"/>
    <s v="Explore the latest carousel on Myntra! Trendy styles await."/>
    <n v="498"/>
    <n v="38"/>
    <n v="42"/>
    <n v="4482"/>
    <n v="3647"/>
    <x v="92"/>
    <x v="2"/>
    <x v="3"/>
    <s v="StyleRevolution"/>
    <n v="0.12896028558679162"/>
  </r>
  <r>
    <s v="P106"/>
    <x v="2"/>
    <s v="2025-02-04"/>
    <x v="4"/>
    <s v="Explore the latest image on Myntra! Trendy styles await."/>
    <n v="4619"/>
    <n v="821"/>
    <n v="499"/>
    <n v="69285"/>
    <n v="69141"/>
    <x v="93"/>
    <x v="1"/>
    <x v="0"/>
    <s v="FashionUpgrade"/>
    <n v="8.5718409468138843E-2"/>
  </r>
  <r>
    <s v="P107"/>
    <x v="1"/>
    <s v="2024-06-21"/>
    <x v="4"/>
    <s v="Explore the latest image on Myntra! Trendy styles await."/>
    <n v="4832"/>
    <n v="893"/>
    <n v="10"/>
    <n v="91808"/>
    <n v="91296"/>
    <x v="94"/>
    <x v="0"/>
    <x v="4"/>
    <s v="MyntraFestiveEdit"/>
    <n v="6.2467323109097243E-2"/>
  </r>
  <r>
    <s v="P108"/>
    <x v="0"/>
    <s v="2025-03-25"/>
    <x v="5"/>
    <s v="Explore the latest video on Myntra! Trendy styles await."/>
    <n v="4050"/>
    <n v="871"/>
    <n v="347"/>
    <n v="52650"/>
    <n v="51755"/>
    <x v="95"/>
    <x v="2"/>
    <x v="3"/>
    <s v="FashionUpgrade"/>
    <n v="0.10005698005698006"/>
  </r>
  <r>
    <s v="P109"/>
    <x v="0"/>
    <s v="2024-08-08"/>
    <x v="2"/>
    <s v="Explore the latest story on Myntra! Trendy styles await."/>
    <n v="3649"/>
    <n v="215"/>
    <n v="413"/>
    <n v="25543"/>
    <n v="24963"/>
    <x v="9"/>
    <x v="1"/>
    <x v="4"/>
    <s v="FashionUpgrade"/>
    <n v="0.16744313510550835"/>
  </r>
  <r>
    <s v="P110"/>
    <x v="2"/>
    <s v="2024-07-29"/>
    <x v="0"/>
    <s v="Explore the latest reel on Myntra! Trendy styles await."/>
    <n v="3523"/>
    <n v="753"/>
    <n v="482"/>
    <n v="38753"/>
    <n v="38579"/>
    <x v="96"/>
    <x v="4"/>
    <x v="4"/>
    <s v="EndOfSeasonSale"/>
    <n v="0.12277759141227776"/>
  </r>
  <r>
    <s v="P111"/>
    <x v="1"/>
    <s v="2024-11-23"/>
    <x v="4"/>
    <s v="Explore the latest image on Myntra! Trendy styles await."/>
    <n v="2719"/>
    <n v="17"/>
    <n v="285"/>
    <n v="40785"/>
    <n v="40281"/>
    <x v="97"/>
    <x v="1"/>
    <x v="4"/>
    <s v="MyntraFestiveEdit"/>
    <n v="7.4071349760941527E-2"/>
  </r>
  <r>
    <s v="P112"/>
    <x v="0"/>
    <s v="2024-10-05"/>
    <x v="2"/>
    <s v="Explore the latest story on Myntra! Trendy styles await."/>
    <n v="1957"/>
    <n v="877"/>
    <n v="238"/>
    <n v="17613"/>
    <n v="16865"/>
    <x v="81"/>
    <x v="1"/>
    <x v="1"/>
    <s v="MyntraFestiveEdit"/>
    <n v="0.17441662408448305"/>
  </r>
  <r>
    <s v="P113"/>
    <x v="0"/>
    <s v="2024-10-02"/>
    <x v="3"/>
    <s v="Explore the latest carousel on Myntra! Trendy styles await."/>
    <n v="4419"/>
    <n v="236"/>
    <n v="369"/>
    <n v="44190"/>
    <n v="43582"/>
    <x v="98"/>
    <x v="3"/>
    <x v="0"/>
    <s v="StyleRevolution"/>
    <n v="0.11369088028965829"/>
  </r>
  <r>
    <s v="P114"/>
    <x v="0"/>
    <s v="2024-11-14"/>
    <x v="2"/>
    <s v="Explore the latest story on Myntra! Trendy styles await."/>
    <n v="4000"/>
    <n v="689"/>
    <n v="488"/>
    <n v="40000"/>
    <n v="39569"/>
    <x v="99"/>
    <x v="4"/>
    <x v="2"/>
    <s v="MyntraFestiveEdit"/>
    <n v="0.12942500000000001"/>
  </r>
  <r>
    <s v="P115"/>
    <x v="0"/>
    <s v="2025-05-11"/>
    <x v="4"/>
    <s v="Explore the latest image on Myntra! Trendy styles await."/>
    <n v="2493"/>
    <n v="97"/>
    <n v="44"/>
    <n v="42381"/>
    <n v="41991"/>
    <x v="78"/>
    <x v="0"/>
    <x v="4"/>
    <s v="FashionUpgrade"/>
    <n v="6.2150491965739366E-2"/>
  </r>
  <r>
    <s v="P116"/>
    <x v="1"/>
    <s v="2025-03-18"/>
    <x v="0"/>
    <s v="Explore the latest reel on Myntra! Trendy styles await."/>
    <n v="3704"/>
    <n v="186"/>
    <n v="458"/>
    <n v="25928"/>
    <n v="25081"/>
    <x v="8"/>
    <x v="2"/>
    <x v="0"/>
    <s v="FashionUpgrade"/>
    <n v="0.16769515581610614"/>
  </r>
  <r>
    <s v="P117"/>
    <x v="0"/>
    <s v="2024-11-04"/>
    <x v="4"/>
    <s v="Explore the latest image on Myntra! Trendy styles await."/>
    <n v="1606"/>
    <n v="451"/>
    <n v="405"/>
    <n v="20878"/>
    <n v="20190"/>
    <x v="100"/>
    <x v="0"/>
    <x v="4"/>
    <s v="EndOfSeasonSale"/>
    <n v="0.11792317271769326"/>
  </r>
  <r>
    <s v="P118"/>
    <x v="3"/>
    <s v="2024-11-04"/>
    <x v="4"/>
    <s v="Explore the latest image on Myntra! Trendy styles await."/>
    <n v="4551"/>
    <n v="714"/>
    <n v="207"/>
    <n v="68265"/>
    <n v="67754"/>
    <x v="101"/>
    <x v="3"/>
    <x v="0"/>
    <s v="EndOfSeasonSale"/>
    <n v="8.0158206987475278E-2"/>
  </r>
  <r>
    <s v="P119"/>
    <x v="2"/>
    <s v="2025-02-07"/>
    <x v="0"/>
    <s v="Explore the latest reel on Myntra! Trendy styles await."/>
    <n v="1970"/>
    <n v="675"/>
    <n v="478"/>
    <n v="9850"/>
    <n v="8924"/>
    <x v="1"/>
    <x v="3"/>
    <x v="0"/>
    <s v="StyleRevolution"/>
    <n v="0.31705583756345179"/>
  </r>
  <r>
    <s v="P120"/>
    <x v="3"/>
    <s v="2024-10-21"/>
    <x v="2"/>
    <s v="Explore the latest story on Myntra! Trendy styles await."/>
    <n v="780"/>
    <n v="928"/>
    <n v="301"/>
    <n v="8580"/>
    <n v="8081"/>
    <x v="102"/>
    <x v="0"/>
    <x v="2"/>
    <s v="StyleRevolution"/>
    <n v="0.23414918414918415"/>
  </r>
  <r>
    <s v="P121"/>
    <x v="2"/>
    <s v="2024-07-29"/>
    <x v="2"/>
    <s v="Explore the latest story on Myntra! Trendy styles await."/>
    <n v="498"/>
    <n v="701"/>
    <n v="412"/>
    <n v="4980"/>
    <n v="4185"/>
    <x v="103"/>
    <x v="4"/>
    <x v="4"/>
    <s v="StyleRevolution"/>
    <n v="0.32349397590361445"/>
  </r>
  <r>
    <s v="P122"/>
    <x v="2"/>
    <s v="2024-10-02"/>
    <x v="1"/>
    <s v="Explore the latest text on Myntra! Trendy styles await."/>
    <n v="3432"/>
    <n v="869"/>
    <n v="123"/>
    <n v="54912"/>
    <n v="53916"/>
    <x v="104"/>
    <x v="1"/>
    <x v="5"/>
    <s v="EndOfSeasonSale"/>
    <n v="8.0565268065268064E-2"/>
  </r>
  <r>
    <s v="P123"/>
    <x v="2"/>
    <s v="2024-06-14"/>
    <x v="2"/>
    <s v="Explore the latest story on Myntra! Trendy styles await."/>
    <n v="4363"/>
    <n v="649"/>
    <n v="140"/>
    <n v="21815"/>
    <n v="21481"/>
    <x v="105"/>
    <x v="0"/>
    <x v="2"/>
    <s v="EndOfSeasonSale"/>
    <n v="0.23616777446710979"/>
  </r>
  <r>
    <s v="P124"/>
    <x v="1"/>
    <s v="2025-04-06"/>
    <x v="3"/>
    <s v="Explore the latest carousel on Myntra! Trendy styles await."/>
    <n v="736"/>
    <n v="771"/>
    <n v="225"/>
    <n v="5152"/>
    <n v="4706"/>
    <x v="17"/>
    <x v="2"/>
    <x v="0"/>
    <s v="MyntraFestiveEdit"/>
    <n v="0.33618012422360249"/>
  </r>
  <r>
    <s v="P125"/>
    <x v="0"/>
    <s v="2024-09-08"/>
    <x v="3"/>
    <s v="Explore the latest carousel on Myntra! Trendy styles await."/>
    <n v="3811"/>
    <n v="866"/>
    <n v="216"/>
    <n v="34299"/>
    <n v="34088"/>
    <x v="106"/>
    <x v="2"/>
    <x v="0"/>
    <s v="MyntraFestiveEdit"/>
    <n v="0.14265722032712325"/>
  </r>
  <r>
    <s v="P126"/>
    <x v="2"/>
    <s v="2025-03-28"/>
    <x v="3"/>
    <s v="Explore the latest carousel on Myntra! Trendy styles await."/>
    <n v="4158"/>
    <n v="167"/>
    <n v="241"/>
    <n v="45738"/>
    <n v="45183"/>
    <x v="107"/>
    <x v="1"/>
    <x v="0"/>
    <s v="EndOfSeasonSale"/>
    <n v="9.9829463465827106E-2"/>
  </r>
  <r>
    <s v="P127"/>
    <x v="3"/>
    <s v="2025-01-27"/>
    <x v="0"/>
    <s v="Explore the latest reel on Myntra! Trendy styles await."/>
    <n v="3452"/>
    <n v="652"/>
    <n v="442"/>
    <n v="65588"/>
    <n v="65049"/>
    <x v="108"/>
    <x v="0"/>
    <x v="4"/>
    <s v="FashionUpgrade"/>
    <n v="6.9311459413307311E-2"/>
  </r>
  <r>
    <s v="P128"/>
    <x v="0"/>
    <s v="2025-01-10"/>
    <x v="4"/>
    <s v="Explore the latest image on Myntra! Trendy styles await."/>
    <n v="3092"/>
    <n v="106"/>
    <n v="291"/>
    <n v="27828"/>
    <n v="27217"/>
    <x v="109"/>
    <x v="2"/>
    <x v="0"/>
    <s v="StyleRevolution"/>
    <n v="0.12537731780940059"/>
  </r>
  <r>
    <s v="P129"/>
    <x v="0"/>
    <s v="2024-07-21"/>
    <x v="1"/>
    <s v="Explore the latest text on Myntra! Trendy styles await."/>
    <n v="2147"/>
    <n v="430"/>
    <n v="393"/>
    <n v="17176"/>
    <n v="16483"/>
    <x v="110"/>
    <x v="4"/>
    <x v="0"/>
    <s v="StyleRevolution"/>
    <n v="0.17291569632044715"/>
  </r>
  <r>
    <s v="P130"/>
    <x v="1"/>
    <s v="2024-09-29"/>
    <x v="0"/>
    <s v="Explore the latest reel on Myntra! Trendy styles await."/>
    <n v="2936"/>
    <n v="439"/>
    <n v="44"/>
    <n v="38168"/>
    <n v="37571"/>
    <x v="111"/>
    <x v="0"/>
    <x v="0"/>
    <s v="MyntraFestiveEdit"/>
    <n v="8.9577656675749323E-2"/>
  </r>
  <r>
    <s v="P131"/>
    <x v="2"/>
    <s v="2024-10-21"/>
    <x v="0"/>
    <s v="Explore the latest reel on Myntra! Trendy styles await."/>
    <n v="4840"/>
    <n v="658"/>
    <n v="211"/>
    <n v="43560"/>
    <n v="43225"/>
    <x v="101"/>
    <x v="0"/>
    <x v="2"/>
    <s v="EndOfSeasonSale"/>
    <n v="0.13106060606060607"/>
  </r>
  <r>
    <s v="P132"/>
    <x v="2"/>
    <s v="2025-03-04"/>
    <x v="2"/>
    <s v="Explore the latest story on Myntra! Trendy styles await."/>
    <n v="1947"/>
    <n v="842"/>
    <n v="101"/>
    <n v="21417"/>
    <n v="20967"/>
    <x v="112"/>
    <x v="1"/>
    <x v="0"/>
    <s v="EndOfSeasonSale"/>
    <n v="0.13493953401503478"/>
  </r>
  <r>
    <s v="P133"/>
    <x v="3"/>
    <s v="2025-02-06"/>
    <x v="4"/>
    <s v="Explore the latest image on Myntra! Trendy styles await."/>
    <n v="2072"/>
    <n v="532"/>
    <n v="71"/>
    <n v="37296"/>
    <n v="36467"/>
    <x v="19"/>
    <x v="0"/>
    <x v="0"/>
    <s v="MyntraFestiveEdit"/>
    <n v="7.172350922350923E-2"/>
  </r>
  <r>
    <s v="P134"/>
    <x v="0"/>
    <s v="2025-04-24"/>
    <x v="0"/>
    <s v="Explore the latest reel on Myntra! Trendy styles await."/>
    <n v="3731"/>
    <n v="115"/>
    <n v="135"/>
    <n v="55965"/>
    <n v="55436"/>
    <x v="18"/>
    <x v="4"/>
    <x v="0"/>
    <s v="StyleRevolution"/>
    <n v="7.1133744304476013E-2"/>
  </r>
  <r>
    <s v="P135"/>
    <x v="3"/>
    <s v="2024-11-28"/>
    <x v="1"/>
    <s v="Explore the latest text on Myntra! Trendy styles await."/>
    <n v="4213"/>
    <n v="253"/>
    <n v="434"/>
    <n v="75834"/>
    <n v="75437"/>
    <x v="113"/>
    <x v="3"/>
    <x v="0"/>
    <s v="MyntraFestiveEdit"/>
    <n v="6.461481657304112E-2"/>
  </r>
  <r>
    <s v="P136"/>
    <x v="2"/>
    <s v="2024-07-11"/>
    <x v="1"/>
    <s v="Explore the latest text on Myntra! Trendy styles await."/>
    <n v="3134"/>
    <n v="888"/>
    <n v="444"/>
    <n v="21938"/>
    <n v="21337"/>
    <x v="114"/>
    <x v="0"/>
    <x v="2"/>
    <s v="StyleRevolution"/>
    <n v="0.20357370772176134"/>
  </r>
  <r>
    <s v="P137"/>
    <x v="3"/>
    <s v="2024-07-31"/>
    <x v="5"/>
    <s v="Explore the latest video on Myntra! Trendy styles await."/>
    <n v="3008"/>
    <n v="94"/>
    <n v="37"/>
    <n v="15040"/>
    <n v="14639"/>
    <x v="115"/>
    <x v="4"/>
    <x v="0"/>
    <s v="FashionUpgrade"/>
    <n v="0.20871010638297871"/>
  </r>
  <r>
    <s v="P138"/>
    <x v="0"/>
    <s v="2025-03-29"/>
    <x v="4"/>
    <s v="Explore the latest image on Myntra! Trendy styles await."/>
    <n v="305"/>
    <n v="187"/>
    <n v="243"/>
    <n v="4575"/>
    <n v="3704"/>
    <x v="116"/>
    <x v="1"/>
    <x v="5"/>
    <s v="StyleRevolution"/>
    <n v="0.16065573770491803"/>
  </r>
  <r>
    <s v="P139"/>
    <x v="1"/>
    <s v="2024-10-29"/>
    <x v="1"/>
    <s v="Explore the latest text on Myntra! Trendy styles await."/>
    <n v="2746"/>
    <n v="156"/>
    <n v="203"/>
    <n v="32952"/>
    <n v="32147"/>
    <x v="117"/>
    <x v="1"/>
    <x v="4"/>
    <s v="EndOfSeasonSale"/>
    <n v="9.422796795338674E-2"/>
  </r>
  <r>
    <s v="P140"/>
    <x v="3"/>
    <s v="2024-07-15"/>
    <x v="4"/>
    <s v="Explore the latest image on Myntra! Trendy styles await."/>
    <n v="2291"/>
    <n v="78"/>
    <n v="485"/>
    <n v="18328"/>
    <n v="18101"/>
    <x v="98"/>
    <x v="4"/>
    <x v="0"/>
    <s v="FashionUpgrade"/>
    <n v="0.15571802706241816"/>
  </r>
  <r>
    <s v="P141"/>
    <x v="0"/>
    <s v="2024-08-31"/>
    <x v="4"/>
    <s v="Explore the latest image on Myntra! Trendy styles await."/>
    <n v="3170"/>
    <n v="857"/>
    <n v="379"/>
    <n v="19020"/>
    <n v="18559"/>
    <x v="118"/>
    <x v="0"/>
    <x v="0"/>
    <s v="MyntraFestiveEdit"/>
    <n v="0.2316508937960042"/>
  </r>
  <r>
    <s v="P142"/>
    <x v="1"/>
    <s v="2025-03-25"/>
    <x v="2"/>
    <s v="Explore the latest story on Myntra! Trendy styles await."/>
    <n v="2070"/>
    <n v="275"/>
    <n v="386"/>
    <n v="39330"/>
    <n v="38627"/>
    <x v="12"/>
    <x v="0"/>
    <x v="0"/>
    <s v="StyleRevolution"/>
    <n v="6.9438087973557078E-2"/>
  </r>
  <r>
    <s v="P143"/>
    <x v="1"/>
    <s v="2024-10-02"/>
    <x v="3"/>
    <s v="Explore the latest carousel on Myntra! Trendy styles await."/>
    <n v="80"/>
    <n v="362"/>
    <n v="80"/>
    <n v="1040"/>
    <n v="349"/>
    <x v="1"/>
    <x v="1"/>
    <x v="4"/>
    <s v="EndOfSeasonSale"/>
    <n v="0.50192307692307692"/>
  </r>
  <r>
    <s v="P144"/>
    <x v="1"/>
    <s v="2024-10-28"/>
    <x v="2"/>
    <s v="Explore the latest story on Myntra! Trendy styles await."/>
    <n v="4929"/>
    <n v="749"/>
    <n v="452"/>
    <n v="93651"/>
    <n v="92810"/>
    <x v="119"/>
    <x v="3"/>
    <x v="4"/>
    <s v="FashionUpgrade"/>
    <n v="6.5455787978772245E-2"/>
  </r>
  <r>
    <s v="P145"/>
    <x v="2"/>
    <s v="2024-08-12"/>
    <x v="3"/>
    <s v="Explore the latest carousel on Myntra! Trendy styles await."/>
    <n v="1878"/>
    <n v="62"/>
    <n v="179"/>
    <n v="37560"/>
    <n v="36874"/>
    <x v="107"/>
    <x v="4"/>
    <x v="5"/>
    <s v="FashionUpgrade"/>
    <n v="5.6416400425985093E-2"/>
  </r>
  <r>
    <s v="P146"/>
    <x v="1"/>
    <s v="2024-06-05"/>
    <x v="0"/>
    <s v="Explore the latest reel on Myntra! Trendy styles await."/>
    <n v="3065"/>
    <n v="772"/>
    <n v="142"/>
    <n v="18390"/>
    <n v="17875"/>
    <x v="76"/>
    <x v="2"/>
    <x v="0"/>
    <s v="FashionUpgrade"/>
    <n v="0.21636759108210984"/>
  </r>
  <r>
    <s v="P147"/>
    <x v="2"/>
    <s v="2024-10-21"/>
    <x v="0"/>
    <s v="Explore the latest reel on Myntra! Trendy styles await."/>
    <n v="3256"/>
    <n v="459"/>
    <n v="266"/>
    <n v="26048"/>
    <n v="25529"/>
    <x v="120"/>
    <x v="0"/>
    <x v="4"/>
    <s v="MyntraFestiveEdit"/>
    <n v="0.15283323095823095"/>
  </r>
  <r>
    <s v="P148"/>
    <x v="2"/>
    <s v="2025-04-15"/>
    <x v="5"/>
    <s v="Explore the latest video on Myntra! Trendy styles await."/>
    <n v="4133"/>
    <n v="466"/>
    <n v="327"/>
    <n v="24798"/>
    <n v="24620"/>
    <x v="43"/>
    <x v="2"/>
    <x v="0"/>
    <s v="EndOfSeasonSale"/>
    <n v="0.19864505202032423"/>
  </r>
  <r>
    <s v="P149"/>
    <x v="0"/>
    <s v="2024-06-16"/>
    <x v="5"/>
    <s v="Explore the latest video on Myntra! Trendy styles await."/>
    <n v="1702"/>
    <n v="750"/>
    <n v="179"/>
    <n v="34040"/>
    <n v="33174"/>
    <x v="121"/>
    <x v="3"/>
    <x v="0"/>
    <s v="MyntraFestiveEdit"/>
    <n v="7.7291421856639245E-2"/>
  </r>
  <r>
    <s v="P150"/>
    <x v="1"/>
    <s v="2024-08-22"/>
    <x v="3"/>
    <s v="Explore the latest carousel on Myntra! Trendy styles await."/>
    <n v="4295"/>
    <n v="853"/>
    <n v="325"/>
    <n v="85900"/>
    <n v="85788"/>
    <x v="122"/>
    <x v="3"/>
    <x v="1"/>
    <s v="EndOfSeasonSale"/>
    <n v="6.3713620488940623E-2"/>
  </r>
  <r>
    <s v="P151"/>
    <x v="2"/>
    <s v="2024-07-26"/>
    <x v="4"/>
    <s v="Explore the latest image on Myntra! Trendy styles await."/>
    <n v="3559"/>
    <n v="59"/>
    <n v="289"/>
    <n v="35590"/>
    <n v="35105"/>
    <x v="123"/>
    <x v="3"/>
    <x v="4"/>
    <s v="MyntraFestiveEdit"/>
    <n v="0.10977802753582468"/>
  </r>
  <r>
    <s v="P152"/>
    <x v="3"/>
    <s v="2025-04-22"/>
    <x v="4"/>
    <s v="Explore the latest image on Myntra! Trendy styles await."/>
    <n v="4804"/>
    <n v="550"/>
    <n v="270"/>
    <n v="28824"/>
    <n v="28370"/>
    <x v="124"/>
    <x v="0"/>
    <x v="4"/>
    <s v="StyleRevolution"/>
    <n v="0.19511518179295032"/>
  </r>
  <r>
    <s v="P153"/>
    <x v="0"/>
    <s v="2025-01-01"/>
    <x v="5"/>
    <s v="Explore the latest video on Myntra! Trendy styles await."/>
    <n v="754"/>
    <n v="197"/>
    <n v="257"/>
    <n v="6786"/>
    <n v="6221"/>
    <x v="90"/>
    <x v="4"/>
    <x v="5"/>
    <s v="MyntraFestiveEdit"/>
    <n v="0.17801355732390214"/>
  </r>
  <r>
    <s v="P154"/>
    <x v="2"/>
    <s v="2024-10-09"/>
    <x v="3"/>
    <s v="Explore the latest carousel on Myntra! Trendy styles await."/>
    <n v="985"/>
    <n v="932"/>
    <n v="287"/>
    <n v="6895"/>
    <n v="6757"/>
    <x v="125"/>
    <x v="0"/>
    <x v="2"/>
    <s v="EndOfSeasonSale"/>
    <n v="0.31965192168237855"/>
  </r>
  <r>
    <s v="P155"/>
    <x v="1"/>
    <s v="2024-12-21"/>
    <x v="4"/>
    <s v="Explore the latest image on Myntra! Trendy styles await."/>
    <n v="2283"/>
    <n v="210"/>
    <n v="130"/>
    <n v="22830"/>
    <n v="22617"/>
    <x v="120"/>
    <x v="1"/>
    <x v="4"/>
    <s v="MyntraFestiveEdit"/>
    <n v="0.11489268506351293"/>
  </r>
  <r>
    <s v="P156"/>
    <x v="3"/>
    <s v="2024-10-22"/>
    <x v="3"/>
    <s v="Explore the latest carousel on Myntra! Trendy styles await."/>
    <n v="3352"/>
    <n v="941"/>
    <n v="482"/>
    <n v="43576"/>
    <n v="43338"/>
    <x v="118"/>
    <x v="3"/>
    <x v="0"/>
    <s v="MyntraFestiveEdit"/>
    <n v="0.1095786671562328"/>
  </r>
  <r>
    <s v="P157"/>
    <x v="1"/>
    <s v="2024-07-23"/>
    <x v="2"/>
    <s v="Explore the latest story on Myntra! Trendy styles await."/>
    <n v="4775"/>
    <n v="173"/>
    <n v="206"/>
    <n v="47750"/>
    <n v="47544"/>
    <x v="126"/>
    <x v="2"/>
    <x v="5"/>
    <s v="StyleRevolution"/>
    <n v="0.10793717277486911"/>
  </r>
  <r>
    <s v="P158"/>
    <x v="2"/>
    <s v="2024-08-11"/>
    <x v="2"/>
    <s v="Explore the latest story on Myntra! Trendy styles await."/>
    <n v="1762"/>
    <n v="405"/>
    <n v="423"/>
    <n v="22906"/>
    <n v="21925"/>
    <x v="19"/>
    <x v="4"/>
    <x v="0"/>
    <s v="EndOfSeasonSale"/>
    <n v="0.11307081114118571"/>
  </r>
  <r>
    <s v="P159"/>
    <x v="3"/>
    <s v="2024-11-25"/>
    <x v="2"/>
    <s v="Explore the latest story on Myntra! Trendy styles await."/>
    <n v="2120"/>
    <n v="158"/>
    <n v="488"/>
    <n v="12720"/>
    <n v="12085"/>
    <x v="86"/>
    <x v="2"/>
    <x v="5"/>
    <s v="EndOfSeasonSale"/>
    <n v="0.21745283018867925"/>
  </r>
  <r>
    <s v="P160"/>
    <x v="0"/>
    <s v="2024-08-24"/>
    <x v="5"/>
    <s v="Explore the latest video on Myntra! Trendy styles await."/>
    <n v="1082"/>
    <n v="209"/>
    <n v="484"/>
    <n v="19476"/>
    <n v="18654"/>
    <x v="14"/>
    <x v="2"/>
    <x v="0"/>
    <s v="StyleRevolution"/>
    <n v="9.1137810638734856E-2"/>
  </r>
  <r>
    <s v="P161"/>
    <x v="0"/>
    <s v="2025-02-19"/>
    <x v="1"/>
    <s v="Explore the latest text on Myntra! Trendy styles await."/>
    <n v="4671"/>
    <n v="876"/>
    <n v="366"/>
    <n v="51381"/>
    <n v="50565"/>
    <x v="127"/>
    <x v="0"/>
    <x v="0"/>
    <s v="EndOfSeasonSale"/>
    <n v="0.11508145034156594"/>
  </r>
  <r>
    <s v="P162"/>
    <x v="3"/>
    <s v="2025-04-01"/>
    <x v="2"/>
    <s v="Explore the latest story on Myntra! Trendy styles await."/>
    <n v="3430"/>
    <n v="566"/>
    <n v="164"/>
    <n v="48020"/>
    <n v="47305"/>
    <x v="128"/>
    <x v="3"/>
    <x v="0"/>
    <s v="EndOfSeasonSale"/>
    <n v="8.6630570595585168E-2"/>
  </r>
  <r>
    <s v="P163"/>
    <x v="2"/>
    <s v="2025-04-08"/>
    <x v="4"/>
    <s v="Explore the latest image on Myntra! Trendy styles await."/>
    <n v="4501"/>
    <n v="375"/>
    <n v="323"/>
    <n v="22505"/>
    <n v="21836"/>
    <x v="129"/>
    <x v="1"/>
    <x v="0"/>
    <s v="StyleRevolution"/>
    <n v="0.23101532992668297"/>
  </r>
  <r>
    <s v="P164"/>
    <x v="1"/>
    <s v="2025-02-27"/>
    <x v="1"/>
    <s v="Explore the latest text on Myntra! Trendy styles await."/>
    <n v="4934"/>
    <n v="971"/>
    <n v="156"/>
    <n v="39472"/>
    <n v="39025"/>
    <x v="54"/>
    <x v="4"/>
    <x v="4"/>
    <s v="EndOfSeasonSale"/>
    <n v="0.15355188488042157"/>
  </r>
  <r>
    <s v="P165"/>
    <x v="0"/>
    <s v="2024-12-11"/>
    <x v="1"/>
    <s v="Explore the latest text on Myntra! Trendy styles await."/>
    <n v="3239"/>
    <n v="43"/>
    <n v="211"/>
    <n v="22673"/>
    <n v="22171"/>
    <x v="77"/>
    <x v="3"/>
    <x v="4"/>
    <s v="EndOfSeasonSale"/>
    <n v="0.15405989502933004"/>
  </r>
  <r>
    <s v="P166"/>
    <x v="0"/>
    <s v="2025-02-16"/>
    <x v="0"/>
    <s v="Explore the latest reel on Myntra! Trendy styles await."/>
    <n v="1076"/>
    <n v="313"/>
    <n v="306"/>
    <n v="11836"/>
    <n v="11596"/>
    <x v="130"/>
    <x v="4"/>
    <x v="0"/>
    <s v="EndOfSeasonSale"/>
    <n v="0.14320716458262928"/>
  </r>
  <r>
    <s v="P167"/>
    <x v="2"/>
    <s v="2024-11-28"/>
    <x v="1"/>
    <s v="Explore the latest text on Myntra! Trendy styles await."/>
    <n v="4771"/>
    <n v="818"/>
    <n v="56"/>
    <n v="57252"/>
    <n v="56378"/>
    <x v="83"/>
    <x v="0"/>
    <x v="0"/>
    <s v="EndOfSeasonSale"/>
    <n v="9.859917557465242E-2"/>
  </r>
  <r>
    <s v="P168"/>
    <x v="3"/>
    <s v="2024-11-12"/>
    <x v="1"/>
    <s v="Explore the latest text on Myntra! Trendy styles await."/>
    <n v="2418"/>
    <n v="754"/>
    <n v="54"/>
    <n v="43524"/>
    <n v="42743"/>
    <x v="94"/>
    <x v="1"/>
    <x v="5"/>
    <s v="StyleRevolution"/>
    <n v="7.412002573292896E-2"/>
  </r>
  <r>
    <s v="P169"/>
    <x v="1"/>
    <s v="2024-12-03"/>
    <x v="5"/>
    <s v="Explore the latest video on Myntra! Trendy styles await."/>
    <n v="3809"/>
    <n v="273"/>
    <n v="200"/>
    <n v="34281"/>
    <n v="33534"/>
    <x v="20"/>
    <x v="3"/>
    <x v="0"/>
    <s v="MyntraFestiveEdit"/>
    <n v="0.12490884163239112"/>
  </r>
  <r>
    <s v="P170"/>
    <x v="0"/>
    <s v="2025-04-28"/>
    <x v="1"/>
    <s v="Explore the latest text on Myntra! Trendy styles await."/>
    <n v="3577"/>
    <n v="596"/>
    <n v="493"/>
    <n v="67963"/>
    <n v="67839"/>
    <x v="131"/>
    <x v="2"/>
    <x v="5"/>
    <s v="StyleRevolution"/>
    <n v="6.8655003457763777E-2"/>
  </r>
  <r>
    <s v="P171"/>
    <x v="1"/>
    <s v="2024-12-31"/>
    <x v="5"/>
    <s v="Explore the latest video on Myntra! Trendy styles await."/>
    <n v="1018"/>
    <n v="447"/>
    <n v="332"/>
    <n v="18324"/>
    <n v="18164"/>
    <x v="132"/>
    <x v="0"/>
    <x v="2"/>
    <s v="StyleRevolution"/>
    <n v="9.8068107400130972E-2"/>
  </r>
  <r>
    <s v="P172"/>
    <x v="3"/>
    <s v="2024-08-14"/>
    <x v="3"/>
    <s v="Explore the latest carousel on Myntra! Trendy styles await."/>
    <n v="3073"/>
    <n v="553"/>
    <n v="174"/>
    <n v="52241"/>
    <n v="51605"/>
    <x v="133"/>
    <x v="1"/>
    <x v="4"/>
    <s v="StyleRevolution"/>
    <n v="7.2739802071170159E-2"/>
  </r>
  <r>
    <s v="P173"/>
    <x v="0"/>
    <s v="2024-12-05"/>
    <x v="5"/>
    <s v="Explore the latest video on Myntra! Trendy styles await."/>
    <n v="1330"/>
    <n v="925"/>
    <n v="35"/>
    <n v="15960"/>
    <n v="15379"/>
    <x v="134"/>
    <x v="4"/>
    <x v="5"/>
    <s v="StyleRevolution"/>
    <n v="0.14348370927318296"/>
  </r>
  <r>
    <s v="P174"/>
    <x v="3"/>
    <s v="2024-06-22"/>
    <x v="1"/>
    <s v="Explore the latest text on Myntra! Trendy styles await."/>
    <n v="3828"/>
    <n v="148"/>
    <n v="253"/>
    <n v="30624"/>
    <n v="30229"/>
    <x v="6"/>
    <x v="0"/>
    <x v="4"/>
    <s v="StyleRevolution"/>
    <n v="0.13809430512016718"/>
  </r>
  <r>
    <s v="P175"/>
    <x v="2"/>
    <s v="2025-01-17"/>
    <x v="0"/>
    <s v="Explore the latest reel on Myntra! Trendy styles await."/>
    <n v="142"/>
    <n v="784"/>
    <n v="183"/>
    <n v="1704"/>
    <n v="995"/>
    <x v="135"/>
    <x v="0"/>
    <x v="0"/>
    <s v="FashionUpgrade"/>
    <n v="0.6508215962441315"/>
  </r>
  <r>
    <s v="P176"/>
    <x v="3"/>
    <s v="2024-06-20"/>
    <x v="5"/>
    <s v="Explore the latest video on Myntra! Trendy styles await."/>
    <n v="3798"/>
    <n v="31"/>
    <n v="279"/>
    <n v="75960"/>
    <n v="75813"/>
    <x v="73"/>
    <x v="1"/>
    <x v="0"/>
    <s v="EndOfSeasonSale"/>
    <n v="5.4081095313322801E-2"/>
  </r>
  <r>
    <s v="P177"/>
    <x v="2"/>
    <s v="2024-07-10"/>
    <x v="3"/>
    <s v="Explore the latest carousel on Myntra! Trendy styles await."/>
    <n v="3099"/>
    <n v="694"/>
    <n v="171"/>
    <n v="43386"/>
    <n v="42921"/>
    <x v="51"/>
    <x v="4"/>
    <x v="0"/>
    <s v="StyleRevolution"/>
    <n v="9.1365878393951966E-2"/>
  </r>
  <r>
    <s v="P178"/>
    <x v="2"/>
    <s v="2024-11-07"/>
    <x v="5"/>
    <s v="Explore the latest video on Myntra! Trendy styles await."/>
    <n v="129"/>
    <n v="643"/>
    <n v="136"/>
    <n v="1290"/>
    <n v="839"/>
    <x v="24"/>
    <x v="2"/>
    <x v="3"/>
    <s v="StyleRevolution"/>
    <n v="0.70387596899224802"/>
  </r>
  <r>
    <s v="P179"/>
    <x v="3"/>
    <s v="2024-07-15"/>
    <x v="3"/>
    <s v="Explore the latest carousel on Myntra! Trendy styles await."/>
    <n v="3796"/>
    <n v="667"/>
    <n v="395"/>
    <n v="64532"/>
    <n v="63550"/>
    <x v="136"/>
    <x v="2"/>
    <x v="0"/>
    <s v="FashionUpgrade"/>
    <n v="7.5280481001673588E-2"/>
  </r>
  <r>
    <s v="P180"/>
    <x v="1"/>
    <s v="2024-12-03"/>
    <x v="1"/>
    <s v="Explore the latest text on Myntra! Trendy styles await."/>
    <n v="3711"/>
    <n v="352"/>
    <n v="290"/>
    <n v="48243"/>
    <n v="47579"/>
    <x v="50"/>
    <x v="2"/>
    <x v="3"/>
    <s v="StyleRevolution"/>
    <n v="9.023070704558174E-2"/>
  </r>
  <r>
    <s v="P181"/>
    <x v="1"/>
    <s v="2025-03-21"/>
    <x v="4"/>
    <s v="Explore the latest image on Myntra! Trendy styles await."/>
    <n v="606"/>
    <n v="789"/>
    <n v="470"/>
    <n v="7878"/>
    <n v="7389"/>
    <x v="137"/>
    <x v="0"/>
    <x v="0"/>
    <s v="EndOfSeasonSale"/>
    <n v="0.23673521198273673"/>
  </r>
  <r>
    <s v="P182"/>
    <x v="3"/>
    <s v="2024-07-31"/>
    <x v="4"/>
    <s v="Explore the latest image on Myntra! Trendy styles await."/>
    <n v="4689"/>
    <n v="134"/>
    <n v="403"/>
    <n v="51579"/>
    <n v="50924"/>
    <x v="87"/>
    <x v="4"/>
    <x v="0"/>
    <s v="FashionUpgrade"/>
    <n v="0.10132030477519921"/>
  </r>
  <r>
    <s v="P183"/>
    <x v="2"/>
    <s v="2024-12-17"/>
    <x v="2"/>
    <s v="Explore the latest story on Myntra! Trendy styles await."/>
    <n v="360"/>
    <n v="590"/>
    <n v="393"/>
    <n v="4680"/>
    <n v="4322"/>
    <x v="138"/>
    <x v="2"/>
    <x v="3"/>
    <s v="EndOfSeasonSale"/>
    <n v="0.28696581196581195"/>
  </r>
  <r>
    <s v="P184"/>
    <x v="0"/>
    <s v="2024-07-28"/>
    <x v="4"/>
    <s v="Explore the latest image on Myntra! Trendy styles await."/>
    <n v="3215"/>
    <n v="960"/>
    <n v="202"/>
    <n v="32150"/>
    <n v="31404"/>
    <x v="139"/>
    <x v="2"/>
    <x v="0"/>
    <s v="MyntraFestiveEdit"/>
    <n v="0.13614307931570763"/>
  </r>
  <r>
    <s v="P185"/>
    <x v="2"/>
    <s v="2025-01-11"/>
    <x v="3"/>
    <s v="Explore the latest carousel on Myntra! Trendy styles await."/>
    <n v="4523"/>
    <n v="61"/>
    <n v="157"/>
    <n v="49753"/>
    <n v="49329"/>
    <x v="140"/>
    <x v="0"/>
    <x v="5"/>
    <s v="StyleRevolution"/>
    <n v="9.5290736237010829E-2"/>
  </r>
  <r>
    <s v="P186"/>
    <x v="3"/>
    <s v="2024-08-24"/>
    <x v="3"/>
    <s v="Explore the latest carousel on Myntra! Trendy styles await."/>
    <n v="4292"/>
    <n v="51"/>
    <n v="392"/>
    <n v="55796"/>
    <n v="54826"/>
    <x v="104"/>
    <x v="3"/>
    <x v="4"/>
    <s v="FashionUpgrade"/>
    <n v="8.4862714173059003E-2"/>
  </r>
  <r>
    <s v="P187"/>
    <x v="0"/>
    <s v="2024-12-22"/>
    <x v="0"/>
    <s v="Explore the latest reel on Myntra! Trendy styles await."/>
    <n v="1644"/>
    <n v="546"/>
    <n v="150"/>
    <n v="27948"/>
    <n v="27184"/>
    <x v="141"/>
    <x v="0"/>
    <x v="5"/>
    <s v="FashionUpgrade"/>
    <n v="8.3726921425504502E-2"/>
  </r>
  <r>
    <s v="P188"/>
    <x v="1"/>
    <s v="2024-06-06"/>
    <x v="0"/>
    <s v="Explore the latest reel on Myntra! Trendy styles await."/>
    <n v="2728"/>
    <n v="533"/>
    <n v="215"/>
    <n v="40920"/>
    <n v="40816"/>
    <x v="41"/>
    <x v="0"/>
    <x v="0"/>
    <s v="EndOfSeasonSale"/>
    <n v="8.4946236559139784E-2"/>
  </r>
  <r>
    <s v="P189"/>
    <x v="3"/>
    <s v="2025-03-24"/>
    <x v="0"/>
    <s v="Explore the latest reel on Myntra! Trendy styles await."/>
    <n v="3360"/>
    <n v="525"/>
    <n v="500"/>
    <n v="60480"/>
    <n v="59610"/>
    <x v="142"/>
    <x v="0"/>
    <x v="4"/>
    <s v="FashionUpgrade"/>
    <n v="7.2503306878306875E-2"/>
  </r>
  <r>
    <s v="P190"/>
    <x v="1"/>
    <s v="2024-10-04"/>
    <x v="1"/>
    <s v="Explore the latest text on Myntra! Trendy styles await."/>
    <n v="1963"/>
    <n v="213"/>
    <n v="19"/>
    <n v="39260"/>
    <n v="38771"/>
    <x v="143"/>
    <x v="2"/>
    <x v="0"/>
    <s v="FashionUpgrade"/>
    <n v="5.5909322465613857E-2"/>
  </r>
  <r>
    <s v="P191"/>
    <x v="1"/>
    <s v="2024-12-03"/>
    <x v="2"/>
    <s v="Explore the latest story on Myntra! Trendy styles await."/>
    <n v="4285"/>
    <n v="886"/>
    <n v="376"/>
    <n v="55705"/>
    <n v="55556"/>
    <x v="26"/>
    <x v="1"/>
    <x v="3"/>
    <s v="StyleRevolution"/>
    <n v="9.9578134817341346E-2"/>
  </r>
  <r>
    <s v="P192"/>
    <x v="2"/>
    <s v="2024-11-29"/>
    <x v="5"/>
    <s v="Explore the latest video on Myntra! Trendy styles await."/>
    <n v="1176"/>
    <n v="464"/>
    <n v="394"/>
    <n v="14112"/>
    <n v="13588"/>
    <x v="113"/>
    <x v="4"/>
    <x v="0"/>
    <s v="FashionUpgrade"/>
    <n v="0.1441326530612245"/>
  </r>
  <r>
    <s v="P193"/>
    <x v="0"/>
    <s v="2024-09-11"/>
    <x v="4"/>
    <s v="Explore the latest image on Myntra! Trendy styles await."/>
    <n v="4858"/>
    <n v="317"/>
    <n v="129"/>
    <n v="53438"/>
    <n v="52687"/>
    <x v="89"/>
    <x v="4"/>
    <x v="5"/>
    <s v="FashionUpgrade"/>
    <n v="9.9255211647142488E-2"/>
  </r>
  <r>
    <s v="P194"/>
    <x v="1"/>
    <s v="2024-10-02"/>
    <x v="2"/>
    <s v="Explore the latest story on Myntra! Trendy styles await."/>
    <n v="4350"/>
    <n v="771"/>
    <n v="7"/>
    <n v="60900"/>
    <n v="60592"/>
    <x v="144"/>
    <x v="4"/>
    <x v="4"/>
    <s v="EndOfSeasonSale"/>
    <n v="8.4203612479474554E-2"/>
  </r>
  <r>
    <s v="P195"/>
    <x v="2"/>
    <s v="2024-08-15"/>
    <x v="3"/>
    <s v="Explore the latest carousel on Myntra! Trendy styles await."/>
    <n v="914"/>
    <n v="464"/>
    <n v="246"/>
    <n v="11882"/>
    <n v="11500"/>
    <x v="30"/>
    <x v="1"/>
    <x v="5"/>
    <s v="MyntraFestiveEdit"/>
    <n v="0.13667732704931829"/>
  </r>
  <r>
    <s v="P196"/>
    <x v="2"/>
    <s v="2024-12-19"/>
    <x v="1"/>
    <s v="Explore the latest text on Myntra! Trendy styles await."/>
    <n v="1813"/>
    <n v="623"/>
    <n v="72"/>
    <n v="19943"/>
    <n v="18959"/>
    <x v="145"/>
    <x v="3"/>
    <x v="2"/>
    <s v="MyntraFestiveEdit"/>
    <n v="0.12575841147269717"/>
  </r>
  <r>
    <s v="P197"/>
    <x v="0"/>
    <s v="2024-10-22"/>
    <x v="0"/>
    <s v="Explore the latest reel on Myntra! Trendy styles await."/>
    <n v="4782"/>
    <n v="721"/>
    <n v="82"/>
    <n v="86076"/>
    <n v="85339"/>
    <x v="17"/>
    <x v="4"/>
    <x v="0"/>
    <s v="EndOfSeasonSale"/>
    <n v="6.4884520656164318E-2"/>
  </r>
  <r>
    <s v="P198"/>
    <x v="0"/>
    <s v="2024-09-14"/>
    <x v="4"/>
    <s v="Explore the latest image on Myntra! Trendy styles await."/>
    <n v="1048"/>
    <n v="374"/>
    <n v="450"/>
    <n v="9432"/>
    <n v="8882"/>
    <x v="108"/>
    <x v="3"/>
    <x v="1"/>
    <s v="EndOfSeasonSale"/>
    <n v="0.19847328244274809"/>
  </r>
  <r>
    <s v="P199"/>
    <x v="1"/>
    <s v="2024-11-30"/>
    <x v="3"/>
    <s v="Explore the latest carousel on Myntra! Trendy styles await."/>
    <n v="2509"/>
    <n v="324"/>
    <n v="171"/>
    <n v="35126"/>
    <n v="34685"/>
    <x v="115"/>
    <x v="4"/>
    <x v="0"/>
    <s v="EndOfSeasonSale"/>
    <n v="8.5520696919660646E-2"/>
  </r>
  <r>
    <s v="P200"/>
    <x v="3"/>
    <s v="2025-04-07"/>
    <x v="0"/>
    <s v="Explore the latest reel on Myntra! Trendy styles await."/>
    <n v="3718"/>
    <n v="385"/>
    <n v="310"/>
    <n v="70642"/>
    <n v="69749"/>
    <x v="106"/>
    <x v="3"/>
    <x v="0"/>
    <s v="FashionUpgrade"/>
    <n v="6.246991874522239E-2"/>
  </r>
  <r>
    <s v="P201"/>
    <x v="0"/>
    <s v="2025-01-15"/>
    <x v="0"/>
    <s v="Explore the latest reel on Myntra! Trendy styles await."/>
    <n v="802"/>
    <n v="262"/>
    <n v="244"/>
    <n v="14436"/>
    <n v="14280"/>
    <x v="146"/>
    <x v="0"/>
    <x v="3"/>
    <s v="StyleRevolution"/>
    <n v="9.0606816292601824E-2"/>
  </r>
  <r>
    <s v="P202"/>
    <x v="3"/>
    <s v="2024-06-02"/>
    <x v="4"/>
    <s v="Explore the latest image on Myntra! Trendy styles await."/>
    <n v="1871"/>
    <n v="252"/>
    <n v="335"/>
    <n v="29936"/>
    <n v="29576"/>
    <x v="147"/>
    <x v="3"/>
    <x v="0"/>
    <s v="EndOfSeasonSale"/>
    <n v="8.2108498129342594E-2"/>
  </r>
  <r>
    <s v="P203"/>
    <x v="2"/>
    <s v="2024-11-21"/>
    <x v="3"/>
    <s v="Explore the latest carousel on Myntra! Trendy styles await."/>
    <n v="3773"/>
    <n v="299"/>
    <n v="38"/>
    <n v="71687"/>
    <n v="71447"/>
    <x v="148"/>
    <x v="3"/>
    <x v="0"/>
    <s v="StyleRevolution"/>
    <n v="5.7332570758993957E-2"/>
  </r>
  <r>
    <s v="P204"/>
    <x v="2"/>
    <s v="2025-01-01"/>
    <x v="3"/>
    <s v="Explore the latest carousel on Myntra! Trendy styles await."/>
    <n v="2234"/>
    <n v="653"/>
    <n v="432"/>
    <n v="11170"/>
    <n v="10569"/>
    <x v="149"/>
    <x v="4"/>
    <x v="4"/>
    <s v="StyleRevolution"/>
    <n v="0.29713518352730528"/>
  </r>
  <r>
    <s v="P205"/>
    <x v="0"/>
    <s v="2025-04-24"/>
    <x v="5"/>
    <s v="Explore the latest video on Myntra! Trendy styles await."/>
    <n v="3820"/>
    <n v="697"/>
    <n v="268"/>
    <n v="45840"/>
    <n v="45631"/>
    <x v="150"/>
    <x v="2"/>
    <x v="3"/>
    <s v="FashionUpgrade"/>
    <n v="0.1043848167539267"/>
  </r>
  <r>
    <s v="P206"/>
    <x v="0"/>
    <s v="2024-06-24"/>
    <x v="1"/>
    <s v="Explore the latest text on Myntra! Trendy styles await."/>
    <n v="941"/>
    <n v="121"/>
    <n v="458"/>
    <n v="14115"/>
    <n v="13838"/>
    <x v="15"/>
    <x v="1"/>
    <x v="1"/>
    <s v="EndOfSeasonSale"/>
    <n v="0.10768685795253277"/>
  </r>
  <r>
    <s v="P207"/>
    <x v="0"/>
    <s v="2024-12-29"/>
    <x v="3"/>
    <s v="Explore the latest carousel on Myntra! Trendy styles await."/>
    <n v="4274"/>
    <n v="340"/>
    <n v="281"/>
    <n v="34192"/>
    <n v="33446"/>
    <x v="151"/>
    <x v="2"/>
    <x v="3"/>
    <s v="MyntraFestiveEdit"/>
    <n v="0.14316214319138981"/>
  </r>
  <r>
    <s v="P208"/>
    <x v="1"/>
    <s v="2024-06-24"/>
    <x v="5"/>
    <s v="Explore the latest video on Myntra! Trendy styles await."/>
    <n v="2949"/>
    <n v="476"/>
    <n v="403"/>
    <n v="44235"/>
    <n v="43705"/>
    <x v="152"/>
    <x v="3"/>
    <x v="3"/>
    <s v="FashionUpgrade"/>
    <n v="8.6537809426924378E-2"/>
  </r>
  <r>
    <s v="P209"/>
    <x v="0"/>
    <s v="2025-03-19"/>
    <x v="5"/>
    <s v="Explore the latest video on Myntra! Trendy styles await."/>
    <n v="3160"/>
    <n v="204"/>
    <n v="297"/>
    <n v="44240"/>
    <n v="43666"/>
    <x v="146"/>
    <x v="2"/>
    <x v="5"/>
    <s v="FashionUpgrade"/>
    <n v="8.2753164556962022E-2"/>
  </r>
  <r>
    <s v="P210"/>
    <x v="1"/>
    <s v="2025-02-19"/>
    <x v="4"/>
    <s v="Explore the latest image on Myntra! Trendy styles await."/>
    <n v="257"/>
    <n v="966"/>
    <n v="398"/>
    <n v="3341"/>
    <n v="2753"/>
    <x v="153"/>
    <x v="3"/>
    <x v="1"/>
    <s v="FashionUpgrade"/>
    <n v="0.48518407662376534"/>
  </r>
  <r>
    <s v="P211"/>
    <x v="0"/>
    <s v="2024-07-18"/>
    <x v="3"/>
    <s v="Explore the latest carousel on Myntra! Trendy styles await."/>
    <n v="2120"/>
    <n v="38"/>
    <n v="212"/>
    <n v="12720"/>
    <n v="12564"/>
    <x v="72"/>
    <x v="3"/>
    <x v="1"/>
    <s v="FashionUpgrade"/>
    <n v="0.18632075471698112"/>
  </r>
  <r>
    <s v="P212"/>
    <x v="1"/>
    <s v="2025-03-03"/>
    <x v="5"/>
    <s v="Explore the latest video on Myntra! Trendy styles await."/>
    <n v="3874"/>
    <n v="884"/>
    <n v="19"/>
    <n v="38740"/>
    <n v="38552"/>
    <x v="100"/>
    <x v="2"/>
    <x v="0"/>
    <s v="StyleRevolution"/>
    <n v="0.123309241094476"/>
  </r>
  <r>
    <s v="P213"/>
    <x v="3"/>
    <s v="2025-05-01"/>
    <x v="3"/>
    <s v="Explore the latest carousel on Myntra! Trendy styles await."/>
    <n v="2696"/>
    <n v="628"/>
    <n v="443"/>
    <n v="45832"/>
    <n v="45632"/>
    <x v="154"/>
    <x v="0"/>
    <x v="0"/>
    <s v="MyntraFestiveEdit"/>
    <n v="8.21914819340199E-2"/>
  </r>
  <r>
    <s v="P214"/>
    <x v="2"/>
    <s v="2024-12-23"/>
    <x v="4"/>
    <s v="Explore the latest image on Myntra! Trendy styles await."/>
    <n v="521"/>
    <n v="746"/>
    <n v="315"/>
    <n v="4168"/>
    <n v="3399"/>
    <x v="30"/>
    <x v="0"/>
    <x v="0"/>
    <s v="FashionUpgrade"/>
    <n v="0.37955854126679461"/>
  </r>
  <r>
    <s v="P215"/>
    <x v="3"/>
    <s v="2025-05-06"/>
    <x v="4"/>
    <s v="Explore the latest image on Myntra! Trendy styles await."/>
    <n v="4872"/>
    <n v="925"/>
    <n v="176"/>
    <n v="82824"/>
    <n v="82543"/>
    <x v="155"/>
    <x v="0"/>
    <x v="5"/>
    <s v="FashionUpgrade"/>
    <n v="7.2116777745580993E-2"/>
  </r>
  <r>
    <s v="P216"/>
    <x v="1"/>
    <s v="2024-07-29"/>
    <x v="2"/>
    <s v="Explore the latest story on Myntra! Trendy styles await."/>
    <n v="1509"/>
    <n v="88"/>
    <n v="163"/>
    <n v="30180"/>
    <n v="29689"/>
    <x v="46"/>
    <x v="3"/>
    <x v="0"/>
    <s v="FashionUpgrade"/>
    <n v="5.8316766070245198E-2"/>
  </r>
  <r>
    <s v="P217"/>
    <x v="3"/>
    <s v="2024-12-03"/>
    <x v="4"/>
    <s v="Explore the latest image on Myntra! Trendy styles await."/>
    <n v="4606"/>
    <n v="931"/>
    <n v="230"/>
    <n v="92120"/>
    <n v="91440"/>
    <x v="156"/>
    <x v="4"/>
    <x v="2"/>
    <s v="MyntraFestiveEdit"/>
    <n v="6.2603126356925748E-2"/>
  </r>
  <r>
    <s v="P218"/>
    <x v="3"/>
    <s v="2024-06-11"/>
    <x v="3"/>
    <s v="Explore the latest carousel on Myntra! Trendy styles await."/>
    <n v="1869"/>
    <n v="453"/>
    <n v="490"/>
    <n v="14952"/>
    <n v="14309"/>
    <x v="31"/>
    <x v="4"/>
    <x v="4"/>
    <s v="FashionUpgrade"/>
    <n v="0.18806848582129482"/>
  </r>
  <r>
    <s v="P219"/>
    <x v="0"/>
    <s v="2025-01-28"/>
    <x v="0"/>
    <s v="Explore the latest reel on Myntra! Trendy styles await."/>
    <n v="1188"/>
    <n v="470"/>
    <n v="174"/>
    <n v="7128"/>
    <n v="6145"/>
    <x v="96"/>
    <x v="2"/>
    <x v="2"/>
    <s v="EndOfSeasonSale"/>
    <n v="0.25701459034792368"/>
  </r>
  <r>
    <s v="P220"/>
    <x v="2"/>
    <s v="2024-06-02"/>
    <x v="2"/>
    <s v="Explore the latest story on Myntra! Trendy styles await."/>
    <n v="84"/>
    <n v="897"/>
    <n v="85"/>
    <n v="588"/>
    <n v="8"/>
    <x v="88"/>
    <x v="2"/>
    <x v="0"/>
    <s v="EndOfSeasonSale"/>
    <n v="1.8129251700680271"/>
  </r>
  <r>
    <s v="P221"/>
    <x v="3"/>
    <s v="2025-03-23"/>
    <x v="5"/>
    <s v="Explore the latest video on Myntra! Trendy styles await."/>
    <n v="4453"/>
    <n v="111"/>
    <n v="420"/>
    <n v="31171"/>
    <n v="30565"/>
    <x v="157"/>
    <x v="3"/>
    <x v="2"/>
    <s v="StyleRevolution"/>
    <n v="0.15989220750056141"/>
  </r>
  <r>
    <s v="P222"/>
    <x v="3"/>
    <s v="2024-10-08"/>
    <x v="0"/>
    <s v="Explore the latest reel on Myntra! Trendy styles await."/>
    <n v="1814"/>
    <n v="653"/>
    <n v="363"/>
    <n v="25396"/>
    <n v="25286"/>
    <x v="7"/>
    <x v="2"/>
    <x v="0"/>
    <s v="FashionUpgrade"/>
    <n v="0.11143487163332809"/>
  </r>
  <r>
    <s v="P223"/>
    <x v="0"/>
    <s v="2024-11-12"/>
    <x v="4"/>
    <s v="Explore the latest image on Myntra! Trendy styles await."/>
    <n v="3338"/>
    <n v="277"/>
    <n v="118"/>
    <n v="60084"/>
    <n v="59842"/>
    <x v="158"/>
    <x v="2"/>
    <x v="0"/>
    <s v="FashionUpgrade"/>
    <n v="6.2129685107516146E-2"/>
  </r>
  <r>
    <s v="P224"/>
    <x v="3"/>
    <s v="2025-05-13"/>
    <x v="4"/>
    <s v="Explore the latest image on Myntra! Trendy styles await."/>
    <n v="602"/>
    <n v="594"/>
    <n v="156"/>
    <n v="4214"/>
    <n v="3363"/>
    <x v="159"/>
    <x v="0"/>
    <x v="0"/>
    <s v="MyntraFestiveEdit"/>
    <n v="0.32083531086853345"/>
  </r>
  <r>
    <s v="P225"/>
    <x v="0"/>
    <s v="2024-06-20"/>
    <x v="3"/>
    <s v="Explore the latest carousel on Myntra! Trendy styles await."/>
    <n v="4672"/>
    <n v="325"/>
    <n v="32"/>
    <n v="88768"/>
    <n v="87833"/>
    <x v="160"/>
    <x v="4"/>
    <x v="1"/>
    <s v="MyntraFestiveEdit"/>
    <n v="5.6653298485940883E-2"/>
  </r>
  <r>
    <s v="P226"/>
    <x v="2"/>
    <s v="2024-08-07"/>
    <x v="3"/>
    <s v="Explore the latest carousel on Myntra! Trendy styles await."/>
    <n v="1741"/>
    <n v="164"/>
    <n v="318"/>
    <n v="8705"/>
    <n v="8272"/>
    <x v="161"/>
    <x v="0"/>
    <x v="0"/>
    <s v="EndOfSeasonSale"/>
    <n v="0.25537047673750718"/>
  </r>
  <r>
    <s v="P227"/>
    <x v="2"/>
    <s v="2024-06-12"/>
    <x v="1"/>
    <s v="Explore the latest text on Myntra! Trendy styles await."/>
    <n v="246"/>
    <n v="149"/>
    <n v="130"/>
    <n v="4674"/>
    <n v="4390"/>
    <x v="162"/>
    <x v="3"/>
    <x v="3"/>
    <s v="EndOfSeasonSale"/>
    <n v="0.11232349165596919"/>
  </r>
  <r>
    <s v="P228"/>
    <x v="2"/>
    <s v="2024-07-01"/>
    <x v="2"/>
    <s v="Explore the latest story on Myntra! Trendy styles await."/>
    <n v="4808"/>
    <n v="772"/>
    <n v="320"/>
    <n v="72120"/>
    <n v="71696"/>
    <x v="144"/>
    <x v="3"/>
    <x v="1"/>
    <s v="StyleRevolution"/>
    <n v="8.1808097615085965E-2"/>
  </r>
  <r>
    <s v="P229"/>
    <x v="2"/>
    <s v="2024-07-03"/>
    <x v="3"/>
    <s v="Explore the latest carousel on Myntra! Trendy styles await."/>
    <n v="4799"/>
    <n v="694"/>
    <n v="289"/>
    <n v="43191"/>
    <n v="42228"/>
    <x v="160"/>
    <x v="3"/>
    <x v="0"/>
    <s v="EndOfSeasonSale"/>
    <n v="0.13387048227640017"/>
  </r>
  <r>
    <s v="P230"/>
    <x v="3"/>
    <s v="2024-07-15"/>
    <x v="0"/>
    <s v="Explore the latest reel on Myntra! Trendy styles await."/>
    <n v="3663"/>
    <n v="17"/>
    <n v="295"/>
    <n v="51282"/>
    <n v="50567"/>
    <x v="57"/>
    <x v="0"/>
    <x v="0"/>
    <s v="FashionUpgrade"/>
    <n v="7.7512577512577507E-2"/>
  </r>
  <r>
    <s v="P231"/>
    <x v="2"/>
    <s v="2025-05-01"/>
    <x v="1"/>
    <s v="Explore the latest text on Myntra! Trendy styles await."/>
    <n v="1430"/>
    <n v="376"/>
    <n v="33"/>
    <n v="21450"/>
    <n v="20509"/>
    <x v="139"/>
    <x v="4"/>
    <x v="0"/>
    <s v="MyntraFestiveEdit"/>
    <n v="8.5734265734265735E-2"/>
  </r>
  <r>
    <s v="P232"/>
    <x v="0"/>
    <s v="2025-04-29"/>
    <x v="2"/>
    <s v="Explore the latest story on Myntra! Trendy styles await."/>
    <n v="249"/>
    <n v="592"/>
    <n v="230"/>
    <n v="1494"/>
    <n v="1044"/>
    <x v="163"/>
    <x v="1"/>
    <x v="5"/>
    <s v="StyleRevolution"/>
    <n v="0.7168674698795181"/>
  </r>
  <r>
    <s v="P233"/>
    <x v="3"/>
    <s v="2025-03-08"/>
    <x v="4"/>
    <s v="Explore the latest image on Myntra! Trendy styles await."/>
    <n v="2382"/>
    <n v="265"/>
    <n v="134"/>
    <n v="38112"/>
    <n v="37437"/>
    <x v="164"/>
    <x v="4"/>
    <x v="5"/>
    <s v="EndOfSeasonSale"/>
    <n v="7.2969143576826198E-2"/>
  </r>
  <r>
    <s v="P234"/>
    <x v="3"/>
    <s v="2024-06-01"/>
    <x v="1"/>
    <s v="Explore the latest text on Myntra! Trendy styles await."/>
    <n v="1272"/>
    <n v="465"/>
    <n v="99"/>
    <n v="24168"/>
    <n v="23719"/>
    <x v="165"/>
    <x v="1"/>
    <x v="3"/>
    <s v="EndOfSeasonSale"/>
    <n v="7.5968222442899705E-2"/>
  </r>
  <r>
    <s v="P235"/>
    <x v="3"/>
    <s v="2024-12-22"/>
    <x v="4"/>
    <s v="Explore the latest image on Myntra! Trendy styles await."/>
    <n v="3196"/>
    <n v="941"/>
    <n v="376"/>
    <n v="35156"/>
    <n v="34444"/>
    <x v="40"/>
    <x v="2"/>
    <x v="5"/>
    <s v="StyleRevolution"/>
    <n v="0.1283706906360223"/>
  </r>
  <r>
    <s v="P236"/>
    <x v="3"/>
    <s v="2024-08-19"/>
    <x v="1"/>
    <s v="Explore the latest text on Myntra! Trendy styles await."/>
    <n v="1257"/>
    <n v="19"/>
    <n v="351"/>
    <n v="12570"/>
    <n v="11660"/>
    <x v="166"/>
    <x v="2"/>
    <x v="0"/>
    <s v="FashionUpgrade"/>
    <n v="0.12943516308671441"/>
  </r>
  <r>
    <s v="P237"/>
    <x v="2"/>
    <s v="2024-10-22"/>
    <x v="2"/>
    <s v="Explore the latest story on Myntra! Trendy styles await."/>
    <n v="3770"/>
    <n v="917"/>
    <n v="129"/>
    <n v="71630"/>
    <n v="71322"/>
    <x v="121"/>
    <x v="0"/>
    <x v="5"/>
    <s v="StyleRevolution"/>
    <n v="6.7234398994834563E-2"/>
  </r>
  <r>
    <s v="P238"/>
    <x v="0"/>
    <s v="2024-07-16"/>
    <x v="1"/>
    <s v="Explore the latest text on Myntra! Trendy styles await."/>
    <n v="4725"/>
    <n v="400"/>
    <n v="362"/>
    <n v="75600"/>
    <n v="74927"/>
    <x v="66"/>
    <x v="3"/>
    <x v="2"/>
    <s v="FashionUpgrade"/>
    <n v="7.2579365079365077E-2"/>
  </r>
  <r>
    <s v="P239"/>
    <x v="1"/>
    <s v="2025-02-24"/>
    <x v="1"/>
    <s v="Explore the latest text on Myntra! Trendy styles await."/>
    <n v="4188"/>
    <n v="942"/>
    <n v="118"/>
    <n v="20940"/>
    <n v="20471"/>
    <x v="109"/>
    <x v="2"/>
    <x v="0"/>
    <s v="EndOfSeasonSale"/>
    <n v="0.25062082139446035"/>
  </r>
  <r>
    <s v="P240"/>
    <x v="0"/>
    <s v="2024-08-26"/>
    <x v="3"/>
    <s v="Explore the latest carousel on Myntra! Trendy styles await."/>
    <n v="929"/>
    <n v="192"/>
    <n v="322"/>
    <n v="16722"/>
    <n v="15996"/>
    <x v="143"/>
    <x v="1"/>
    <x v="0"/>
    <s v="MyntraFestiveEdit"/>
    <n v="8.6293505561535699E-2"/>
  </r>
  <r>
    <s v="P241"/>
    <x v="3"/>
    <s v="2025-01-18"/>
    <x v="2"/>
    <s v="Explore the latest story on Myntra! Trendy styles await."/>
    <n v="4321"/>
    <n v="874"/>
    <n v="172"/>
    <n v="30247"/>
    <n v="29254"/>
    <x v="123"/>
    <x v="0"/>
    <x v="2"/>
    <s v="MyntraFestiveEdit"/>
    <n v="0.17743908486792079"/>
  </r>
  <r>
    <s v="P242"/>
    <x v="3"/>
    <s v="2024-07-07"/>
    <x v="0"/>
    <s v="Explore the latest reel on Myntra! Trendy styles await."/>
    <n v="4767"/>
    <n v="190"/>
    <n v="340"/>
    <n v="28602"/>
    <n v="28044"/>
    <x v="167"/>
    <x v="4"/>
    <x v="0"/>
    <s v="StyleRevolution"/>
    <n v="0.18519683938186141"/>
  </r>
  <r>
    <s v="P243"/>
    <x v="0"/>
    <s v="2025-03-06"/>
    <x v="4"/>
    <s v="Explore the latest image on Myntra! Trendy styles await."/>
    <n v="3592"/>
    <n v="911"/>
    <n v="375"/>
    <n v="50288"/>
    <n v="49490"/>
    <x v="92"/>
    <x v="2"/>
    <x v="0"/>
    <s v="EndOfSeasonSale"/>
    <n v="9.7001272669424113E-2"/>
  </r>
  <r>
    <s v="P244"/>
    <x v="1"/>
    <s v="2024-10-25"/>
    <x v="5"/>
    <s v="Explore the latest video on Myntra! Trendy styles await."/>
    <n v="4661"/>
    <n v="935"/>
    <n v="433"/>
    <n v="23305"/>
    <n v="22583"/>
    <x v="71"/>
    <x v="2"/>
    <x v="3"/>
    <s v="FashionUpgrade"/>
    <n v="0.25869984981763572"/>
  </r>
  <r>
    <s v="P245"/>
    <x v="3"/>
    <s v="2025-01-12"/>
    <x v="0"/>
    <s v="Explore the latest reel on Myntra! Trendy styles await."/>
    <n v="4134"/>
    <n v="824"/>
    <n v="99"/>
    <n v="41340"/>
    <n v="41050"/>
    <x v="47"/>
    <x v="1"/>
    <x v="0"/>
    <s v="EndOfSeasonSale"/>
    <n v="0.12232704402515723"/>
  </r>
  <r>
    <s v="P246"/>
    <x v="3"/>
    <s v="2024-10-11"/>
    <x v="4"/>
    <s v="Explore the latest image on Myntra! Trendy styles await."/>
    <n v="400"/>
    <n v="680"/>
    <n v="434"/>
    <n v="6400"/>
    <n v="5472"/>
    <x v="168"/>
    <x v="0"/>
    <x v="5"/>
    <s v="EndOfSeasonSale"/>
    <n v="0.23656250000000001"/>
  </r>
  <r>
    <s v="P247"/>
    <x v="3"/>
    <s v="2024-08-27"/>
    <x v="0"/>
    <s v="Explore the latest reel on Myntra! Trendy styles await."/>
    <n v="3960"/>
    <n v="266"/>
    <n v="8"/>
    <n v="35640"/>
    <n v="34850"/>
    <x v="138"/>
    <x v="3"/>
    <x v="2"/>
    <s v="StyleRevolution"/>
    <n v="0.11879910213243547"/>
  </r>
  <r>
    <s v="P248"/>
    <x v="3"/>
    <s v="2025-02-02"/>
    <x v="2"/>
    <s v="Explore the latest story on Myntra! Trendy styles await."/>
    <n v="886"/>
    <n v="126"/>
    <n v="153"/>
    <n v="4430"/>
    <n v="4037"/>
    <x v="90"/>
    <x v="0"/>
    <x v="0"/>
    <s v="MyntraFestiveEdit"/>
    <n v="0.26297968397291194"/>
  </r>
  <r>
    <s v="P249"/>
    <x v="0"/>
    <s v="2024-07-18"/>
    <x v="4"/>
    <s v="Explore the latest image on Myntra! Trendy styles await."/>
    <n v="827"/>
    <n v="77"/>
    <n v="402"/>
    <n v="14886"/>
    <n v="14129"/>
    <x v="169"/>
    <x v="2"/>
    <x v="0"/>
    <s v="EndOfSeasonSale"/>
    <n v="8.7733440816874911E-2"/>
  </r>
  <r>
    <s v="P250"/>
    <x v="3"/>
    <s v="2024-06-22"/>
    <x v="0"/>
    <s v="Explore the latest reel on Myntra! Trendy styles await."/>
    <n v="3813"/>
    <n v="935"/>
    <n v="274"/>
    <n v="68634"/>
    <n v="68488"/>
    <x v="139"/>
    <x v="4"/>
    <x v="5"/>
    <s v="FashionUpgrade"/>
    <n v="7.3170731707317069E-2"/>
  </r>
  <r>
    <s v="P251"/>
    <x v="2"/>
    <s v="2025-03-27"/>
    <x v="3"/>
    <s v="Explore the latest carousel on Myntra! Trendy styles await."/>
    <n v="1377"/>
    <n v="796"/>
    <n v="387"/>
    <n v="22032"/>
    <n v="21869"/>
    <x v="170"/>
    <x v="4"/>
    <x v="2"/>
    <s v="MyntraFestiveEdit"/>
    <n v="0.11619462599854757"/>
  </r>
  <r>
    <s v="P252"/>
    <x v="3"/>
    <s v="2025-04-28"/>
    <x v="3"/>
    <s v="Explore the latest carousel on Myntra! Trendy styles await."/>
    <n v="2089"/>
    <n v="476"/>
    <n v="69"/>
    <n v="16712"/>
    <n v="16309"/>
    <x v="125"/>
    <x v="2"/>
    <x v="1"/>
    <s v="FashionUpgrade"/>
    <n v="0.15761129727142173"/>
  </r>
  <r>
    <s v="P253"/>
    <x v="0"/>
    <s v="2024-08-03"/>
    <x v="0"/>
    <s v="Explore the latest reel on Myntra! Trendy styles await."/>
    <n v="3791"/>
    <n v="593"/>
    <n v="228"/>
    <n v="53074"/>
    <n v="52613"/>
    <x v="39"/>
    <x v="2"/>
    <x v="3"/>
    <s v="FashionUpgrade"/>
    <n v="8.6897539284772202E-2"/>
  </r>
  <r>
    <s v="P254"/>
    <x v="0"/>
    <s v="2025-01-14"/>
    <x v="4"/>
    <s v="Explore the latest image on Myntra! Trendy styles await."/>
    <n v="2692"/>
    <n v="115"/>
    <n v="64"/>
    <n v="21536"/>
    <n v="21120"/>
    <x v="4"/>
    <x v="4"/>
    <x v="5"/>
    <s v="StyleRevolution"/>
    <n v="0.13331166419019316"/>
  </r>
  <r>
    <s v="P255"/>
    <x v="3"/>
    <s v="2025-04-03"/>
    <x v="2"/>
    <s v="Explore the latest story on Myntra! Trendy styles await."/>
    <n v="3767"/>
    <n v="514"/>
    <n v="238"/>
    <n v="37670"/>
    <n v="36807"/>
    <x v="171"/>
    <x v="2"/>
    <x v="3"/>
    <s v="FashionUpgrade"/>
    <n v="0.11996283514733209"/>
  </r>
  <r>
    <s v="P256"/>
    <x v="1"/>
    <s v="2024-09-18"/>
    <x v="3"/>
    <s v="Explore the latest carousel on Myntra! Trendy styles await."/>
    <n v="2143"/>
    <n v="12"/>
    <n v="204"/>
    <n v="40717"/>
    <n v="40125"/>
    <x v="154"/>
    <x v="4"/>
    <x v="1"/>
    <s v="StyleRevolution"/>
    <n v="5.7936488444630008E-2"/>
  </r>
  <r>
    <s v="P257"/>
    <x v="3"/>
    <s v="2025-04-06"/>
    <x v="4"/>
    <s v="Explore the latest image on Myntra! Trendy styles await."/>
    <n v="3090"/>
    <n v="697"/>
    <n v="164"/>
    <n v="49440"/>
    <n v="48524"/>
    <x v="19"/>
    <x v="4"/>
    <x v="4"/>
    <s v="StyleRevolution"/>
    <n v="7.9915048543689318E-2"/>
  </r>
  <r>
    <s v="P258"/>
    <x v="2"/>
    <s v="2024-08-05"/>
    <x v="2"/>
    <s v="Explore the latest story on Myntra! Trendy styles await."/>
    <n v="3601"/>
    <n v="695"/>
    <n v="75"/>
    <n v="21606"/>
    <n v="21454"/>
    <x v="172"/>
    <x v="2"/>
    <x v="0"/>
    <s v="EndOfSeasonSale"/>
    <n v="0.2023049153013052"/>
  </r>
  <r>
    <s v="P259"/>
    <x v="3"/>
    <s v="2025-02-10"/>
    <x v="1"/>
    <s v="Explore the latest text on Myntra! Trendy styles await."/>
    <n v="562"/>
    <n v="158"/>
    <n v="149"/>
    <n v="3372"/>
    <n v="2940"/>
    <x v="29"/>
    <x v="4"/>
    <x v="1"/>
    <s v="StyleRevolution"/>
    <n v="0.25771055753262156"/>
  </r>
  <r>
    <s v="P260"/>
    <x v="2"/>
    <s v="2025-02-12"/>
    <x v="2"/>
    <s v="Explore the latest story on Myntra! Trendy styles await."/>
    <n v="4332"/>
    <n v="771"/>
    <n v="219"/>
    <n v="60648"/>
    <n v="60397"/>
    <x v="98"/>
    <x v="1"/>
    <x v="0"/>
    <s v="MyntraFestiveEdit"/>
    <n v="8.7752275425405618E-2"/>
  </r>
  <r>
    <s v="P261"/>
    <x v="2"/>
    <s v="2024-10-27"/>
    <x v="4"/>
    <s v="Explore the latest image on Myntra! Trendy styles await."/>
    <n v="4853"/>
    <n v="837"/>
    <n v="340"/>
    <n v="72795"/>
    <n v="72237"/>
    <x v="110"/>
    <x v="0"/>
    <x v="0"/>
    <s v="EndOfSeasonSale"/>
    <n v="8.2835359571399134E-2"/>
  </r>
  <r>
    <s v="P262"/>
    <x v="1"/>
    <s v="2025-01-18"/>
    <x v="4"/>
    <s v="Explore the latest image on Myntra! Trendy styles await."/>
    <n v="1206"/>
    <n v="238"/>
    <n v="36"/>
    <n v="9648"/>
    <n v="9417"/>
    <x v="173"/>
    <x v="0"/>
    <x v="4"/>
    <s v="MyntraFestiveEdit"/>
    <n v="0.15339966832504145"/>
  </r>
  <r>
    <s v="P263"/>
    <x v="2"/>
    <s v="2024-08-20"/>
    <x v="0"/>
    <s v="Explore the latest reel on Myntra! Trendy styles await."/>
    <n v="2603"/>
    <n v="690"/>
    <n v="205"/>
    <n v="13015"/>
    <n v="12130"/>
    <x v="14"/>
    <x v="3"/>
    <x v="0"/>
    <s v="FashionUpgrade"/>
    <n v="0.26876680752977333"/>
  </r>
  <r>
    <s v="P264"/>
    <x v="0"/>
    <s v="2025-01-30"/>
    <x v="4"/>
    <s v="Explore the latest image on Myntra! Trendy styles await."/>
    <n v="59"/>
    <n v="163"/>
    <n v="93"/>
    <n v="590"/>
    <n v="475"/>
    <x v="174"/>
    <x v="3"/>
    <x v="0"/>
    <s v="StyleRevolution"/>
    <n v="0.53389830508474578"/>
  </r>
  <r>
    <s v="P265"/>
    <x v="0"/>
    <s v="2025-02-20"/>
    <x v="3"/>
    <s v="Explore the latest carousel on Myntra! Trendy styles await."/>
    <n v="1877"/>
    <n v="745"/>
    <n v="225"/>
    <n v="11262"/>
    <n v="10967"/>
    <x v="175"/>
    <x v="2"/>
    <x v="1"/>
    <s v="FashionUpgrade"/>
    <n v="0.25279701651571657"/>
  </r>
  <r>
    <s v="P266"/>
    <x v="3"/>
    <s v="2024-11-25"/>
    <x v="2"/>
    <s v="Explore the latest story on Myntra! Trendy styles await."/>
    <n v="4182"/>
    <n v="640"/>
    <n v="240"/>
    <n v="50184"/>
    <n v="49351"/>
    <x v="98"/>
    <x v="0"/>
    <x v="4"/>
    <s v="MyntraFestiveEdit"/>
    <n v="0.10086880280567512"/>
  </r>
  <r>
    <s v="P267"/>
    <x v="0"/>
    <s v="2024-10-04"/>
    <x v="0"/>
    <s v="Explore the latest reel on Myntra! Trendy styles await."/>
    <n v="4187"/>
    <n v="66"/>
    <n v="31"/>
    <n v="66992"/>
    <n v="66614"/>
    <x v="176"/>
    <x v="2"/>
    <x v="0"/>
    <s v="StyleRevolution"/>
    <n v="6.3947934081681396E-2"/>
  </r>
  <r>
    <s v="P268"/>
    <x v="2"/>
    <s v="2025-04-13"/>
    <x v="0"/>
    <s v="Explore the latest reel on Myntra! Trendy styles await."/>
    <n v="4579"/>
    <n v="125"/>
    <n v="300"/>
    <n v="59527"/>
    <n v="59400"/>
    <x v="177"/>
    <x v="2"/>
    <x v="2"/>
    <s v="FashionUpgrade"/>
    <n v="8.4062694239588759E-2"/>
  </r>
  <r>
    <s v="P269"/>
    <x v="2"/>
    <s v="2024-11-05"/>
    <x v="5"/>
    <s v="Explore the latest video on Myntra! Trendy styles await."/>
    <n v="4561"/>
    <n v="51"/>
    <n v="441"/>
    <n v="22805"/>
    <n v="21890"/>
    <x v="178"/>
    <x v="2"/>
    <x v="0"/>
    <s v="EndOfSeasonSale"/>
    <n v="0.22157421618066214"/>
  </r>
  <r>
    <s v="P270"/>
    <x v="1"/>
    <s v="2025-01-15"/>
    <x v="0"/>
    <s v="Explore the latest reel on Myntra! Trendy styles await."/>
    <n v="3774"/>
    <n v="239"/>
    <n v="39"/>
    <n v="60384"/>
    <n v="59490"/>
    <x v="40"/>
    <x v="4"/>
    <x v="0"/>
    <s v="MyntraFestiveEdit"/>
    <n v="6.7103868574456813E-2"/>
  </r>
  <r>
    <s v="P271"/>
    <x v="2"/>
    <s v="2024-10-17"/>
    <x v="5"/>
    <s v="Explore the latest video on Myntra! Trendy styles await."/>
    <n v="3575"/>
    <n v="749"/>
    <n v="111"/>
    <n v="21450"/>
    <n v="20785"/>
    <x v="144"/>
    <x v="4"/>
    <x v="0"/>
    <s v="MyntraFestiveEdit"/>
    <n v="0.20675990675990677"/>
  </r>
  <r>
    <s v="P272"/>
    <x v="2"/>
    <s v="2025-03-27"/>
    <x v="1"/>
    <s v="Explore the latest text on Myntra! Trendy styles await."/>
    <n v="4941"/>
    <n v="414"/>
    <n v="266"/>
    <n v="39528"/>
    <n v="39154"/>
    <x v="162"/>
    <x v="0"/>
    <x v="0"/>
    <s v="EndOfSeasonSale"/>
    <n v="0.14220299534507186"/>
  </r>
  <r>
    <s v="P273"/>
    <x v="1"/>
    <s v="2024-10-12"/>
    <x v="2"/>
    <s v="Explore the latest story on Myntra! Trendy styles await."/>
    <n v="3641"/>
    <n v="226"/>
    <n v="46"/>
    <n v="40051"/>
    <n v="39319"/>
    <x v="179"/>
    <x v="3"/>
    <x v="0"/>
    <s v="EndOfSeasonSale"/>
    <n v="9.7700431949264685E-2"/>
  </r>
  <r>
    <s v="P274"/>
    <x v="0"/>
    <s v="2025-01-01"/>
    <x v="3"/>
    <s v="Explore the latest carousel on Myntra! Trendy styles await."/>
    <n v="3535"/>
    <n v="494"/>
    <n v="152"/>
    <n v="53025"/>
    <n v="52791"/>
    <x v="99"/>
    <x v="3"/>
    <x v="4"/>
    <s v="EndOfSeasonSale"/>
    <n v="7.8849599245638849E-2"/>
  </r>
  <r>
    <s v="P275"/>
    <x v="3"/>
    <s v="2024-08-05"/>
    <x v="0"/>
    <s v="Explore the latest reel on Myntra! Trendy styles await."/>
    <n v="1741"/>
    <n v="831"/>
    <n v="345"/>
    <n v="17410"/>
    <n v="16844"/>
    <x v="180"/>
    <x v="1"/>
    <x v="3"/>
    <s v="StyleRevolution"/>
    <n v="0.16754738655944859"/>
  </r>
  <r>
    <s v="P276"/>
    <x v="0"/>
    <s v="2024-06-07"/>
    <x v="3"/>
    <s v="Explore the latest carousel on Myntra! Trendy styles await."/>
    <n v="1556"/>
    <n v="195"/>
    <n v="131"/>
    <n v="9336"/>
    <n v="8875"/>
    <x v="41"/>
    <x v="1"/>
    <x v="0"/>
    <s v="EndOfSeasonSale"/>
    <n v="0.2015852613538989"/>
  </r>
  <r>
    <s v="P277"/>
    <x v="3"/>
    <s v="2025-04-06"/>
    <x v="4"/>
    <s v="Explore the latest image on Myntra! Trendy styles await."/>
    <n v="4236"/>
    <n v="711"/>
    <n v="298"/>
    <n v="21180"/>
    <n v="20516"/>
    <x v="24"/>
    <x v="3"/>
    <x v="1"/>
    <s v="StyleRevolution"/>
    <n v="0.24763928234183191"/>
  </r>
  <r>
    <s v="P278"/>
    <x v="0"/>
    <s v="2024-11-26"/>
    <x v="1"/>
    <s v="Explore the latest text on Myntra! Trendy styles await."/>
    <n v="4516"/>
    <n v="836"/>
    <n v="169"/>
    <n v="49676"/>
    <n v="49257"/>
    <x v="30"/>
    <x v="3"/>
    <x v="0"/>
    <s v="FashionUpgrade"/>
    <n v="0.11114018842096787"/>
  </r>
  <r>
    <s v="P279"/>
    <x v="1"/>
    <s v="2024-09-02"/>
    <x v="4"/>
    <s v="Explore the latest image on Myntra! Trendy styles await."/>
    <n v="4905"/>
    <n v="845"/>
    <n v="129"/>
    <n v="98100"/>
    <n v="97772"/>
    <x v="181"/>
    <x v="3"/>
    <x v="0"/>
    <s v="StyleRevolution"/>
    <n v="5.9928644240570844E-2"/>
  </r>
  <r>
    <s v="P280"/>
    <x v="1"/>
    <s v="2024-10-21"/>
    <x v="5"/>
    <s v="Explore the latest video on Myntra! Trendy styles await."/>
    <n v="4275"/>
    <n v="680"/>
    <n v="385"/>
    <n v="64125"/>
    <n v="63650"/>
    <x v="130"/>
    <x v="2"/>
    <x v="0"/>
    <s v="StyleRevolution"/>
    <n v="8.3274853801169585E-2"/>
  </r>
  <r>
    <s v="P281"/>
    <x v="1"/>
    <s v="2025-03-22"/>
    <x v="4"/>
    <s v="Explore the latest image on Myntra! Trendy styles await."/>
    <n v="3166"/>
    <n v="90"/>
    <n v="341"/>
    <n v="56988"/>
    <n v="56125"/>
    <x v="152"/>
    <x v="1"/>
    <x v="4"/>
    <s v="EndOfSeasonSale"/>
    <n v="6.3118551273952411E-2"/>
  </r>
  <r>
    <s v="P282"/>
    <x v="2"/>
    <s v="2024-10-03"/>
    <x v="5"/>
    <s v="Explore the latest video on Myntra! Trendy styles await."/>
    <n v="1488"/>
    <n v="417"/>
    <n v="168"/>
    <n v="19344"/>
    <n v="18395"/>
    <x v="182"/>
    <x v="0"/>
    <x v="0"/>
    <s v="FashionUpgrade"/>
    <n v="0.1071650124069479"/>
  </r>
  <r>
    <s v="P283"/>
    <x v="0"/>
    <s v="2025-05-09"/>
    <x v="0"/>
    <s v="Explore the latest reel on Myntra! Trendy styles await."/>
    <n v="3367"/>
    <n v="302"/>
    <n v="57"/>
    <n v="63973"/>
    <n v="63789"/>
    <x v="105"/>
    <x v="3"/>
    <x v="2"/>
    <s v="MyntraFestiveEdit"/>
    <n v="5.8243321401216137E-2"/>
  </r>
  <r>
    <s v="P284"/>
    <x v="0"/>
    <s v="2024-09-17"/>
    <x v="1"/>
    <s v="Explore the latest text on Myntra! Trendy styles await."/>
    <n v="571"/>
    <n v="190"/>
    <n v="352"/>
    <n v="9707"/>
    <n v="9418"/>
    <x v="183"/>
    <x v="4"/>
    <x v="0"/>
    <s v="EndOfSeasonSale"/>
    <n v="0.11465952405480581"/>
  </r>
  <r>
    <s v="P285"/>
    <x v="1"/>
    <s v="2024-07-18"/>
    <x v="1"/>
    <s v="Explore the latest text on Myntra! Trendy styles await."/>
    <n v="4021"/>
    <n v="794"/>
    <n v="77"/>
    <n v="36189"/>
    <n v="35505"/>
    <x v="56"/>
    <x v="4"/>
    <x v="4"/>
    <s v="FashionUpgrade"/>
    <n v="0.13517919809886983"/>
  </r>
  <r>
    <s v="P286"/>
    <x v="1"/>
    <s v="2024-09-25"/>
    <x v="5"/>
    <s v="Explore the latest video on Myntra! Trendy styles await."/>
    <n v="3389"/>
    <n v="344"/>
    <n v="229"/>
    <n v="20334"/>
    <n v="19443"/>
    <x v="184"/>
    <x v="1"/>
    <x v="1"/>
    <s v="EndOfSeasonSale"/>
    <n v="0.19484607062063539"/>
  </r>
  <r>
    <s v="P287"/>
    <x v="2"/>
    <s v="2024-08-15"/>
    <x v="0"/>
    <s v="Explore the latest reel on Myntra! Trendy styles await."/>
    <n v="1164"/>
    <n v="616"/>
    <n v="324"/>
    <n v="6984"/>
    <n v="6636"/>
    <x v="185"/>
    <x v="1"/>
    <x v="5"/>
    <s v="MyntraFestiveEdit"/>
    <n v="0.30126002290950743"/>
  </r>
  <r>
    <s v="P288"/>
    <x v="1"/>
    <s v="2025-04-17"/>
    <x v="3"/>
    <s v="Explore the latest carousel on Myntra! Trendy styles await."/>
    <n v="4780"/>
    <n v="691"/>
    <n v="380"/>
    <n v="86040"/>
    <n v="85743"/>
    <x v="55"/>
    <x v="1"/>
    <x v="3"/>
    <s v="MyntraFestiveEdit"/>
    <n v="6.800325430032543E-2"/>
  </r>
  <r>
    <s v="P289"/>
    <x v="3"/>
    <s v="2024-11-28"/>
    <x v="3"/>
    <s v="Explore the latest carousel on Myntra! Trendy styles await."/>
    <n v="2751"/>
    <n v="33"/>
    <n v="430"/>
    <n v="44016"/>
    <n v="43415"/>
    <x v="151"/>
    <x v="3"/>
    <x v="4"/>
    <s v="EndOfSeasonSale"/>
    <n v="7.3018902217375503E-2"/>
  </r>
  <r>
    <s v="P290"/>
    <x v="2"/>
    <s v="2024-12-20"/>
    <x v="3"/>
    <s v="Explore the latest carousel on Myntra! Trendy styles await."/>
    <n v="2107"/>
    <n v="550"/>
    <n v="349"/>
    <n v="35819"/>
    <n v="35340"/>
    <x v="186"/>
    <x v="3"/>
    <x v="0"/>
    <s v="MyntraFestiveEdit"/>
    <n v="8.3921940869371006E-2"/>
  </r>
  <r>
    <s v="P291"/>
    <x v="3"/>
    <s v="2024-11-06"/>
    <x v="5"/>
    <s v="Explore the latest video on Myntra! Trendy styles await."/>
    <n v="4663"/>
    <n v="145"/>
    <n v="225"/>
    <n v="69945"/>
    <n v="69596"/>
    <x v="187"/>
    <x v="1"/>
    <x v="0"/>
    <s v="EndOfSeasonSale"/>
    <n v="7.1956537279290869E-2"/>
  </r>
  <r>
    <s v="P292"/>
    <x v="3"/>
    <s v="2024-11-17"/>
    <x v="1"/>
    <s v="Explore the latest text on Myntra! Trendy styles await."/>
    <n v="880"/>
    <n v="297"/>
    <n v="345"/>
    <n v="12320"/>
    <n v="11978"/>
    <x v="24"/>
    <x v="0"/>
    <x v="0"/>
    <s v="EndOfSeasonSale"/>
    <n v="0.12353896103896105"/>
  </r>
  <r>
    <s v="P293"/>
    <x v="3"/>
    <s v="2025-05-14"/>
    <x v="1"/>
    <s v="Explore the latest text on Myntra! Trendy styles await."/>
    <n v="2634"/>
    <n v="726"/>
    <n v="241"/>
    <n v="28974"/>
    <n v="28102"/>
    <x v="115"/>
    <x v="2"/>
    <x v="0"/>
    <s v="MyntraFestiveEdit"/>
    <n v="0.12428384068475185"/>
  </r>
  <r>
    <s v="P294"/>
    <x v="3"/>
    <s v="2024-06-19"/>
    <x v="3"/>
    <s v="Explore the latest carousel on Myntra! Trendy styles await."/>
    <n v="4731"/>
    <n v="173"/>
    <n v="276"/>
    <n v="28386"/>
    <n v="28185"/>
    <x v="155"/>
    <x v="3"/>
    <x v="2"/>
    <s v="StyleRevolution"/>
    <n v="0.18248432325794406"/>
  </r>
  <r>
    <s v="P295"/>
    <x v="0"/>
    <s v="2025-05-06"/>
    <x v="4"/>
    <s v="Explore the latest image on Myntra! Trendy styles await."/>
    <n v="1952"/>
    <n v="344"/>
    <n v="287"/>
    <n v="15616"/>
    <n v="15403"/>
    <x v="6"/>
    <x v="0"/>
    <x v="2"/>
    <s v="MyntraFestiveEdit"/>
    <n v="0.16540727459016394"/>
  </r>
  <r>
    <s v="P296"/>
    <x v="0"/>
    <s v="2025-02-11"/>
    <x v="5"/>
    <s v="Explore the latest video on Myntra! Trendy styles await."/>
    <n v="3440"/>
    <n v="13"/>
    <n v="20"/>
    <n v="58480"/>
    <n v="58146"/>
    <x v="167"/>
    <x v="1"/>
    <x v="3"/>
    <s v="FashionUpgrade"/>
    <n v="5.9387824897400819E-2"/>
  </r>
  <r>
    <s v="P297"/>
    <x v="0"/>
    <s v="2024-12-24"/>
    <x v="1"/>
    <s v="Explore the latest text on Myntra! Trendy styles await."/>
    <n v="2166"/>
    <n v="354"/>
    <n v="117"/>
    <n v="10830"/>
    <n v="10245"/>
    <x v="188"/>
    <x v="2"/>
    <x v="5"/>
    <s v="FashionUpgrade"/>
    <n v="0.24349030470914126"/>
  </r>
  <r>
    <s v="P298"/>
    <x v="3"/>
    <s v="2024-10-24"/>
    <x v="4"/>
    <s v="Explore the latest image on Myntra! Trendy styles await."/>
    <n v="4303"/>
    <n v="451"/>
    <n v="286"/>
    <n v="86060"/>
    <n v="85823"/>
    <x v="189"/>
    <x v="0"/>
    <x v="0"/>
    <s v="EndOfSeasonSale"/>
    <n v="5.8563792702765516E-2"/>
  </r>
  <r>
    <s v="P299"/>
    <x v="3"/>
    <s v="2024-08-26"/>
    <x v="4"/>
    <s v="Explore the latest image on Myntra! Trendy styles await."/>
    <n v="2581"/>
    <n v="517"/>
    <n v="117"/>
    <n v="23229"/>
    <n v="22331"/>
    <x v="190"/>
    <x v="0"/>
    <x v="4"/>
    <s v="EndOfSeasonSale"/>
    <n v="0.13840458048129492"/>
  </r>
  <r>
    <s v="P300"/>
    <x v="0"/>
    <s v="2024-08-31"/>
    <x v="3"/>
    <s v="Explore the latest carousel on Myntra! Trendy styles await."/>
    <n v="4494"/>
    <n v="717"/>
    <n v="45"/>
    <n v="62916"/>
    <n v="62688"/>
    <x v="186"/>
    <x v="1"/>
    <x v="0"/>
    <s v="FashionUpgrade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Explore the latest reel on Myntra! Trendy styles await."/>
    <n v="1461"/>
    <n v="184"/>
    <n v="344"/>
    <n v="21915"/>
    <n v="21675"/>
    <n v="15"/>
    <s v="#MyntraSale"/>
    <s v="FashionUpgrade"/>
    <n v="9.0759753593429152E-2"/>
  </r>
  <r>
    <s v="P002"/>
    <x v="0"/>
    <d v="2025-04-03T00:00:00"/>
    <x v="1"/>
    <s v="Explore the latest text on Myntra! Trendy styles await."/>
    <n v="4054"/>
    <n v="389"/>
    <n v="493"/>
    <n v="64864"/>
    <n v="64383"/>
    <n v="117"/>
    <s v="#MyntraFashion"/>
    <s v="EndOfSeasonSale"/>
    <n v="7.6097681302417369E-2"/>
  </r>
  <r>
    <s v="P003"/>
    <x v="1"/>
    <d v="2025-05-12T00:00:00"/>
    <x v="0"/>
    <s v="Explore the latest reel on Myntra! Trendy styles await."/>
    <n v="2795"/>
    <n v="105"/>
    <n v="49"/>
    <n v="53105"/>
    <n v="52307"/>
    <n v="204"/>
    <s v="#MyntraFashion,#MyntraSale"/>
    <s v="FashionUpgrade"/>
    <n v="5.5531494209584788E-2"/>
  </r>
  <r>
    <s v="P004"/>
    <x v="2"/>
    <d v="2024-08-12T00:00:00"/>
    <x v="2"/>
    <s v="Explore the latest story on Myntra! Trendy styles await."/>
    <n v="2404"/>
    <n v="363"/>
    <n v="138"/>
    <n v="19232"/>
    <n v="18636"/>
    <n v="128"/>
    <s v="#MyntraSale"/>
    <s v="FashionUpgrade"/>
    <n v="0.15105033277870217"/>
  </r>
  <r>
    <s v="P005"/>
    <x v="1"/>
    <d v="2024-06-26T00:00:00"/>
    <x v="0"/>
    <s v="Explore the latest reel on Myntra! Trendy styles await."/>
    <n v="3557"/>
    <n v="687"/>
    <n v="424"/>
    <n v="71140"/>
    <n v="70701"/>
    <n v="224"/>
    <s v="#StyleWithMyntra,#MyntraFashion"/>
    <s v="MyntraFestiveEdit"/>
    <n v="6.5617093055946027E-2"/>
  </r>
  <r>
    <s v="P006"/>
    <x v="3"/>
    <d v="2024-10-31T00:00:00"/>
    <x v="3"/>
    <s v="Explore the latest carousel on Myntra! Trendy styles await."/>
    <n v="2945"/>
    <n v="930"/>
    <n v="355"/>
    <n v="23560"/>
    <n v="23275"/>
    <n v="256"/>
    <s v="#MyntraTrend"/>
    <s v="EndOfSeasonSale"/>
    <n v="0.17954159592529711"/>
  </r>
  <r>
    <s v="P007"/>
    <x v="0"/>
    <d v="2024-06-24T00:00:00"/>
    <x v="3"/>
    <s v="Explore the latest carousel on Myntra! Trendy styles await."/>
    <n v="3860"/>
    <n v="201"/>
    <n v="279"/>
    <n v="61760"/>
    <n v="61660"/>
    <n v="235"/>
    <s v="#MyntraTrend"/>
    <s v="MyntraFestiveEdit"/>
    <n v="7.0272020725388601E-2"/>
  </r>
  <r>
    <s v="P008"/>
    <x v="1"/>
    <d v="2024-07-13T00:00:00"/>
    <x v="4"/>
    <s v="Explore the latest image on Myntra! Trendy styles await."/>
    <n v="3929"/>
    <n v="262"/>
    <n v="278"/>
    <n v="43219"/>
    <n v="42841"/>
    <n v="39"/>
    <s v="#MyntraFashion,#MyntraSale"/>
    <s v="MyntraFestiveEdit"/>
    <n v="0.10340359564080613"/>
  </r>
  <r>
    <s v="P009"/>
    <x v="3"/>
    <d v="2024-08-30T00:00:00"/>
    <x v="1"/>
    <s v="Explore the latest text on Myntra! Trendy styles await."/>
    <n v="3784"/>
    <n v="808"/>
    <n v="404"/>
    <n v="56760"/>
    <n v="56343"/>
    <n v="131"/>
    <s v="#MyntraFashion,#MyntraSale"/>
    <s v="MyntraFestiveEdit"/>
    <n v="8.8019732205778717E-2"/>
  </r>
  <r>
    <s v="P010"/>
    <x v="3"/>
    <d v="2025-03-11T00:00:00"/>
    <x v="4"/>
    <s v="Explore the latest image on Myntra! Trendy styles await."/>
    <n v="4241"/>
    <n v="902"/>
    <n v="47"/>
    <n v="72097"/>
    <n v="71598"/>
    <n v="167"/>
    <s v="#MyntraTrend"/>
    <s v="StyleRevolution"/>
    <n v="7.198635172059864E-2"/>
  </r>
  <r>
    <s v="P011"/>
    <x v="2"/>
    <d v="2025-02-02T00:00:00"/>
    <x v="2"/>
    <s v="Explore the latest story on Myntra! Trendy styles await."/>
    <n v="1792"/>
    <n v="614"/>
    <n v="497"/>
    <n v="25088"/>
    <n v="24675"/>
    <n v="65"/>
    <s v="#StyleWithMyntra"/>
    <s v="FashionUpgrade"/>
    <n v="0.11571269132653061"/>
  </r>
  <r>
    <s v="P012"/>
    <x v="3"/>
    <d v="2024-07-21T00:00:00"/>
    <x v="0"/>
    <s v="Explore the latest reel on Myntra! Trendy styles await."/>
    <n v="1946"/>
    <n v="686"/>
    <n v="377"/>
    <n v="23352"/>
    <n v="22982"/>
    <n v="213"/>
    <s v="#StyleWithMyntra,#MyntraSale"/>
    <s v="MyntraFestiveEdit"/>
    <n v="0.12885405960945528"/>
  </r>
  <r>
    <s v="P013"/>
    <x v="1"/>
    <d v="2024-11-18T00:00:00"/>
    <x v="3"/>
    <s v="Explore the latest carousel on Myntra! Trendy styles await."/>
    <n v="1171"/>
    <n v="286"/>
    <n v="231"/>
    <n v="22249"/>
    <n v="21282"/>
    <n v="114"/>
    <s v="#MyntraFashion"/>
    <s v="StyleRevolution"/>
    <n v="7.5868578363072495E-2"/>
  </r>
  <r>
    <s v="P014"/>
    <x v="3"/>
    <d v="2025-02-16T00:00:00"/>
    <x v="2"/>
    <s v="Explore the latest story on Myntra! Trendy styles await."/>
    <n v="4242"/>
    <n v="555"/>
    <n v="131"/>
    <n v="33936"/>
    <n v="33802"/>
    <n v="265"/>
    <s v="#MyntraSale,#MyntraFashion"/>
    <s v="MyntraFestiveEdit"/>
    <n v="0.14521452145214522"/>
  </r>
  <r>
    <s v="P015"/>
    <x v="3"/>
    <d v="2024-10-24T00:00:00"/>
    <x v="5"/>
    <s v="Explore the latest video on Myntra! Trendy styles await."/>
    <n v="3888"/>
    <n v="604"/>
    <n v="128"/>
    <n v="77760"/>
    <n v="77167"/>
    <n v="20"/>
    <s v="#MyntraFashion,#FashionDeals"/>
    <s v="FashionUpgrade"/>
    <n v="5.941358024691358E-2"/>
  </r>
  <r>
    <s v="P016"/>
    <x v="3"/>
    <d v="2024-08-26T00:00:00"/>
    <x v="1"/>
    <s v="Explore the latest text on Myntra! Trendy styles await."/>
    <n v="3452"/>
    <n v="377"/>
    <n v="360"/>
    <n v="55232"/>
    <n v="55075"/>
    <n v="87"/>
    <s v="#MyntraSale,#FashionDeals"/>
    <s v="MyntraFestiveEdit"/>
    <n v="7.5843713789107758E-2"/>
  </r>
  <r>
    <s v="P017"/>
    <x v="3"/>
    <d v="2025-05-05T00:00:00"/>
    <x v="1"/>
    <s v="Explore the latest text on Myntra! Trendy styles await."/>
    <n v="4441"/>
    <n v="511"/>
    <n v="70"/>
    <n v="53292"/>
    <n v="53082"/>
    <n v="159"/>
    <s v="#FashionDeals"/>
    <s v="MyntraFestiveEdit"/>
    <n v="9.4235532537716729E-2"/>
  </r>
  <r>
    <s v="P018"/>
    <x v="2"/>
    <d v="2024-08-19T00:00:00"/>
    <x v="0"/>
    <s v="Explore the latest reel on Myntra! Trendy styles await."/>
    <n v="3000"/>
    <n v="382"/>
    <n v="325"/>
    <n v="36000"/>
    <n v="35819"/>
    <n v="19"/>
    <s v="#StyleWithMyntra"/>
    <s v="EndOfSeasonSale"/>
    <n v="0.10297222222222223"/>
  </r>
  <r>
    <s v="P019"/>
    <x v="2"/>
    <d v="2024-06-23T00:00:00"/>
    <x v="5"/>
    <s v="Explore the latest video on Myntra! Trendy styles await."/>
    <n v="1071"/>
    <n v="519"/>
    <n v="22"/>
    <n v="16065"/>
    <n v="15865"/>
    <n v="103"/>
    <s v="#MyntraSale,#StyleWithMyntra"/>
    <s v="MyntraFestiveEdit"/>
    <n v="0.10034235916588857"/>
  </r>
  <r>
    <s v="P020"/>
    <x v="2"/>
    <d v="2024-09-09T00:00:00"/>
    <x v="3"/>
    <s v="Explore the latest carousel on Myntra! Trendy styles await."/>
    <n v="4054"/>
    <n v="488"/>
    <n v="373"/>
    <n v="77026"/>
    <n v="76881"/>
    <n v="25"/>
    <s v="#MyntraFashion,#MyntraSale"/>
    <s v="MyntraFestiveEdit"/>
    <n v="6.3809622724794221E-2"/>
  </r>
  <r>
    <s v="P021"/>
    <x v="2"/>
    <d v="2025-01-04T00:00:00"/>
    <x v="0"/>
    <s v="Explore the latest reel on Myntra! Trendy styles await."/>
    <n v="4838"/>
    <n v="640"/>
    <n v="128"/>
    <n v="72570"/>
    <n v="72396"/>
    <n v="83"/>
    <s v="#StyleWithMyntra,#MyntraTrend"/>
    <s v="MyntraFestiveEdit"/>
    <n v="7.7249552156538517E-2"/>
  </r>
  <r>
    <s v="P022"/>
    <x v="3"/>
    <d v="2025-02-27T00:00:00"/>
    <x v="1"/>
    <s v="Explore the latest text on Myntra! Trendy styles await."/>
    <n v="1570"/>
    <n v="187"/>
    <n v="260"/>
    <n v="25120"/>
    <n v="24613"/>
    <n v="133"/>
    <s v="#MyntraSale"/>
    <s v="StyleRevolution"/>
    <n v="8.0294585987261149E-2"/>
  </r>
  <r>
    <s v="P023"/>
    <x v="3"/>
    <d v="2024-11-06T00:00:00"/>
    <x v="5"/>
    <s v="Explore the latest video on Myntra! Trendy styles await."/>
    <n v="1606"/>
    <n v="547"/>
    <n v="316"/>
    <n v="32120"/>
    <n v="31736"/>
    <n v="225"/>
    <s v="#MyntraSale"/>
    <s v="MyntraFestiveEdit"/>
    <n v="7.6867995018679955E-2"/>
  </r>
  <r>
    <s v="P024"/>
    <x v="3"/>
    <d v="2025-01-23T00:00:00"/>
    <x v="5"/>
    <s v="Explore the latest video on Myntra! Trendy styles await."/>
    <n v="3961"/>
    <n v="761"/>
    <n v="131"/>
    <n v="67337"/>
    <n v="66615"/>
    <n v="161"/>
    <s v="#MyntraTrend"/>
    <s v="EndOfSeasonSale"/>
    <n v="7.2070332803659209E-2"/>
  </r>
  <r>
    <s v="P025"/>
    <x v="0"/>
    <d v="2025-04-10T00:00:00"/>
    <x v="3"/>
    <s v="Explore the latest carousel on Myntra! Trendy styles await."/>
    <n v="3128"/>
    <n v="211"/>
    <n v="197"/>
    <n v="59432"/>
    <n v="59182"/>
    <n v="238"/>
    <s v="#StyleWithMyntra,#MyntraSale"/>
    <s v="FashionUpgrade"/>
    <n v="5.9496567505720827E-2"/>
  </r>
  <r>
    <s v="P026"/>
    <x v="1"/>
    <d v="2025-04-05T00:00:00"/>
    <x v="0"/>
    <s v="Explore the latest reel on Myntra! Trendy styles await."/>
    <n v="3009"/>
    <n v="413"/>
    <n v="358"/>
    <n v="42126"/>
    <n v="41309"/>
    <n v="211"/>
    <s v="#MyntraSale"/>
    <s v="EndOfSeasonSale"/>
    <n v="8.9730807577268201E-2"/>
  </r>
  <r>
    <s v="P027"/>
    <x v="1"/>
    <d v="2024-09-17T00:00:00"/>
    <x v="1"/>
    <s v="Explore the latest text on Myntra! Trendy styles await."/>
    <n v="2076"/>
    <n v="195"/>
    <n v="104"/>
    <n v="33216"/>
    <n v="32244"/>
    <n v="51"/>
    <s v="#MyntraTrend"/>
    <s v="StyleRevolution"/>
    <n v="7.1501685934489398E-2"/>
  </r>
  <r>
    <s v="P028"/>
    <x v="2"/>
    <d v="2025-03-04T00:00:00"/>
    <x v="5"/>
    <s v="Explore the latest video on Myntra! Trendy styles await."/>
    <n v="432"/>
    <n v="624"/>
    <n v="123"/>
    <n v="6912"/>
    <n v="6259"/>
    <n v="79"/>
    <s v="#MyntraSale,#MyntraTrend"/>
    <s v="EndOfSeasonSale"/>
    <n v="0.17057291666666666"/>
  </r>
  <r>
    <s v="P029"/>
    <x v="2"/>
    <d v="2025-01-31T00:00:00"/>
    <x v="3"/>
    <s v="Explore the latest carousel on Myntra! Trendy styles await."/>
    <n v="2566"/>
    <n v="118"/>
    <n v="37"/>
    <n v="12830"/>
    <n v="12264"/>
    <n v="221"/>
    <s v="#MyntraTrend,#MyntraFashion"/>
    <s v="MyntraFestiveEdit"/>
    <n v="0.21208106001558846"/>
  </r>
  <r>
    <s v="P030"/>
    <x v="2"/>
    <d v="2025-02-25T00:00:00"/>
    <x v="5"/>
    <s v="Explore the latest video on Myntra! Trendy styles await."/>
    <n v="3095"/>
    <n v="39"/>
    <n v="78"/>
    <n v="55710"/>
    <n v="54808"/>
    <n v="93"/>
    <s v="#MyntraSale"/>
    <s v="StyleRevolution"/>
    <n v="5.7655717106444085E-2"/>
  </r>
  <r>
    <s v="P031"/>
    <x v="2"/>
    <d v="2024-12-16T00:00:00"/>
    <x v="1"/>
    <s v="Explore the latest text on Myntra! Trendy styles await."/>
    <n v="438"/>
    <n v="153"/>
    <n v="275"/>
    <n v="3066"/>
    <n v="2701"/>
    <n v="282"/>
    <s v="#MyntraTrend"/>
    <s v="StyleRevolution"/>
    <n v="0.28245270711024134"/>
  </r>
  <r>
    <s v="P032"/>
    <x v="0"/>
    <d v="2024-07-31T00:00:00"/>
    <x v="3"/>
    <s v="Explore the latest carousel on Myntra! Trendy styles await."/>
    <n v="2278"/>
    <n v="10"/>
    <n v="321"/>
    <n v="13668"/>
    <n v="12676"/>
    <n v="275"/>
    <s v="#MyntraTrend,#MyntraFashion"/>
    <s v="StyleRevolution"/>
    <n v="0.19088381621305239"/>
  </r>
  <r>
    <s v="P033"/>
    <x v="3"/>
    <d v="2024-08-21T00:00:00"/>
    <x v="4"/>
    <s v="Explore the latest image on Myntra! Trendy styles await."/>
    <n v="1407"/>
    <n v="400"/>
    <n v="351"/>
    <n v="16884"/>
    <n v="15954"/>
    <n v="113"/>
    <s v="#MyntraFashion,#FashionDeals"/>
    <s v="MyntraFestiveEdit"/>
    <n v="0.12781331438047855"/>
  </r>
  <r>
    <s v="P034"/>
    <x v="3"/>
    <d v="2025-03-26T00:00:00"/>
    <x v="1"/>
    <s v="Explore the latest text on Myntra! Trendy styles await."/>
    <n v="1652"/>
    <n v="89"/>
    <n v="357"/>
    <n v="29736"/>
    <n v="28771"/>
    <n v="215"/>
    <s v="#MyntraTrend,#FashionDeals"/>
    <s v="EndOfSeasonSale"/>
    <n v="7.055421038471886E-2"/>
  </r>
  <r>
    <s v="P035"/>
    <x v="2"/>
    <d v="2024-11-30T00:00:00"/>
    <x v="5"/>
    <s v="Explore the latest video on Myntra! Trendy styles await."/>
    <n v="3775"/>
    <n v="16"/>
    <n v="239"/>
    <n v="33975"/>
    <n v="33310"/>
    <n v="271"/>
    <s v="#StyleWithMyntra,#MyntraSale"/>
    <s v="MyntraFestiveEdit"/>
    <n v="0.11861662987490802"/>
  </r>
  <r>
    <s v="P036"/>
    <x v="2"/>
    <d v="2025-04-19T00:00:00"/>
    <x v="2"/>
    <s v="Explore the latest story on Myntra! Trendy styles await."/>
    <n v="4518"/>
    <n v="285"/>
    <n v="383"/>
    <n v="67770"/>
    <n v="67621"/>
    <n v="31"/>
    <s v="#FashionDeals"/>
    <s v="EndOfSeasonSale"/>
    <n v="7.6523535487678915E-2"/>
  </r>
  <r>
    <s v="P037"/>
    <x v="3"/>
    <d v="2025-01-06T00:00:00"/>
    <x v="3"/>
    <s v="Explore the latest carousel on Myntra! Trendy styles await."/>
    <n v="3024"/>
    <n v="925"/>
    <n v="350"/>
    <n v="24192"/>
    <n v="23518"/>
    <n v="36"/>
    <s v="#MyntraSale"/>
    <s v="MyntraFestiveEdit"/>
    <n v="0.17770337301587302"/>
  </r>
  <r>
    <s v="P038"/>
    <x v="1"/>
    <d v="2025-02-17T00:00:00"/>
    <x v="0"/>
    <s v="Explore the latest reel on Myntra! Trendy styles await."/>
    <n v="3138"/>
    <n v="123"/>
    <n v="291"/>
    <n v="28242"/>
    <n v="27550"/>
    <n v="87"/>
    <s v="#FashionDeals"/>
    <s v="StyleRevolution"/>
    <n v="0.12577012959422137"/>
  </r>
  <r>
    <s v="P039"/>
    <x v="3"/>
    <d v="2024-11-25T00:00:00"/>
    <x v="4"/>
    <s v="Explore the latest image on Myntra! Trendy styles await."/>
    <n v="3564"/>
    <n v="629"/>
    <n v="177"/>
    <n v="60588"/>
    <n v="59627"/>
    <n v="92"/>
    <s v="#FashionDeals,#MyntraSale"/>
    <s v="MyntraFestiveEdit"/>
    <n v="7.2126493695121141E-2"/>
  </r>
  <r>
    <s v="P040"/>
    <x v="0"/>
    <d v="2025-03-07T00:00:00"/>
    <x v="4"/>
    <s v="Explore the latest image on Myntra! Trendy styles await."/>
    <n v="4750"/>
    <n v="151"/>
    <n v="415"/>
    <n v="38000"/>
    <n v="37792"/>
    <n v="299"/>
    <s v="#StyleWithMyntra,#MyntraSale"/>
    <s v="EndOfSeasonSale"/>
    <n v="0.13989473684210527"/>
  </r>
  <r>
    <s v="P041"/>
    <x v="2"/>
    <d v="2025-03-08T00:00:00"/>
    <x v="0"/>
    <s v="Explore the latest reel on Myntra! Trendy styles await."/>
    <n v="456"/>
    <n v="629"/>
    <n v="428"/>
    <n v="8208"/>
    <n v="7377"/>
    <n v="205"/>
    <s v="#MyntraSale,#FashionDeals"/>
    <s v="MyntraFestiveEdit"/>
    <n v="0.18433235867446393"/>
  </r>
  <r>
    <s v="P042"/>
    <x v="1"/>
    <d v="2025-03-05T00:00:00"/>
    <x v="0"/>
    <s v="Explore the latest reel on Myntra! Trendy styles await."/>
    <n v="1543"/>
    <n v="820"/>
    <n v="333"/>
    <n v="12344"/>
    <n v="11496"/>
    <n v="241"/>
    <s v="#StyleWithMyntra"/>
    <s v="MyntraFestiveEdit"/>
    <n v="0.21840570317563188"/>
  </r>
  <r>
    <s v="P043"/>
    <x v="2"/>
    <d v="2024-12-14T00:00:00"/>
    <x v="3"/>
    <s v="Explore the latest carousel on Myntra! Trendy styles await."/>
    <n v="2174"/>
    <n v="658"/>
    <n v="15"/>
    <n v="13044"/>
    <n v="12206"/>
    <n v="137"/>
    <s v="#MyntraSale,#MyntraFashion"/>
    <s v="StyleRevolution"/>
    <n v="0.21826126954921804"/>
  </r>
  <r>
    <s v="P044"/>
    <x v="0"/>
    <d v="2025-03-02T00:00:00"/>
    <x v="4"/>
    <s v="Explore the latest image on Myntra! Trendy styles await."/>
    <n v="2358"/>
    <n v="784"/>
    <n v="344"/>
    <n v="35370"/>
    <n v="34475"/>
    <n v="216"/>
    <s v="#MyntraSale,#StyleWithMyntra"/>
    <s v="FashionUpgrade"/>
    <n v="9.8558100084817649E-2"/>
  </r>
  <r>
    <s v="P045"/>
    <x v="3"/>
    <d v="2024-11-01T00:00:00"/>
    <x v="5"/>
    <s v="Explore the latest video on Myntra! Trendy styles await."/>
    <n v="3371"/>
    <n v="106"/>
    <n v="327"/>
    <n v="50565"/>
    <n v="49816"/>
    <n v="176"/>
    <s v="#FashionDeals"/>
    <s v="StyleRevolution"/>
    <n v="7.5229902106199939E-2"/>
  </r>
  <r>
    <s v="P046"/>
    <x v="0"/>
    <d v="2025-05-02T00:00:00"/>
    <x v="5"/>
    <s v="Explore the latest video on Myntra! Trendy styles await."/>
    <n v="1108"/>
    <n v="177"/>
    <n v="212"/>
    <n v="8864"/>
    <n v="8710"/>
    <n v="97"/>
    <s v="#MyntraFashion"/>
    <s v="StyleRevolution"/>
    <n v="0.16888537906137185"/>
  </r>
  <r>
    <s v="P047"/>
    <x v="0"/>
    <d v="2025-02-24T00:00:00"/>
    <x v="3"/>
    <s v="Explore the latest carousel on Myntra! Trendy styles await."/>
    <n v="2704"/>
    <n v="752"/>
    <n v="153"/>
    <n v="21632"/>
    <n v="20792"/>
    <n v="127"/>
    <s v="#FashionDeals,#MyntraFashion"/>
    <s v="FashionUpgrade"/>
    <n v="0.16683616863905326"/>
  </r>
  <r>
    <s v="P048"/>
    <x v="0"/>
    <d v="2025-03-11T00:00:00"/>
    <x v="2"/>
    <s v="Explore the latest story on Myntra! Trendy styles await."/>
    <n v="1950"/>
    <n v="295"/>
    <n v="478"/>
    <n v="37050"/>
    <n v="36272"/>
    <n v="119"/>
    <s v="#MyntraFashion,#StyleWithMyntra"/>
    <s v="StyleRevolution"/>
    <n v="7.349527665317139E-2"/>
  </r>
  <r>
    <s v="P049"/>
    <x v="0"/>
    <d v="2024-06-10T00:00:00"/>
    <x v="2"/>
    <s v="Explore the latest story on Myntra! Trendy styles await."/>
    <n v="2164"/>
    <n v="549"/>
    <n v="274"/>
    <n v="28132"/>
    <n v="27361"/>
    <n v="177"/>
    <s v="#StyleWithMyntra"/>
    <s v="FashionUpgrade"/>
    <n v="0.10617801791554102"/>
  </r>
  <r>
    <s v="P050"/>
    <x v="1"/>
    <d v="2024-07-03T00:00:00"/>
    <x v="2"/>
    <s v="Explore the latest story on Myntra! Trendy styles await."/>
    <n v="2754"/>
    <n v="130"/>
    <n v="90"/>
    <n v="22032"/>
    <n v="21288"/>
    <n v="112"/>
    <s v="#MyntraFashion"/>
    <s v="FashionUpgrade"/>
    <n v="0.13498547567175018"/>
  </r>
  <r>
    <s v="P051"/>
    <x v="3"/>
    <d v="2024-06-13T00:00:00"/>
    <x v="3"/>
    <s v="Explore the latest carousel on Myntra! Trendy styles await."/>
    <n v="2200"/>
    <n v="504"/>
    <n v="239"/>
    <n v="37400"/>
    <n v="36938"/>
    <n v="225"/>
    <s v="#MyntraSale"/>
    <s v="MyntraFestiveEdit"/>
    <n v="7.8689839572192513E-2"/>
  </r>
  <r>
    <s v="P052"/>
    <x v="3"/>
    <d v="2025-01-03T00:00:00"/>
    <x v="4"/>
    <s v="Explore the latest image on Myntra! Trendy styles await."/>
    <n v="947"/>
    <n v="338"/>
    <n v="350"/>
    <n v="10417"/>
    <n v="9730"/>
    <n v="34"/>
    <s v="#MyntraFashion,#MyntraSale"/>
    <s v="MyntraFestiveEdit"/>
    <n v="0.1569549774407219"/>
  </r>
  <r>
    <s v="P053"/>
    <x v="1"/>
    <d v="2025-02-24T00:00:00"/>
    <x v="3"/>
    <s v="Explore the latest carousel on Myntra! Trendy styles await."/>
    <n v="804"/>
    <n v="639"/>
    <n v="43"/>
    <n v="4020"/>
    <n v="3144"/>
    <n v="11"/>
    <s v="#StyleWithMyntra,#MyntraTrend"/>
    <s v="StyleRevolution"/>
    <n v="0.36965174129353234"/>
  </r>
  <r>
    <s v="P054"/>
    <x v="1"/>
    <d v="2025-03-13T00:00:00"/>
    <x v="3"/>
    <s v="Explore the latest carousel on Myntra! Trendy styles await."/>
    <n v="1686"/>
    <n v="904"/>
    <n v="472"/>
    <n v="18546"/>
    <n v="18171"/>
    <n v="52"/>
    <s v="#MyntraFashion,#FashionDeals"/>
    <s v="EndOfSeasonSale"/>
    <n v="0.16510298716704411"/>
  </r>
  <r>
    <s v="P055"/>
    <x v="3"/>
    <d v="2024-06-17T00:00:00"/>
    <x v="4"/>
    <s v="Explore the latest image on Myntra! Trendy styles await."/>
    <n v="1226"/>
    <n v="119"/>
    <n v="7"/>
    <n v="14712"/>
    <n v="14049"/>
    <n v="123"/>
    <s v="#MyntraSale,#MyntraTrend"/>
    <s v="StyleRevolution"/>
    <n v="9.1897770527460579E-2"/>
  </r>
  <r>
    <s v="P056"/>
    <x v="3"/>
    <d v="2024-12-18T00:00:00"/>
    <x v="3"/>
    <s v="Explore the latest carousel on Myntra! Trendy styles await."/>
    <n v="2946"/>
    <n v="498"/>
    <n v="367"/>
    <n v="29460"/>
    <n v="28527"/>
    <n v="60"/>
    <s v="#StyleWithMyntra,#FashionDeals"/>
    <s v="EndOfSeasonSale"/>
    <n v="0.12936184657162253"/>
  </r>
  <r>
    <s v="P057"/>
    <x v="0"/>
    <d v="2024-10-21T00:00:00"/>
    <x v="5"/>
    <s v="Explore the latest video on Myntra! Trendy styles await."/>
    <n v="2825"/>
    <n v="535"/>
    <n v="295"/>
    <n v="45200"/>
    <n v="44739"/>
    <n v="169"/>
    <s v="#StyleWithMyntra"/>
    <s v="EndOfSeasonSale"/>
    <n v="8.0862831858407078E-2"/>
  </r>
  <r>
    <s v="P058"/>
    <x v="2"/>
    <d v="2025-04-15T00:00:00"/>
    <x v="0"/>
    <s v="Explore the latest reel on Myntra! Trendy styles await."/>
    <n v="103"/>
    <n v="770"/>
    <n v="19"/>
    <n v="1030"/>
    <n v="410"/>
    <n v="262"/>
    <s v="#MyntraSale"/>
    <s v="MyntraFestiveEdit"/>
    <n v="0.86601941747572819"/>
  </r>
  <r>
    <s v="P059"/>
    <x v="2"/>
    <d v="2024-06-22T00:00:00"/>
    <x v="1"/>
    <s v="Explore the latest text on Myntra! Trendy styles await."/>
    <n v="2180"/>
    <n v="263"/>
    <n v="387"/>
    <n v="30520"/>
    <n v="30059"/>
    <n v="174"/>
    <s v="#FashionDeals"/>
    <s v="FashionUpgrade"/>
    <n v="9.2726081258191345E-2"/>
  </r>
  <r>
    <s v="P060"/>
    <x v="2"/>
    <d v="2025-01-28T00:00:00"/>
    <x v="5"/>
    <s v="Explore the latest video on Myntra! Trendy styles await."/>
    <n v="904"/>
    <n v="973"/>
    <n v="63"/>
    <n v="11752"/>
    <n v="11580"/>
    <n v="84"/>
    <s v="#StyleWithMyntra"/>
    <s v="FashionUpgrade"/>
    <n v="0.1650782845473111"/>
  </r>
  <r>
    <s v="P061"/>
    <x v="0"/>
    <d v="2024-09-05T00:00:00"/>
    <x v="5"/>
    <s v="Explore the latest video on Myntra! Trendy styles await."/>
    <n v="4886"/>
    <n v="983"/>
    <n v="409"/>
    <n v="43974"/>
    <n v="43239"/>
    <n v="65"/>
    <s v="#MyntraFashion"/>
    <s v="FashionUpgrade"/>
    <n v="0.14276618001546368"/>
  </r>
  <r>
    <s v="P062"/>
    <x v="0"/>
    <d v="2024-11-22T00:00:00"/>
    <x v="3"/>
    <s v="Explore the latest carousel on Myntra! Trendy styles await."/>
    <n v="53"/>
    <n v="81"/>
    <n v="379"/>
    <n v="954"/>
    <n v="7"/>
    <n v="148"/>
    <s v="#FashionDeals"/>
    <s v="MyntraFestiveEdit"/>
    <n v="0.53773584905660377"/>
  </r>
  <r>
    <s v="P063"/>
    <x v="0"/>
    <d v="2024-07-31T00:00:00"/>
    <x v="3"/>
    <s v="Explore the latest carousel on Myntra! Trendy styles await."/>
    <n v="4507"/>
    <n v="217"/>
    <n v="13"/>
    <n v="90140"/>
    <n v="89591"/>
    <n v="125"/>
    <s v="#MyntraSale"/>
    <s v="FashionUpgrade"/>
    <n v="5.2551586421122697E-2"/>
  </r>
  <r>
    <s v="P064"/>
    <x v="3"/>
    <d v="2024-08-17T00:00:00"/>
    <x v="4"/>
    <s v="Explore the latest image on Myntra! Trendy styles await."/>
    <n v="2878"/>
    <n v="248"/>
    <n v="416"/>
    <n v="43170"/>
    <n v="42667"/>
    <n v="75"/>
    <s v="#FashionDeals,#MyntraTrend"/>
    <s v="EndOfSeasonSale"/>
    <n v="8.2047718322909427E-2"/>
  </r>
  <r>
    <s v="P065"/>
    <x v="2"/>
    <d v="2025-03-28T00:00:00"/>
    <x v="2"/>
    <s v="Explore the latest story on Myntra! Trendy styles await."/>
    <n v="1881"/>
    <n v="501"/>
    <n v="99"/>
    <n v="20691"/>
    <n v="19987"/>
    <n v="289"/>
    <s v="#FashionDeals"/>
    <s v="EndOfSeasonSale"/>
    <n v="0.11990720603160794"/>
  </r>
  <r>
    <s v="P066"/>
    <x v="0"/>
    <d v="2024-07-26T00:00:00"/>
    <x v="3"/>
    <s v="Explore the latest carousel on Myntra! Trendy styles await."/>
    <n v="432"/>
    <n v="171"/>
    <n v="280"/>
    <n v="3024"/>
    <n v="2285"/>
    <n v="184"/>
    <s v="#MyntraFashion"/>
    <s v="MyntraFestiveEdit"/>
    <n v="0.29199735449735448"/>
  </r>
  <r>
    <s v="P067"/>
    <x v="3"/>
    <d v="2025-03-29T00:00:00"/>
    <x v="3"/>
    <s v="Explore the latest carousel on Myntra! Trendy styles await."/>
    <n v="4712"/>
    <n v="568"/>
    <n v="127"/>
    <n v="84816"/>
    <n v="84691"/>
    <n v="100"/>
    <s v="#FashionDeals"/>
    <s v="FashionUpgrade"/>
    <n v="6.3749764195434822E-2"/>
  </r>
  <r>
    <s v="P068"/>
    <x v="2"/>
    <d v="2024-12-08T00:00:00"/>
    <x v="2"/>
    <s v="Explore the latest story on Myntra! Trendy styles await."/>
    <n v="2610"/>
    <n v="126"/>
    <n v="288"/>
    <n v="15660"/>
    <n v="15145"/>
    <n v="73"/>
    <s v="#MyntraFashion"/>
    <s v="FashionUpgrade"/>
    <n v="0.19310344827586207"/>
  </r>
  <r>
    <s v="P069"/>
    <x v="0"/>
    <d v="2025-03-08T00:00:00"/>
    <x v="1"/>
    <s v="Explore the latest text on Myntra! Trendy styles await."/>
    <n v="1292"/>
    <n v="626"/>
    <n v="496"/>
    <n v="25840"/>
    <n v="24916"/>
    <n v="149"/>
    <s v="#StyleWithMyntra,#MyntraTrend"/>
    <s v="StyleRevolution"/>
    <n v="9.3421052631578946E-2"/>
  </r>
  <r>
    <s v="P070"/>
    <x v="3"/>
    <d v="2025-04-02T00:00:00"/>
    <x v="5"/>
    <s v="Explore the latest video on Myntra! Trendy styles await."/>
    <n v="199"/>
    <n v="772"/>
    <n v="400"/>
    <n v="3582"/>
    <n v="2988"/>
    <n v="43"/>
    <s v="#MyntraTrend"/>
    <s v="FashionUpgrade"/>
    <n v="0.38274706867671693"/>
  </r>
  <r>
    <s v="P071"/>
    <x v="1"/>
    <d v="2024-09-02T00:00:00"/>
    <x v="3"/>
    <s v="Explore the latest carousel on Myntra! Trendy styles await."/>
    <n v="2551"/>
    <n v="915"/>
    <n v="205"/>
    <n v="30612"/>
    <n v="30360"/>
    <n v="227"/>
    <s v="#MyntraSale,#FashionDeals"/>
    <s v="EndOfSeasonSale"/>
    <n v="0.1199202926956749"/>
  </r>
  <r>
    <s v="P072"/>
    <x v="1"/>
    <d v="2025-03-03T00:00:00"/>
    <x v="0"/>
    <s v="Explore the latest reel on Myntra! Trendy styles await."/>
    <n v="296"/>
    <n v="60"/>
    <n v="141"/>
    <n v="5624"/>
    <n v="5239"/>
    <n v="88"/>
    <s v="#MyntraTrend"/>
    <s v="StyleRevolution"/>
    <n v="8.837126600284495E-2"/>
  </r>
  <r>
    <s v="P073"/>
    <x v="3"/>
    <d v="2024-10-18T00:00:00"/>
    <x v="2"/>
    <s v="Explore the latest story on Myntra! Trendy styles await."/>
    <n v="4126"/>
    <n v="426"/>
    <n v="486"/>
    <n v="78394"/>
    <n v="77798"/>
    <n v="88"/>
    <s v="#MyntraFashion"/>
    <s v="FashionUpgrade"/>
    <n v="6.4265122330790625E-2"/>
  </r>
  <r>
    <s v="P074"/>
    <x v="1"/>
    <d v="2024-10-28T00:00:00"/>
    <x v="0"/>
    <s v="Explore the latest reel on Myntra! Trendy styles await."/>
    <n v="1855"/>
    <n v="200"/>
    <n v="174"/>
    <n v="16695"/>
    <n v="16330"/>
    <n v="123"/>
    <s v="#MyntraFashion"/>
    <s v="MyntraFestiveEdit"/>
    <n v="0.13351302785265048"/>
  </r>
  <r>
    <s v="P075"/>
    <x v="2"/>
    <d v="2024-08-01T00:00:00"/>
    <x v="0"/>
    <s v="Explore the latest reel on Myntra! Trendy styles await."/>
    <n v="1674"/>
    <n v="929"/>
    <n v="37"/>
    <n v="21762"/>
    <n v="20998"/>
    <n v="255"/>
    <s v="#StyleWithMyntra,#FashionDeals"/>
    <s v="MyntraFestiveEdit"/>
    <n v="0.12131237937689551"/>
  </r>
  <r>
    <s v="P076"/>
    <x v="0"/>
    <d v="2024-11-07T00:00:00"/>
    <x v="2"/>
    <s v="Explore the latest story on Myntra! Trendy styles await."/>
    <n v="1121"/>
    <n v="135"/>
    <n v="18"/>
    <n v="15694"/>
    <n v="14957"/>
    <n v="99"/>
    <s v="#MyntraSale,#MyntraFashion"/>
    <s v="StyleRevolution"/>
    <n v="8.1177520071364848E-2"/>
  </r>
  <r>
    <s v="P077"/>
    <x v="3"/>
    <d v="2025-03-04T00:00:00"/>
    <x v="2"/>
    <s v="Explore the latest story on Myntra! Trendy styles await."/>
    <n v="1249"/>
    <n v="116"/>
    <n v="420"/>
    <n v="8743"/>
    <n v="8538"/>
    <n v="63"/>
    <s v="#MyntraFashion,#FashionDeals"/>
    <s v="MyntraFestiveEdit"/>
    <n v="0.20416333066453163"/>
  </r>
  <r>
    <s v="P078"/>
    <x v="0"/>
    <d v="2024-06-17T00:00:00"/>
    <x v="4"/>
    <s v="Explore the latest image on Myntra! Trendy styles await."/>
    <n v="954"/>
    <n v="324"/>
    <n v="288"/>
    <n v="19080"/>
    <n v="18859"/>
    <n v="21"/>
    <s v="#MyntraTrend"/>
    <s v="MyntraFestiveEdit"/>
    <n v="8.2075471698113203E-2"/>
  </r>
  <r>
    <s v="P079"/>
    <x v="2"/>
    <d v="2024-10-09T00:00:00"/>
    <x v="3"/>
    <s v="Explore the latest carousel on Myntra! Trendy styles await."/>
    <n v="3068"/>
    <n v="137"/>
    <n v="329"/>
    <n v="39884"/>
    <n v="39404"/>
    <n v="266"/>
    <s v="#MyntraSale,#MyntraTrend"/>
    <s v="MyntraFestiveEdit"/>
    <n v="8.860696018453515E-2"/>
  </r>
  <r>
    <s v="P080"/>
    <x v="2"/>
    <d v="2024-06-13T00:00:00"/>
    <x v="2"/>
    <s v="Explore the latest story on Myntra! Trendy styles await."/>
    <n v="2103"/>
    <n v="892"/>
    <n v="103"/>
    <n v="39957"/>
    <n v="39466"/>
    <n v="28"/>
    <s v="#FashionDeals,#MyntraFashion"/>
    <s v="EndOfSeasonSale"/>
    <n v="7.7533348349475686E-2"/>
  </r>
  <r>
    <s v="P081"/>
    <x v="2"/>
    <d v="2024-10-19T00:00:00"/>
    <x v="2"/>
    <s v="Explore the latest story on Myntra! Trendy styles await."/>
    <n v="1816"/>
    <n v="29"/>
    <n v="41"/>
    <n v="19976"/>
    <n v="19262"/>
    <n v="283"/>
    <s v="#MyntraTrend,#MyntraSale"/>
    <s v="MyntraFestiveEdit"/>
    <n v="9.4413295955146179E-2"/>
  </r>
  <r>
    <s v="P082"/>
    <x v="2"/>
    <d v="2024-07-24T00:00:00"/>
    <x v="4"/>
    <s v="Explore the latest image on Myntra! Trendy styles await."/>
    <n v="725"/>
    <n v="88"/>
    <n v="428"/>
    <n v="14500"/>
    <n v="13637"/>
    <n v="200"/>
    <s v="#MyntraTrend"/>
    <s v="MyntraFestiveEdit"/>
    <n v="8.558620689655172E-2"/>
  </r>
  <r>
    <s v="P083"/>
    <x v="1"/>
    <d v="2024-10-15T00:00:00"/>
    <x v="5"/>
    <s v="Explore the latest video on Myntra! Trendy styles await."/>
    <n v="1094"/>
    <n v="472"/>
    <n v="21"/>
    <n v="9846"/>
    <n v="9609"/>
    <n v="112"/>
    <s v="#MyntraTrend,#StyleWithMyntra"/>
    <s v="MyntraFestiveEdit"/>
    <n v="0.16118220597196831"/>
  </r>
  <r>
    <s v="P084"/>
    <x v="3"/>
    <d v="2024-12-09T00:00:00"/>
    <x v="4"/>
    <s v="Explore the latest image on Myntra! Trendy styles await."/>
    <n v="1841"/>
    <n v="851"/>
    <n v="342"/>
    <n v="34979"/>
    <n v="34154"/>
    <n v="255"/>
    <s v="#MyntraFashion,#FashionDeals"/>
    <s v="FashionUpgrade"/>
    <n v="8.6737756939878216E-2"/>
  </r>
  <r>
    <s v="P085"/>
    <x v="2"/>
    <d v="2025-04-19T00:00:00"/>
    <x v="4"/>
    <s v="Explore the latest image on Myntra! Trendy styles await."/>
    <n v="4177"/>
    <n v="569"/>
    <n v="55"/>
    <n v="25062"/>
    <n v="24847"/>
    <n v="230"/>
    <s v="#MyntraFashion"/>
    <s v="FashionUpgrade"/>
    <n v="0.19156491900087783"/>
  </r>
  <r>
    <s v="P086"/>
    <x v="1"/>
    <d v="2025-01-27T00:00:00"/>
    <x v="1"/>
    <s v="Explore the latest text on Myntra! Trendy styles await."/>
    <n v="3428"/>
    <n v="305"/>
    <n v="85"/>
    <n v="58276"/>
    <n v="58052"/>
    <n v="242"/>
    <s v="#MyntraTrend,#StyleWithMyntra"/>
    <s v="MyntraFestiveEdit"/>
    <n v="6.5515821264328367E-2"/>
  </r>
  <r>
    <s v="P087"/>
    <x v="0"/>
    <d v="2024-06-06T00:00:00"/>
    <x v="5"/>
    <s v="Explore the latest video on Myntra! Trendy styles await."/>
    <n v="1436"/>
    <n v="765"/>
    <n v="496"/>
    <n v="12924"/>
    <n v="12701"/>
    <n v="197"/>
    <s v="#MyntraTrend,#MyntraSale"/>
    <s v="EndOfSeasonSale"/>
    <n v="0.20868152274837512"/>
  </r>
  <r>
    <s v="P088"/>
    <x v="3"/>
    <d v="2024-07-07T00:00:00"/>
    <x v="2"/>
    <s v="Explore the latest story on Myntra! Trendy styles await."/>
    <n v="302"/>
    <n v="47"/>
    <n v="430"/>
    <n v="5738"/>
    <n v="4890"/>
    <n v="25"/>
    <s v="#MyntraFashion,#MyntraSale"/>
    <s v="EndOfSeasonSale"/>
    <n v="0.13576158940397351"/>
  </r>
  <r>
    <s v="P089"/>
    <x v="0"/>
    <d v="2025-01-10T00:00:00"/>
    <x v="4"/>
    <s v="Explore the latest image on Myntra! Trendy styles await."/>
    <n v="2214"/>
    <n v="249"/>
    <n v="152"/>
    <n v="15498"/>
    <n v="14800"/>
    <n v="180"/>
    <s v="#MyntraSale"/>
    <s v="EndOfSeasonSale"/>
    <n v="0.16873144921925409"/>
  </r>
  <r>
    <s v="P090"/>
    <x v="2"/>
    <d v="2024-06-03T00:00:00"/>
    <x v="4"/>
    <s v="Explore the latest image on Myntra! Trendy styles await."/>
    <n v="3861"/>
    <n v="960"/>
    <n v="101"/>
    <n v="69498"/>
    <n v="68817"/>
    <n v="297"/>
    <s v="#MyntraFashion"/>
    <s v="EndOfSeasonSale"/>
    <n v="7.0822181933293038E-2"/>
  </r>
  <r>
    <s v="P091"/>
    <x v="3"/>
    <d v="2025-03-24T00:00:00"/>
    <x v="4"/>
    <s v="Explore the latest image on Myntra! Trendy styles await."/>
    <n v="1263"/>
    <n v="397"/>
    <n v="357"/>
    <n v="25260"/>
    <n v="24615"/>
    <n v="137"/>
    <s v="#MyntraSale"/>
    <s v="EndOfSeasonSale"/>
    <n v="7.984956452889945E-2"/>
  </r>
  <r>
    <s v="P092"/>
    <x v="0"/>
    <d v="2024-10-21T00:00:00"/>
    <x v="2"/>
    <s v="Explore the latest story on Myntra! Trendy styles await."/>
    <n v="3801"/>
    <n v="967"/>
    <n v="401"/>
    <n v="38010"/>
    <n v="37625"/>
    <n v="236"/>
    <s v="#StyleWithMyntra"/>
    <s v="StyleRevolution"/>
    <n v="0.13599052880820836"/>
  </r>
  <r>
    <s v="P093"/>
    <x v="2"/>
    <d v="2024-12-11T00:00:00"/>
    <x v="5"/>
    <s v="Explore the latest video on Myntra! Trendy styles await."/>
    <n v="1431"/>
    <n v="951"/>
    <n v="26"/>
    <n v="8586"/>
    <n v="8396"/>
    <n v="150"/>
    <s v="#MyntraTrend,#FashionDeals"/>
    <s v="FashionUpgrade"/>
    <n v="0.28045655718611695"/>
  </r>
  <r>
    <s v="P094"/>
    <x v="2"/>
    <d v="2024-11-07T00:00:00"/>
    <x v="4"/>
    <s v="Explore the latest image on Myntra! Trendy styles await."/>
    <n v="2647"/>
    <n v="304"/>
    <n v="170"/>
    <n v="18529"/>
    <n v="17841"/>
    <n v="46"/>
    <s v="#StyleWithMyntra"/>
    <s v="EndOfSeasonSale"/>
    <n v="0.16843866371633656"/>
  </r>
  <r>
    <s v="P095"/>
    <x v="2"/>
    <d v="2024-11-08T00:00:00"/>
    <x v="1"/>
    <s v="Explore the latest text on Myntra! Trendy styles await."/>
    <n v="3182"/>
    <n v="559"/>
    <n v="160"/>
    <n v="57276"/>
    <n v="56890"/>
    <n v="163"/>
    <s v="#StyleWithMyntra,#MyntraTrend"/>
    <s v="EndOfSeasonSale"/>
    <n v="6.8108806480899509E-2"/>
  </r>
  <r>
    <s v="P096"/>
    <x v="0"/>
    <d v="2024-09-10T00:00:00"/>
    <x v="4"/>
    <s v="Explore the latest image on Myntra! Trendy styles await."/>
    <n v="1238"/>
    <n v="366"/>
    <n v="444"/>
    <n v="19808"/>
    <n v="19334"/>
    <n v="123"/>
    <s v="#FashionDeals"/>
    <s v="MyntraFestiveEdit"/>
    <n v="0.10339256865912763"/>
  </r>
  <r>
    <s v="P097"/>
    <x v="2"/>
    <d v="2024-08-13T00:00:00"/>
    <x v="4"/>
    <s v="Explore the latest image on Myntra! Trendy styles await."/>
    <n v="4739"/>
    <n v="527"/>
    <n v="135"/>
    <n v="61607"/>
    <n v="61333"/>
    <n v="36"/>
    <s v="#StyleWithMyntra,#MyntraSale"/>
    <s v="EndOfSeasonSale"/>
    <n v="8.7668609086629767E-2"/>
  </r>
  <r>
    <s v="P098"/>
    <x v="0"/>
    <d v="2024-06-10T00:00:00"/>
    <x v="2"/>
    <s v="Explore the latest story on Myntra! Trendy styles await."/>
    <n v="1575"/>
    <n v="771"/>
    <n v="486"/>
    <n v="25200"/>
    <n v="24826"/>
    <n v="17"/>
    <s v="#StyleWithMyntra"/>
    <s v="MyntraFestiveEdit"/>
    <n v="0.11238095238095239"/>
  </r>
  <r>
    <s v="P099"/>
    <x v="1"/>
    <d v="2024-07-02T00:00:00"/>
    <x v="3"/>
    <s v="Explore the latest carousel on Myntra! Trendy styles await."/>
    <n v="4171"/>
    <n v="548"/>
    <n v="86"/>
    <n v="66736"/>
    <n v="66634"/>
    <n v="173"/>
    <s v="#StyleWithMyntra"/>
    <s v="MyntraFestiveEdit"/>
    <n v="7.2000119875329657E-2"/>
  </r>
  <r>
    <s v="P100"/>
    <x v="1"/>
    <d v="2025-02-10T00:00:00"/>
    <x v="5"/>
    <s v="Explore the latest video on Myntra! Trendy styles await."/>
    <n v="1766"/>
    <n v="92"/>
    <n v="424"/>
    <n v="24724"/>
    <n v="24333"/>
    <n v="52"/>
    <s v="#StyleWithMyntra"/>
    <s v="FashionUpgrade"/>
    <n v="9.2298980747451867E-2"/>
  </r>
  <r>
    <s v="P101"/>
    <x v="1"/>
    <d v="2024-10-18T00:00:00"/>
    <x v="5"/>
    <s v="Explore the latest video on Myntra! Trendy styles await."/>
    <n v="4450"/>
    <n v="983"/>
    <n v="143"/>
    <n v="75650"/>
    <n v="75008"/>
    <n v="12"/>
    <s v="#MyntraSale,#StyleWithMyntra"/>
    <s v="EndOfSeasonSale"/>
    <n v="7.3707865168539333E-2"/>
  </r>
  <r>
    <s v="P102"/>
    <x v="0"/>
    <d v="2024-09-18T00:00:00"/>
    <x v="0"/>
    <s v="Explore the latest reel on Myntra! Trendy styles await."/>
    <n v="1000"/>
    <n v="978"/>
    <n v="162"/>
    <n v="6000"/>
    <n v="5221"/>
    <n v="223"/>
    <s v="#MyntraTrend,#MyntraFashion"/>
    <s v="MyntraFestiveEdit"/>
    <n v="0.35666666666666669"/>
  </r>
  <r>
    <s v="P103"/>
    <x v="3"/>
    <d v="2024-06-11T00:00:00"/>
    <x v="4"/>
    <s v="Explore the latest image on Myntra! Trendy styles await."/>
    <n v="3689"/>
    <n v="48"/>
    <n v="306"/>
    <n v="40579"/>
    <n v="39588"/>
    <n v="212"/>
    <s v="#MyntraTrend"/>
    <s v="FashionUpgrade"/>
    <n v="9.9632815002833983E-2"/>
  </r>
  <r>
    <s v="P104"/>
    <x v="1"/>
    <d v="2025-03-23T00:00:00"/>
    <x v="2"/>
    <s v="Explore the latest story on Myntra! Trendy styles await."/>
    <n v="3655"/>
    <n v="568"/>
    <n v="286"/>
    <n v="32895"/>
    <n v="32015"/>
    <n v="199"/>
    <s v="#MyntraTrend"/>
    <s v="StyleRevolution"/>
    <n v="0.13707250341997265"/>
  </r>
  <r>
    <s v="P105"/>
    <x v="2"/>
    <d v="2024-06-14T00:00:00"/>
    <x v="3"/>
    <s v="Explore the latest carousel on Myntra! Trendy styles await."/>
    <n v="498"/>
    <n v="38"/>
    <n v="42"/>
    <n v="4482"/>
    <n v="3647"/>
    <n v="32"/>
    <s v="#StyleWithMyntra,#FashionDeals"/>
    <s v="StyleRevolution"/>
    <n v="0.12896028558679162"/>
  </r>
  <r>
    <s v="P106"/>
    <x v="2"/>
    <d v="2025-02-04T00:00:00"/>
    <x v="4"/>
    <s v="Explore the latest image on Myntra! Trendy styles await."/>
    <n v="4619"/>
    <n v="821"/>
    <n v="499"/>
    <n v="69285"/>
    <n v="69141"/>
    <n v="298"/>
    <s v="#MyntraFashion"/>
    <s v="FashionUpgrade"/>
    <n v="8.5718409468138843E-2"/>
  </r>
  <r>
    <s v="P107"/>
    <x v="1"/>
    <d v="2024-06-21T00:00:00"/>
    <x v="4"/>
    <s v="Explore the latest image on Myntra! Trendy styles await."/>
    <n v="4832"/>
    <n v="893"/>
    <n v="10"/>
    <n v="91808"/>
    <n v="91296"/>
    <n v="182"/>
    <s v="#MyntraSale,#StyleWithMyntra"/>
    <s v="MyntraFestiveEdit"/>
    <n v="6.2467323109097243E-2"/>
  </r>
  <r>
    <s v="P108"/>
    <x v="0"/>
    <d v="2025-03-25T00:00:00"/>
    <x v="5"/>
    <s v="Explore the latest video on Myntra! Trendy styles await."/>
    <n v="4050"/>
    <n v="871"/>
    <n v="347"/>
    <n v="52650"/>
    <n v="51755"/>
    <n v="209"/>
    <s v="#StyleWithMyntra,#FashionDeals"/>
    <s v="FashionUpgrade"/>
    <n v="0.10005698005698006"/>
  </r>
  <r>
    <s v="P109"/>
    <x v="0"/>
    <d v="2024-08-08T00:00:00"/>
    <x v="2"/>
    <s v="Explore the latest story on Myntra! Trendy styles await."/>
    <n v="3649"/>
    <n v="215"/>
    <n v="413"/>
    <n v="25543"/>
    <n v="24963"/>
    <n v="167"/>
    <s v="#MyntraFashion,#StyleWithMyntra"/>
    <s v="FashionUpgrade"/>
    <n v="0.16744313510550835"/>
  </r>
  <r>
    <s v="P110"/>
    <x v="2"/>
    <d v="2024-07-29T00:00:00"/>
    <x v="0"/>
    <s v="Explore the latest reel on Myntra! Trendy styles await."/>
    <n v="3523"/>
    <n v="753"/>
    <n v="482"/>
    <n v="38753"/>
    <n v="38579"/>
    <n v="270"/>
    <s v="#FashionDeals,#StyleWithMyntra"/>
    <s v="EndOfSeasonSale"/>
    <n v="0.12277759141227776"/>
  </r>
  <r>
    <s v="P111"/>
    <x v="1"/>
    <d v="2024-11-23T00:00:00"/>
    <x v="4"/>
    <s v="Explore the latest image on Myntra! Trendy styles await."/>
    <n v="2719"/>
    <n v="17"/>
    <n v="285"/>
    <n v="40785"/>
    <n v="40281"/>
    <n v="40"/>
    <s v="#MyntraFashion,#StyleWithMyntra"/>
    <s v="MyntraFestiveEdit"/>
    <n v="7.4071349760941527E-2"/>
  </r>
  <r>
    <s v="P112"/>
    <x v="0"/>
    <d v="2024-10-05T00:00:00"/>
    <x v="2"/>
    <s v="Explore the latest story on Myntra! Trendy styles await."/>
    <n v="1957"/>
    <n v="877"/>
    <n v="238"/>
    <n v="17613"/>
    <n v="16865"/>
    <n v="297"/>
    <s v="#MyntraFashion,#MyntraSale"/>
    <s v="MyntraFestiveEdit"/>
    <n v="0.17441662408448305"/>
  </r>
  <r>
    <s v="P113"/>
    <x v="0"/>
    <d v="2024-10-02T00:00:00"/>
    <x v="3"/>
    <s v="Explore the latest carousel on Myntra! Trendy styles await."/>
    <n v="4419"/>
    <n v="236"/>
    <n v="369"/>
    <n v="44190"/>
    <n v="43582"/>
    <n v="10"/>
    <s v="#MyntraTrend"/>
    <s v="StyleRevolution"/>
    <n v="0.11369088028965829"/>
  </r>
  <r>
    <s v="P114"/>
    <x v="0"/>
    <d v="2024-11-14T00:00:00"/>
    <x v="2"/>
    <s v="Explore the latest story on Myntra! Trendy styles await."/>
    <n v="4000"/>
    <n v="689"/>
    <n v="488"/>
    <n v="40000"/>
    <n v="39569"/>
    <n v="44"/>
    <s v="#FashionDeals,#MyntraFashion"/>
    <s v="MyntraFestiveEdit"/>
    <n v="0.12942500000000001"/>
  </r>
  <r>
    <s v="P115"/>
    <x v="0"/>
    <d v="2025-05-11T00:00:00"/>
    <x v="4"/>
    <s v="Explore the latest image on Myntra! Trendy styles await."/>
    <n v="2493"/>
    <n v="97"/>
    <n v="44"/>
    <n v="42381"/>
    <n v="41991"/>
    <n v="242"/>
    <s v="#MyntraSale,#StyleWithMyntra"/>
    <s v="FashionUpgrade"/>
    <n v="6.2150491965739366E-2"/>
  </r>
  <r>
    <s v="P116"/>
    <x v="1"/>
    <d v="2025-03-18T00:00:00"/>
    <x v="0"/>
    <s v="Explore the latest reel on Myntra! Trendy styles await."/>
    <n v="3704"/>
    <n v="186"/>
    <n v="458"/>
    <n v="25928"/>
    <n v="25081"/>
    <n v="131"/>
    <s v="#StyleWithMyntra"/>
    <s v="FashionUpgrade"/>
    <n v="0.16769515581610614"/>
  </r>
  <r>
    <s v="P117"/>
    <x v="0"/>
    <d v="2024-11-04T00:00:00"/>
    <x v="4"/>
    <s v="Explore the latest image on Myntra! Trendy styles await."/>
    <n v="1606"/>
    <n v="451"/>
    <n v="405"/>
    <n v="20878"/>
    <n v="20190"/>
    <n v="219"/>
    <s v="#MyntraSale,#StyleWithMyntra"/>
    <s v="EndOfSeasonSale"/>
    <n v="0.11792317271769326"/>
  </r>
  <r>
    <s v="P118"/>
    <x v="3"/>
    <d v="2024-11-04T00:00:00"/>
    <x v="4"/>
    <s v="Explore the latest image on Myntra! Trendy styles await."/>
    <n v="4551"/>
    <n v="714"/>
    <n v="207"/>
    <n v="68265"/>
    <n v="67754"/>
    <n v="57"/>
    <s v="#MyntraTrend"/>
    <s v="EndOfSeasonSale"/>
    <n v="8.0158206987475278E-2"/>
  </r>
  <r>
    <s v="P119"/>
    <x v="2"/>
    <d v="2025-02-07T00:00:00"/>
    <x v="0"/>
    <s v="Explore the latest reel on Myntra! Trendy styles await."/>
    <n v="1970"/>
    <n v="675"/>
    <n v="478"/>
    <n v="9850"/>
    <n v="8924"/>
    <n v="117"/>
    <s v="#MyntraTrend"/>
    <s v="StyleRevolution"/>
    <n v="0.31705583756345179"/>
  </r>
  <r>
    <s v="P120"/>
    <x v="3"/>
    <d v="2024-10-21T00:00:00"/>
    <x v="2"/>
    <s v="Explore the latest story on Myntra! Trendy styles await."/>
    <n v="780"/>
    <n v="928"/>
    <n v="301"/>
    <n v="8580"/>
    <n v="8081"/>
    <n v="91"/>
    <s v="#MyntraSale,#MyntraFashion"/>
    <s v="StyleRevolution"/>
    <n v="0.23414918414918415"/>
  </r>
  <r>
    <s v="P121"/>
    <x v="2"/>
    <d v="2024-07-29T00:00:00"/>
    <x v="2"/>
    <s v="Explore the latest story on Myntra! Trendy styles await."/>
    <n v="498"/>
    <n v="701"/>
    <n v="412"/>
    <n v="4980"/>
    <n v="4185"/>
    <n v="185"/>
    <s v="#FashionDeals,#StyleWithMyntra"/>
    <s v="StyleRevolution"/>
    <n v="0.32349397590361445"/>
  </r>
  <r>
    <s v="P122"/>
    <x v="2"/>
    <d v="2024-10-02T00:00:00"/>
    <x v="1"/>
    <s v="Explore the latest text on Myntra! Trendy styles await."/>
    <n v="3432"/>
    <n v="869"/>
    <n v="123"/>
    <n v="54912"/>
    <n v="53916"/>
    <n v="264"/>
    <s v="#MyntraFashion,#MyntraTrend"/>
    <s v="EndOfSeasonSale"/>
    <n v="8.0565268065268064E-2"/>
  </r>
  <r>
    <s v="P123"/>
    <x v="2"/>
    <d v="2024-06-14T00:00:00"/>
    <x v="2"/>
    <s v="Explore the latest story on Myntra! Trendy styles await."/>
    <n v="4363"/>
    <n v="649"/>
    <n v="140"/>
    <n v="21815"/>
    <n v="21481"/>
    <n v="157"/>
    <s v="#MyntraSale,#MyntraFashion"/>
    <s v="EndOfSeasonSale"/>
    <n v="0.23616777446710979"/>
  </r>
  <r>
    <s v="P124"/>
    <x v="1"/>
    <d v="2025-04-06T00:00:00"/>
    <x v="3"/>
    <s v="Explore the latest carousel on Myntra! Trendy styles await."/>
    <n v="736"/>
    <n v="771"/>
    <n v="225"/>
    <n v="5152"/>
    <n v="4706"/>
    <n v="19"/>
    <s v="#StyleWithMyntra"/>
    <s v="MyntraFestiveEdit"/>
    <n v="0.33618012422360249"/>
  </r>
  <r>
    <s v="P125"/>
    <x v="0"/>
    <d v="2024-09-08T00:00:00"/>
    <x v="3"/>
    <s v="Explore the latest carousel on Myntra! Trendy styles await."/>
    <n v="3811"/>
    <n v="866"/>
    <n v="216"/>
    <n v="34299"/>
    <n v="34088"/>
    <n v="233"/>
    <s v="#StyleWithMyntra"/>
    <s v="MyntraFestiveEdit"/>
    <n v="0.14265722032712325"/>
  </r>
  <r>
    <s v="P126"/>
    <x v="2"/>
    <d v="2025-03-28T00:00:00"/>
    <x v="3"/>
    <s v="Explore the latest carousel on Myntra! Trendy styles await."/>
    <n v="4158"/>
    <n v="167"/>
    <n v="241"/>
    <n v="45738"/>
    <n v="45183"/>
    <n v="142"/>
    <s v="#MyntraFashion"/>
    <s v="EndOfSeasonSale"/>
    <n v="9.9829463465827106E-2"/>
  </r>
  <r>
    <s v="P127"/>
    <x v="3"/>
    <d v="2025-01-27T00:00:00"/>
    <x v="0"/>
    <s v="Explore the latest reel on Myntra! Trendy styles await."/>
    <n v="3452"/>
    <n v="652"/>
    <n v="442"/>
    <n v="65588"/>
    <n v="65049"/>
    <n v="158"/>
    <s v="#MyntraSale,#StyleWithMyntra"/>
    <s v="FashionUpgrade"/>
    <n v="6.9311459413307311E-2"/>
  </r>
  <r>
    <s v="P128"/>
    <x v="0"/>
    <d v="2025-01-10T00:00:00"/>
    <x v="4"/>
    <s v="Explore the latest image on Myntra! Trendy styles await."/>
    <n v="3092"/>
    <n v="106"/>
    <n v="291"/>
    <n v="27828"/>
    <n v="27217"/>
    <n v="102"/>
    <s v="#StyleWithMyntra"/>
    <s v="StyleRevolution"/>
    <n v="0.12537731780940059"/>
  </r>
  <r>
    <s v="P129"/>
    <x v="0"/>
    <d v="2024-07-21T00:00:00"/>
    <x v="1"/>
    <s v="Explore the latest text on Myntra! Trendy styles await."/>
    <n v="2147"/>
    <n v="430"/>
    <n v="393"/>
    <n v="17176"/>
    <n v="16483"/>
    <n v="170"/>
    <s v="#FashionDeals"/>
    <s v="StyleRevolution"/>
    <n v="0.17291569632044715"/>
  </r>
  <r>
    <s v="P130"/>
    <x v="1"/>
    <d v="2024-09-29T00:00:00"/>
    <x v="0"/>
    <s v="Explore the latest reel on Myntra! Trendy styles await."/>
    <n v="2936"/>
    <n v="439"/>
    <n v="44"/>
    <n v="38168"/>
    <n v="37571"/>
    <n v="22"/>
    <s v="#MyntraSale"/>
    <s v="MyntraFestiveEdit"/>
    <n v="8.9577656675749323E-2"/>
  </r>
  <r>
    <s v="P131"/>
    <x v="2"/>
    <d v="2024-10-21T00:00:00"/>
    <x v="0"/>
    <s v="Explore the latest reel on Myntra! Trendy styles await."/>
    <n v="4840"/>
    <n v="658"/>
    <n v="211"/>
    <n v="43560"/>
    <n v="43225"/>
    <n v="57"/>
    <s v="#MyntraSale,#MyntraFashion"/>
    <s v="EndOfSeasonSale"/>
    <n v="0.13106060606060607"/>
  </r>
  <r>
    <s v="P132"/>
    <x v="2"/>
    <d v="2025-03-04T00:00:00"/>
    <x v="2"/>
    <s v="Explore the latest story on Myntra! Trendy styles await."/>
    <n v="1947"/>
    <n v="842"/>
    <n v="101"/>
    <n v="21417"/>
    <n v="20967"/>
    <n v="186"/>
    <s v="#MyntraFashion"/>
    <s v="EndOfSeasonSale"/>
    <n v="0.13493953401503478"/>
  </r>
  <r>
    <s v="P133"/>
    <x v="3"/>
    <d v="2025-02-06T00:00:00"/>
    <x v="4"/>
    <s v="Explore the latest image on Myntra! Trendy styles await."/>
    <n v="2072"/>
    <n v="532"/>
    <n v="71"/>
    <n v="37296"/>
    <n v="36467"/>
    <n v="25"/>
    <s v="#MyntraSale"/>
    <s v="MyntraFestiveEdit"/>
    <n v="7.172350922350923E-2"/>
  </r>
  <r>
    <s v="P134"/>
    <x v="0"/>
    <d v="2025-04-24T00:00:00"/>
    <x v="0"/>
    <s v="Explore the latest reel on Myntra! Trendy styles await."/>
    <n v="3731"/>
    <n v="115"/>
    <n v="135"/>
    <n v="55965"/>
    <n v="55436"/>
    <n v="103"/>
    <s v="#FashionDeals"/>
    <s v="StyleRevolution"/>
    <n v="7.1133744304476013E-2"/>
  </r>
  <r>
    <s v="P135"/>
    <x v="3"/>
    <d v="2024-11-28T00:00:00"/>
    <x v="1"/>
    <s v="Explore the latest text on Myntra! Trendy styles await."/>
    <n v="4213"/>
    <n v="253"/>
    <n v="434"/>
    <n v="75834"/>
    <n v="75437"/>
    <n v="272"/>
    <s v="#MyntraTrend"/>
    <s v="MyntraFestiveEdit"/>
    <n v="6.461481657304112E-2"/>
  </r>
  <r>
    <s v="P136"/>
    <x v="2"/>
    <d v="2024-07-11T00:00:00"/>
    <x v="1"/>
    <s v="Explore the latest text on Myntra! Trendy styles await."/>
    <n v="3134"/>
    <n v="888"/>
    <n v="444"/>
    <n v="21938"/>
    <n v="21337"/>
    <n v="130"/>
    <s v="#MyntraSale,#MyntraFashion"/>
    <s v="StyleRevolution"/>
    <n v="0.20357370772176134"/>
  </r>
  <r>
    <s v="P137"/>
    <x v="3"/>
    <d v="2024-07-31T00:00:00"/>
    <x v="5"/>
    <s v="Explore the latest video on Myntra! Trendy styles await."/>
    <n v="3008"/>
    <n v="94"/>
    <n v="37"/>
    <n v="15040"/>
    <n v="14639"/>
    <n v="277"/>
    <s v="#FashionDeals"/>
    <s v="FashionUpgrade"/>
    <n v="0.20871010638297871"/>
  </r>
  <r>
    <s v="P138"/>
    <x v="0"/>
    <d v="2025-03-29T00:00:00"/>
    <x v="4"/>
    <s v="Explore the latest image on Myntra! Trendy styles await."/>
    <n v="305"/>
    <n v="187"/>
    <n v="243"/>
    <n v="4575"/>
    <n v="3704"/>
    <n v="234"/>
    <s v="#MyntraFashion,#MyntraTrend"/>
    <s v="StyleRevolution"/>
    <n v="0.16065573770491803"/>
  </r>
  <r>
    <s v="P139"/>
    <x v="1"/>
    <d v="2024-10-29T00:00:00"/>
    <x v="1"/>
    <s v="Explore the latest text on Myntra! Trendy styles await."/>
    <n v="2746"/>
    <n v="156"/>
    <n v="203"/>
    <n v="32952"/>
    <n v="32147"/>
    <n v="147"/>
    <s v="#MyntraFashion,#StyleWithMyntra"/>
    <s v="EndOfSeasonSale"/>
    <n v="9.422796795338674E-2"/>
  </r>
  <r>
    <s v="P140"/>
    <x v="3"/>
    <d v="2024-07-15T00:00:00"/>
    <x v="4"/>
    <s v="Explore the latest image on Myntra! Trendy styles await."/>
    <n v="2291"/>
    <n v="78"/>
    <n v="485"/>
    <n v="18328"/>
    <n v="18101"/>
    <n v="10"/>
    <s v="#FashionDeals"/>
    <s v="FashionUpgrade"/>
    <n v="0.15571802706241816"/>
  </r>
  <r>
    <s v="P141"/>
    <x v="0"/>
    <d v="2024-08-31T00:00:00"/>
    <x v="4"/>
    <s v="Explore the latest image on Myntra! Trendy styles await."/>
    <n v="3170"/>
    <n v="857"/>
    <n v="379"/>
    <n v="19020"/>
    <n v="18559"/>
    <n v="240"/>
    <s v="#MyntraSale"/>
    <s v="MyntraFestiveEdit"/>
    <n v="0.2316508937960042"/>
  </r>
  <r>
    <s v="P142"/>
    <x v="1"/>
    <d v="2025-03-25T00:00:00"/>
    <x v="2"/>
    <s v="Explore the latest story on Myntra! Trendy styles await."/>
    <n v="2070"/>
    <n v="275"/>
    <n v="386"/>
    <n v="39330"/>
    <n v="38627"/>
    <n v="114"/>
    <s v="#MyntraSale"/>
    <s v="StyleRevolution"/>
    <n v="6.9438087973557078E-2"/>
  </r>
  <r>
    <s v="P143"/>
    <x v="1"/>
    <d v="2024-10-02T00:00:00"/>
    <x v="3"/>
    <s v="Explore the latest carousel on Myntra! Trendy styles await."/>
    <n v="80"/>
    <n v="362"/>
    <n v="80"/>
    <n v="1040"/>
    <n v="349"/>
    <n v="117"/>
    <s v="#MyntraFashion,#StyleWithMyntra"/>
    <s v="EndOfSeasonSale"/>
    <n v="0.50192307692307692"/>
  </r>
  <r>
    <s v="P144"/>
    <x v="1"/>
    <d v="2024-10-28T00:00:00"/>
    <x v="2"/>
    <s v="Explore the latest story on Myntra! Trendy styles await."/>
    <n v="4929"/>
    <n v="749"/>
    <n v="452"/>
    <n v="93651"/>
    <n v="92810"/>
    <n v="66"/>
    <s v="#MyntraTrend,#StyleWithMyntra"/>
    <s v="FashionUpgrade"/>
    <n v="6.5455787978772245E-2"/>
  </r>
  <r>
    <s v="P145"/>
    <x v="2"/>
    <d v="2024-08-12T00:00:00"/>
    <x v="3"/>
    <s v="Explore the latest carousel on Myntra! Trendy styles await."/>
    <n v="1878"/>
    <n v="62"/>
    <n v="179"/>
    <n v="37560"/>
    <n v="36874"/>
    <n v="142"/>
    <s v="#FashionDeals,#MyntraTrend"/>
    <s v="FashionUpgrade"/>
    <n v="5.6416400425985093E-2"/>
  </r>
  <r>
    <s v="P146"/>
    <x v="1"/>
    <d v="2024-06-05T00:00:00"/>
    <x v="0"/>
    <s v="Explore the latest reel on Myntra! Trendy styles await."/>
    <n v="3065"/>
    <n v="772"/>
    <n v="142"/>
    <n v="18390"/>
    <n v="17875"/>
    <n v="200"/>
    <s v="#StyleWithMyntra"/>
    <s v="FashionUpgrade"/>
    <n v="0.21636759108210984"/>
  </r>
  <r>
    <s v="P147"/>
    <x v="2"/>
    <d v="2024-10-21T00:00:00"/>
    <x v="0"/>
    <s v="Explore the latest reel on Myntra! Trendy styles await."/>
    <n v="3256"/>
    <n v="459"/>
    <n v="266"/>
    <n v="26048"/>
    <n v="25529"/>
    <n v="143"/>
    <s v="#MyntraSale,#StyleWithMyntra"/>
    <s v="MyntraFestiveEdit"/>
    <n v="0.15283323095823095"/>
  </r>
  <r>
    <s v="P148"/>
    <x v="2"/>
    <d v="2025-04-15T00:00:00"/>
    <x v="5"/>
    <s v="Explore the latest video on Myntra! Trendy styles await."/>
    <n v="4133"/>
    <n v="466"/>
    <n v="327"/>
    <n v="24798"/>
    <n v="24620"/>
    <n v="176"/>
    <s v="#StyleWithMyntra"/>
    <s v="EndOfSeasonSale"/>
    <n v="0.19864505202032423"/>
  </r>
  <r>
    <s v="P149"/>
    <x v="0"/>
    <d v="2024-06-16T00:00:00"/>
    <x v="5"/>
    <s v="Explore the latest video on Myntra! Trendy styles await."/>
    <n v="1702"/>
    <n v="750"/>
    <n v="179"/>
    <n v="34040"/>
    <n v="33174"/>
    <n v="76"/>
    <s v="#MyntraTrend"/>
    <s v="MyntraFestiveEdit"/>
    <n v="7.7291421856639245E-2"/>
  </r>
  <r>
    <s v="P150"/>
    <x v="1"/>
    <d v="2024-08-22T00:00:00"/>
    <x v="3"/>
    <s v="Explore the latest carousel on Myntra! Trendy styles await."/>
    <n v="4295"/>
    <n v="853"/>
    <n v="325"/>
    <n v="85900"/>
    <n v="85788"/>
    <n v="290"/>
    <s v="#MyntraTrend,#MyntraSale"/>
    <s v="EndOfSeasonSale"/>
    <n v="6.3713620488940623E-2"/>
  </r>
  <r>
    <s v="P151"/>
    <x v="2"/>
    <d v="2024-07-26T00:00:00"/>
    <x v="4"/>
    <s v="Explore the latest image on Myntra! Trendy styles await."/>
    <n v="3559"/>
    <n v="59"/>
    <n v="289"/>
    <n v="35590"/>
    <n v="35105"/>
    <n v="122"/>
    <s v="#MyntraTrend,#StyleWithMyntra"/>
    <s v="MyntraFestiveEdit"/>
    <n v="0.10977802753582468"/>
  </r>
  <r>
    <s v="P152"/>
    <x v="3"/>
    <d v="2025-04-22T00:00:00"/>
    <x v="4"/>
    <s v="Explore the latest image on Myntra! Trendy styles await."/>
    <n v="4804"/>
    <n v="550"/>
    <n v="270"/>
    <n v="28824"/>
    <n v="28370"/>
    <n v="47"/>
    <s v="#MyntraSale,#StyleWithMyntra"/>
    <s v="StyleRevolution"/>
    <n v="0.19511518179295032"/>
  </r>
  <r>
    <s v="P153"/>
    <x v="0"/>
    <d v="2025-01-01T00:00:00"/>
    <x v="5"/>
    <s v="Explore the latest video on Myntra! Trendy styles await."/>
    <n v="754"/>
    <n v="197"/>
    <n v="257"/>
    <n v="6786"/>
    <n v="6221"/>
    <n v="212"/>
    <s v="#FashionDeals,#MyntraTrend"/>
    <s v="MyntraFestiveEdit"/>
    <n v="0.17801355732390214"/>
  </r>
  <r>
    <s v="P154"/>
    <x v="2"/>
    <d v="2024-10-09T00:00:00"/>
    <x v="3"/>
    <s v="Explore the latest carousel on Myntra! Trendy styles await."/>
    <n v="985"/>
    <n v="932"/>
    <n v="287"/>
    <n v="6895"/>
    <n v="6757"/>
    <n v="64"/>
    <s v="#MyntraSale,#MyntraFashion"/>
    <s v="EndOfSeasonSale"/>
    <n v="0.31965192168237855"/>
  </r>
  <r>
    <s v="P155"/>
    <x v="1"/>
    <d v="2024-12-21T00:00:00"/>
    <x v="4"/>
    <s v="Explore the latest image on Myntra! Trendy styles await."/>
    <n v="2283"/>
    <n v="210"/>
    <n v="130"/>
    <n v="22830"/>
    <n v="22617"/>
    <n v="143"/>
    <s v="#MyntraFashion,#StyleWithMyntra"/>
    <s v="MyntraFestiveEdit"/>
    <n v="0.11489268506351293"/>
  </r>
  <r>
    <s v="P156"/>
    <x v="3"/>
    <d v="2024-10-22T00:00:00"/>
    <x v="3"/>
    <s v="Explore the latest carousel on Myntra! Trendy styles await."/>
    <n v="3352"/>
    <n v="941"/>
    <n v="482"/>
    <n v="43576"/>
    <n v="43338"/>
    <n v="240"/>
    <s v="#MyntraTrend"/>
    <s v="MyntraFestiveEdit"/>
    <n v="0.1095786671562328"/>
  </r>
  <r>
    <s v="P157"/>
    <x v="1"/>
    <d v="2024-07-23T00:00:00"/>
    <x v="2"/>
    <s v="Explore the latest story on Myntra! Trendy styles await."/>
    <n v="4775"/>
    <n v="173"/>
    <n v="206"/>
    <n v="47750"/>
    <n v="47544"/>
    <n v="187"/>
    <s v="#StyleWithMyntra,#MyntraTrend"/>
    <s v="StyleRevolution"/>
    <n v="0.10793717277486911"/>
  </r>
  <r>
    <s v="P158"/>
    <x v="2"/>
    <d v="2024-08-11T00:00:00"/>
    <x v="2"/>
    <s v="Explore the latest story on Myntra! Trendy styles await."/>
    <n v="1762"/>
    <n v="405"/>
    <n v="423"/>
    <n v="22906"/>
    <n v="21925"/>
    <n v="25"/>
    <s v="#FashionDeals"/>
    <s v="EndOfSeasonSale"/>
    <n v="0.11307081114118571"/>
  </r>
  <r>
    <s v="P159"/>
    <x v="3"/>
    <d v="2024-11-25T00:00:00"/>
    <x v="2"/>
    <s v="Explore the latest story on Myntra! Trendy styles await."/>
    <n v="2120"/>
    <n v="158"/>
    <n v="488"/>
    <n v="12720"/>
    <n v="12085"/>
    <n v="17"/>
    <s v="#StyleWithMyntra,#MyntraTrend"/>
    <s v="EndOfSeasonSale"/>
    <n v="0.21745283018867925"/>
  </r>
  <r>
    <s v="P160"/>
    <x v="0"/>
    <d v="2024-08-24T00:00:00"/>
    <x v="5"/>
    <s v="Explore the latest video on Myntra! Trendy styles await."/>
    <n v="1082"/>
    <n v="209"/>
    <n v="484"/>
    <n v="19476"/>
    <n v="18654"/>
    <n v="20"/>
    <s v="#StyleWithMyntra"/>
    <s v="StyleRevolution"/>
    <n v="9.1137810638734856E-2"/>
  </r>
  <r>
    <s v="P161"/>
    <x v="0"/>
    <d v="2025-02-19T00:00:00"/>
    <x v="1"/>
    <s v="Explore the latest text on Myntra! Trendy styles await."/>
    <n v="4671"/>
    <n v="876"/>
    <n v="366"/>
    <n v="51381"/>
    <n v="50565"/>
    <n v="245"/>
    <s v="#MyntraSale"/>
    <s v="EndOfSeasonSale"/>
    <n v="0.11508145034156594"/>
  </r>
  <r>
    <s v="P162"/>
    <x v="3"/>
    <d v="2025-04-01T00:00:00"/>
    <x v="2"/>
    <s v="Explore the latest story on Myntra! Trendy styles await."/>
    <n v="3430"/>
    <n v="566"/>
    <n v="164"/>
    <n v="48020"/>
    <n v="47305"/>
    <n v="120"/>
    <s v="#MyntraTrend"/>
    <s v="EndOfSeasonSale"/>
    <n v="8.6630570595585168E-2"/>
  </r>
  <r>
    <s v="P163"/>
    <x v="2"/>
    <d v="2025-04-08T00:00:00"/>
    <x v="4"/>
    <s v="Explore the latest image on Myntra! Trendy styles await."/>
    <n v="4501"/>
    <n v="375"/>
    <n v="323"/>
    <n v="22505"/>
    <n v="21836"/>
    <n v="132"/>
    <s v="#MyntraFashion"/>
    <s v="StyleRevolution"/>
    <n v="0.23101532992668297"/>
  </r>
  <r>
    <s v="P164"/>
    <x v="1"/>
    <d v="2025-02-27T00:00:00"/>
    <x v="1"/>
    <s v="Explore the latest text on Myntra! Trendy styles await."/>
    <n v="4934"/>
    <n v="971"/>
    <n v="156"/>
    <n v="39472"/>
    <n v="39025"/>
    <n v="169"/>
    <s v="#FashionDeals,#StyleWithMyntra"/>
    <s v="EndOfSeasonSale"/>
    <n v="0.15355188488042157"/>
  </r>
  <r>
    <s v="P165"/>
    <x v="0"/>
    <d v="2024-12-11T00:00:00"/>
    <x v="1"/>
    <s v="Explore the latest text on Myntra! Trendy styles await."/>
    <n v="3239"/>
    <n v="43"/>
    <n v="211"/>
    <n v="22673"/>
    <n v="22171"/>
    <n v="230"/>
    <s v="#MyntraTrend,#StyleWithMyntra"/>
    <s v="EndOfSeasonSale"/>
    <n v="0.15405989502933004"/>
  </r>
  <r>
    <s v="P166"/>
    <x v="0"/>
    <d v="2025-02-16T00:00:00"/>
    <x v="0"/>
    <s v="Explore the latest reel on Myntra! Trendy styles await."/>
    <n v="1076"/>
    <n v="313"/>
    <n v="306"/>
    <n v="11836"/>
    <n v="11596"/>
    <n v="104"/>
    <s v="#FashionDeals"/>
    <s v="EndOfSeasonSale"/>
    <n v="0.14320716458262928"/>
  </r>
  <r>
    <s v="P167"/>
    <x v="2"/>
    <d v="2024-11-28T00:00:00"/>
    <x v="1"/>
    <s v="Explore the latest text on Myntra! Trendy styles await."/>
    <n v="4771"/>
    <n v="818"/>
    <n v="56"/>
    <n v="57252"/>
    <n v="56378"/>
    <n v="150"/>
    <s v="#MyntraSale"/>
    <s v="EndOfSeasonSale"/>
    <n v="9.859917557465242E-2"/>
  </r>
  <r>
    <s v="P168"/>
    <x v="3"/>
    <d v="2024-11-12T00:00:00"/>
    <x v="1"/>
    <s v="Explore the latest text on Myntra! Trendy styles await."/>
    <n v="2418"/>
    <n v="754"/>
    <n v="54"/>
    <n v="43524"/>
    <n v="42743"/>
    <n v="182"/>
    <s v="#MyntraFashion,#MyntraTrend"/>
    <s v="StyleRevolution"/>
    <n v="7.412002573292896E-2"/>
  </r>
  <r>
    <s v="P169"/>
    <x v="1"/>
    <d v="2024-12-03T00:00:00"/>
    <x v="5"/>
    <s v="Explore the latest video on Myntra! Trendy styles await."/>
    <n v="3809"/>
    <n v="273"/>
    <n v="200"/>
    <n v="34281"/>
    <n v="33534"/>
    <n v="83"/>
    <s v="#MyntraTrend"/>
    <s v="MyntraFestiveEdit"/>
    <n v="0.12490884163239112"/>
  </r>
  <r>
    <s v="P170"/>
    <x v="0"/>
    <d v="2025-04-28T00:00:00"/>
    <x v="1"/>
    <s v="Explore the latest text on Myntra! Trendy styles await."/>
    <n v="3577"/>
    <n v="596"/>
    <n v="493"/>
    <n v="67963"/>
    <n v="67839"/>
    <n v="53"/>
    <s v="#StyleWithMyntra,#MyntraTrend"/>
    <s v="StyleRevolution"/>
    <n v="6.8655003457763777E-2"/>
  </r>
  <r>
    <s v="P171"/>
    <x v="1"/>
    <d v="2024-12-31T00:00:00"/>
    <x v="5"/>
    <s v="Explore the latest video on Myntra! Trendy styles await."/>
    <n v="1018"/>
    <n v="447"/>
    <n v="332"/>
    <n v="18324"/>
    <n v="18164"/>
    <n v="38"/>
    <s v="#MyntraSale,#MyntraFashion"/>
    <s v="StyleRevolution"/>
    <n v="9.8068107400130972E-2"/>
  </r>
  <r>
    <s v="P172"/>
    <x v="3"/>
    <d v="2024-08-14T00:00:00"/>
    <x v="3"/>
    <s v="Explore the latest carousel on Myntra! Trendy styles await."/>
    <n v="3073"/>
    <n v="553"/>
    <n v="174"/>
    <n v="52241"/>
    <n v="51605"/>
    <n v="246"/>
    <s v="#MyntraFashion,#StyleWithMyntra"/>
    <s v="StyleRevolution"/>
    <n v="7.2739802071170159E-2"/>
  </r>
  <r>
    <s v="P173"/>
    <x v="0"/>
    <d v="2024-12-05T00:00:00"/>
    <x v="5"/>
    <s v="Explore the latest video on Myntra! Trendy styles await."/>
    <n v="1330"/>
    <n v="925"/>
    <n v="35"/>
    <n v="15960"/>
    <n v="15379"/>
    <n v="229"/>
    <s v="#FashionDeals,#MyntraTrend"/>
    <s v="StyleRevolution"/>
    <n v="0.14348370927318296"/>
  </r>
  <r>
    <s v="P174"/>
    <x v="3"/>
    <d v="2024-06-22T00:00:00"/>
    <x v="1"/>
    <s v="Explore the latest text on Myntra! Trendy styles await."/>
    <n v="3828"/>
    <n v="148"/>
    <n v="253"/>
    <n v="30624"/>
    <n v="30229"/>
    <n v="235"/>
    <s v="#MyntraSale,#StyleWithMyntra"/>
    <s v="StyleRevolution"/>
    <n v="0.13809430512016718"/>
  </r>
  <r>
    <s v="P175"/>
    <x v="2"/>
    <d v="2025-01-17T00:00:00"/>
    <x v="0"/>
    <s v="Explore the latest reel on Myntra! Trendy styles await."/>
    <n v="142"/>
    <n v="784"/>
    <n v="183"/>
    <n v="1704"/>
    <n v="995"/>
    <n v="154"/>
    <s v="#MyntraSale"/>
    <s v="FashionUpgrade"/>
    <n v="0.6508215962441315"/>
  </r>
  <r>
    <s v="P176"/>
    <x v="3"/>
    <d v="2024-06-20T00:00:00"/>
    <x v="5"/>
    <s v="Explore the latest video on Myntra! Trendy styles await."/>
    <n v="3798"/>
    <n v="31"/>
    <n v="279"/>
    <n v="75960"/>
    <n v="75813"/>
    <n v="266"/>
    <s v="#MyntraFashion"/>
    <s v="EndOfSeasonSale"/>
    <n v="5.4081095313322801E-2"/>
  </r>
  <r>
    <s v="P177"/>
    <x v="2"/>
    <d v="2024-07-10T00:00:00"/>
    <x v="3"/>
    <s v="Explore the latest carousel on Myntra! Trendy styles await."/>
    <n v="3099"/>
    <n v="694"/>
    <n v="171"/>
    <n v="43386"/>
    <n v="42921"/>
    <n v="52"/>
    <s v="#FashionDeals"/>
    <s v="StyleRevolution"/>
    <n v="9.1365878393951966E-2"/>
  </r>
  <r>
    <s v="P178"/>
    <x v="2"/>
    <d v="2024-11-07T00:00:00"/>
    <x v="5"/>
    <s v="Explore the latest video on Myntra! Trendy styles await."/>
    <n v="129"/>
    <n v="643"/>
    <n v="136"/>
    <n v="1290"/>
    <n v="839"/>
    <n v="238"/>
    <s v="#StyleWithMyntra,#FashionDeals"/>
    <s v="StyleRevolution"/>
    <n v="0.70387596899224802"/>
  </r>
  <r>
    <s v="P179"/>
    <x v="3"/>
    <d v="2024-07-15T00:00:00"/>
    <x v="3"/>
    <s v="Explore the latest carousel on Myntra! Trendy styles await."/>
    <n v="3796"/>
    <n v="667"/>
    <n v="395"/>
    <n v="64532"/>
    <n v="63550"/>
    <n v="292"/>
    <s v="#StyleWithMyntra"/>
    <s v="FashionUpgrade"/>
    <n v="7.5280481001673588E-2"/>
  </r>
  <r>
    <s v="P180"/>
    <x v="1"/>
    <d v="2024-12-03T00:00:00"/>
    <x v="1"/>
    <s v="Explore the latest text on Myntra! Trendy styles await."/>
    <n v="3711"/>
    <n v="352"/>
    <n v="290"/>
    <n v="48243"/>
    <n v="47579"/>
    <n v="11"/>
    <s v="#StyleWithMyntra,#FashionDeals"/>
    <s v="StyleRevolution"/>
    <n v="9.023070704558174E-2"/>
  </r>
  <r>
    <s v="P181"/>
    <x v="1"/>
    <d v="2025-03-21T00:00:00"/>
    <x v="4"/>
    <s v="Explore the latest image on Myntra! Trendy styles await."/>
    <n v="606"/>
    <n v="789"/>
    <n v="470"/>
    <n v="7878"/>
    <n v="7389"/>
    <n v="239"/>
    <s v="#MyntraSale"/>
    <s v="EndOfSeasonSale"/>
    <n v="0.23673521198273673"/>
  </r>
  <r>
    <s v="P182"/>
    <x v="3"/>
    <d v="2024-07-31T00:00:00"/>
    <x v="4"/>
    <s v="Explore the latest image on Myntra! Trendy styles await."/>
    <n v="4689"/>
    <n v="134"/>
    <n v="403"/>
    <n v="51579"/>
    <n v="50924"/>
    <n v="173"/>
    <s v="#FashionDeals"/>
    <s v="FashionUpgrade"/>
    <n v="0.10132030477519921"/>
  </r>
  <r>
    <s v="P183"/>
    <x v="2"/>
    <d v="2024-12-17T00:00:00"/>
    <x v="2"/>
    <s v="Explore the latest story on Myntra! Trendy styles await."/>
    <n v="360"/>
    <n v="590"/>
    <n v="393"/>
    <n v="4680"/>
    <n v="4322"/>
    <n v="208"/>
    <s v="#StyleWithMyntra,#FashionDeals"/>
    <s v="EndOfSeasonSale"/>
    <n v="0.28696581196581195"/>
  </r>
  <r>
    <s v="P184"/>
    <x v="0"/>
    <d v="2024-07-28T00:00:00"/>
    <x v="4"/>
    <s v="Explore the latest image on Myntra! Trendy styles await."/>
    <n v="3215"/>
    <n v="960"/>
    <n v="202"/>
    <n v="32150"/>
    <n v="31404"/>
    <n v="251"/>
    <s v="#StyleWithMyntra"/>
    <s v="MyntraFestiveEdit"/>
    <n v="0.13614307931570763"/>
  </r>
  <r>
    <s v="P185"/>
    <x v="2"/>
    <d v="2025-01-11T00:00:00"/>
    <x v="3"/>
    <s v="Explore the latest carousel on Myntra! Trendy styles await."/>
    <n v="4523"/>
    <n v="61"/>
    <n v="157"/>
    <n v="49753"/>
    <n v="49329"/>
    <n v="71"/>
    <s v="#MyntraSale,#MyntraTrend"/>
    <s v="StyleRevolution"/>
    <n v="9.5290736237010829E-2"/>
  </r>
  <r>
    <s v="P186"/>
    <x v="3"/>
    <d v="2024-08-24T00:00:00"/>
    <x v="3"/>
    <s v="Explore the latest carousel on Myntra! Trendy styles await."/>
    <n v="4292"/>
    <n v="51"/>
    <n v="392"/>
    <n v="55796"/>
    <n v="54826"/>
    <n v="264"/>
    <s v="#MyntraTrend,#StyleWithMyntra"/>
    <s v="FashionUpgrade"/>
    <n v="8.4862714173059003E-2"/>
  </r>
  <r>
    <s v="P187"/>
    <x v="0"/>
    <d v="2024-12-22T00:00:00"/>
    <x v="0"/>
    <s v="Explore the latest reel on Myntra! Trendy styles await."/>
    <n v="1644"/>
    <n v="546"/>
    <n v="150"/>
    <n v="27948"/>
    <n v="27184"/>
    <n v="300"/>
    <s v="#MyntraSale,#MyntraTrend"/>
    <s v="FashionUpgrade"/>
    <n v="8.3726921425504502E-2"/>
  </r>
  <r>
    <s v="P188"/>
    <x v="1"/>
    <d v="2024-06-06T00:00:00"/>
    <x v="0"/>
    <s v="Explore the latest reel on Myntra! Trendy styles await."/>
    <n v="2728"/>
    <n v="533"/>
    <n v="215"/>
    <n v="40920"/>
    <n v="40816"/>
    <n v="137"/>
    <s v="#MyntraSale"/>
    <s v="EndOfSeasonSale"/>
    <n v="8.4946236559139784E-2"/>
  </r>
  <r>
    <s v="P189"/>
    <x v="3"/>
    <d v="2025-03-24T00:00:00"/>
    <x v="0"/>
    <s v="Explore the latest reel on Myntra! Trendy styles await."/>
    <n v="3360"/>
    <n v="525"/>
    <n v="500"/>
    <n v="60480"/>
    <n v="59610"/>
    <n v="192"/>
    <s v="#MyntraSale,#StyleWithMyntra"/>
    <s v="FashionUpgrade"/>
    <n v="7.2503306878306875E-2"/>
  </r>
  <r>
    <s v="P190"/>
    <x v="1"/>
    <d v="2024-10-04T00:00:00"/>
    <x v="1"/>
    <s v="Explore the latest text on Myntra! Trendy styles await."/>
    <n v="1963"/>
    <n v="213"/>
    <n v="19"/>
    <n v="39260"/>
    <n v="38771"/>
    <n v="145"/>
    <s v="#StyleWithMyntra"/>
    <s v="FashionUpgrade"/>
    <n v="5.5909322465613857E-2"/>
  </r>
  <r>
    <s v="P191"/>
    <x v="1"/>
    <d v="2024-12-03T00:00:00"/>
    <x v="2"/>
    <s v="Explore the latest story on Myntra! Trendy styles await."/>
    <n v="4285"/>
    <n v="886"/>
    <n v="376"/>
    <n v="55705"/>
    <n v="55556"/>
    <n v="51"/>
    <s v="#MyntraFashion,#FashionDeals"/>
    <s v="StyleRevolution"/>
    <n v="9.9578134817341346E-2"/>
  </r>
  <r>
    <s v="P192"/>
    <x v="2"/>
    <d v="2024-11-29T00:00:00"/>
    <x v="5"/>
    <s v="Explore the latest video on Myntra! Trendy styles await."/>
    <n v="1176"/>
    <n v="464"/>
    <n v="394"/>
    <n v="14112"/>
    <n v="13588"/>
    <n v="272"/>
    <s v="#FashionDeals"/>
    <s v="FashionUpgrade"/>
    <n v="0.1441326530612245"/>
  </r>
  <r>
    <s v="P193"/>
    <x v="0"/>
    <d v="2024-09-11T00:00:00"/>
    <x v="4"/>
    <s v="Explore the latest image on Myntra! Trendy styles await."/>
    <n v="4858"/>
    <n v="317"/>
    <n v="129"/>
    <n v="53438"/>
    <n v="52687"/>
    <n v="223"/>
    <s v="#FashionDeals,#MyntraTrend"/>
    <s v="FashionUpgrade"/>
    <n v="9.9255211647142488E-2"/>
  </r>
  <r>
    <s v="P194"/>
    <x v="1"/>
    <d v="2024-10-02T00:00:00"/>
    <x v="2"/>
    <s v="Explore the latest story on Myntra! Trendy styles await."/>
    <n v="4350"/>
    <n v="771"/>
    <n v="7"/>
    <n v="60900"/>
    <n v="60592"/>
    <n v="195"/>
    <s v="#FashionDeals,#StyleWithMyntra"/>
    <s v="EndOfSeasonSale"/>
    <n v="8.4203612479474554E-2"/>
  </r>
  <r>
    <s v="P195"/>
    <x v="2"/>
    <d v="2024-08-15T00:00:00"/>
    <x v="3"/>
    <s v="Explore the latest carousel on Myntra! Trendy styles await."/>
    <n v="914"/>
    <n v="464"/>
    <n v="246"/>
    <n v="11882"/>
    <n v="11500"/>
    <n v="282"/>
    <s v="#MyntraFashion,#MyntraTrend"/>
    <s v="MyntraFestiveEdit"/>
    <n v="0.13667732704931829"/>
  </r>
  <r>
    <s v="P196"/>
    <x v="2"/>
    <d v="2024-12-19T00:00:00"/>
    <x v="1"/>
    <s v="Explore the latest text on Myntra! Trendy styles await."/>
    <n v="1813"/>
    <n v="623"/>
    <n v="72"/>
    <n v="19943"/>
    <n v="18959"/>
    <n v="85"/>
    <s v="#MyntraTrend,#MyntraFashion"/>
    <s v="MyntraFestiveEdit"/>
    <n v="0.12575841147269717"/>
  </r>
  <r>
    <s v="P197"/>
    <x v="0"/>
    <d v="2024-10-22T00:00:00"/>
    <x v="0"/>
    <s v="Explore the latest reel on Myntra! Trendy styles await."/>
    <n v="4782"/>
    <n v="721"/>
    <n v="82"/>
    <n v="86076"/>
    <n v="85339"/>
    <n v="19"/>
    <s v="#FashionDeals"/>
    <s v="EndOfSeasonSale"/>
    <n v="6.4884520656164318E-2"/>
  </r>
  <r>
    <s v="P198"/>
    <x v="0"/>
    <d v="2024-09-14T00:00:00"/>
    <x v="4"/>
    <s v="Explore the latest image on Myntra! Trendy styles await."/>
    <n v="1048"/>
    <n v="374"/>
    <n v="450"/>
    <n v="9432"/>
    <n v="8882"/>
    <n v="158"/>
    <s v="#MyntraTrend,#MyntraSale"/>
    <s v="EndOfSeasonSale"/>
    <n v="0.19847328244274809"/>
  </r>
  <r>
    <s v="P199"/>
    <x v="1"/>
    <d v="2024-11-30T00:00:00"/>
    <x v="3"/>
    <s v="Explore the latest carousel on Myntra! Trendy styles await."/>
    <n v="2509"/>
    <n v="324"/>
    <n v="171"/>
    <n v="35126"/>
    <n v="34685"/>
    <n v="277"/>
    <s v="#FashionDeals"/>
    <s v="EndOfSeasonSale"/>
    <n v="8.5520696919660646E-2"/>
  </r>
  <r>
    <s v="P200"/>
    <x v="3"/>
    <d v="2025-04-07T00:00:00"/>
    <x v="0"/>
    <s v="Explore the latest reel on Myntra! Trendy styles await."/>
    <n v="3718"/>
    <n v="385"/>
    <n v="310"/>
    <n v="70642"/>
    <n v="69749"/>
    <n v="233"/>
    <s v="#MyntraTrend"/>
    <s v="FashionUpgrade"/>
    <n v="6.246991874522239E-2"/>
  </r>
  <r>
    <s v="P201"/>
    <x v="0"/>
    <d v="2025-01-15T00:00:00"/>
    <x v="0"/>
    <s v="Explore the latest reel on Myntra! Trendy styles await."/>
    <n v="802"/>
    <n v="262"/>
    <n v="244"/>
    <n v="14436"/>
    <n v="14280"/>
    <n v="49"/>
    <s v="#MyntraSale,#FashionDeals"/>
    <s v="StyleRevolution"/>
    <n v="9.0606816292601824E-2"/>
  </r>
  <r>
    <s v="P202"/>
    <x v="3"/>
    <d v="2024-06-02T00:00:00"/>
    <x v="4"/>
    <s v="Explore the latest image on Myntra! Trendy styles await."/>
    <n v="1871"/>
    <n v="252"/>
    <n v="335"/>
    <n v="29936"/>
    <n v="29576"/>
    <n v="288"/>
    <s v="#MyntraTrend"/>
    <s v="EndOfSeasonSale"/>
    <n v="8.2108498129342594E-2"/>
  </r>
  <r>
    <s v="P203"/>
    <x v="2"/>
    <d v="2024-11-21T00:00:00"/>
    <x v="3"/>
    <s v="Explore the latest carousel on Myntra! Trendy styles await."/>
    <n v="3773"/>
    <n v="299"/>
    <n v="38"/>
    <n v="71687"/>
    <n v="71447"/>
    <n v="286"/>
    <s v="#MyntraTrend"/>
    <s v="StyleRevolution"/>
    <n v="5.7332570758993957E-2"/>
  </r>
  <r>
    <s v="P204"/>
    <x v="2"/>
    <d v="2025-01-01T00:00:00"/>
    <x v="3"/>
    <s v="Explore the latest carousel on Myntra! Trendy styles await."/>
    <n v="2234"/>
    <n v="653"/>
    <n v="432"/>
    <n v="11170"/>
    <n v="10569"/>
    <n v="198"/>
    <s v="#FashionDeals,#StyleWithMyntra"/>
    <s v="StyleRevolution"/>
    <n v="0.29713518352730528"/>
  </r>
  <r>
    <s v="P205"/>
    <x v="0"/>
    <d v="2025-04-24T00:00:00"/>
    <x v="5"/>
    <s v="Explore the latest video on Myntra! Trendy styles await."/>
    <n v="3820"/>
    <n v="697"/>
    <n v="268"/>
    <n v="45840"/>
    <n v="45631"/>
    <n v="171"/>
    <s v="#StyleWithMyntra,#FashionDeals"/>
    <s v="FashionUpgrade"/>
    <n v="0.1043848167539267"/>
  </r>
  <r>
    <s v="P206"/>
    <x v="0"/>
    <d v="2024-06-24T00:00:00"/>
    <x v="1"/>
    <s v="Explore the latest text on Myntra! Trendy styles await."/>
    <n v="941"/>
    <n v="121"/>
    <n v="458"/>
    <n v="14115"/>
    <n v="13838"/>
    <n v="87"/>
    <s v="#MyntraFashion,#MyntraSale"/>
    <s v="EndOfSeasonSale"/>
    <n v="0.10768685795253277"/>
  </r>
  <r>
    <s v="P207"/>
    <x v="0"/>
    <d v="2024-12-29T00:00:00"/>
    <x v="3"/>
    <s v="Explore the latest carousel on Myntra! Trendy styles await."/>
    <n v="4274"/>
    <n v="340"/>
    <n v="281"/>
    <n v="34192"/>
    <n v="33446"/>
    <n v="129"/>
    <s v="#StyleWithMyntra,#FashionDeals"/>
    <s v="MyntraFestiveEdit"/>
    <n v="0.14316214319138981"/>
  </r>
  <r>
    <s v="P208"/>
    <x v="1"/>
    <d v="2024-06-24T00:00:00"/>
    <x v="5"/>
    <s v="Explore the latest video on Myntra! Trendy styles await."/>
    <n v="2949"/>
    <n v="476"/>
    <n v="403"/>
    <n v="44235"/>
    <n v="43705"/>
    <n v="135"/>
    <s v="#MyntraTrend,#FashionDeals"/>
    <s v="FashionUpgrade"/>
    <n v="8.6537809426924378E-2"/>
  </r>
  <r>
    <s v="P209"/>
    <x v="0"/>
    <d v="2025-03-19T00:00:00"/>
    <x v="5"/>
    <s v="Explore the latest video on Myntra! Trendy styles await."/>
    <n v="3160"/>
    <n v="204"/>
    <n v="297"/>
    <n v="44240"/>
    <n v="43666"/>
    <n v="49"/>
    <s v="#StyleWithMyntra,#MyntraTrend"/>
    <s v="FashionUpgrade"/>
    <n v="8.2753164556962022E-2"/>
  </r>
  <r>
    <s v="P210"/>
    <x v="1"/>
    <d v="2025-02-19T00:00:00"/>
    <x v="4"/>
    <s v="Explore the latest image on Myntra! Trendy styles await."/>
    <n v="257"/>
    <n v="966"/>
    <n v="398"/>
    <n v="3341"/>
    <n v="2753"/>
    <n v="287"/>
    <s v="#MyntraTrend,#MyntraSale"/>
    <s v="FashionUpgrade"/>
    <n v="0.48518407662376534"/>
  </r>
  <r>
    <s v="P211"/>
    <x v="0"/>
    <d v="2024-07-18T00:00:00"/>
    <x v="3"/>
    <s v="Explore the latest carousel on Myntra! Trendy styles await."/>
    <n v="2120"/>
    <n v="38"/>
    <n v="212"/>
    <n v="12720"/>
    <n v="12564"/>
    <n v="21"/>
    <s v="#MyntraTrend,#MyntraSale"/>
    <s v="FashionUpgrade"/>
    <n v="0.18632075471698112"/>
  </r>
  <r>
    <s v="P212"/>
    <x v="1"/>
    <d v="2025-03-03T00:00:00"/>
    <x v="5"/>
    <s v="Explore the latest video on Myntra! Trendy styles await."/>
    <n v="3874"/>
    <n v="884"/>
    <n v="19"/>
    <n v="38740"/>
    <n v="38552"/>
    <n v="219"/>
    <s v="#StyleWithMyntra"/>
    <s v="StyleRevolution"/>
    <n v="0.123309241094476"/>
  </r>
  <r>
    <s v="P213"/>
    <x v="3"/>
    <d v="2025-05-01T00:00:00"/>
    <x v="3"/>
    <s v="Explore the latest carousel on Myntra! Trendy styles await."/>
    <n v="2696"/>
    <n v="628"/>
    <n v="443"/>
    <n v="45832"/>
    <n v="45632"/>
    <n v="248"/>
    <s v="#MyntraSale"/>
    <s v="MyntraFestiveEdit"/>
    <n v="8.21914819340199E-2"/>
  </r>
  <r>
    <s v="P214"/>
    <x v="2"/>
    <d v="2024-12-23T00:00:00"/>
    <x v="4"/>
    <s v="Explore the latest image on Myntra! Trendy styles await."/>
    <n v="521"/>
    <n v="746"/>
    <n v="315"/>
    <n v="4168"/>
    <n v="3399"/>
    <n v="282"/>
    <s v="#MyntraSale"/>
    <s v="FashionUpgrade"/>
    <n v="0.37955854126679461"/>
  </r>
  <r>
    <s v="P215"/>
    <x v="3"/>
    <d v="2025-05-06T00:00:00"/>
    <x v="4"/>
    <s v="Explore the latest image on Myntra! Trendy styles await."/>
    <n v="4872"/>
    <n v="925"/>
    <n v="176"/>
    <n v="82824"/>
    <n v="82543"/>
    <n v="89"/>
    <s v="#MyntraSale,#MyntraTrend"/>
    <s v="FashionUpgrade"/>
    <n v="7.2116777745580993E-2"/>
  </r>
  <r>
    <s v="P216"/>
    <x v="1"/>
    <d v="2024-07-29T00:00:00"/>
    <x v="2"/>
    <s v="Explore the latest story on Myntra! Trendy styles await."/>
    <n v="1509"/>
    <n v="88"/>
    <n v="163"/>
    <n v="30180"/>
    <n v="29689"/>
    <n v="119"/>
    <s v="#MyntraTrend"/>
    <s v="FashionUpgrade"/>
    <n v="5.8316766070245198E-2"/>
  </r>
  <r>
    <s v="P217"/>
    <x v="3"/>
    <d v="2024-12-03T00:00:00"/>
    <x v="4"/>
    <s v="Explore the latest image on Myntra! Trendy styles await."/>
    <n v="4606"/>
    <n v="931"/>
    <n v="230"/>
    <n v="92120"/>
    <n v="91440"/>
    <n v="56"/>
    <s v="#FashionDeals,#MyntraFashion"/>
    <s v="MyntraFestiveEdit"/>
    <n v="6.2603126356925748E-2"/>
  </r>
  <r>
    <s v="P218"/>
    <x v="3"/>
    <d v="2024-06-11T00:00:00"/>
    <x v="3"/>
    <s v="Explore the latest carousel on Myntra! Trendy styles await."/>
    <n v="1869"/>
    <n v="453"/>
    <n v="490"/>
    <n v="14952"/>
    <n v="14309"/>
    <n v="275"/>
    <s v="#FashionDeals,#StyleWithMyntra"/>
    <s v="FashionUpgrade"/>
    <n v="0.18806848582129482"/>
  </r>
  <r>
    <s v="P219"/>
    <x v="0"/>
    <d v="2025-01-28T00:00:00"/>
    <x v="0"/>
    <s v="Explore the latest reel on Myntra! Trendy styles await."/>
    <n v="1188"/>
    <n v="470"/>
    <n v="174"/>
    <n v="7128"/>
    <n v="6145"/>
    <n v="270"/>
    <s v="#StyleWithMyntra,#MyntraFashion"/>
    <s v="EndOfSeasonSale"/>
    <n v="0.25701459034792368"/>
  </r>
  <r>
    <s v="P220"/>
    <x v="2"/>
    <d v="2024-06-02T00:00:00"/>
    <x v="2"/>
    <s v="Explore the latest story on Myntra! Trendy styles await."/>
    <n v="84"/>
    <n v="897"/>
    <n v="85"/>
    <n v="588"/>
    <n v="8"/>
    <n v="12"/>
    <s v="#StyleWithMyntra"/>
    <s v="EndOfSeasonSale"/>
    <n v="1.8129251700680271"/>
  </r>
  <r>
    <s v="P221"/>
    <x v="3"/>
    <d v="2025-03-23T00:00:00"/>
    <x v="5"/>
    <s v="Explore the latest video on Myntra! Trendy styles await."/>
    <n v="4453"/>
    <n v="111"/>
    <n v="420"/>
    <n v="31171"/>
    <n v="30565"/>
    <n v="23"/>
    <s v="#MyntraTrend,#MyntraFashion"/>
    <s v="StyleRevolution"/>
    <n v="0.15989220750056141"/>
  </r>
  <r>
    <s v="P222"/>
    <x v="3"/>
    <d v="2024-10-08T00:00:00"/>
    <x v="0"/>
    <s v="Explore the latest reel on Myntra! Trendy styles await."/>
    <n v="1814"/>
    <n v="653"/>
    <n v="363"/>
    <n v="25396"/>
    <n v="25286"/>
    <n v="39"/>
    <s v="#StyleWithMyntra"/>
    <s v="FashionUpgrade"/>
    <n v="0.11143487163332809"/>
  </r>
  <r>
    <s v="P223"/>
    <x v="0"/>
    <d v="2024-11-12T00:00:00"/>
    <x v="4"/>
    <s v="Explore the latest image on Myntra! Trendy styles await."/>
    <n v="3338"/>
    <n v="277"/>
    <n v="118"/>
    <n v="60084"/>
    <n v="59842"/>
    <n v="252"/>
    <s v="#StyleWithMyntra"/>
    <s v="FashionUpgrade"/>
    <n v="6.2129685107516146E-2"/>
  </r>
  <r>
    <s v="P224"/>
    <x v="3"/>
    <d v="2025-05-13T00:00:00"/>
    <x v="4"/>
    <s v="Explore the latest image on Myntra! Trendy styles await."/>
    <n v="602"/>
    <n v="594"/>
    <n v="156"/>
    <n v="4214"/>
    <n v="3363"/>
    <n v="164"/>
    <s v="#MyntraSale"/>
    <s v="MyntraFestiveEdit"/>
    <n v="0.32083531086853345"/>
  </r>
  <r>
    <s v="P225"/>
    <x v="0"/>
    <d v="2024-06-20T00:00:00"/>
    <x v="3"/>
    <s v="Explore the latest carousel on Myntra! Trendy styles await."/>
    <n v="4672"/>
    <n v="325"/>
    <n v="32"/>
    <n v="88768"/>
    <n v="87833"/>
    <n v="118"/>
    <s v="#FashionDeals,#MyntraSale"/>
    <s v="MyntraFestiveEdit"/>
    <n v="5.6653298485940883E-2"/>
  </r>
  <r>
    <s v="P226"/>
    <x v="2"/>
    <d v="2024-08-07T00:00:00"/>
    <x v="3"/>
    <s v="Explore the latest carousel on Myntra! Trendy styles await."/>
    <n v="1741"/>
    <n v="164"/>
    <n v="318"/>
    <n v="8705"/>
    <n v="8272"/>
    <n v="121"/>
    <s v="#MyntraSale"/>
    <s v="EndOfSeasonSale"/>
    <n v="0.25537047673750718"/>
  </r>
  <r>
    <s v="P227"/>
    <x v="2"/>
    <d v="2024-06-12T00:00:00"/>
    <x v="1"/>
    <s v="Explore the latest text on Myntra! Trendy styles await."/>
    <n v="246"/>
    <n v="149"/>
    <n v="130"/>
    <n v="4674"/>
    <n v="4390"/>
    <n v="217"/>
    <s v="#MyntraTrend,#FashionDeals"/>
    <s v="EndOfSeasonSale"/>
    <n v="0.11232349165596919"/>
  </r>
  <r>
    <s v="P228"/>
    <x v="2"/>
    <d v="2024-07-01T00:00:00"/>
    <x v="2"/>
    <s v="Explore the latest story on Myntra! Trendy styles await."/>
    <n v="4808"/>
    <n v="772"/>
    <n v="320"/>
    <n v="72120"/>
    <n v="71696"/>
    <n v="195"/>
    <s v="#MyntraTrend,#MyntraSale"/>
    <s v="StyleRevolution"/>
    <n v="8.1808097615085965E-2"/>
  </r>
  <r>
    <s v="P229"/>
    <x v="2"/>
    <d v="2024-07-03T00:00:00"/>
    <x v="3"/>
    <s v="Explore the latest carousel on Myntra! Trendy styles await."/>
    <n v="4799"/>
    <n v="694"/>
    <n v="289"/>
    <n v="43191"/>
    <n v="42228"/>
    <n v="118"/>
    <s v="#MyntraTrend"/>
    <s v="EndOfSeasonSale"/>
    <n v="0.13387048227640017"/>
  </r>
  <r>
    <s v="P230"/>
    <x v="3"/>
    <d v="2024-07-15T00:00:00"/>
    <x v="0"/>
    <s v="Explore the latest reel on Myntra! Trendy styles await."/>
    <n v="3663"/>
    <n v="17"/>
    <n v="295"/>
    <n v="51282"/>
    <n v="50567"/>
    <n v="84"/>
    <s v="#MyntraSale"/>
    <s v="FashionUpgrade"/>
    <n v="7.7512577512577507E-2"/>
  </r>
  <r>
    <s v="P231"/>
    <x v="2"/>
    <d v="2025-05-01T00:00:00"/>
    <x v="1"/>
    <s v="Explore the latest text on Myntra! Trendy styles await."/>
    <n v="1430"/>
    <n v="376"/>
    <n v="33"/>
    <n v="21450"/>
    <n v="20509"/>
    <n v="251"/>
    <s v="#FashionDeals"/>
    <s v="MyntraFestiveEdit"/>
    <n v="8.5734265734265735E-2"/>
  </r>
  <r>
    <s v="P232"/>
    <x v="0"/>
    <d v="2025-04-29T00:00:00"/>
    <x v="2"/>
    <s v="Explore the latest story on Myntra! Trendy styles await."/>
    <n v="249"/>
    <n v="592"/>
    <n v="230"/>
    <n v="1494"/>
    <n v="1044"/>
    <n v="201"/>
    <s v="#MyntraFashion,#MyntraTrend"/>
    <s v="StyleRevolution"/>
    <n v="0.7168674698795181"/>
  </r>
  <r>
    <s v="P233"/>
    <x v="3"/>
    <d v="2025-03-08T00:00:00"/>
    <x v="4"/>
    <s v="Explore the latest image on Myntra! Trendy styles await."/>
    <n v="2382"/>
    <n v="265"/>
    <n v="134"/>
    <n v="38112"/>
    <n v="37437"/>
    <n v="249"/>
    <s v="#FashionDeals,#MyntraTrend"/>
    <s v="EndOfSeasonSale"/>
    <n v="7.2969143576826198E-2"/>
  </r>
  <r>
    <s v="P234"/>
    <x v="3"/>
    <d v="2024-06-01T00:00:00"/>
    <x v="1"/>
    <s v="Explore the latest text on Myntra! Trendy styles await."/>
    <n v="1272"/>
    <n v="465"/>
    <n v="99"/>
    <n v="24168"/>
    <n v="23719"/>
    <n v="42"/>
    <s v="#MyntraFashion,#FashionDeals"/>
    <s v="EndOfSeasonSale"/>
    <n v="7.5968222442899705E-2"/>
  </r>
  <r>
    <s v="P235"/>
    <x v="3"/>
    <d v="2024-12-22T00:00:00"/>
    <x v="4"/>
    <s v="Explore the latest image on Myntra! Trendy styles await."/>
    <n v="3196"/>
    <n v="941"/>
    <n v="376"/>
    <n v="35156"/>
    <n v="34444"/>
    <n v="241"/>
    <s v="#StyleWithMyntra,#MyntraTrend"/>
    <s v="StyleRevolution"/>
    <n v="0.1283706906360223"/>
  </r>
  <r>
    <s v="P236"/>
    <x v="3"/>
    <d v="2024-08-19T00:00:00"/>
    <x v="1"/>
    <s v="Explore the latest text on Myntra! Trendy styles await."/>
    <n v="1257"/>
    <n v="19"/>
    <n v="351"/>
    <n v="12570"/>
    <n v="11660"/>
    <n v="194"/>
    <s v="#StyleWithMyntra"/>
    <s v="FashionUpgrade"/>
    <n v="0.12943516308671441"/>
  </r>
  <r>
    <s v="P237"/>
    <x v="2"/>
    <d v="2024-10-22T00:00:00"/>
    <x v="2"/>
    <s v="Explore the latest story on Myntra! Trendy styles await."/>
    <n v="3770"/>
    <n v="917"/>
    <n v="129"/>
    <n v="71630"/>
    <n v="71322"/>
    <n v="76"/>
    <s v="#MyntraSale,#MyntraTrend"/>
    <s v="StyleRevolution"/>
    <n v="6.7234398994834563E-2"/>
  </r>
  <r>
    <s v="P238"/>
    <x v="0"/>
    <d v="2024-07-16T00:00:00"/>
    <x v="1"/>
    <s v="Explore the latest text on Myntra! Trendy styles await."/>
    <n v="4725"/>
    <n v="400"/>
    <n v="362"/>
    <n v="75600"/>
    <n v="74927"/>
    <n v="43"/>
    <s v="#MyntraTrend,#MyntraFashion"/>
    <s v="FashionUpgrade"/>
    <n v="7.2579365079365077E-2"/>
  </r>
  <r>
    <s v="P239"/>
    <x v="1"/>
    <d v="2025-02-24T00:00:00"/>
    <x v="1"/>
    <s v="Explore the latest text on Myntra! Trendy styles await."/>
    <n v="4188"/>
    <n v="942"/>
    <n v="118"/>
    <n v="20940"/>
    <n v="20471"/>
    <n v="102"/>
    <s v="#StyleWithMyntra"/>
    <s v="EndOfSeasonSale"/>
    <n v="0.25062082139446035"/>
  </r>
  <r>
    <s v="P240"/>
    <x v="0"/>
    <d v="2024-08-26T00:00:00"/>
    <x v="3"/>
    <s v="Explore the latest carousel on Myntra! Trendy styles await."/>
    <n v="929"/>
    <n v="192"/>
    <n v="322"/>
    <n v="16722"/>
    <n v="15996"/>
    <n v="145"/>
    <s v="#MyntraFashion"/>
    <s v="MyntraFestiveEdit"/>
    <n v="8.6293505561535699E-2"/>
  </r>
  <r>
    <s v="P241"/>
    <x v="3"/>
    <d v="2025-01-18T00:00:00"/>
    <x v="2"/>
    <s v="Explore the latest story on Myntra! Trendy styles await."/>
    <n v="4321"/>
    <n v="874"/>
    <n v="172"/>
    <n v="30247"/>
    <n v="29254"/>
    <n v="122"/>
    <s v="#MyntraSale,#MyntraFashion"/>
    <s v="MyntraFestiveEdit"/>
    <n v="0.17743908486792079"/>
  </r>
  <r>
    <s v="P242"/>
    <x v="3"/>
    <d v="2024-07-07T00:00:00"/>
    <x v="0"/>
    <s v="Explore the latest reel on Myntra! Trendy styles await."/>
    <n v="4767"/>
    <n v="190"/>
    <n v="340"/>
    <n v="28602"/>
    <n v="28044"/>
    <n v="210"/>
    <s v="#FashionDeals"/>
    <s v="StyleRevolution"/>
    <n v="0.18519683938186141"/>
  </r>
  <r>
    <s v="P243"/>
    <x v="0"/>
    <d v="2025-03-06T00:00:00"/>
    <x v="4"/>
    <s v="Explore the latest image on Myntra! Trendy styles await."/>
    <n v="3592"/>
    <n v="911"/>
    <n v="375"/>
    <n v="50288"/>
    <n v="49490"/>
    <n v="32"/>
    <s v="#StyleWithMyntra"/>
    <s v="EndOfSeasonSale"/>
    <n v="9.7001272669424113E-2"/>
  </r>
  <r>
    <s v="P244"/>
    <x v="1"/>
    <d v="2024-10-25T00:00:00"/>
    <x v="5"/>
    <s v="Explore the latest video on Myntra! Trendy styles await."/>
    <n v="4661"/>
    <n v="935"/>
    <n v="433"/>
    <n v="23305"/>
    <n v="22583"/>
    <n v="63"/>
    <s v="#StyleWithMyntra,#FashionDeals"/>
    <s v="FashionUpgrade"/>
    <n v="0.25869984981763572"/>
  </r>
  <r>
    <s v="P245"/>
    <x v="3"/>
    <d v="2025-01-12T00:00:00"/>
    <x v="0"/>
    <s v="Explore the latest reel on Myntra! Trendy styles await."/>
    <n v="4134"/>
    <n v="824"/>
    <n v="99"/>
    <n v="41340"/>
    <n v="41050"/>
    <n v="177"/>
    <s v="#MyntraFashion"/>
    <s v="EndOfSeasonSale"/>
    <n v="0.12232704402515723"/>
  </r>
  <r>
    <s v="P246"/>
    <x v="3"/>
    <d v="2024-10-11T00:00:00"/>
    <x v="4"/>
    <s v="Explore the latest image on Myntra! Trendy styles await."/>
    <n v="400"/>
    <n v="680"/>
    <n v="434"/>
    <n v="6400"/>
    <n v="5472"/>
    <n v="160"/>
    <s v="#MyntraSale,#MyntraTrend"/>
    <s v="EndOfSeasonSale"/>
    <n v="0.23656250000000001"/>
  </r>
  <r>
    <s v="P247"/>
    <x v="3"/>
    <d v="2024-08-27T00:00:00"/>
    <x v="0"/>
    <s v="Explore the latest reel on Myntra! Trendy styles await."/>
    <n v="3960"/>
    <n v="266"/>
    <n v="8"/>
    <n v="35640"/>
    <n v="34850"/>
    <n v="208"/>
    <s v="#MyntraTrend,#MyntraFashion"/>
    <s v="StyleRevolution"/>
    <n v="0.11879910213243547"/>
  </r>
  <r>
    <s v="P248"/>
    <x v="3"/>
    <d v="2025-02-02T00:00:00"/>
    <x v="2"/>
    <s v="Explore the latest story on Myntra! Trendy styles await."/>
    <n v="886"/>
    <n v="126"/>
    <n v="153"/>
    <n v="4430"/>
    <n v="4037"/>
    <n v="212"/>
    <s v="#MyntraSale"/>
    <s v="MyntraFestiveEdit"/>
    <n v="0.26297968397291194"/>
  </r>
  <r>
    <s v="P249"/>
    <x v="0"/>
    <d v="2024-07-18T00:00:00"/>
    <x v="4"/>
    <s v="Explore the latest image on Myntra! Trendy styles await."/>
    <n v="827"/>
    <n v="77"/>
    <n v="402"/>
    <n v="14886"/>
    <n v="14129"/>
    <n v="254"/>
    <s v="#StyleWithMyntra"/>
    <s v="EndOfSeasonSale"/>
    <n v="8.7733440816874911E-2"/>
  </r>
  <r>
    <s v="P250"/>
    <x v="3"/>
    <d v="2024-06-22T00:00:00"/>
    <x v="0"/>
    <s v="Explore the latest reel on Myntra! Trendy styles await."/>
    <n v="3813"/>
    <n v="935"/>
    <n v="274"/>
    <n v="68634"/>
    <n v="68488"/>
    <n v="251"/>
    <s v="#FashionDeals,#MyntraTrend"/>
    <s v="FashionUpgrade"/>
    <n v="7.3170731707317069E-2"/>
  </r>
  <r>
    <s v="P251"/>
    <x v="2"/>
    <d v="2025-03-27T00:00:00"/>
    <x v="3"/>
    <s v="Explore the latest carousel on Myntra! Trendy styles await."/>
    <n v="1377"/>
    <n v="796"/>
    <n v="387"/>
    <n v="22032"/>
    <n v="21869"/>
    <n v="189"/>
    <s v="#FashionDeals,#MyntraFashion"/>
    <s v="MyntraFestiveEdit"/>
    <n v="0.11619462599854757"/>
  </r>
  <r>
    <s v="P252"/>
    <x v="3"/>
    <d v="2025-04-28T00:00:00"/>
    <x v="3"/>
    <s v="Explore the latest carousel on Myntra! Trendy styles await."/>
    <n v="2089"/>
    <n v="476"/>
    <n v="69"/>
    <n v="16712"/>
    <n v="16309"/>
    <n v="64"/>
    <s v="#StyleWithMyntra,#MyntraSale"/>
    <s v="FashionUpgrade"/>
    <n v="0.15761129727142173"/>
  </r>
  <r>
    <s v="P253"/>
    <x v="0"/>
    <d v="2024-08-03T00:00:00"/>
    <x v="0"/>
    <s v="Explore the latest reel on Myntra! Trendy styles await."/>
    <n v="3791"/>
    <n v="593"/>
    <n v="228"/>
    <n v="53074"/>
    <n v="52613"/>
    <n v="205"/>
    <s v="#StyleWithMyntra,#FashionDeals"/>
    <s v="FashionUpgrade"/>
    <n v="8.6897539284772202E-2"/>
  </r>
  <r>
    <s v="P254"/>
    <x v="0"/>
    <d v="2025-01-14T00:00:00"/>
    <x v="4"/>
    <s v="Explore the latest image on Myntra! Trendy styles await."/>
    <n v="2692"/>
    <n v="115"/>
    <n v="64"/>
    <n v="21536"/>
    <n v="21120"/>
    <n v="224"/>
    <s v="#FashionDeals,#MyntraTrend"/>
    <s v="StyleRevolution"/>
    <n v="0.13331166419019316"/>
  </r>
  <r>
    <s v="P255"/>
    <x v="3"/>
    <d v="2025-04-03T00:00:00"/>
    <x v="2"/>
    <s v="Explore the latest story on Myntra! Trendy styles await."/>
    <n v="3767"/>
    <n v="514"/>
    <n v="238"/>
    <n v="37670"/>
    <n v="36807"/>
    <n v="226"/>
    <s v="#StyleWithMyntra,#FashionDeals"/>
    <s v="FashionUpgrade"/>
    <n v="0.11996283514733209"/>
  </r>
  <r>
    <s v="P256"/>
    <x v="1"/>
    <d v="2024-09-18T00:00:00"/>
    <x v="3"/>
    <s v="Explore the latest carousel on Myntra! Trendy styles await."/>
    <n v="2143"/>
    <n v="12"/>
    <n v="204"/>
    <n v="40717"/>
    <n v="40125"/>
    <n v="248"/>
    <s v="#FashionDeals,#MyntraSale"/>
    <s v="StyleRevolution"/>
    <n v="5.7936488444630008E-2"/>
  </r>
  <r>
    <s v="P257"/>
    <x v="3"/>
    <d v="2025-04-06T00:00:00"/>
    <x v="4"/>
    <s v="Explore the latest image on Myntra! Trendy styles await."/>
    <n v="3090"/>
    <n v="697"/>
    <n v="164"/>
    <n v="49440"/>
    <n v="48524"/>
    <n v="25"/>
    <s v="#FashionDeals,#StyleWithMyntra"/>
    <s v="StyleRevolution"/>
    <n v="7.9915048543689318E-2"/>
  </r>
  <r>
    <s v="P258"/>
    <x v="2"/>
    <d v="2024-08-05T00:00:00"/>
    <x v="2"/>
    <s v="Explore the latest story on Myntra! Trendy styles await."/>
    <n v="3601"/>
    <n v="695"/>
    <n v="75"/>
    <n v="21606"/>
    <n v="21454"/>
    <n v="172"/>
    <s v="#StyleWithMyntra"/>
    <s v="EndOfSeasonSale"/>
    <n v="0.2023049153013052"/>
  </r>
  <r>
    <s v="P259"/>
    <x v="3"/>
    <d v="2025-02-10T00:00:00"/>
    <x v="1"/>
    <s v="Explore the latest text on Myntra! Trendy styles await."/>
    <n v="562"/>
    <n v="158"/>
    <n v="149"/>
    <n v="3372"/>
    <n v="2940"/>
    <n v="93"/>
    <s v="#FashionDeals,#MyntraSale"/>
    <s v="StyleRevolution"/>
    <n v="0.25771055753262156"/>
  </r>
  <r>
    <s v="P260"/>
    <x v="2"/>
    <d v="2025-02-12T00:00:00"/>
    <x v="2"/>
    <s v="Explore the latest story on Myntra! Trendy styles await."/>
    <n v="4332"/>
    <n v="771"/>
    <n v="219"/>
    <n v="60648"/>
    <n v="60397"/>
    <n v="10"/>
    <s v="#MyntraFashion"/>
    <s v="MyntraFestiveEdit"/>
    <n v="8.7752275425405618E-2"/>
  </r>
  <r>
    <s v="P261"/>
    <x v="2"/>
    <d v="2024-10-27T00:00:00"/>
    <x v="4"/>
    <s v="Explore the latest image on Myntra! Trendy styles await."/>
    <n v="4853"/>
    <n v="837"/>
    <n v="340"/>
    <n v="72795"/>
    <n v="72237"/>
    <n v="170"/>
    <s v="#MyntraSale"/>
    <s v="EndOfSeasonSale"/>
    <n v="8.2835359571399134E-2"/>
  </r>
  <r>
    <s v="P262"/>
    <x v="1"/>
    <d v="2025-01-18T00:00:00"/>
    <x v="4"/>
    <s v="Explore the latest image on Myntra! Trendy styles await."/>
    <n v="1206"/>
    <n v="238"/>
    <n v="36"/>
    <n v="9648"/>
    <n v="9417"/>
    <n v="237"/>
    <s v="#MyntraSale,#StyleWithMyntra"/>
    <s v="MyntraFestiveEdit"/>
    <n v="0.15339966832504145"/>
  </r>
  <r>
    <s v="P263"/>
    <x v="2"/>
    <d v="2024-08-20T00:00:00"/>
    <x v="0"/>
    <s v="Explore the latest reel on Myntra! Trendy styles await."/>
    <n v="2603"/>
    <n v="690"/>
    <n v="205"/>
    <n v="13015"/>
    <n v="12130"/>
    <n v="20"/>
    <s v="#MyntraTrend"/>
    <s v="FashionUpgrade"/>
    <n v="0.26876680752977333"/>
  </r>
  <r>
    <s v="P264"/>
    <x v="0"/>
    <d v="2025-01-30T00:00:00"/>
    <x v="4"/>
    <s v="Explore the latest image on Myntra! Trendy styles await."/>
    <n v="59"/>
    <n v="163"/>
    <n v="93"/>
    <n v="590"/>
    <n v="475"/>
    <n v="293"/>
    <s v="#MyntraTrend"/>
    <s v="StyleRevolution"/>
    <n v="0.53389830508474578"/>
  </r>
  <r>
    <s v="P265"/>
    <x v="0"/>
    <d v="2025-02-20T00:00:00"/>
    <x v="3"/>
    <s v="Explore the latest carousel on Myntra! Trendy styles await."/>
    <n v="1877"/>
    <n v="745"/>
    <n v="225"/>
    <n v="11262"/>
    <n v="10967"/>
    <n v="41"/>
    <s v="#StyleWithMyntra,#MyntraSale"/>
    <s v="FashionUpgrade"/>
    <n v="0.25279701651571657"/>
  </r>
  <r>
    <s v="P266"/>
    <x v="3"/>
    <d v="2024-11-25T00:00:00"/>
    <x v="2"/>
    <s v="Explore the latest story on Myntra! Trendy styles await."/>
    <n v="4182"/>
    <n v="640"/>
    <n v="240"/>
    <n v="50184"/>
    <n v="49351"/>
    <n v="10"/>
    <s v="#MyntraSale,#StyleWithMyntra"/>
    <s v="MyntraFestiveEdit"/>
    <n v="0.10086880280567512"/>
  </r>
  <r>
    <s v="P267"/>
    <x v="0"/>
    <d v="2024-10-04T00:00:00"/>
    <x v="0"/>
    <s v="Explore the latest reel on Myntra! Trendy styles await."/>
    <n v="4187"/>
    <n v="66"/>
    <n v="31"/>
    <n v="66992"/>
    <n v="66614"/>
    <n v="62"/>
    <s v="#StyleWithMyntra"/>
    <s v="StyleRevolution"/>
    <n v="6.3947934081681396E-2"/>
  </r>
  <r>
    <s v="P268"/>
    <x v="2"/>
    <d v="2025-04-13T00:00:00"/>
    <x v="0"/>
    <s v="Explore the latest reel on Myntra! Trendy styles await."/>
    <n v="4579"/>
    <n v="125"/>
    <n v="300"/>
    <n v="59527"/>
    <n v="59400"/>
    <n v="269"/>
    <s v="#StyleWithMyntra,#MyntraFashion"/>
    <s v="FashionUpgrade"/>
    <n v="8.4062694239588759E-2"/>
  </r>
  <r>
    <s v="P269"/>
    <x v="2"/>
    <d v="2024-11-05T00:00:00"/>
    <x v="5"/>
    <s v="Explore the latest video on Myntra! Trendy styles await."/>
    <n v="4561"/>
    <n v="51"/>
    <n v="441"/>
    <n v="22805"/>
    <n v="21890"/>
    <n v="45"/>
    <s v="#StyleWithMyntra"/>
    <s v="EndOfSeasonSale"/>
    <n v="0.22157421618066214"/>
  </r>
  <r>
    <s v="P270"/>
    <x v="1"/>
    <d v="2025-01-15T00:00:00"/>
    <x v="0"/>
    <s v="Explore the latest reel on Myntra! Trendy styles await."/>
    <n v="3774"/>
    <n v="239"/>
    <n v="39"/>
    <n v="60384"/>
    <n v="59490"/>
    <n v="241"/>
    <s v="#FashionDeals"/>
    <s v="MyntraFestiveEdit"/>
    <n v="6.7103868574456813E-2"/>
  </r>
  <r>
    <s v="P271"/>
    <x v="2"/>
    <d v="2024-10-17T00:00:00"/>
    <x v="5"/>
    <s v="Explore the latest video on Myntra! Trendy styles await."/>
    <n v="3575"/>
    <n v="749"/>
    <n v="111"/>
    <n v="21450"/>
    <n v="20785"/>
    <n v="195"/>
    <s v="#FashionDeals"/>
    <s v="MyntraFestiveEdit"/>
    <n v="0.20675990675990677"/>
  </r>
  <r>
    <s v="P272"/>
    <x v="2"/>
    <d v="2025-03-27T00:00:00"/>
    <x v="1"/>
    <s v="Explore the latest text on Myntra! Trendy styles await."/>
    <n v="4941"/>
    <n v="414"/>
    <n v="266"/>
    <n v="39528"/>
    <n v="39154"/>
    <n v="217"/>
    <s v="#MyntraSale"/>
    <s v="EndOfSeasonSale"/>
    <n v="0.14220299534507186"/>
  </r>
  <r>
    <s v="P273"/>
    <x v="1"/>
    <d v="2024-10-12T00:00:00"/>
    <x v="2"/>
    <s v="Explore the latest story on Myntra! Trendy styles await."/>
    <n v="3641"/>
    <n v="226"/>
    <n v="46"/>
    <n v="40051"/>
    <n v="39319"/>
    <n v="296"/>
    <s v="#MyntraTrend"/>
    <s v="EndOfSeasonSale"/>
    <n v="9.7700431949264685E-2"/>
  </r>
  <r>
    <s v="P274"/>
    <x v="0"/>
    <d v="2025-01-01T00:00:00"/>
    <x v="3"/>
    <s v="Explore the latest carousel on Myntra! Trendy styles await."/>
    <n v="3535"/>
    <n v="494"/>
    <n v="152"/>
    <n v="53025"/>
    <n v="52791"/>
    <n v="44"/>
    <s v="#MyntraTrend,#StyleWithMyntra"/>
    <s v="EndOfSeasonSale"/>
    <n v="7.8849599245638849E-2"/>
  </r>
  <r>
    <s v="P275"/>
    <x v="3"/>
    <d v="2024-08-05T00:00:00"/>
    <x v="0"/>
    <s v="Explore the latest reel on Myntra! Trendy styles await."/>
    <n v="1741"/>
    <n v="831"/>
    <n v="345"/>
    <n v="17410"/>
    <n v="16844"/>
    <n v="58"/>
    <s v="#MyntraFashion,#FashionDeals"/>
    <s v="StyleRevolution"/>
    <n v="0.16754738655944859"/>
  </r>
  <r>
    <s v="P276"/>
    <x v="0"/>
    <d v="2024-06-07T00:00:00"/>
    <x v="3"/>
    <s v="Explore the latest carousel on Myntra! Trendy styles await."/>
    <n v="1556"/>
    <n v="195"/>
    <n v="131"/>
    <n v="9336"/>
    <n v="8875"/>
    <n v="137"/>
    <s v="#MyntraFashion"/>
    <s v="EndOfSeasonSale"/>
    <n v="0.2015852613538989"/>
  </r>
  <r>
    <s v="P277"/>
    <x v="3"/>
    <d v="2025-04-06T00:00:00"/>
    <x v="4"/>
    <s v="Explore the latest image on Myntra! Trendy styles await."/>
    <n v="4236"/>
    <n v="711"/>
    <n v="298"/>
    <n v="21180"/>
    <n v="20516"/>
    <n v="238"/>
    <s v="#MyntraTrend,#MyntraSale"/>
    <s v="StyleRevolution"/>
    <n v="0.24763928234183191"/>
  </r>
  <r>
    <s v="P278"/>
    <x v="0"/>
    <d v="2024-11-26T00:00:00"/>
    <x v="1"/>
    <s v="Explore the latest text on Myntra! Trendy styles await."/>
    <n v="4516"/>
    <n v="836"/>
    <n v="169"/>
    <n v="49676"/>
    <n v="49257"/>
    <n v="282"/>
    <s v="#MyntraTrend"/>
    <s v="FashionUpgrade"/>
    <n v="0.11114018842096787"/>
  </r>
  <r>
    <s v="P279"/>
    <x v="1"/>
    <d v="2024-09-02T00:00:00"/>
    <x v="4"/>
    <s v="Explore the latest image on Myntra! Trendy styles await."/>
    <n v="4905"/>
    <n v="845"/>
    <n v="129"/>
    <n v="98100"/>
    <n v="97772"/>
    <n v="279"/>
    <s v="#MyntraTrend"/>
    <s v="StyleRevolution"/>
    <n v="5.9928644240570844E-2"/>
  </r>
  <r>
    <s v="P280"/>
    <x v="1"/>
    <d v="2024-10-21T00:00:00"/>
    <x v="5"/>
    <s v="Explore the latest video on Myntra! Trendy styles await."/>
    <n v="4275"/>
    <n v="680"/>
    <n v="385"/>
    <n v="64125"/>
    <n v="63650"/>
    <n v="104"/>
    <s v="#StyleWithMyntra"/>
    <s v="StyleRevolution"/>
    <n v="8.3274853801169585E-2"/>
  </r>
  <r>
    <s v="P281"/>
    <x v="1"/>
    <d v="2025-03-22T00:00:00"/>
    <x v="4"/>
    <s v="Explore the latest image on Myntra! Trendy styles await."/>
    <n v="3166"/>
    <n v="90"/>
    <n v="341"/>
    <n v="56988"/>
    <n v="56125"/>
    <n v="135"/>
    <s v="#MyntraFashion,#StyleWithMyntra"/>
    <s v="EndOfSeasonSale"/>
    <n v="6.3118551273952411E-2"/>
  </r>
  <r>
    <s v="P282"/>
    <x v="2"/>
    <d v="2024-10-03T00:00:00"/>
    <x v="5"/>
    <s v="Explore the latest video on Myntra! Trendy styles await."/>
    <n v="1488"/>
    <n v="417"/>
    <n v="168"/>
    <n v="19344"/>
    <n v="18395"/>
    <n v="30"/>
    <s v="#MyntraSale"/>
    <s v="FashionUpgrade"/>
    <n v="0.1071650124069479"/>
  </r>
  <r>
    <s v="P283"/>
    <x v="0"/>
    <d v="2025-05-09T00:00:00"/>
    <x v="0"/>
    <s v="Explore the latest reel on Myntra! Trendy styles await."/>
    <n v="3367"/>
    <n v="302"/>
    <n v="57"/>
    <n v="63973"/>
    <n v="63789"/>
    <n v="157"/>
    <s v="#MyntraTrend,#MyntraFashion"/>
    <s v="MyntraFestiveEdit"/>
    <n v="5.8243321401216137E-2"/>
  </r>
  <r>
    <s v="P284"/>
    <x v="0"/>
    <d v="2024-09-17T00:00:00"/>
    <x v="1"/>
    <s v="Explore the latest text on Myntra! Trendy styles await."/>
    <n v="571"/>
    <n v="190"/>
    <n v="352"/>
    <n v="9707"/>
    <n v="9418"/>
    <n v="231"/>
    <s v="#FashionDeals"/>
    <s v="EndOfSeasonSale"/>
    <n v="0.11465952405480581"/>
  </r>
  <r>
    <s v="P285"/>
    <x v="1"/>
    <d v="2024-07-18T00:00:00"/>
    <x v="1"/>
    <s v="Explore the latest text on Myntra! Trendy styles await."/>
    <n v="4021"/>
    <n v="794"/>
    <n v="77"/>
    <n v="36189"/>
    <n v="35505"/>
    <n v="174"/>
    <s v="#FashionDeals,#StyleWithMyntra"/>
    <s v="FashionUpgrade"/>
    <n v="0.13517919809886983"/>
  </r>
  <r>
    <s v="P286"/>
    <x v="1"/>
    <d v="2024-09-25T00:00:00"/>
    <x v="5"/>
    <s v="Explore the latest video on Myntra! Trendy styles await."/>
    <n v="3389"/>
    <n v="344"/>
    <n v="229"/>
    <n v="20334"/>
    <n v="19443"/>
    <n v="228"/>
    <s v="#MyntraFashion,#MyntraSale"/>
    <s v="EndOfSeasonSale"/>
    <n v="0.19484607062063539"/>
  </r>
  <r>
    <s v="P287"/>
    <x v="2"/>
    <d v="2024-08-15T00:00:00"/>
    <x v="0"/>
    <s v="Explore the latest reel on Myntra! Trendy styles await."/>
    <n v="1164"/>
    <n v="616"/>
    <n v="324"/>
    <n v="6984"/>
    <n v="6636"/>
    <n v="82"/>
    <s v="#MyntraFashion,#MyntraTrend"/>
    <s v="MyntraFestiveEdit"/>
    <n v="0.30126002290950743"/>
  </r>
  <r>
    <s v="P288"/>
    <x v="1"/>
    <d v="2025-04-17T00:00:00"/>
    <x v="3"/>
    <s v="Explore the latest carousel on Myntra! Trendy styles await."/>
    <n v="4780"/>
    <n v="691"/>
    <n v="380"/>
    <n v="86040"/>
    <n v="85743"/>
    <n v="262"/>
    <s v="#MyntraFashion,#FashionDeals"/>
    <s v="MyntraFestiveEdit"/>
    <n v="6.800325430032543E-2"/>
  </r>
  <r>
    <s v="P289"/>
    <x v="3"/>
    <d v="2024-11-28T00:00:00"/>
    <x v="3"/>
    <s v="Explore the latest carousel on Myntra! Trendy styles await."/>
    <n v="2751"/>
    <n v="33"/>
    <n v="430"/>
    <n v="44016"/>
    <n v="43415"/>
    <n v="129"/>
    <s v="#MyntraTrend,#StyleWithMyntra"/>
    <s v="EndOfSeasonSale"/>
    <n v="7.3018902217375503E-2"/>
  </r>
  <r>
    <s v="P290"/>
    <x v="2"/>
    <d v="2024-12-20T00:00:00"/>
    <x v="3"/>
    <s v="Explore the latest carousel on Myntra! Trendy styles await."/>
    <n v="2107"/>
    <n v="550"/>
    <n v="349"/>
    <n v="35819"/>
    <n v="35340"/>
    <n v="191"/>
    <s v="#MyntraTrend"/>
    <s v="MyntraFestiveEdit"/>
    <n v="8.3921940869371006E-2"/>
  </r>
  <r>
    <s v="P291"/>
    <x v="3"/>
    <d v="2024-11-06T00:00:00"/>
    <x v="5"/>
    <s v="Explore the latest video on Myntra! Trendy styles await."/>
    <n v="4663"/>
    <n v="145"/>
    <n v="225"/>
    <n v="69945"/>
    <n v="69596"/>
    <n v="35"/>
    <s v="#MyntraFashion"/>
    <s v="EndOfSeasonSale"/>
    <n v="7.1956537279290869E-2"/>
  </r>
  <r>
    <s v="P292"/>
    <x v="3"/>
    <d v="2024-11-17T00:00:00"/>
    <x v="1"/>
    <s v="Explore the latest text on Myntra! Trendy styles await."/>
    <n v="880"/>
    <n v="297"/>
    <n v="345"/>
    <n v="12320"/>
    <n v="11978"/>
    <n v="238"/>
    <s v="#MyntraSale"/>
    <s v="EndOfSeasonSale"/>
    <n v="0.12353896103896105"/>
  </r>
  <r>
    <s v="P293"/>
    <x v="3"/>
    <d v="2025-05-14T00:00:00"/>
    <x v="1"/>
    <s v="Explore the latest text on Myntra! Trendy styles await."/>
    <n v="2634"/>
    <n v="726"/>
    <n v="241"/>
    <n v="28974"/>
    <n v="28102"/>
    <n v="277"/>
    <s v="#StyleWithMyntra"/>
    <s v="MyntraFestiveEdit"/>
    <n v="0.12428384068475185"/>
  </r>
  <r>
    <s v="P294"/>
    <x v="3"/>
    <d v="2024-06-19T00:00:00"/>
    <x v="3"/>
    <s v="Explore the latest carousel on Myntra! Trendy styles await."/>
    <n v="4731"/>
    <n v="173"/>
    <n v="276"/>
    <n v="28386"/>
    <n v="28185"/>
    <n v="89"/>
    <s v="#MyntraTrend,#MyntraFashion"/>
    <s v="StyleRevolution"/>
    <n v="0.18248432325794406"/>
  </r>
  <r>
    <s v="P295"/>
    <x v="0"/>
    <d v="2025-05-06T00:00:00"/>
    <x v="4"/>
    <s v="Explore the latest image on Myntra! Trendy styles await."/>
    <n v="1952"/>
    <n v="344"/>
    <n v="287"/>
    <n v="15616"/>
    <n v="15403"/>
    <n v="235"/>
    <s v="#MyntraSale,#MyntraFashion"/>
    <s v="MyntraFestiveEdit"/>
    <n v="0.16540727459016394"/>
  </r>
  <r>
    <s v="P296"/>
    <x v="0"/>
    <d v="2025-02-11T00:00:00"/>
    <x v="5"/>
    <s v="Explore the latest video on Myntra! Trendy styles await."/>
    <n v="3440"/>
    <n v="13"/>
    <n v="20"/>
    <n v="58480"/>
    <n v="58146"/>
    <n v="210"/>
    <s v="#MyntraFashion,#FashionDeals"/>
    <s v="FashionUpgrade"/>
    <n v="5.9387824897400819E-2"/>
  </r>
  <r>
    <s v="P297"/>
    <x v="0"/>
    <d v="2024-12-24T00:00:00"/>
    <x v="1"/>
    <s v="Explore the latest text on Myntra! Trendy styles await."/>
    <n v="2166"/>
    <n v="354"/>
    <n v="117"/>
    <n v="10830"/>
    <n v="10245"/>
    <n v="24"/>
    <s v="#StyleWithMyntra,#MyntraTrend"/>
    <s v="FashionUpgrade"/>
    <n v="0.24349030470914126"/>
  </r>
  <r>
    <s v="P298"/>
    <x v="3"/>
    <d v="2024-10-24T00:00:00"/>
    <x v="4"/>
    <s v="Explore the latest image on Myntra! Trendy styles await."/>
    <n v="4303"/>
    <n v="451"/>
    <n v="286"/>
    <n v="86060"/>
    <n v="85823"/>
    <n v="14"/>
    <s v="#MyntraSale"/>
    <s v="EndOfSeasonSale"/>
    <n v="5.8563792702765516E-2"/>
  </r>
  <r>
    <s v="P299"/>
    <x v="3"/>
    <d v="2024-08-26T00:00:00"/>
    <x v="4"/>
    <s v="Explore the latest image on Myntra! Trendy styles await."/>
    <n v="2581"/>
    <n v="517"/>
    <n v="117"/>
    <n v="23229"/>
    <n v="22331"/>
    <n v="70"/>
    <s v="#MyntraSale,#StyleWithMyntra"/>
    <s v="EndOfSeasonSale"/>
    <n v="0.13840458048129492"/>
  </r>
  <r>
    <s v="P300"/>
    <x v="0"/>
    <d v="2024-08-31T00:00:00"/>
    <x v="3"/>
    <s v="Explore the latest carousel on Myntra! Trendy styles await."/>
    <n v="4494"/>
    <n v="717"/>
    <n v="45"/>
    <n v="62916"/>
    <n v="62688"/>
    <n v="191"/>
    <s v="#MyntraFashion"/>
    <s v="FashionUpgrade"/>
    <n v="8.3539958039290485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s v="Twitter"/>
    <d v="2024-12-23T00:00:00"/>
    <s v="Reel"/>
    <s v="Explore the latest reel on Myntra! Trendy styles await."/>
    <n v="1461"/>
    <n v="184"/>
    <n v="344"/>
    <n v="21915"/>
    <n v="21675"/>
    <n v="15"/>
    <x v="0"/>
    <s v="FashionUpgrade"/>
    <n v="9.0759753593429152E-2"/>
  </r>
  <r>
    <s v="P002"/>
    <s v="Twitter"/>
    <d v="2025-04-03T00:00:00"/>
    <s v="Text"/>
    <s v="Explore the latest text on Myntra! Trendy styles await."/>
    <n v="4054"/>
    <n v="389"/>
    <n v="493"/>
    <n v="64864"/>
    <n v="64383"/>
    <n v="117"/>
    <x v="1"/>
    <s v="EndOfSeasonSale"/>
    <n v="7.6097681302417369E-2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x v="1"/>
    <s v="FashionUpgrade"/>
    <n v="5.5531494209584788E-2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x v="0"/>
    <s v="FashionUpgrade"/>
    <n v="5.5531494209584788E-2"/>
  </r>
  <r>
    <s v="P004"/>
    <s v="Instagram"/>
    <d v="2024-08-12T00:00:00"/>
    <s v="Story"/>
    <s v="Explore the latest story on Myntra! Trendy styles await."/>
    <n v="2404"/>
    <n v="363"/>
    <n v="138"/>
    <n v="19232"/>
    <n v="18636"/>
    <n v="128"/>
    <x v="0"/>
    <s v="FashionUpgrade"/>
    <n v="0.15105033277870217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x v="2"/>
    <s v="MyntraFestiveEdit"/>
    <n v="6.5617093055946027E-2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x v="1"/>
    <s v="MyntraFestiveEdit"/>
    <n v="6.5617093055946027E-2"/>
  </r>
  <r>
    <s v="P006"/>
    <s v="Facebook"/>
    <d v="2024-10-31T00:00:00"/>
    <s v="Carousel"/>
    <s v="Explore the latest carousel on Myntra! Trendy styles await."/>
    <n v="2945"/>
    <n v="930"/>
    <n v="355"/>
    <n v="23560"/>
    <n v="23275"/>
    <n v="256"/>
    <x v="3"/>
    <s v="EndOfSeasonSale"/>
    <n v="0.17954159592529711"/>
  </r>
  <r>
    <s v="P007"/>
    <s v="Twitter"/>
    <d v="2024-06-24T00:00:00"/>
    <s v="Carousel"/>
    <s v="Explore the latest carousel on Myntra! Trendy styles await."/>
    <n v="3860"/>
    <n v="201"/>
    <n v="279"/>
    <n v="61760"/>
    <n v="61660"/>
    <n v="235"/>
    <x v="3"/>
    <s v="MyntraFestiveEdit"/>
    <n v="7.0272020725388601E-2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x v="1"/>
    <s v="MyntraFestiveEdit"/>
    <n v="0.10340359564080613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x v="0"/>
    <s v="MyntraFestiveEdit"/>
    <n v="0.10340359564080613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x v="1"/>
    <s v="MyntraFestiveEdit"/>
    <n v="8.8019732205778717E-2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x v="0"/>
    <s v="MyntraFestiveEdit"/>
    <n v="8.8019732205778717E-2"/>
  </r>
  <r>
    <s v="P010"/>
    <s v="Facebook"/>
    <d v="2025-03-11T00:00:00"/>
    <s v="Image"/>
    <s v="Explore the latest image on Myntra! Trendy styles await."/>
    <n v="4241"/>
    <n v="902"/>
    <n v="47"/>
    <n v="72097"/>
    <n v="71598"/>
    <n v="167"/>
    <x v="3"/>
    <s v="StyleRevolution"/>
    <n v="7.198635172059864E-2"/>
  </r>
  <r>
    <s v="P011"/>
    <s v="Instagram"/>
    <d v="2025-02-02T00:00:00"/>
    <s v="Story"/>
    <s v="Explore the latest story on Myntra! Trendy styles await."/>
    <n v="1792"/>
    <n v="614"/>
    <n v="497"/>
    <n v="25088"/>
    <n v="24675"/>
    <n v="65"/>
    <x v="2"/>
    <s v="FashionUpgrade"/>
    <n v="0.11571269132653061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x v="2"/>
    <s v="MyntraFestiveEdit"/>
    <n v="0.12885405960945528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x v="0"/>
    <s v="MyntraFestiveEdit"/>
    <n v="0.12885405960945528"/>
  </r>
  <r>
    <s v="P013"/>
    <s v="Youtube"/>
    <d v="2024-11-18T00:00:00"/>
    <s v="Carousel"/>
    <s v="Explore the latest carousel on Myntra! Trendy styles await."/>
    <n v="1171"/>
    <n v="286"/>
    <n v="231"/>
    <n v="22249"/>
    <n v="21282"/>
    <n v="114"/>
    <x v="1"/>
    <s v="StyleRevolution"/>
    <n v="7.5868578363072495E-2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x v="0"/>
    <s v="MyntraFestiveEdit"/>
    <n v="0.14521452145214522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x v="1"/>
    <s v="MyntraFestiveEdit"/>
    <n v="0.14521452145214522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x v="1"/>
    <s v="FashionUpgrade"/>
    <n v="5.941358024691358E-2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x v="4"/>
    <s v="FashionUpgrade"/>
    <n v="5.941358024691358E-2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x v="0"/>
    <s v="MyntraFestiveEdit"/>
    <n v="7.5843713789107758E-2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x v="4"/>
    <s v="MyntraFestiveEdit"/>
    <n v="7.5843713789107758E-2"/>
  </r>
  <r>
    <s v="P017"/>
    <s v="Facebook"/>
    <d v="2025-05-05T00:00:00"/>
    <s v="Text"/>
    <s v="Explore the latest text on Myntra! Trendy styles await."/>
    <n v="4441"/>
    <n v="511"/>
    <n v="70"/>
    <n v="53292"/>
    <n v="53082"/>
    <n v="159"/>
    <x v="4"/>
    <s v="MyntraFestiveEdit"/>
    <n v="9.4235532537716729E-2"/>
  </r>
  <r>
    <s v="P018"/>
    <s v="Instagram"/>
    <d v="2024-08-19T00:00:00"/>
    <s v="Reel"/>
    <s v="Explore the latest reel on Myntra! Trendy styles await."/>
    <n v="3000"/>
    <n v="382"/>
    <n v="325"/>
    <n v="36000"/>
    <n v="35819"/>
    <n v="19"/>
    <x v="2"/>
    <s v="EndOfSeasonSale"/>
    <n v="0.10297222222222223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x v="0"/>
    <s v="MyntraFestiveEdit"/>
    <n v="0.10034235916588857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x v="2"/>
    <s v="MyntraFestiveEdit"/>
    <n v="0.10034235916588857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x v="1"/>
    <s v="MyntraFestiveEdit"/>
    <n v="6.3809622724794221E-2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x v="0"/>
    <s v="MyntraFestiveEdit"/>
    <n v="6.3809622724794221E-2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x v="2"/>
    <s v="MyntraFestiveEdit"/>
    <n v="7.7249552156538517E-2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x v="3"/>
    <s v="MyntraFestiveEdit"/>
    <n v="7.7249552156538517E-2"/>
  </r>
  <r>
    <s v="P022"/>
    <s v="Facebook"/>
    <d v="2025-02-27T00:00:00"/>
    <s v="Text"/>
    <s v="Explore the latest text on Myntra! Trendy styles await."/>
    <n v="1570"/>
    <n v="187"/>
    <n v="260"/>
    <n v="25120"/>
    <n v="24613"/>
    <n v="133"/>
    <x v="0"/>
    <s v="StyleRevolution"/>
    <n v="8.0294585987261149E-2"/>
  </r>
  <r>
    <s v="P023"/>
    <s v="Facebook"/>
    <d v="2024-11-06T00:00:00"/>
    <s v="Video"/>
    <s v="Explore the latest video on Myntra! Trendy styles await."/>
    <n v="1606"/>
    <n v="547"/>
    <n v="316"/>
    <n v="32120"/>
    <n v="31736"/>
    <n v="225"/>
    <x v="0"/>
    <s v="MyntraFestiveEdit"/>
    <n v="7.6867995018679955E-2"/>
  </r>
  <r>
    <s v="P024"/>
    <s v="Facebook"/>
    <d v="2025-01-23T00:00:00"/>
    <s v="Video"/>
    <s v="Explore the latest video on Myntra! Trendy styles await."/>
    <n v="3961"/>
    <n v="761"/>
    <n v="131"/>
    <n v="67337"/>
    <n v="66615"/>
    <n v="161"/>
    <x v="3"/>
    <s v="EndOfSeasonSale"/>
    <n v="7.2070332803659209E-2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x v="2"/>
    <s v="FashionUpgrade"/>
    <n v="5.9496567505720827E-2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x v="0"/>
    <s v="FashionUpgrade"/>
    <n v="5.9496567505720827E-2"/>
  </r>
  <r>
    <s v="P026"/>
    <s v="Youtube"/>
    <d v="2025-04-05T00:00:00"/>
    <s v="Reel"/>
    <s v="Explore the latest reel on Myntra! Trendy styles await."/>
    <n v="3009"/>
    <n v="413"/>
    <n v="358"/>
    <n v="42126"/>
    <n v="41309"/>
    <n v="211"/>
    <x v="0"/>
    <s v="EndOfSeasonSale"/>
    <n v="8.9730807577268201E-2"/>
  </r>
  <r>
    <s v="P027"/>
    <s v="Youtube"/>
    <d v="2024-09-17T00:00:00"/>
    <s v="Text"/>
    <s v="Explore the latest text on Myntra! Trendy styles await."/>
    <n v="2076"/>
    <n v="195"/>
    <n v="104"/>
    <n v="33216"/>
    <n v="32244"/>
    <n v="51"/>
    <x v="3"/>
    <s v="StyleRevolution"/>
    <n v="7.1501685934489398E-2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x v="0"/>
    <s v="EndOfSeasonSale"/>
    <n v="0.17057291666666666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x v="3"/>
    <s v="EndOfSeasonSale"/>
    <n v="0.17057291666666666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x v="3"/>
    <s v="MyntraFestiveEdit"/>
    <n v="0.21208106001558846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x v="1"/>
    <s v="MyntraFestiveEdit"/>
    <n v="0.21208106001558846"/>
  </r>
  <r>
    <s v="P030"/>
    <s v="Instagram"/>
    <d v="2025-02-25T00:00:00"/>
    <s v="Video"/>
    <s v="Explore the latest video on Myntra! Trendy styles await."/>
    <n v="3095"/>
    <n v="39"/>
    <n v="78"/>
    <n v="55710"/>
    <n v="54808"/>
    <n v="93"/>
    <x v="0"/>
    <s v="StyleRevolution"/>
    <n v="5.7655717106444085E-2"/>
  </r>
  <r>
    <s v="P031"/>
    <s v="Instagram"/>
    <d v="2024-12-16T00:00:00"/>
    <s v="Text"/>
    <s v="Explore the latest text on Myntra! Trendy styles await."/>
    <n v="438"/>
    <n v="153"/>
    <n v="275"/>
    <n v="3066"/>
    <n v="2701"/>
    <n v="282"/>
    <x v="3"/>
    <s v="StyleRevolution"/>
    <n v="0.28245270711024134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x v="3"/>
    <s v="StyleRevolution"/>
    <n v="0.19088381621305239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x v="1"/>
    <s v="StyleRevolution"/>
    <n v="0.19088381621305239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x v="1"/>
    <s v="MyntraFestiveEdit"/>
    <n v="0.12781331438047855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x v="4"/>
    <s v="MyntraFestiveEdit"/>
    <n v="0.12781331438047855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x v="3"/>
    <s v="EndOfSeasonSale"/>
    <n v="7.055421038471886E-2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x v="4"/>
    <s v="EndOfSeasonSale"/>
    <n v="7.055421038471886E-2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x v="2"/>
    <s v="MyntraFestiveEdit"/>
    <n v="0.11861662987490802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x v="0"/>
    <s v="MyntraFestiveEdit"/>
    <n v="0.11861662987490802"/>
  </r>
  <r>
    <s v="P036"/>
    <s v="Instagram"/>
    <d v="2025-04-19T00:00:00"/>
    <s v="Story"/>
    <s v="Explore the latest story on Myntra! Trendy styles await."/>
    <n v="4518"/>
    <n v="285"/>
    <n v="383"/>
    <n v="67770"/>
    <n v="67621"/>
    <n v="31"/>
    <x v="4"/>
    <s v="EndOfSeasonSale"/>
    <n v="7.6523535487678915E-2"/>
  </r>
  <r>
    <s v="P037"/>
    <s v="Facebook"/>
    <d v="2025-01-06T00:00:00"/>
    <s v="Carousel"/>
    <s v="Explore the latest carousel on Myntra! Trendy styles await."/>
    <n v="3024"/>
    <n v="925"/>
    <n v="350"/>
    <n v="24192"/>
    <n v="23518"/>
    <n v="36"/>
    <x v="0"/>
    <s v="MyntraFestiveEdit"/>
    <n v="0.17770337301587302"/>
  </r>
  <r>
    <s v="P038"/>
    <s v="Youtube"/>
    <d v="2025-02-17T00:00:00"/>
    <s v="Reel"/>
    <s v="Explore the latest reel on Myntra! Trendy styles await."/>
    <n v="3138"/>
    <n v="123"/>
    <n v="291"/>
    <n v="28242"/>
    <n v="27550"/>
    <n v="87"/>
    <x v="4"/>
    <s v="StyleRevolution"/>
    <n v="0.12577012959422137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x v="4"/>
    <s v="MyntraFestiveEdit"/>
    <n v="7.2126493695121141E-2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x v="0"/>
    <s v="MyntraFestiveEdit"/>
    <n v="7.2126493695121141E-2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x v="2"/>
    <s v="EndOfSeasonSale"/>
    <n v="0.13989473684210527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x v="0"/>
    <s v="EndOfSeasonSale"/>
    <n v="0.13989473684210527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x v="0"/>
    <s v="MyntraFestiveEdit"/>
    <n v="0.18433235867446393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x v="4"/>
    <s v="MyntraFestiveEdit"/>
    <n v="0.18433235867446393"/>
  </r>
  <r>
    <s v="P042"/>
    <s v="Youtube"/>
    <d v="2025-03-05T00:00:00"/>
    <s v="Reel"/>
    <s v="Explore the latest reel on Myntra! Trendy styles await."/>
    <n v="1543"/>
    <n v="820"/>
    <n v="333"/>
    <n v="12344"/>
    <n v="11496"/>
    <n v="241"/>
    <x v="2"/>
    <s v="MyntraFestiveEdit"/>
    <n v="0.21840570317563188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x v="0"/>
    <s v="StyleRevolution"/>
    <n v="0.21826126954921804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x v="1"/>
    <s v="StyleRevolution"/>
    <n v="0.21826126954921804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x v="0"/>
    <s v="FashionUpgrade"/>
    <n v="9.8558100084817649E-2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x v="2"/>
    <s v="FashionUpgrade"/>
    <n v="9.8558100084817649E-2"/>
  </r>
  <r>
    <s v="P045"/>
    <s v="Facebook"/>
    <d v="2024-11-01T00:00:00"/>
    <s v="Video"/>
    <s v="Explore the latest video on Myntra! Trendy styles await."/>
    <n v="3371"/>
    <n v="106"/>
    <n v="327"/>
    <n v="50565"/>
    <n v="49816"/>
    <n v="176"/>
    <x v="4"/>
    <s v="StyleRevolution"/>
    <n v="7.5229902106199939E-2"/>
  </r>
  <r>
    <s v="P046"/>
    <s v="Twitter"/>
    <d v="2025-05-02T00:00:00"/>
    <s v="Video"/>
    <s v="Explore the latest video on Myntra! Trendy styles await."/>
    <n v="1108"/>
    <n v="177"/>
    <n v="212"/>
    <n v="8864"/>
    <n v="8710"/>
    <n v="97"/>
    <x v="1"/>
    <s v="StyleRevolution"/>
    <n v="0.16888537906137185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x v="4"/>
    <s v="FashionUpgrade"/>
    <n v="0.16683616863905326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x v="1"/>
    <s v="FashionUpgrade"/>
    <n v="0.16683616863905326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x v="1"/>
    <s v="StyleRevolution"/>
    <n v="7.349527665317139E-2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x v="2"/>
    <s v="StyleRevolution"/>
    <n v="7.349527665317139E-2"/>
  </r>
  <r>
    <s v="P049"/>
    <s v="Twitter"/>
    <d v="2024-06-10T00:00:00"/>
    <s v="Story"/>
    <s v="Explore the latest story on Myntra! Trendy styles await."/>
    <n v="2164"/>
    <n v="549"/>
    <n v="274"/>
    <n v="28132"/>
    <n v="27361"/>
    <n v="177"/>
    <x v="2"/>
    <s v="FashionUpgrade"/>
    <n v="0.10617801791554102"/>
  </r>
  <r>
    <s v="P050"/>
    <s v="Youtube"/>
    <d v="2024-07-03T00:00:00"/>
    <s v="Story"/>
    <s v="Explore the latest story on Myntra! Trendy styles await."/>
    <n v="2754"/>
    <n v="130"/>
    <n v="90"/>
    <n v="22032"/>
    <n v="21288"/>
    <n v="112"/>
    <x v="1"/>
    <s v="FashionUpgrade"/>
    <n v="0.13498547567175018"/>
  </r>
  <r>
    <s v="P051"/>
    <s v="Facebook"/>
    <d v="2024-06-13T00:00:00"/>
    <s v="Carousel"/>
    <s v="Explore the latest carousel on Myntra! Trendy styles await."/>
    <n v="2200"/>
    <n v="504"/>
    <n v="239"/>
    <n v="37400"/>
    <n v="36938"/>
    <n v="225"/>
    <x v="0"/>
    <s v="MyntraFestiveEdit"/>
    <n v="7.8689839572192513E-2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x v="1"/>
    <s v="MyntraFestiveEdit"/>
    <n v="0.1569549774407219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x v="0"/>
    <s v="MyntraFestiveEdit"/>
    <n v="0.1569549774407219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x v="2"/>
    <s v="StyleRevolution"/>
    <n v="0.36965174129353234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x v="3"/>
    <s v="StyleRevolution"/>
    <n v="0.36965174129353234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x v="1"/>
    <s v="EndOfSeasonSale"/>
    <n v="0.16510298716704411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x v="4"/>
    <s v="EndOfSeasonSale"/>
    <n v="0.16510298716704411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x v="0"/>
    <s v="StyleRevolution"/>
    <n v="9.1897770527460579E-2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x v="3"/>
    <s v="StyleRevolution"/>
    <n v="9.1897770527460579E-2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x v="2"/>
    <s v="EndOfSeasonSale"/>
    <n v="0.12936184657162253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x v="4"/>
    <s v="EndOfSeasonSale"/>
    <n v="0.12936184657162253"/>
  </r>
  <r>
    <s v="P057"/>
    <s v="Twitter"/>
    <d v="2024-10-21T00:00:00"/>
    <s v="Video"/>
    <s v="Explore the latest video on Myntra! Trendy styles await."/>
    <n v="2825"/>
    <n v="535"/>
    <n v="295"/>
    <n v="45200"/>
    <n v="44739"/>
    <n v="169"/>
    <x v="2"/>
    <s v="EndOfSeasonSale"/>
    <n v="8.0862831858407078E-2"/>
  </r>
  <r>
    <s v="P058"/>
    <s v="Instagram"/>
    <d v="2025-04-15T00:00:00"/>
    <s v="Reel"/>
    <s v="Explore the latest reel on Myntra! Trendy styles await."/>
    <n v="103"/>
    <n v="770"/>
    <n v="19"/>
    <n v="1030"/>
    <n v="410"/>
    <n v="262"/>
    <x v="0"/>
    <s v="MyntraFestiveEdit"/>
    <n v="0.86601941747572819"/>
  </r>
  <r>
    <s v="P059"/>
    <s v="Instagram"/>
    <d v="2024-06-22T00:00:00"/>
    <s v="Text"/>
    <s v="Explore the latest text on Myntra! Trendy styles await."/>
    <n v="2180"/>
    <n v="263"/>
    <n v="387"/>
    <n v="30520"/>
    <n v="30059"/>
    <n v="174"/>
    <x v="4"/>
    <s v="FashionUpgrade"/>
    <n v="9.2726081258191345E-2"/>
  </r>
  <r>
    <s v="P060"/>
    <s v="Instagram"/>
    <d v="2025-01-28T00:00:00"/>
    <s v="Video"/>
    <s v="Explore the latest video on Myntra! Trendy styles await."/>
    <n v="904"/>
    <n v="973"/>
    <n v="63"/>
    <n v="11752"/>
    <n v="11580"/>
    <n v="84"/>
    <x v="2"/>
    <s v="FashionUpgrade"/>
    <n v="0.1650782845473111"/>
  </r>
  <r>
    <s v="P061"/>
    <s v="Twitter"/>
    <d v="2024-09-05T00:00:00"/>
    <s v="Video"/>
    <s v="Explore the latest video on Myntra! Trendy styles await."/>
    <n v="4886"/>
    <n v="983"/>
    <n v="409"/>
    <n v="43974"/>
    <n v="43239"/>
    <n v="65"/>
    <x v="1"/>
    <s v="FashionUpgrade"/>
    <n v="0.14276618001546368"/>
  </r>
  <r>
    <s v="P062"/>
    <s v="Twitter"/>
    <d v="2024-11-22T00:00:00"/>
    <s v="Carousel"/>
    <s v="Explore the latest carousel on Myntra! Trendy styles await."/>
    <n v="53"/>
    <n v="81"/>
    <n v="379"/>
    <n v="954"/>
    <n v="7"/>
    <n v="148"/>
    <x v="4"/>
    <s v="MyntraFestiveEdit"/>
    <n v="0.53773584905660377"/>
  </r>
  <r>
    <s v="P063"/>
    <s v="Twitter"/>
    <d v="2024-07-31T00:00:00"/>
    <s v="Carousel"/>
    <s v="Explore the latest carousel on Myntra! Trendy styles await."/>
    <n v="4507"/>
    <n v="217"/>
    <n v="13"/>
    <n v="90140"/>
    <n v="89591"/>
    <n v="125"/>
    <x v="0"/>
    <s v="FashionUpgrade"/>
    <n v="5.2551586421122697E-2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x v="4"/>
    <s v="EndOfSeasonSale"/>
    <n v="8.2047718322909427E-2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x v="3"/>
    <s v="EndOfSeasonSale"/>
    <n v="8.2047718322909427E-2"/>
  </r>
  <r>
    <s v="P065"/>
    <s v="Instagram"/>
    <d v="2025-03-28T00:00:00"/>
    <s v="Story"/>
    <s v="Explore the latest story on Myntra! Trendy styles await."/>
    <n v="1881"/>
    <n v="501"/>
    <n v="99"/>
    <n v="20691"/>
    <n v="19987"/>
    <n v="289"/>
    <x v="4"/>
    <s v="EndOfSeasonSale"/>
    <n v="0.11990720603160794"/>
  </r>
  <r>
    <s v="P066"/>
    <s v="Twitter"/>
    <d v="2024-07-26T00:00:00"/>
    <s v="Carousel"/>
    <s v="Explore the latest carousel on Myntra! Trendy styles await."/>
    <n v="432"/>
    <n v="171"/>
    <n v="280"/>
    <n v="3024"/>
    <n v="2285"/>
    <n v="184"/>
    <x v="1"/>
    <s v="MyntraFestiveEdit"/>
    <n v="0.29199735449735448"/>
  </r>
  <r>
    <s v="P067"/>
    <s v="Facebook"/>
    <d v="2025-03-29T00:00:00"/>
    <s v="Carousel"/>
    <s v="Explore the latest carousel on Myntra! Trendy styles await."/>
    <n v="4712"/>
    <n v="568"/>
    <n v="127"/>
    <n v="84816"/>
    <n v="84691"/>
    <n v="100"/>
    <x v="4"/>
    <s v="FashionUpgrade"/>
    <n v="6.3749764195434822E-2"/>
  </r>
  <r>
    <s v="P068"/>
    <s v="Instagram"/>
    <d v="2024-12-08T00:00:00"/>
    <s v="Story"/>
    <s v="Explore the latest story on Myntra! Trendy styles await."/>
    <n v="2610"/>
    <n v="126"/>
    <n v="288"/>
    <n v="15660"/>
    <n v="15145"/>
    <n v="73"/>
    <x v="1"/>
    <s v="FashionUpgrade"/>
    <n v="0.19310344827586207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x v="2"/>
    <s v="StyleRevolution"/>
    <n v="9.3421052631578946E-2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x v="3"/>
    <s v="StyleRevolution"/>
    <n v="9.3421052631578946E-2"/>
  </r>
  <r>
    <s v="P070"/>
    <s v="Facebook"/>
    <d v="2025-04-02T00:00:00"/>
    <s v="Video"/>
    <s v="Explore the latest video on Myntra! Trendy styles await."/>
    <n v="199"/>
    <n v="772"/>
    <n v="400"/>
    <n v="3582"/>
    <n v="2988"/>
    <n v="43"/>
    <x v="3"/>
    <s v="FashionUpgrade"/>
    <n v="0.38274706867671693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x v="0"/>
    <s v="EndOfSeasonSale"/>
    <n v="0.1199202926956749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x v="4"/>
    <s v="EndOfSeasonSale"/>
    <n v="0.1199202926956749"/>
  </r>
  <r>
    <s v="P072"/>
    <s v="Youtube"/>
    <d v="2025-03-03T00:00:00"/>
    <s v="Reel"/>
    <s v="Explore the latest reel on Myntra! Trendy styles await."/>
    <n v="296"/>
    <n v="60"/>
    <n v="141"/>
    <n v="5624"/>
    <n v="5239"/>
    <n v="88"/>
    <x v="3"/>
    <s v="StyleRevolution"/>
    <n v="8.837126600284495E-2"/>
  </r>
  <r>
    <s v="P073"/>
    <s v="Facebook"/>
    <d v="2024-10-18T00:00:00"/>
    <s v="Story"/>
    <s v="Explore the latest story on Myntra! Trendy styles await."/>
    <n v="4126"/>
    <n v="426"/>
    <n v="486"/>
    <n v="78394"/>
    <n v="77798"/>
    <n v="88"/>
    <x v="1"/>
    <s v="FashionUpgrade"/>
    <n v="6.4265122330790625E-2"/>
  </r>
  <r>
    <s v="P074"/>
    <s v="Youtube"/>
    <d v="2024-10-28T00:00:00"/>
    <s v="Reel"/>
    <s v="Explore the latest reel on Myntra! Trendy styles await."/>
    <n v="1855"/>
    <n v="200"/>
    <n v="174"/>
    <n v="16695"/>
    <n v="16330"/>
    <n v="123"/>
    <x v="1"/>
    <s v="MyntraFestiveEdit"/>
    <n v="0.13351302785265048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x v="2"/>
    <s v="MyntraFestiveEdit"/>
    <n v="0.12131237937689551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x v="4"/>
    <s v="MyntraFestiveEdit"/>
    <n v="0.12131237937689551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x v="0"/>
    <s v="StyleRevolution"/>
    <n v="8.1177520071364848E-2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x v="1"/>
    <s v="StyleRevolution"/>
    <n v="8.1177520071364848E-2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x v="1"/>
    <s v="MyntraFestiveEdit"/>
    <n v="0.20416333066453163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x v="4"/>
    <s v="MyntraFestiveEdit"/>
    <n v="0.20416333066453163"/>
  </r>
  <r>
    <s v="P078"/>
    <s v="Twitter"/>
    <d v="2024-06-17T00:00:00"/>
    <s v="Image"/>
    <s v="Explore the latest image on Myntra! Trendy styles await."/>
    <n v="954"/>
    <n v="324"/>
    <n v="288"/>
    <n v="19080"/>
    <n v="18859"/>
    <n v="21"/>
    <x v="3"/>
    <s v="MyntraFestiveEdit"/>
    <n v="8.2075471698113203E-2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x v="0"/>
    <s v="MyntraFestiveEdit"/>
    <n v="8.860696018453515E-2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x v="3"/>
    <s v="MyntraFestiveEdit"/>
    <n v="8.860696018453515E-2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x v="4"/>
    <s v="EndOfSeasonSale"/>
    <n v="7.7533348349475686E-2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x v="1"/>
    <s v="EndOfSeasonSale"/>
    <n v="7.7533348349475686E-2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x v="3"/>
    <s v="MyntraFestiveEdit"/>
    <n v="9.4413295955146179E-2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x v="0"/>
    <s v="MyntraFestiveEdit"/>
    <n v="9.4413295955146179E-2"/>
  </r>
  <r>
    <s v="P082"/>
    <s v="Instagram"/>
    <d v="2024-07-24T00:00:00"/>
    <s v="Image"/>
    <s v="Explore the latest image on Myntra! Trendy styles await."/>
    <n v="725"/>
    <n v="88"/>
    <n v="428"/>
    <n v="14500"/>
    <n v="13637"/>
    <n v="200"/>
    <x v="3"/>
    <s v="MyntraFestiveEdit"/>
    <n v="8.558620689655172E-2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x v="3"/>
    <s v="MyntraFestiveEdit"/>
    <n v="0.16118220597196831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x v="2"/>
    <s v="MyntraFestiveEdit"/>
    <n v="0.16118220597196831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x v="1"/>
    <s v="FashionUpgrade"/>
    <n v="8.6737756939878216E-2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x v="4"/>
    <s v="FashionUpgrade"/>
    <n v="8.6737756939878216E-2"/>
  </r>
  <r>
    <s v="P085"/>
    <s v="Instagram"/>
    <d v="2025-04-19T00:00:00"/>
    <s v="Image"/>
    <s v="Explore the latest image on Myntra! Trendy styles await."/>
    <n v="4177"/>
    <n v="569"/>
    <n v="55"/>
    <n v="25062"/>
    <n v="24847"/>
    <n v="230"/>
    <x v="1"/>
    <s v="FashionUpgrade"/>
    <n v="0.19156491900087783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x v="3"/>
    <s v="MyntraFestiveEdit"/>
    <n v="6.5515821264328367E-2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x v="2"/>
    <s v="MyntraFestiveEdit"/>
    <n v="6.5515821264328367E-2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x v="3"/>
    <s v="EndOfSeasonSale"/>
    <n v="0.20868152274837512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x v="0"/>
    <s v="EndOfSeasonSale"/>
    <n v="0.20868152274837512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x v="1"/>
    <s v="EndOfSeasonSale"/>
    <n v="0.13576158940397351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x v="0"/>
    <s v="EndOfSeasonSale"/>
    <n v="0.13576158940397351"/>
  </r>
  <r>
    <s v="P089"/>
    <s v="Twitter"/>
    <d v="2025-01-10T00:00:00"/>
    <s v="Image"/>
    <s v="Explore the latest image on Myntra! Trendy styles await."/>
    <n v="2214"/>
    <n v="249"/>
    <n v="152"/>
    <n v="15498"/>
    <n v="14800"/>
    <n v="180"/>
    <x v="0"/>
    <s v="EndOfSeasonSale"/>
    <n v="0.16873144921925409"/>
  </r>
  <r>
    <s v="P090"/>
    <s v="Instagram"/>
    <d v="2024-06-03T00:00:00"/>
    <s v="Image"/>
    <s v="Explore the latest image on Myntra! Trendy styles await."/>
    <n v="3861"/>
    <n v="960"/>
    <n v="101"/>
    <n v="69498"/>
    <n v="68817"/>
    <n v="297"/>
    <x v="1"/>
    <s v="EndOfSeasonSale"/>
    <n v="7.0822181933293038E-2"/>
  </r>
  <r>
    <s v="P091"/>
    <s v="Facebook"/>
    <d v="2025-03-24T00:00:00"/>
    <s v="Image"/>
    <s v="Explore the latest image on Myntra! Trendy styles await."/>
    <n v="1263"/>
    <n v="397"/>
    <n v="357"/>
    <n v="25260"/>
    <n v="24615"/>
    <n v="137"/>
    <x v="0"/>
    <s v="EndOfSeasonSale"/>
    <n v="7.984956452889945E-2"/>
  </r>
  <r>
    <s v="P092"/>
    <s v="Twitter"/>
    <d v="2024-10-21T00:00:00"/>
    <s v="Story"/>
    <s v="Explore the latest story on Myntra! Trendy styles await."/>
    <n v="3801"/>
    <n v="967"/>
    <n v="401"/>
    <n v="38010"/>
    <n v="37625"/>
    <n v="236"/>
    <x v="2"/>
    <s v="StyleRevolution"/>
    <n v="0.13599052880820836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x v="3"/>
    <s v="FashionUpgrade"/>
    <n v="0.28045655718611695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x v="4"/>
    <s v="FashionUpgrade"/>
    <n v="0.28045655718611695"/>
  </r>
  <r>
    <s v="P094"/>
    <s v="Instagram"/>
    <d v="2024-11-07T00:00:00"/>
    <s v="Image"/>
    <s v="Explore the latest image on Myntra! Trendy styles await."/>
    <n v="2647"/>
    <n v="304"/>
    <n v="170"/>
    <n v="18529"/>
    <n v="17841"/>
    <n v="46"/>
    <x v="2"/>
    <s v="EndOfSeasonSale"/>
    <n v="0.16843866371633656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x v="2"/>
    <s v="EndOfSeasonSale"/>
    <n v="6.8108806480899509E-2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x v="3"/>
    <s v="EndOfSeasonSale"/>
    <n v="6.8108806480899509E-2"/>
  </r>
  <r>
    <s v="P096"/>
    <s v="Twitter"/>
    <d v="2024-09-10T00:00:00"/>
    <s v="Image"/>
    <s v="Explore the latest image on Myntra! Trendy styles await."/>
    <n v="1238"/>
    <n v="366"/>
    <n v="444"/>
    <n v="19808"/>
    <n v="19334"/>
    <n v="123"/>
    <x v="4"/>
    <s v="MyntraFestiveEdit"/>
    <n v="0.10339256865912763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x v="2"/>
    <s v="EndOfSeasonSale"/>
    <n v="8.7668609086629767E-2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x v="0"/>
    <s v="EndOfSeasonSale"/>
    <n v="8.7668609086629767E-2"/>
  </r>
  <r>
    <s v="P098"/>
    <s v="Twitter"/>
    <d v="2024-06-10T00:00:00"/>
    <s v="Story"/>
    <s v="Explore the latest story on Myntra! Trendy styles await."/>
    <n v="1575"/>
    <n v="771"/>
    <n v="486"/>
    <n v="25200"/>
    <n v="24826"/>
    <n v="17"/>
    <x v="2"/>
    <s v="MyntraFestiveEdit"/>
    <n v="0.11238095238095239"/>
  </r>
  <r>
    <s v="P099"/>
    <s v="Youtube"/>
    <d v="2024-07-02T00:00:00"/>
    <s v="Carousel"/>
    <s v="Explore the latest carousel on Myntra! Trendy styles await."/>
    <n v="4171"/>
    <n v="548"/>
    <n v="86"/>
    <n v="66736"/>
    <n v="66634"/>
    <n v="173"/>
    <x v="2"/>
    <s v="MyntraFestiveEdit"/>
    <n v="7.2000119875329657E-2"/>
  </r>
  <r>
    <s v="P100"/>
    <s v="Youtube"/>
    <d v="2025-02-10T00:00:00"/>
    <s v="Video"/>
    <s v="Explore the latest video on Myntra! Trendy styles await."/>
    <n v="1766"/>
    <n v="92"/>
    <n v="424"/>
    <n v="24724"/>
    <n v="24333"/>
    <n v="52"/>
    <x v="2"/>
    <s v="FashionUpgrade"/>
    <n v="9.2298980747451867E-2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x v="0"/>
    <s v="EndOfSeasonSale"/>
    <n v="7.3707865168539333E-2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x v="2"/>
    <s v="EndOfSeasonSale"/>
    <n v="7.3707865168539333E-2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x v="3"/>
    <s v="MyntraFestiveEdit"/>
    <n v="0.35666666666666669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x v="1"/>
    <s v="MyntraFestiveEdit"/>
    <n v="0.35666666666666669"/>
  </r>
  <r>
    <s v="P103"/>
    <s v="Facebook"/>
    <d v="2024-06-11T00:00:00"/>
    <s v="Image"/>
    <s v="Explore the latest image on Myntra! Trendy styles await."/>
    <n v="3689"/>
    <n v="48"/>
    <n v="306"/>
    <n v="40579"/>
    <n v="39588"/>
    <n v="212"/>
    <x v="3"/>
    <s v="FashionUpgrade"/>
    <n v="9.9632815002833983E-2"/>
  </r>
  <r>
    <s v="P104"/>
    <s v="Youtube"/>
    <d v="2025-03-23T00:00:00"/>
    <s v="Story"/>
    <s v="Explore the latest story on Myntra! Trendy styles await."/>
    <n v="3655"/>
    <n v="568"/>
    <n v="286"/>
    <n v="32895"/>
    <n v="32015"/>
    <n v="199"/>
    <x v="3"/>
    <s v="StyleRevolution"/>
    <n v="0.13707250341997265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x v="2"/>
    <s v="StyleRevolution"/>
    <n v="0.12896028558679162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x v="4"/>
    <s v="StyleRevolution"/>
    <n v="0.12896028558679162"/>
  </r>
  <r>
    <s v="P106"/>
    <s v="Instagram"/>
    <d v="2025-02-04T00:00:00"/>
    <s v="Image"/>
    <s v="Explore the latest image on Myntra! Trendy styles await."/>
    <n v="4619"/>
    <n v="821"/>
    <n v="499"/>
    <n v="69285"/>
    <n v="69141"/>
    <n v="298"/>
    <x v="1"/>
    <s v="FashionUpgrade"/>
    <n v="8.5718409468138843E-2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x v="0"/>
    <s v="MyntraFestiveEdit"/>
    <n v="6.2467323109097243E-2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x v="2"/>
    <s v="MyntraFestiveEdit"/>
    <n v="6.2467323109097243E-2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x v="2"/>
    <s v="FashionUpgrade"/>
    <n v="0.10005698005698006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x v="4"/>
    <s v="FashionUpgrade"/>
    <n v="0.10005698005698006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x v="1"/>
    <s v="FashionUpgrade"/>
    <n v="0.16744313510550835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x v="2"/>
    <s v="FashionUpgrade"/>
    <n v="0.16744313510550835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x v="4"/>
    <s v="EndOfSeasonSale"/>
    <n v="0.12277759141227776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x v="2"/>
    <s v="EndOfSeasonSale"/>
    <n v="0.12277759141227776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x v="1"/>
    <s v="MyntraFestiveEdit"/>
    <n v="7.4071349760941527E-2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x v="2"/>
    <s v="MyntraFestiveEdit"/>
    <n v="7.4071349760941527E-2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x v="1"/>
    <s v="MyntraFestiveEdit"/>
    <n v="0.17441662408448305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x v="0"/>
    <s v="MyntraFestiveEdit"/>
    <n v="0.17441662408448305"/>
  </r>
  <r>
    <s v="P113"/>
    <s v="Twitter"/>
    <d v="2024-10-02T00:00:00"/>
    <s v="Carousel"/>
    <s v="Explore the latest carousel on Myntra! Trendy styles await."/>
    <n v="4419"/>
    <n v="236"/>
    <n v="369"/>
    <n v="44190"/>
    <n v="43582"/>
    <n v="10"/>
    <x v="3"/>
    <s v="StyleRevolution"/>
    <n v="0.11369088028965829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x v="4"/>
    <s v="MyntraFestiveEdit"/>
    <n v="0.12942500000000001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x v="1"/>
    <s v="MyntraFestiveEdit"/>
    <n v="0.12942500000000001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x v="0"/>
    <s v="FashionUpgrade"/>
    <n v="6.2150491965739366E-2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x v="2"/>
    <s v="FashionUpgrade"/>
    <n v="6.2150491965739366E-2"/>
  </r>
  <r>
    <s v="P116"/>
    <s v="Youtube"/>
    <d v="2025-03-18T00:00:00"/>
    <s v="Reel"/>
    <s v="Explore the latest reel on Myntra! Trendy styles await."/>
    <n v="3704"/>
    <n v="186"/>
    <n v="458"/>
    <n v="25928"/>
    <n v="25081"/>
    <n v="131"/>
    <x v="2"/>
    <s v="FashionUpgrade"/>
    <n v="0.16769515581610614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x v="0"/>
    <s v="EndOfSeasonSale"/>
    <n v="0.11792317271769326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x v="2"/>
    <s v="EndOfSeasonSale"/>
    <n v="0.11792317271769326"/>
  </r>
  <r>
    <s v="P118"/>
    <s v="Facebook"/>
    <d v="2024-11-04T00:00:00"/>
    <s v="Image"/>
    <s v="Explore the latest image on Myntra! Trendy styles await."/>
    <n v="4551"/>
    <n v="714"/>
    <n v="207"/>
    <n v="68265"/>
    <n v="67754"/>
    <n v="57"/>
    <x v="3"/>
    <s v="EndOfSeasonSale"/>
    <n v="8.0158206987475278E-2"/>
  </r>
  <r>
    <s v="P119"/>
    <s v="Instagram"/>
    <d v="2025-02-07T00:00:00"/>
    <s v="Reel"/>
    <s v="Explore the latest reel on Myntra! Trendy styles await."/>
    <n v="1970"/>
    <n v="675"/>
    <n v="478"/>
    <n v="9850"/>
    <n v="8924"/>
    <n v="117"/>
    <x v="3"/>
    <s v="StyleRevolution"/>
    <n v="0.31705583756345179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x v="0"/>
    <s v="StyleRevolution"/>
    <n v="0.23414918414918415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x v="1"/>
    <s v="StyleRevolution"/>
    <n v="0.23414918414918415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x v="4"/>
    <s v="StyleRevolution"/>
    <n v="0.32349397590361445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x v="2"/>
    <s v="StyleRevolution"/>
    <n v="0.32349397590361445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x v="1"/>
    <s v="EndOfSeasonSale"/>
    <n v="8.0565268065268064E-2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x v="3"/>
    <s v="EndOfSeasonSale"/>
    <n v="8.0565268065268064E-2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x v="0"/>
    <s v="EndOfSeasonSale"/>
    <n v="0.23616777446710979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x v="1"/>
    <s v="EndOfSeasonSale"/>
    <n v="0.23616777446710979"/>
  </r>
  <r>
    <s v="P124"/>
    <s v="Youtube"/>
    <d v="2025-04-06T00:00:00"/>
    <s v="Carousel"/>
    <s v="Explore the latest carousel on Myntra! Trendy styles await."/>
    <n v="736"/>
    <n v="771"/>
    <n v="225"/>
    <n v="5152"/>
    <n v="4706"/>
    <n v="19"/>
    <x v="2"/>
    <s v="MyntraFestiveEdit"/>
    <n v="0.33618012422360249"/>
  </r>
  <r>
    <s v="P125"/>
    <s v="Twitter"/>
    <d v="2024-09-08T00:00:00"/>
    <s v="Carousel"/>
    <s v="Explore the latest carousel on Myntra! Trendy styles await."/>
    <n v="3811"/>
    <n v="866"/>
    <n v="216"/>
    <n v="34299"/>
    <n v="34088"/>
    <n v="233"/>
    <x v="2"/>
    <s v="MyntraFestiveEdit"/>
    <n v="0.14265722032712325"/>
  </r>
  <r>
    <s v="P126"/>
    <s v="Instagram"/>
    <d v="2025-03-28T00:00:00"/>
    <s v="Carousel"/>
    <s v="Explore the latest carousel on Myntra! Trendy styles await."/>
    <n v="4158"/>
    <n v="167"/>
    <n v="241"/>
    <n v="45738"/>
    <n v="45183"/>
    <n v="142"/>
    <x v="1"/>
    <s v="EndOfSeasonSale"/>
    <n v="9.9829463465827106E-2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x v="0"/>
    <s v="FashionUpgrade"/>
    <n v="6.9311459413307311E-2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x v="2"/>
    <s v="FashionUpgrade"/>
    <n v="6.9311459413307311E-2"/>
  </r>
  <r>
    <s v="P128"/>
    <s v="Twitter"/>
    <d v="2025-01-10T00:00:00"/>
    <s v="Image"/>
    <s v="Explore the latest image on Myntra! Trendy styles await."/>
    <n v="3092"/>
    <n v="106"/>
    <n v="291"/>
    <n v="27828"/>
    <n v="27217"/>
    <n v="102"/>
    <x v="2"/>
    <s v="StyleRevolution"/>
    <n v="0.12537731780940059"/>
  </r>
  <r>
    <s v="P129"/>
    <s v="Twitter"/>
    <d v="2024-07-21T00:00:00"/>
    <s v="Text"/>
    <s v="Explore the latest text on Myntra! Trendy styles await."/>
    <n v="2147"/>
    <n v="430"/>
    <n v="393"/>
    <n v="17176"/>
    <n v="16483"/>
    <n v="170"/>
    <x v="4"/>
    <s v="StyleRevolution"/>
    <n v="0.17291569632044715"/>
  </r>
  <r>
    <s v="P130"/>
    <s v="Youtube"/>
    <d v="2024-09-29T00:00:00"/>
    <s v="Reel"/>
    <s v="Explore the latest reel on Myntra! Trendy styles await."/>
    <n v="2936"/>
    <n v="439"/>
    <n v="44"/>
    <n v="38168"/>
    <n v="37571"/>
    <n v="22"/>
    <x v="0"/>
    <s v="MyntraFestiveEdit"/>
    <n v="8.9577656675749323E-2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x v="0"/>
    <s v="EndOfSeasonSale"/>
    <n v="0.13106060606060607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x v="1"/>
    <s v="EndOfSeasonSale"/>
    <n v="0.13106060606060607"/>
  </r>
  <r>
    <s v="P132"/>
    <s v="Instagram"/>
    <d v="2025-03-04T00:00:00"/>
    <s v="Story"/>
    <s v="Explore the latest story on Myntra! Trendy styles await."/>
    <n v="1947"/>
    <n v="842"/>
    <n v="101"/>
    <n v="21417"/>
    <n v="20967"/>
    <n v="186"/>
    <x v="1"/>
    <s v="EndOfSeasonSale"/>
    <n v="0.13493953401503478"/>
  </r>
  <r>
    <s v="P133"/>
    <s v="Facebook"/>
    <d v="2025-02-06T00:00:00"/>
    <s v="Image"/>
    <s v="Explore the latest image on Myntra! Trendy styles await."/>
    <n v="2072"/>
    <n v="532"/>
    <n v="71"/>
    <n v="37296"/>
    <n v="36467"/>
    <n v="25"/>
    <x v="0"/>
    <s v="MyntraFestiveEdit"/>
    <n v="7.172350922350923E-2"/>
  </r>
  <r>
    <s v="P134"/>
    <s v="Twitter"/>
    <d v="2025-04-24T00:00:00"/>
    <s v="Reel"/>
    <s v="Explore the latest reel on Myntra! Trendy styles await."/>
    <n v="3731"/>
    <n v="115"/>
    <n v="135"/>
    <n v="55965"/>
    <n v="55436"/>
    <n v="103"/>
    <x v="4"/>
    <s v="StyleRevolution"/>
    <n v="7.1133744304476013E-2"/>
  </r>
  <r>
    <s v="P135"/>
    <s v="Facebook"/>
    <d v="2024-11-28T00:00:00"/>
    <s v="Text"/>
    <s v="Explore the latest text on Myntra! Trendy styles await."/>
    <n v="4213"/>
    <n v="253"/>
    <n v="434"/>
    <n v="75834"/>
    <n v="75437"/>
    <n v="272"/>
    <x v="3"/>
    <s v="MyntraFestiveEdit"/>
    <n v="6.461481657304112E-2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x v="0"/>
    <s v="StyleRevolution"/>
    <n v="0.20357370772176134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x v="1"/>
    <s v="StyleRevolution"/>
    <n v="0.20357370772176134"/>
  </r>
  <r>
    <s v="P137"/>
    <s v="Facebook"/>
    <d v="2024-07-31T00:00:00"/>
    <s v="Video"/>
    <s v="Explore the latest video on Myntra! Trendy styles await."/>
    <n v="3008"/>
    <n v="94"/>
    <n v="37"/>
    <n v="15040"/>
    <n v="14639"/>
    <n v="277"/>
    <x v="4"/>
    <s v="FashionUpgrade"/>
    <n v="0.20871010638297871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x v="1"/>
    <s v="StyleRevolution"/>
    <n v="0.16065573770491803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x v="3"/>
    <s v="StyleRevolution"/>
    <n v="0.16065573770491803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x v="1"/>
    <s v="EndOfSeasonSale"/>
    <n v="9.422796795338674E-2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x v="2"/>
    <s v="EndOfSeasonSale"/>
    <n v="9.422796795338674E-2"/>
  </r>
  <r>
    <s v="P140"/>
    <s v="Facebook"/>
    <d v="2024-07-15T00:00:00"/>
    <s v="Image"/>
    <s v="Explore the latest image on Myntra! Trendy styles await."/>
    <n v="2291"/>
    <n v="78"/>
    <n v="485"/>
    <n v="18328"/>
    <n v="18101"/>
    <n v="10"/>
    <x v="4"/>
    <s v="FashionUpgrade"/>
    <n v="0.15571802706241816"/>
  </r>
  <r>
    <s v="P141"/>
    <s v="Twitter"/>
    <d v="2024-08-31T00:00:00"/>
    <s v="Image"/>
    <s v="Explore the latest image on Myntra! Trendy styles await."/>
    <n v="3170"/>
    <n v="857"/>
    <n v="379"/>
    <n v="19020"/>
    <n v="18559"/>
    <n v="240"/>
    <x v="0"/>
    <s v="MyntraFestiveEdit"/>
    <n v="0.2316508937960042"/>
  </r>
  <r>
    <s v="P142"/>
    <s v="Youtube"/>
    <d v="2025-03-25T00:00:00"/>
    <s v="Story"/>
    <s v="Explore the latest story on Myntra! Trendy styles await."/>
    <n v="2070"/>
    <n v="275"/>
    <n v="386"/>
    <n v="39330"/>
    <n v="38627"/>
    <n v="114"/>
    <x v="0"/>
    <s v="StyleRevolution"/>
    <n v="6.9438087973557078E-2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x v="1"/>
    <s v="EndOfSeasonSale"/>
    <n v="0.50192307692307692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x v="2"/>
    <s v="EndOfSeasonSale"/>
    <n v="0.50192307692307692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x v="3"/>
    <s v="FashionUpgrade"/>
    <n v="6.5455787978772245E-2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x v="2"/>
    <s v="FashionUpgrade"/>
    <n v="6.5455787978772245E-2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x v="4"/>
    <s v="FashionUpgrade"/>
    <n v="5.6416400425985093E-2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x v="3"/>
    <s v="FashionUpgrade"/>
    <n v="5.6416400425985093E-2"/>
  </r>
  <r>
    <s v="P146"/>
    <s v="Youtube"/>
    <d v="2024-06-05T00:00:00"/>
    <s v="Reel"/>
    <s v="Explore the latest reel on Myntra! Trendy styles await."/>
    <n v="3065"/>
    <n v="772"/>
    <n v="142"/>
    <n v="18390"/>
    <n v="17875"/>
    <n v="200"/>
    <x v="2"/>
    <s v="FashionUpgrade"/>
    <n v="0.21636759108210984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x v="0"/>
    <s v="MyntraFestiveEdit"/>
    <n v="0.15283323095823095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x v="2"/>
    <s v="MyntraFestiveEdit"/>
    <n v="0.15283323095823095"/>
  </r>
  <r>
    <s v="P148"/>
    <s v="Instagram"/>
    <d v="2025-04-15T00:00:00"/>
    <s v="Video"/>
    <s v="Explore the latest video on Myntra! Trendy styles await."/>
    <n v="4133"/>
    <n v="466"/>
    <n v="327"/>
    <n v="24798"/>
    <n v="24620"/>
    <n v="176"/>
    <x v="2"/>
    <s v="EndOfSeasonSale"/>
    <n v="0.19864505202032423"/>
  </r>
  <r>
    <s v="P149"/>
    <s v="Twitter"/>
    <d v="2024-06-16T00:00:00"/>
    <s v="Video"/>
    <s v="Explore the latest video on Myntra! Trendy styles await."/>
    <n v="1702"/>
    <n v="750"/>
    <n v="179"/>
    <n v="34040"/>
    <n v="33174"/>
    <n v="76"/>
    <x v="3"/>
    <s v="MyntraFestiveEdit"/>
    <n v="7.7291421856639245E-2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x v="3"/>
    <s v="EndOfSeasonSale"/>
    <n v="6.3713620488940623E-2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x v="0"/>
    <s v="EndOfSeasonSale"/>
    <n v="6.3713620488940623E-2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x v="3"/>
    <s v="MyntraFestiveEdit"/>
    <n v="0.10977802753582468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x v="2"/>
    <s v="MyntraFestiveEdit"/>
    <n v="0.10977802753582468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x v="0"/>
    <s v="StyleRevolution"/>
    <n v="0.19511518179295032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x v="2"/>
    <s v="StyleRevolution"/>
    <n v="0.19511518179295032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x v="4"/>
    <s v="MyntraFestiveEdit"/>
    <n v="0.17801355732390214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x v="3"/>
    <s v="MyntraFestiveEdit"/>
    <n v="0.17801355732390214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x v="0"/>
    <s v="EndOfSeasonSale"/>
    <n v="0.31965192168237855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x v="1"/>
    <s v="EndOfSeasonSale"/>
    <n v="0.31965192168237855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x v="1"/>
    <s v="MyntraFestiveEdit"/>
    <n v="0.11489268506351293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x v="2"/>
    <s v="MyntraFestiveEdit"/>
    <n v="0.11489268506351293"/>
  </r>
  <r>
    <s v="P156"/>
    <s v="Facebook"/>
    <d v="2024-10-22T00:00:00"/>
    <s v="Carousel"/>
    <s v="Explore the latest carousel on Myntra! Trendy styles await."/>
    <n v="3352"/>
    <n v="941"/>
    <n v="482"/>
    <n v="43576"/>
    <n v="43338"/>
    <n v="240"/>
    <x v="3"/>
    <s v="MyntraFestiveEdit"/>
    <n v="0.1095786671562328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x v="2"/>
    <s v="StyleRevolution"/>
    <n v="0.10793717277486911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x v="3"/>
    <s v="StyleRevolution"/>
    <n v="0.10793717277486911"/>
  </r>
  <r>
    <s v="P158"/>
    <s v="Instagram"/>
    <d v="2024-08-11T00:00:00"/>
    <s v="Story"/>
    <s v="Explore the latest story on Myntra! Trendy styles await."/>
    <n v="1762"/>
    <n v="405"/>
    <n v="423"/>
    <n v="22906"/>
    <n v="21925"/>
    <n v="25"/>
    <x v="4"/>
    <s v="EndOfSeasonSale"/>
    <n v="0.11307081114118571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x v="2"/>
    <s v="EndOfSeasonSale"/>
    <n v="0.21745283018867925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x v="3"/>
    <s v="EndOfSeasonSale"/>
    <n v="0.21745283018867925"/>
  </r>
  <r>
    <s v="P160"/>
    <s v="Twitter"/>
    <d v="2024-08-24T00:00:00"/>
    <s v="Video"/>
    <s v="Explore the latest video on Myntra! Trendy styles await."/>
    <n v="1082"/>
    <n v="209"/>
    <n v="484"/>
    <n v="19476"/>
    <n v="18654"/>
    <n v="20"/>
    <x v="2"/>
    <s v="StyleRevolution"/>
    <n v="9.1137810638734856E-2"/>
  </r>
  <r>
    <s v="P161"/>
    <s v="Twitter"/>
    <d v="2025-02-19T00:00:00"/>
    <s v="Text"/>
    <s v="Explore the latest text on Myntra! Trendy styles await."/>
    <n v="4671"/>
    <n v="876"/>
    <n v="366"/>
    <n v="51381"/>
    <n v="50565"/>
    <n v="245"/>
    <x v="0"/>
    <s v="EndOfSeasonSale"/>
    <n v="0.11508145034156594"/>
  </r>
  <r>
    <s v="P162"/>
    <s v="Facebook"/>
    <d v="2025-04-01T00:00:00"/>
    <s v="Story"/>
    <s v="Explore the latest story on Myntra! Trendy styles await."/>
    <n v="3430"/>
    <n v="566"/>
    <n v="164"/>
    <n v="48020"/>
    <n v="47305"/>
    <n v="120"/>
    <x v="3"/>
    <s v="EndOfSeasonSale"/>
    <n v="8.6630570595585168E-2"/>
  </r>
  <r>
    <s v="P163"/>
    <s v="Instagram"/>
    <d v="2025-04-08T00:00:00"/>
    <s v="Image"/>
    <s v="Explore the latest image on Myntra! Trendy styles await."/>
    <n v="4501"/>
    <n v="375"/>
    <n v="323"/>
    <n v="22505"/>
    <n v="21836"/>
    <n v="132"/>
    <x v="1"/>
    <s v="StyleRevolution"/>
    <n v="0.23101532992668297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x v="4"/>
    <s v="EndOfSeasonSale"/>
    <n v="0.15355188488042157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x v="2"/>
    <s v="EndOfSeasonSale"/>
    <n v="0.15355188488042157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x v="3"/>
    <s v="EndOfSeasonSale"/>
    <n v="0.15405989502933004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x v="2"/>
    <s v="EndOfSeasonSale"/>
    <n v="0.15405989502933004"/>
  </r>
  <r>
    <s v="P166"/>
    <s v="Twitter"/>
    <d v="2025-02-16T00:00:00"/>
    <s v="Reel"/>
    <s v="Explore the latest reel on Myntra! Trendy styles await."/>
    <n v="1076"/>
    <n v="313"/>
    <n v="306"/>
    <n v="11836"/>
    <n v="11596"/>
    <n v="104"/>
    <x v="4"/>
    <s v="EndOfSeasonSale"/>
    <n v="0.14320716458262928"/>
  </r>
  <r>
    <s v="P167"/>
    <s v="Instagram"/>
    <d v="2024-11-28T00:00:00"/>
    <s v="Text"/>
    <s v="Explore the latest text on Myntra! Trendy styles await."/>
    <n v="4771"/>
    <n v="818"/>
    <n v="56"/>
    <n v="57252"/>
    <n v="56378"/>
    <n v="150"/>
    <x v="0"/>
    <s v="EndOfSeasonSale"/>
    <n v="9.859917557465242E-2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x v="1"/>
    <s v="StyleRevolution"/>
    <n v="7.412002573292896E-2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x v="3"/>
    <s v="StyleRevolution"/>
    <n v="7.412002573292896E-2"/>
  </r>
  <r>
    <s v="P169"/>
    <s v="Youtube"/>
    <d v="2024-12-03T00:00:00"/>
    <s v="Video"/>
    <s v="Explore the latest video on Myntra! Trendy styles await."/>
    <n v="3809"/>
    <n v="273"/>
    <n v="200"/>
    <n v="34281"/>
    <n v="33534"/>
    <n v="83"/>
    <x v="3"/>
    <s v="MyntraFestiveEdit"/>
    <n v="0.12490884163239112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x v="2"/>
    <s v="StyleRevolution"/>
    <n v="6.8655003457763777E-2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x v="3"/>
    <s v="StyleRevolution"/>
    <n v="6.8655003457763777E-2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x v="0"/>
    <s v="StyleRevolution"/>
    <n v="9.8068107400130972E-2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x v="1"/>
    <s v="StyleRevolution"/>
    <n v="9.8068107400130972E-2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x v="1"/>
    <s v="StyleRevolution"/>
    <n v="7.2739802071170159E-2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x v="2"/>
    <s v="StyleRevolution"/>
    <n v="7.2739802071170159E-2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x v="4"/>
    <s v="StyleRevolution"/>
    <n v="0.14348370927318296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x v="3"/>
    <s v="StyleRevolution"/>
    <n v="0.14348370927318296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x v="0"/>
    <s v="StyleRevolution"/>
    <n v="0.13809430512016718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x v="2"/>
    <s v="StyleRevolution"/>
    <n v="0.13809430512016718"/>
  </r>
  <r>
    <s v="P175"/>
    <s v="Instagram"/>
    <d v="2025-01-17T00:00:00"/>
    <s v="Reel"/>
    <s v="Explore the latest reel on Myntra! Trendy styles await."/>
    <n v="142"/>
    <n v="784"/>
    <n v="183"/>
    <n v="1704"/>
    <n v="995"/>
    <n v="154"/>
    <x v="0"/>
    <s v="FashionUpgrade"/>
    <n v="0.6508215962441315"/>
  </r>
  <r>
    <s v="P176"/>
    <s v="Facebook"/>
    <d v="2024-06-20T00:00:00"/>
    <s v="Video"/>
    <s v="Explore the latest video on Myntra! Trendy styles await."/>
    <n v="3798"/>
    <n v="31"/>
    <n v="279"/>
    <n v="75960"/>
    <n v="75813"/>
    <n v="266"/>
    <x v="1"/>
    <s v="EndOfSeasonSale"/>
    <n v="5.4081095313322801E-2"/>
  </r>
  <r>
    <s v="P177"/>
    <s v="Instagram"/>
    <d v="2024-07-10T00:00:00"/>
    <s v="Carousel"/>
    <s v="Explore the latest carousel on Myntra! Trendy styles await."/>
    <n v="3099"/>
    <n v="694"/>
    <n v="171"/>
    <n v="43386"/>
    <n v="42921"/>
    <n v="52"/>
    <x v="4"/>
    <s v="StyleRevolution"/>
    <n v="9.1365878393951966E-2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x v="2"/>
    <s v="StyleRevolution"/>
    <n v="0.70387596899224802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x v="4"/>
    <s v="StyleRevolution"/>
    <n v="0.70387596899224802"/>
  </r>
  <r>
    <s v="P179"/>
    <s v="Facebook"/>
    <d v="2024-07-15T00:00:00"/>
    <s v="Carousel"/>
    <s v="Explore the latest carousel on Myntra! Trendy styles await."/>
    <n v="3796"/>
    <n v="667"/>
    <n v="395"/>
    <n v="64532"/>
    <n v="63550"/>
    <n v="292"/>
    <x v="2"/>
    <s v="FashionUpgrade"/>
    <n v="7.5280481001673588E-2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x v="2"/>
    <s v="StyleRevolution"/>
    <n v="9.023070704558174E-2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x v="4"/>
    <s v="StyleRevolution"/>
    <n v="9.023070704558174E-2"/>
  </r>
  <r>
    <s v="P181"/>
    <s v="Youtube"/>
    <d v="2025-03-21T00:00:00"/>
    <s v="Image"/>
    <s v="Explore the latest image on Myntra! Trendy styles await."/>
    <n v="606"/>
    <n v="789"/>
    <n v="470"/>
    <n v="7878"/>
    <n v="7389"/>
    <n v="239"/>
    <x v="0"/>
    <s v="EndOfSeasonSale"/>
    <n v="0.23673521198273673"/>
  </r>
  <r>
    <s v="P182"/>
    <s v="Facebook"/>
    <d v="2024-07-31T00:00:00"/>
    <s v="Image"/>
    <s v="Explore the latest image on Myntra! Trendy styles await."/>
    <n v="4689"/>
    <n v="134"/>
    <n v="403"/>
    <n v="51579"/>
    <n v="50924"/>
    <n v="173"/>
    <x v="4"/>
    <s v="FashionUpgrade"/>
    <n v="0.10132030477519921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x v="2"/>
    <s v="EndOfSeasonSale"/>
    <n v="0.28696581196581195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x v="4"/>
    <s v="EndOfSeasonSale"/>
    <n v="0.28696581196581195"/>
  </r>
  <r>
    <s v="P184"/>
    <s v="Twitter"/>
    <d v="2024-07-28T00:00:00"/>
    <s v="Image"/>
    <s v="Explore the latest image on Myntra! Trendy styles await."/>
    <n v="3215"/>
    <n v="960"/>
    <n v="202"/>
    <n v="32150"/>
    <n v="31404"/>
    <n v="251"/>
    <x v="2"/>
    <s v="MyntraFestiveEdit"/>
    <n v="0.13614307931570763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x v="0"/>
    <s v="StyleRevolution"/>
    <n v="9.5290736237010829E-2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x v="3"/>
    <s v="StyleRevolution"/>
    <n v="9.5290736237010829E-2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x v="3"/>
    <s v="FashionUpgrade"/>
    <n v="8.4862714173059003E-2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x v="2"/>
    <s v="FashionUpgrade"/>
    <n v="8.4862714173059003E-2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x v="0"/>
    <s v="FashionUpgrade"/>
    <n v="8.3726921425504502E-2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x v="3"/>
    <s v="FashionUpgrade"/>
    <n v="8.3726921425504502E-2"/>
  </r>
  <r>
    <s v="P188"/>
    <s v="Youtube"/>
    <d v="2024-06-06T00:00:00"/>
    <s v="Reel"/>
    <s v="Explore the latest reel on Myntra! Trendy styles await."/>
    <n v="2728"/>
    <n v="533"/>
    <n v="215"/>
    <n v="40920"/>
    <n v="40816"/>
    <n v="137"/>
    <x v="0"/>
    <s v="EndOfSeasonSale"/>
    <n v="8.4946236559139784E-2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x v="0"/>
    <s v="FashionUpgrade"/>
    <n v="7.2503306878306875E-2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x v="2"/>
    <s v="FashionUpgrade"/>
    <n v="7.2503306878306875E-2"/>
  </r>
  <r>
    <s v="P190"/>
    <s v="Youtube"/>
    <d v="2024-10-04T00:00:00"/>
    <s v="Text"/>
    <s v="Explore the latest text on Myntra! Trendy styles await."/>
    <n v="1963"/>
    <n v="213"/>
    <n v="19"/>
    <n v="39260"/>
    <n v="38771"/>
    <n v="145"/>
    <x v="2"/>
    <s v="FashionUpgrade"/>
    <n v="5.5909322465613857E-2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x v="1"/>
    <s v="StyleRevolution"/>
    <n v="9.9578134817341346E-2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x v="4"/>
    <s v="StyleRevolution"/>
    <n v="9.9578134817341346E-2"/>
  </r>
  <r>
    <s v="P192"/>
    <s v="Instagram"/>
    <d v="2024-11-29T00:00:00"/>
    <s v="Video"/>
    <s v="Explore the latest video on Myntra! Trendy styles await."/>
    <n v="1176"/>
    <n v="464"/>
    <n v="394"/>
    <n v="14112"/>
    <n v="13588"/>
    <n v="272"/>
    <x v="4"/>
    <s v="FashionUpgrade"/>
    <n v="0.1441326530612245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x v="4"/>
    <s v="FashionUpgrade"/>
    <n v="9.9255211647142488E-2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x v="3"/>
    <s v="FashionUpgrade"/>
    <n v="9.9255211647142488E-2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x v="4"/>
    <s v="EndOfSeasonSale"/>
    <n v="8.4203612479474554E-2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x v="2"/>
    <s v="EndOfSeasonSale"/>
    <n v="8.4203612479474554E-2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x v="1"/>
    <s v="MyntraFestiveEdit"/>
    <n v="0.13667732704931829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x v="3"/>
    <s v="MyntraFestiveEdit"/>
    <n v="0.13667732704931829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x v="3"/>
    <s v="MyntraFestiveEdit"/>
    <n v="0.12575841147269717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x v="1"/>
    <s v="MyntraFestiveEdit"/>
    <n v="0.12575841147269717"/>
  </r>
  <r>
    <s v="P197"/>
    <s v="Twitter"/>
    <d v="2024-10-22T00:00:00"/>
    <s v="Reel"/>
    <s v="Explore the latest reel on Myntra! Trendy styles await."/>
    <n v="4782"/>
    <n v="721"/>
    <n v="82"/>
    <n v="86076"/>
    <n v="85339"/>
    <n v="19"/>
    <x v="4"/>
    <s v="EndOfSeasonSale"/>
    <n v="6.4884520656164318E-2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x v="3"/>
    <s v="EndOfSeasonSale"/>
    <n v="0.19847328244274809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x v="0"/>
    <s v="EndOfSeasonSale"/>
    <n v="0.19847328244274809"/>
  </r>
  <r>
    <s v="P199"/>
    <s v="Youtube"/>
    <d v="2024-11-30T00:00:00"/>
    <s v="Carousel"/>
    <s v="Explore the latest carousel on Myntra! Trendy styles await."/>
    <n v="2509"/>
    <n v="324"/>
    <n v="171"/>
    <n v="35126"/>
    <n v="34685"/>
    <n v="277"/>
    <x v="4"/>
    <s v="EndOfSeasonSale"/>
    <n v="8.5520696919660646E-2"/>
  </r>
  <r>
    <s v="P200"/>
    <s v="Facebook"/>
    <d v="2025-04-07T00:00:00"/>
    <s v="Reel"/>
    <s v="Explore the latest reel on Myntra! Trendy styles await."/>
    <n v="3718"/>
    <n v="385"/>
    <n v="310"/>
    <n v="70642"/>
    <n v="69749"/>
    <n v="233"/>
    <x v="3"/>
    <s v="FashionUpgrade"/>
    <n v="6.246991874522239E-2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x v="0"/>
    <s v="StyleRevolution"/>
    <n v="9.0606816292601824E-2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x v="4"/>
    <s v="StyleRevolution"/>
    <n v="9.0606816292601824E-2"/>
  </r>
  <r>
    <s v="P202"/>
    <s v="Facebook"/>
    <d v="2024-06-02T00:00:00"/>
    <s v="Image"/>
    <s v="Explore the latest image on Myntra! Trendy styles await."/>
    <n v="1871"/>
    <n v="252"/>
    <n v="335"/>
    <n v="29936"/>
    <n v="29576"/>
    <n v="288"/>
    <x v="3"/>
    <s v="EndOfSeasonSale"/>
    <n v="8.2108498129342594E-2"/>
  </r>
  <r>
    <s v="P203"/>
    <s v="Instagram"/>
    <d v="2024-11-21T00:00:00"/>
    <s v="Carousel"/>
    <s v="Explore the latest carousel on Myntra! Trendy styles await."/>
    <n v="3773"/>
    <n v="299"/>
    <n v="38"/>
    <n v="71687"/>
    <n v="71447"/>
    <n v="286"/>
    <x v="3"/>
    <s v="StyleRevolution"/>
    <n v="5.7332570758993957E-2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x v="4"/>
    <s v="StyleRevolution"/>
    <n v="0.29713518352730528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x v="2"/>
    <s v="StyleRevolution"/>
    <n v="0.29713518352730528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x v="2"/>
    <s v="FashionUpgrade"/>
    <n v="0.1043848167539267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x v="4"/>
    <s v="FashionUpgrade"/>
    <n v="0.1043848167539267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x v="1"/>
    <s v="EndOfSeasonSale"/>
    <n v="0.10768685795253277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x v="0"/>
    <s v="EndOfSeasonSale"/>
    <n v="0.10768685795253277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x v="2"/>
    <s v="MyntraFestiveEdit"/>
    <n v="0.14316214319138981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x v="4"/>
    <s v="MyntraFestiveEdit"/>
    <n v="0.14316214319138981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x v="3"/>
    <s v="FashionUpgrade"/>
    <n v="8.6537809426924378E-2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x v="4"/>
    <s v="FashionUpgrade"/>
    <n v="8.6537809426924378E-2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x v="2"/>
    <s v="FashionUpgrade"/>
    <n v="8.2753164556962022E-2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x v="3"/>
    <s v="FashionUpgrade"/>
    <n v="8.2753164556962022E-2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x v="3"/>
    <s v="FashionUpgrade"/>
    <n v="0.48518407662376534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x v="0"/>
    <s v="FashionUpgrade"/>
    <n v="0.48518407662376534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x v="3"/>
    <s v="FashionUpgrade"/>
    <n v="0.18632075471698112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x v="0"/>
    <s v="FashionUpgrade"/>
    <n v="0.18632075471698112"/>
  </r>
  <r>
    <s v="P212"/>
    <s v="Youtube"/>
    <d v="2025-03-03T00:00:00"/>
    <s v="Video"/>
    <s v="Explore the latest video on Myntra! Trendy styles await."/>
    <n v="3874"/>
    <n v="884"/>
    <n v="19"/>
    <n v="38740"/>
    <n v="38552"/>
    <n v="219"/>
    <x v="2"/>
    <s v="StyleRevolution"/>
    <n v="0.123309241094476"/>
  </r>
  <r>
    <s v="P213"/>
    <s v="Facebook"/>
    <d v="2025-05-01T00:00:00"/>
    <s v="Carousel"/>
    <s v="Explore the latest carousel on Myntra! Trendy styles await."/>
    <n v="2696"/>
    <n v="628"/>
    <n v="443"/>
    <n v="45832"/>
    <n v="45632"/>
    <n v="248"/>
    <x v="0"/>
    <s v="MyntraFestiveEdit"/>
    <n v="8.21914819340199E-2"/>
  </r>
  <r>
    <s v="P214"/>
    <s v="Instagram"/>
    <d v="2024-12-23T00:00:00"/>
    <s v="Image"/>
    <s v="Explore the latest image on Myntra! Trendy styles await."/>
    <n v="521"/>
    <n v="746"/>
    <n v="315"/>
    <n v="4168"/>
    <n v="3399"/>
    <n v="282"/>
    <x v="0"/>
    <s v="FashionUpgrade"/>
    <n v="0.37955854126679461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x v="0"/>
    <s v="FashionUpgrade"/>
    <n v="7.2116777745580993E-2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x v="3"/>
    <s v="FashionUpgrade"/>
    <n v="7.2116777745580993E-2"/>
  </r>
  <r>
    <s v="P216"/>
    <s v="Youtube"/>
    <d v="2024-07-29T00:00:00"/>
    <s v="Story"/>
    <s v="Explore the latest story on Myntra! Trendy styles await."/>
    <n v="1509"/>
    <n v="88"/>
    <n v="163"/>
    <n v="30180"/>
    <n v="29689"/>
    <n v="119"/>
    <x v="3"/>
    <s v="FashionUpgrade"/>
    <n v="5.8316766070245198E-2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x v="4"/>
    <s v="MyntraFestiveEdit"/>
    <n v="6.2603126356925748E-2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x v="1"/>
    <s v="MyntraFestiveEdit"/>
    <n v="6.2603126356925748E-2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x v="4"/>
    <s v="FashionUpgrade"/>
    <n v="0.18806848582129482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x v="2"/>
    <s v="FashionUpgrade"/>
    <n v="0.18806848582129482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x v="2"/>
    <s v="EndOfSeasonSale"/>
    <n v="0.25701459034792368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x v="1"/>
    <s v="EndOfSeasonSale"/>
    <n v="0.25701459034792368"/>
  </r>
  <r>
    <s v="P220"/>
    <s v="Instagram"/>
    <d v="2024-06-02T00:00:00"/>
    <s v="Story"/>
    <s v="Explore the latest story on Myntra! Trendy styles await."/>
    <n v="84"/>
    <n v="897"/>
    <n v="85"/>
    <n v="588"/>
    <n v="8"/>
    <n v="12"/>
    <x v="2"/>
    <s v="EndOfSeasonSale"/>
    <n v="1.8129251700680271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x v="3"/>
    <s v="StyleRevolution"/>
    <n v="0.15989220750056141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x v="1"/>
    <s v="StyleRevolution"/>
    <n v="0.15989220750056141"/>
  </r>
  <r>
    <s v="P222"/>
    <s v="Facebook"/>
    <d v="2024-10-08T00:00:00"/>
    <s v="Reel"/>
    <s v="Explore the latest reel on Myntra! Trendy styles await."/>
    <n v="1814"/>
    <n v="653"/>
    <n v="363"/>
    <n v="25396"/>
    <n v="25286"/>
    <n v="39"/>
    <x v="2"/>
    <s v="FashionUpgrade"/>
    <n v="0.11143487163332809"/>
  </r>
  <r>
    <s v="P223"/>
    <s v="Twitter"/>
    <d v="2024-11-12T00:00:00"/>
    <s v="Image"/>
    <s v="Explore the latest image on Myntra! Trendy styles await."/>
    <n v="3338"/>
    <n v="277"/>
    <n v="118"/>
    <n v="60084"/>
    <n v="59842"/>
    <n v="252"/>
    <x v="2"/>
    <s v="FashionUpgrade"/>
    <n v="6.2129685107516146E-2"/>
  </r>
  <r>
    <s v="P224"/>
    <s v="Facebook"/>
    <d v="2025-05-13T00:00:00"/>
    <s v="Image"/>
    <s v="Explore the latest image on Myntra! Trendy styles await."/>
    <n v="602"/>
    <n v="594"/>
    <n v="156"/>
    <n v="4214"/>
    <n v="3363"/>
    <n v="164"/>
    <x v="0"/>
    <s v="MyntraFestiveEdit"/>
    <n v="0.32083531086853345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x v="4"/>
    <s v="MyntraFestiveEdit"/>
    <n v="5.6653298485940883E-2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x v="0"/>
    <s v="MyntraFestiveEdit"/>
    <n v="5.6653298485940883E-2"/>
  </r>
  <r>
    <s v="P226"/>
    <s v="Instagram"/>
    <d v="2024-08-07T00:00:00"/>
    <s v="Carousel"/>
    <s v="Explore the latest carousel on Myntra! Trendy styles await."/>
    <n v="1741"/>
    <n v="164"/>
    <n v="318"/>
    <n v="8705"/>
    <n v="8272"/>
    <n v="121"/>
    <x v="0"/>
    <s v="EndOfSeasonSale"/>
    <n v="0.25537047673750718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x v="3"/>
    <s v="EndOfSeasonSale"/>
    <n v="0.11232349165596919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x v="4"/>
    <s v="EndOfSeasonSale"/>
    <n v="0.11232349165596919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x v="3"/>
    <s v="StyleRevolution"/>
    <n v="8.1808097615085965E-2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x v="0"/>
    <s v="StyleRevolution"/>
    <n v="8.1808097615085965E-2"/>
  </r>
  <r>
    <s v="P229"/>
    <s v="Instagram"/>
    <d v="2024-07-03T00:00:00"/>
    <s v="Carousel"/>
    <s v="Explore the latest carousel on Myntra! Trendy styles await."/>
    <n v="4799"/>
    <n v="694"/>
    <n v="289"/>
    <n v="43191"/>
    <n v="42228"/>
    <n v="118"/>
    <x v="3"/>
    <s v="EndOfSeasonSale"/>
    <n v="0.13387048227640017"/>
  </r>
  <r>
    <s v="P230"/>
    <s v="Facebook"/>
    <d v="2024-07-15T00:00:00"/>
    <s v="Reel"/>
    <s v="Explore the latest reel on Myntra! Trendy styles await."/>
    <n v="3663"/>
    <n v="17"/>
    <n v="295"/>
    <n v="51282"/>
    <n v="50567"/>
    <n v="84"/>
    <x v="0"/>
    <s v="FashionUpgrade"/>
    <n v="7.7512577512577507E-2"/>
  </r>
  <r>
    <s v="P231"/>
    <s v="Instagram"/>
    <d v="2025-05-01T00:00:00"/>
    <s v="Text"/>
    <s v="Explore the latest text on Myntra! Trendy styles await."/>
    <n v="1430"/>
    <n v="376"/>
    <n v="33"/>
    <n v="21450"/>
    <n v="20509"/>
    <n v="251"/>
    <x v="4"/>
    <s v="MyntraFestiveEdit"/>
    <n v="8.5734265734265735E-2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x v="1"/>
    <s v="StyleRevolution"/>
    <n v="0.7168674698795181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x v="3"/>
    <s v="StyleRevolution"/>
    <n v="0.7168674698795181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x v="4"/>
    <s v="EndOfSeasonSale"/>
    <n v="7.2969143576826198E-2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x v="3"/>
    <s v="EndOfSeasonSale"/>
    <n v="7.2969143576826198E-2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x v="1"/>
    <s v="EndOfSeasonSale"/>
    <n v="7.5968222442899705E-2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x v="4"/>
    <s v="EndOfSeasonSale"/>
    <n v="7.5968222442899705E-2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x v="2"/>
    <s v="StyleRevolution"/>
    <n v="0.1283706906360223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x v="3"/>
    <s v="StyleRevolution"/>
    <n v="0.1283706906360223"/>
  </r>
  <r>
    <s v="P236"/>
    <s v="Facebook"/>
    <d v="2024-08-19T00:00:00"/>
    <s v="Text"/>
    <s v="Explore the latest text on Myntra! Trendy styles await."/>
    <n v="1257"/>
    <n v="19"/>
    <n v="351"/>
    <n v="12570"/>
    <n v="11660"/>
    <n v="194"/>
    <x v="2"/>
    <s v="FashionUpgrade"/>
    <n v="0.12943516308671441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x v="0"/>
    <s v="StyleRevolution"/>
    <n v="6.7234398994834563E-2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x v="3"/>
    <s v="StyleRevolution"/>
    <n v="6.7234398994834563E-2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x v="3"/>
    <s v="FashionUpgrade"/>
    <n v="7.2579365079365077E-2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x v="1"/>
    <s v="FashionUpgrade"/>
    <n v="7.2579365079365077E-2"/>
  </r>
  <r>
    <s v="P239"/>
    <s v="Youtube"/>
    <d v="2025-02-24T00:00:00"/>
    <s v="Text"/>
    <s v="Explore the latest text on Myntra! Trendy styles await."/>
    <n v="4188"/>
    <n v="942"/>
    <n v="118"/>
    <n v="20940"/>
    <n v="20471"/>
    <n v="102"/>
    <x v="2"/>
    <s v="EndOfSeasonSale"/>
    <n v="0.25062082139446035"/>
  </r>
  <r>
    <s v="P240"/>
    <s v="Twitter"/>
    <d v="2024-08-26T00:00:00"/>
    <s v="Carousel"/>
    <s v="Explore the latest carousel on Myntra! Trendy styles await."/>
    <n v="929"/>
    <n v="192"/>
    <n v="322"/>
    <n v="16722"/>
    <n v="15996"/>
    <n v="145"/>
    <x v="1"/>
    <s v="MyntraFestiveEdit"/>
    <n v="8.6293505561535699E-2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x v="0"/>
    <s v="MyntraFestiveEdit"/>
    <n v="0.17743908486792079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x v="1"/>
    <s v="MyntraFestiveEdit"/>
    <n v="0.17743908486792079"/>
  </r>
  <r>
    <s v="P242"/>
    <s v="Facebook"/>
    <d v="2024-07-07T00:00:00"/>
    <s v="Reel"/>
    <s v="Explore the latest reel on Myntra! Trendy styles await."/>
    <n v="4767"/>
    <n v="190"/>
    <n v="340"/>
    <n v="28602"/>
    <n v="28044"/>
    <n v="210"/>
    <x v="4"/>
    <s v="StyleRevolution"/>
    <n v="0.18519683938186141"/>
  </r>
  <r>
    <s v="P243"/>
    <s v="Twitter"/>
    <d v="2025-03-06T00:00:00"/>
    <s v="Image"/>
    <s v="Explore the latest image on Myntra! Trendy styles await."/>
    <n v="3592"/>
    <n v="911"/>
    <n v="375"/>
    <n v="50288"/>
    <n v="49490"/>
    <n v="32"/>
    <x v="2"/>
    <s v="EndOfSeasonSale"/>
    <n v="9.7001272669424113E-2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x v="2"/>
    <s v="FashionUpgrade"/>
    <n v="0.25869984981763572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x v="4"/>
    <s v="FashionUpgrade"/>
    <n v="0.25869984981763572"/>
  </r>
  <r>
    <s v="P245"/>
    <s v="Facebook"/>
    <d v="2025-01-12T00:00:00"/>
    <s v="Reel"/>
    <s v="Explore the latest reel on Myntra! Trendy styles await."/>
    <n v="4134"/>
    <n v="824"/>
    <n v="99"/>
    <n v="41340"/>
    <n v="41050"/>
    <n v="177"/>
    <x v="1"/>
    <s v="EndOfSeasonSale"/>
    <n v="0.12232704402515723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x v="0"/>
    <s v="EndOfSeasonSale"/>
    <n v="0.23656250000000001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x v="3"/>
    <s v="EndOfSeasonSale"/>
    <n v="0.23656250000000001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x v="3"/>
    <s v="StyleRevolution"/>
    <n v="0.11879910213243547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x v="1"/>
    <s v="StyleRevolution"/>
    <n v="0.11879910213243547"/>
  </r>
  <r>
    <s v="P248"/>
    <s v="Facebook"/>
    <d v="2025-02-02T00:00:00"/>
    <s v="Story"/>
    <s v="Explore the latest story on Myntra! Trendy styles await."/>
    <n v="886"/>
    <n v="126"/>
    <n v="153"/>
    <n v="4430"/>
    <n v="4037"/>
    <n v="212"/>
    <x v="0"/>
    <s v="MyntraFestiveEdit"/>
    <n v="0.26297968397291194"/>
  </r>
  <r>
    <s v="P249"/>
    <s v="Twitter"/>
    <d v="2024-07-18T00:00:00"/>
    <s v="Image"/>
    <s v="Explore the latest image on Myntra! Trendy styles await."/>
    <n v="827"/>
    <n v="77"/>
    <n v="402"/>
    <n v="14886"/>
    <n v="14129"/>
    <n v="254"/>
    <x v="2"/>
    <s v="EndOfSeasonSale"/>
    <n v="8.7733440816874911E-2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x v="4"/>
    <s v="FashionUpgrade"/>
    <n v="7.3170731707317069E-2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x v="3"/>
    <s v="FashionUpgrade"/>
    <n v="7.3170731707317069E-2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x v="4"/>
    <s v="MyntraFestiveEdit"/>
    <n v="0.11619462599854757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x v="1"/>
    <s v="MyntraFestiveEdit"/>
    <n v="0.11619462599854757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x v="2"/>
    <s v="FashionUpgrade"/>
    <n v="0.15761129727142173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x v="0"/>
    <s v="FashionUpgrade"/>
    <n v="0.15761129727142173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x v="2"/>
    <s v="FashionUpgrade"/>
    <n v="8.6897539284772202E-2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x v="4"/>
    <s v="FashionUpgrade"/>
    <n v="8.6897539284772202E-2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x v="4"/>
    <s v="StyleRevolution"/>
    <n v="0.13331166419019316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x v="3"/>
    <s v="StyleRevolution"/>
    <n v="0.13331166419019316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x v="2"/>
    <s v="FashionUpgrade"/>
    <n v="0.11996283514733209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x v="4"/>
    <s v="FashionUpgrade"/>
    <n v="0.11996283514733209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x v="4"/>
    <s v="StyleRevolution"/>
    <n v="5.7936488444630008E-2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x v="0"/>
    <s v="StyleRevolution"/>
    <n v="5.7936488444630008E-2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x v="4"/>
    <s v="StyleRevolution"/>
    <n v="7.9915048543689318E-2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x v="2"/>
    <s v="StyleRevolution"/>
    <n v="7.9915048543689318E-2"/>
  </r>
  <r>
    <s v="P258"/>
    <s v="Instagram"/>
    <d v="2024-08-05T00:00:00"/>
    <s v="Story"/>
    <s v="Explore the latest story on Myntra! Trendy styles await."/>
    <n v="3601"/>
    <n v="695"/>
    <n v="75"/>
    <n v="21606"/>
    <n v="21454"/>
    <n v="172"/>
    <x v="2"/>
    <s v="EndOfSeasonSale"/>
    <n v="0.2023049153013052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x v="4"/>
    <s v="StyleRevolution"/>
    <n v="0.25771055753262156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x v="0"/>
    <s v="StyleRevolution"/>
    <n v="0.25771055753262156"/>
  </r>
  <r>
    <s v="P260"/>
    <s v="Instagram"/>
    <d v="2025-02-12T00:00:00"/>
    <s v="Story"/>
    <s v="Explore the latest story on Myntra! Trendy styles await."/>
    <n v="4332"/>
    <n v="771"/>
    <n v="219"/>
    <n v="60648"/>
    <n v="60397"/>
    <n v="10"/>
    <x v="1"/>
    <s v="MyntraFestiveEdit"/>
    <n v="8.7752275425405618E-2"/>
  </r>
  <r>
    <s v="P261"/>
    <s v="Instagram"/>
    <d v="2024-10-27T00:00:00"/>
    <s v="Image"/>
    <s v="Explore the latest image on Myntra! Trendy styles await."/>
    <n v="4853"/>
    <n v="837"/>
    <n v="340"/>
    <n v="72795"/>
    <n v="72237"/>
    <n v="170"/>
    <x v="0"/>
    <s v="EndOfSeasonSale"/>
    <n v="8.2835359571399134E-2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x v="0"/>
    <s v="MyntraFestiveEdit"/>
    <n v="0.15339966832504145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x v="2"/>
    <s v="MyntraFestiveEdit"/>
    <n v="0.15339966832504145"/>
  </r>
  <r>
    <s v="P263"/>
    <s v="Instagram"/>
    <d v="2024-08-20T00:00:00"/>
    <s v="Reel"/>
    <s v="Explore the latest reel on Myntra! Trendy styles await."/>
    <n v="2603"/>
    <n v="690"/>
    <n v="205"/>
    <n v="13015"/>
    <n v="12130"/>
    <n v="20"/>
    <x v="3"/>
    <s v="FashionUpgrade"/>
    <n v="0.26876680752977333"/>
  </r>
  <r>
    <s v="P264"/>
    <s v="Twitter"/>
    <d v="2025-01-30T00:00:00"/>
    <s v="Image"/>
    <s v="Explore the latest image on Myntra! Trendy styles await."/>
    <n v="59"/>
    <n v="163"/>
    <n v="93"/>
    <n v="590"/>
    <n v="475"/>
    <n v="293"/>
    <x v="3"/>
    <s v="StyleRevolution"/>
    <n v="0.53389830508474578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x v="2"/>
    <s v="FashionUpgrade"/>
    <n v="0.25279701651571657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x v="0"/>
    <s v="FashionUpgrade"/>
    <n v="0.25279701651571657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x v="0"/>
    <s v="MyntraFestiveEdit"/>
    <n v="0.10086880280567512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x v="2"/>
    <s v="MyntraFestiveEdit"/>
    <n v="0.10086880280567512"/>
  </r>
  <r>
    <s v="P267"/>
    <s v="Twitter"/>
    <d v="2024-10-04T00:00:00"/>
    <s v="Reel"/>
    <s v="Explore the latest reel on Myntra! Trendy styles await."/>
    <n v="4187"/>
    <n v="66"/>
    <n v="31"/>
    <n v="66992"/>
    <n v="66614"/>
    <n v="62"/>
    <x v="2"/>
    <s v="StyleRevolution"/>
    <n v="6.3947934081681396E-2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x v="2"/>
    <s v="FashionUpgrade"/>
    <n v="8.4062694239588759E-2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x v="1"/>
    <s v="FashionUpgrade"/>
    <n v="8.4062694239588759E-2"/>
  </r>
  <r>
    <s v="P269"/>
    <s v="Instagram"/>
    <d v="2024-11-05T00:00:00"/>
    <s v="Video"/>
    <s v="Explore the latest video on Myntra! Trendy styles await."/>
    <n v="4561"/>
    <n v="51"/>
    <n v="441"/>
    <n v="22805"/>
    <n v="21890"/>
    <n v="45"/>
    <x v="2"/>
    <s v="EndOfSeasonSale"/>
    <n v="0.22157421618066214"/>
  </r>
  <r>
    <s v="P270"/>
    <s v="Youtube"/>
    <d v="2025-01-15T00:00:00"/>
    <s v="Reel"/>
    <s v="Explore the latest reel on Myntra! Trendy styles await."/>
    <n v="3774"/>
    <n v="239"/>
    <n v="39"/>
    <n v="60384"/>
    <n v="59490"/>
    <n v="241"/>
    <x v="4"/>
    <s v="MyntraFestiveEdit"/>
    <n v="6.7103868574456813E-2"/>
  </r>
  <r>
    <s v="P271"/>
    <s v="Instagram"/>
    <d v="2024-10-17T00:00:00"/>
    <s v="Video"/>
    <s v="Explore the latest video on Myntra! Trendy styles await."/>
    <n v="3575"/>
    <n v="749"/>
    <n v="111"/>
    <n v="21450"/>
    <n v="20785"/>
    <n v="195"/>
    <x v="4"/>
    <s v="MyntraFestiveEdit"/>
    <n v="0.20675990675990677"/>
  </r>
  <r>
    <s v="P272"/>
    <s v="Instagram"/>
    <d v="2025-03-27T00:00:00"/>
    <s v="Text"/>
    <s v="Explore the latest text on Myntra! Trendy styles await."/>
    <n v="4941"/>
    <n v="414"/>
    <n v="266"/>
    <n v="39528"/>
    <n v="39154"/>
    <n v="217"/>
    <x v="0"/>
    <s v="EndOfSeasonSale"/>
    <n v="0.14220299534507186"/>
  </r>
  <r>
    <s v="P273"/>
    <s v="Youtube"/>
    <d v="2024-10-12T00:00:00"/>
    <s v="Story"/>
    <s v="Explore the latest story on Myntra! Trendy styles await."/>
    <n v="3641"/>
    <n v="226"/>
    <n v="46"/>
    <n v="40051"/>
    <n v="39319"/>
    <n v="296"/>
    <x v="3"/>
    <s v="EndOfSeasonSale"/>
    <n v="9.7700431949264685E-2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x v="3"/>
    <s v="EndOfSeasonSale"/>
    <n v="7.8849599245638849E-2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x v="2"/>
    <s v="EndOfSeasonSale"/>
    <n v="7.8849599245638849E-2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x v="1"/>
    <s v="StyleRevolution"/>
    <n v="0.16754738655944859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x v="4"/>
    <s v="StyleRevolution"/>
    <n v="0.16754738655944859"/>
  </r>
  <r>
    <s v="P276"/>
    <s v="Twitter"/>
    <d v="2024-06-07T00:00:00"/>
    <s v="Carousel"/>
    <s v="Explore the latest carousel on Myntra! Trendy styles await."/>
    <n v="1556"/>
    <n v="195"/>
    <n v="131"/>
    <n v="9336"/>
    <n v="8875"/>
    <n v="137"/>
    <x v="1"/>
    <s v="EndOfSeasonSale"/>
    <n v="0.2015852613538989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x v="3"/>
    <s v="StyleRevolution"/>
    <n v="0.24763928234183191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x v="0"/>
    <s v="StyleRevolution"/>
    <n v="0.24763928234183191"/>
  </r>
  <r>
    <s v="P278"/>
    <s v="Twitter"/>
    <d v="2024-11-26T00:00:00"/>
    <s v="Text"/>
    <s v="Explore the latest text on Myntra! Trendy styles await."/>
    <n v="4516"/>
    <n v="836"/>
    <n v="169"/>
    <n v="49676"/>
    <n v="49257"/>
    <n v="282"/>
    <x v="3"/>
    <s v="FashionUpgrade"/>
    <n v="0.11114018842096787"/>
  </r>
  <r>
    <s v="P279"/>
    <s v="Youtube"/>
    <d v="2024-09-02T00:00:00"/>
    <s v="Image"/>
    <s v="Explore the latest image on Myntra! Trendy styles await."/>
    <n v="4905"/>
    <n v="845"/>
    <n v="129"/>
    <n v="98100"/>
    <n v="97772"/>
    <n v="279"/>
    <x v="3"/>
    <s v="StyleRevolution"/>
    <n v="5.9928644240570844E-2"/>
  </r>
  <r>
    <s v="P280"/>
    <s v="Youtube"/>
    <d v="2024-10-21T00:00:00"/>
    <s v="Video"/>
    <s v="Explore the latest video on Myntra! Trendy styles await."/>
    <n v="4275"/>
    <n v="680"/>
    <n v="385"/>
    <n v="64125"/>
    <n v="63650"/>
    <n v="104"/>
    <x v="2"/>
    <s v="StyleRevolution"/>
    <n v="8.3274853801169585E-2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x v="1"/>
    <s v="EndOfSeasonSale"/>
    <n v="6.3118551273952411E-2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x v="2"/>
    <s v="EndOfSeasonSale"/>
    <n v="6.3118551273952411E-2"/>
  </r>
  <r>
    <s v="P282"/>
    <s v="Instagram"/>
    <d v="2024-10-03T00:00:00"/>
    <s v="Video"/>
    <s v="Explore the latest video on Myntra! Trendy styles await."/>
    <n v="1488"/>
    <n v="417"/>
    <n v="168"/>
    <n v="19344"/>
    <n v="18395"/>
    <n v="30"/>
    <x v="0"/>
    <s v="FashionUpgrade"/>
    <n v="0.1071650124069479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x v="3"/>
    <s v="MyntraFestiveEdit"/>
    <n v="5.8243321401216137E-2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x v="1"/>
    <s v="MyntraFestiveEdit"/>
    <n v="5.8243321401216137E-2"/>
  </r>
  <r>
    <s v="P284"/>
    <s v="Twitter"/>
    <d v="2024-09-17T00:00:00"/>
    <s v="Text"/>
    <s v="Explore the latest text on Myntra! Trendy styles await."/>
    <n v="571"/>
    <n v="190"/>
    <n v="352"/>
    <n v="9707"/>
    <n v="9418"/>
    <n v="231"/>
    <x v="4"/>
    <s v="EndOfSeasonSale"/>
    <n v="0.11465952405480581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x v="4"/>
    <s v="FashionUpgrade"/>
    <n v="0.13517919809886983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x v="2"/>
    <s v="FashionUpgrade"/>
    <n v="0.13517919809886983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x v="1"/>
    <s v="EndOfSeasonSale"/>
    <n v="0.19484607062063539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x v="0"/>
    <s v="EndOfSeasonSale"/>
    <n v="0.19484607062063539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x v="1"/>
    <s v="MyntraFestiveEdit"/>
    <n v="0.30126002290950743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x v="3"/>
    <s v="MyntraFestiveEdit"/>
    <n v="0.30126002290950743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x v="1"/>
    <s v="MyntraFestiveEdit"/>
    <n v="6.800325430032543E-2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x v="4"/>
    <s v="MyntraFestiveEdit"/>
    <n v="6.800325430032543E-2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x v="3"/>
    <s v="EndOfSeasonSale"/>
    <n v="7.3018902217375503E-2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x v="2"/>
    <s v="EndOfSeasonSale"/>
    <n v="7.3018902217375503E-2"/>
  </r>
  <r>
    <s v="P290"/>
    <s v="Instagram"/>
    <d v="2024-12-20T00:00:00"/>
    <s v="Carousel"/>
    <s v="Explore the latest carousel on Myntra! Trendy styles await."/>
    <n v="2107"/>
    <n v="550"/>
    <n v="349"/>
    <n v="35819"/>
    <n v="35340"/>
    <n v="191"/>
    <x v="3"/>
    <s v="MyntraFestiveEdit"/>
    <n v="8.3921940869371006E-2"/>
  </r>
  <r>
    <s v="P291"/>
    <s v="Facebook"/>
    <d v="2024-11-06T00:00:00"/>
    <s v="Video"/>
    <s v="Explore the latest video on Myntra! Trendy styles await."/>
    <n v="4663"/>
    <n v="145"/>
    <n v="225"/>
    <n v="69945"/>
    <n v="69596"/>
    <n v="35"/>
    <x v="1"/>
    <s v="EndOfSeasonSale"/>
    <n v="7.1956537279290869E-2"/>
  </r>
  <r>
    <s v="P292"/>
    <s v="Facebook"/>
    <d v="2024-11-17T00:00:00"/>
    <s v="Text"/>
    <s v="Explore the latest text on Myntra! Trendy styles await."/>
    <n v="880"/>
    <n v="297"/>
    <n v="345"/>
    <n v="12320"/>
    <n v="11978"/>
    <n v="238"/>
    <x v="0"/>
    <s v="EndOfSeasonSale"/>
    <n v="0.12353896103896105"/>
  </r>
  <r>
    <s v="P293"/>
    <s v="Facebook"/>
    <d v="2025-05-14T00:00:00"/>
    <s v="Text"/>
    <s v="Explore the latest text on Myntra! Trendy styles await."/>
    <n v="2634"/>
    <n v="726"/>
    <n v="241"/>
    <n v="28974"/>
    <n v="28102"/>
    <n v="277"/>
    <x v="2"/>
    <s v="MyntraFestiveEdit"/>
    <n v="0.12428384068475185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x v="3"/>
    <s v="StyleRevolution"/>
    <n v="0.18248432325794406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x v="1"/>
    <s v="StyleRevolution"/>
    <n v="0.18248432325794406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x v="0"/>
    <s v="MyntraFestiveEdit"/>
    <n v="0.16540727459016394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x v="1"/>
    <s v="MyntraFestiveEdit"/>
    <n v="0.16540727459016394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x v="1"/>
    <s v="FashionUpgrade"/>
    <n v="5.9387824897400819E-2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x v="4"/>
    <s v="FashionUpgrade"/>
    <n v="5.9387824897400819E-2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x v="2"/>
    <s v="FashionUpgrade"/>
    <n v="0.24349030470914126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x v="3"/>
    <s v="FashionUpgrade"/>
    <n v="0.24349030470914126"/>
  </r>
  <r>
    <s v="P298"/>
    <s v="Facebook"/>
    <d v="2024-10-24T00:00:00"/>
    <s v="Image"/>
    <s v="Explore the latest image on Myntra! Trendy styles await."/>
    <n v="4303"/>
    <n v="451"/>
    <n v="286"/>
    <n v="86060"/>
    <n v="85823"/>
    <n v="14"/>
    <x v="0"/>
    <s v="EndOfSeasonSale"/>
    <n v="5.8563792702765516E-2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x v="0"/>
    <s v="EndOfSeasonSale"/>
    <n v="0.13840458048129492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x v="2"/>
    <s v="EndOfSeasonSale"/>
    <n v="0.13840458048129492"/>
  </r>
  <r>
    <s v="P300"/>
    <s v="Twitter"/>
    <d v="2024-08-31T00:00:00"/>
    <s v="Carousel"/>
    <s v="Explore the latest carousel on Myntra! Trendy styles await."/>
    <n v="4494"/>
    <n v="717"/>
    <n v="45"/>
    <n v="62916"/>
    <n v="62688"/>
    <n v="191"/>
    <x v="1"/>
    <s v="FashionUpgrade"/>
    <n v="8.3539958039290485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344084"/>
    <n v="8.06"/>
    <n v="5904"/>
  </r>
  <r>
    <d v="2024-06-03T00:00:00"/>
    <x v="1"/>
    <n v="1312"/>
    <n v="310"/>
    <n v="42654"/>
    <n v="4.9800000000000004"/>
    <n v="9566"/>
  </r>
  <r>
    <d v="2024-06-03T00:00:00"/>
    <x v="2"/>
    <n v="584"/>
    <n v="169"/>
    <n v="146834"/>
    <n v="8.31"/>
    <n v="26752"/>
  </r>
  <r>
    <d v="2024-06-03T00:00:00"/>
    <x v="3"/>
    <n v="1535"/>
    <n v="445"/>
    <n v="395536"/>
    <n v="4.1100000000000003"/>
    <n v="30671"/>
  </r>
  <r>
    <d v="2024-06-10T00:00:00"/>
    <x v="0"/>
    <n v="656"/>
    <n v="139"/>
    <n v="49157"/>
    <n v="9.0500000000000007"/>
    <n v="9920"/>
  </r>
  <r>
    <d v="2024-06-10T00:00:00"/>
    <x v="1"/>
    <n v="1697"/>
    <n v="414"/>
    <n v="316555"/>
    <n v="2.37"/>
    <n v="7924"/>
  </r>
  <r>
    <d v="2024-06-10T00:00:00"/>
    <x v="2"/>
    <n v="436"/>
    <n v="250"/>
    <n v="254347"/>
    <n v="4.01"/>
    <n v="8912"/>
  </r>
  <r>
    <d v="2024-06-10T00:00:00"/>
    <x v="3"/>
    <n v="1197"/>
    <n v="203"/>
    <n v="413878"/>
    <n v="3.16"/>
    <n v="21205"/>
  </r>
  <r>
    <d v="2024-06-17T00:00:00"/>
    <x v="0"/>
    <n v="1048"/>
    <n v="155"/>
    <n v="456946"/>
    <n v="2.46"/>
    <n v="11329"/>
  </r>
  <r>
    <d v="2024-06-17T00:00:00"/>
    <x v="1"/>
    <n v="1753"/>
    <n v="371"/>
    <n v="169496"/>
    <n v="8.11"/>
    <n v="46670"/>
  </r>
  <r>
    <d v="2024-06-17T00:00:00"/>
    <x v="2"/>
    <n v="1335"/>
    <n v="40"/>
    <n v="122732"/>
    <n v="8.19"/>
    <n v="22482"/>
  </r>
  <r>
    <d v="2024-06-17T00:00:00"/>
    <x v="3"/>
    <n v="403"/>
    <n v="66"/>
    <n v="382851"/>
    <n v="3.49"/>
    <n v="24313"/>
  </r>
  <r>
    <d v="2024-06-24T00:00:00"/>
    <x v="0"/>
    <n v="911"/>
    <n v="282"/>
    <n v="35664"/>
    <n v="6.92"/>
    <n v="18050"/>
  </r>
  <r>
    <d v="2024-06-24T00:00:00"/>
    <x v="1"/>
    <n v="1779"/>
    <n v="109"/>
    <n v="26295"/>
    <n v="9.1199999999999992"/>
    <n v="30635"/>
  </r>
  <r>
    <d v="2024-06-24T00:00:00"/>
    <x v="2"/>
    <n v="1238"/>
    <n v="403"/>
    <n v="298421"/>
    <n v="3.5"/>
    <n v="31280"/>
  </r>
  <r>
    <d v="2024-06-24T00:00:00"/>
    <x v="3"/>
    <n v="308"/>
    <n v="431"/>
    <n v="426184"/>
    <n v="2.62"/>
    <n v="1783"/>
  </r>
  <r>
    <d v="2024-07-01T00:00:00"/>
    <x v="0"/>
    <n v="226"/>
    <n v="445"/>
    <n v="419447"/>
    <n v="9.36"/>
    <n v="9566"/>
  </r>
  <r>
    <d v="2024-07-01T00:00:00"/>
    <x v="1"/>
    <n v="505"/>
    <n v="441"/>
    <n v="220020"/>
    <n v="4.4800000000000004"/>
    <n v="42307"/>
  </r>
  <r>
    <d v="2024-07-01T00:00:00"/>
    <x v="2"/>
    <n v="1420"/>
    <n v="63"/>
    <n v="315305"/>
    <n v="6.19"/>
    <n v="5914"/>
  </r>
  <r>
    <d v="2024-07-01T00:00:00"/>
    <x v="3"/>
    <n v="144"/>
    <n v="53"/>
    <n v="113678"/>
    <n v="8.7200000000000006"/>
    <n v="30060"/>
  </r>
  <r>
    <d v="2024-07-08T00:00:00"/>
    <x v="0"/>
    <n v="1757"/>
    <n v="85"/>
    <n v="58223"/>
    <n v="8.74"/>
    <n v="22728"/>
  </r>
  <r>
    <d v="2024-07-08T00:00:00"/>
    <x v="1"/>
    <n v="350"/>
    <n v="41"/>
    <n v="251694"/>
    <n v="1.91"/>
    <n v="38610"/>
  </r>
  <r>
    <d v="2024-07-08T00:00:00"/>
    <x v="2"/>
    <n v="987"/>
    <n v="440"/>
    <n v="389810"/>
    <n v="4.66"/>
    <n v="2932"/>
  </r>
  <r>
    <d v="2024-07-08T00:00:00"/>
    <x v="3"/>
    <n v="883"/>
    <n v="369"/>
    <n v="233694"/>
    <n v="2.88"/>
    <n v="15071"/>
  </r>
  <r>
    <d v="2024-07-15T00:00:00"/>
    <x v="0"/>
    <n v="1960"/>
    <n v="115"/>
    <n v="154169"/>
    <n v="3.74"/>
    <n v="10740"/>
  </r>
  <r>
    <d v="2024-07-15T00:00:00"/>
    <x v="1"/>
    <n v="170"/>
    <n v="334"/>
    <n v="334626"/>
    <n v="6.44"/>
    <n v="43420"/>
  </r>
  <r>
    <d v="2024-07-15T00:00:00"/>
    <x v="2"/>
    <n v="704"/>
    <n v="275"/>
    <n v="226002"/>
    <n v="8.56"/>
    <n v="32393"/>
  </r>
  <r>
    <d v="2024-07-15T00:00:00"/>
    <x v="3"/>
    <n v="224"/>
    <n v="64"/>
    <n v="156683"/>
    <n v="4.5599999999999996"/>
    <n v="28474"/>
  </r>
  <r>
    <d v="2024-07-22T00:00:00"/>
    <x v="0"/>
    <n v="508"/>
    <n v="349"/>
    <n v="473812"/>
    <n v="7.88"/>
    <n v="17328"/>
  </r>
  <r>
    <d v="2024-07-22T00:00:00"/>
    <x v="1"/>
    <n v="1391"/>
    <n v="430"/>
    <n v="295032"/>
    <n v="7.86"/>
    <n v="26067"/>
  </r>
  <r>
    <d v="2024-07-22T00:00:00"/>
    <x v="2"/>
    <n v="1701"/>
    <n v="385"/>
    <n v="198278"/>
    <n v="5.34"/>
    <n v="32763"/>
  </r>
  <r>
    <d v="2024-07-22T00:00:00"/>
    <x v="3"/>
    <n v="804"/>
    <n v="487"/>
    <n v="306564"/>
    <n v="5.52"/>
    <n v="26452"/>
  </r>
  <r>
    <d v="2024-07-29T00:00:00"/>
    <x v="0"/>
    <n v="653"/>
    <n v="112"/>
    <n v="23664"/>
    <n v="4.05"/>
    <n v="15353"/>
  </r>
  <r>
    <d v="2024-07-29T00:00:00"/>
    <x v="1"/>
    <n v="160"/>
    <n v="478"/>
    <n v="435034"/>
    <n v="7.73"/>
    <n v="4839"/>
  </r>
  <r>
    <d v="2024-07-29T00:00:00"/>
    <x v="2"/>
    <n v="1756"/>
    <n v="261"/>
    <n v="287574"/>
    <n v="4.3600000000000003"/>
    <n v="39272"/>
  </r>
  <r>
    <d v="2024-07-29T00:00:00"/>
    <x v="3"/>
    <n v="576"/>
    <n v="101"/>
    <n v="62499"/>
    <n v="3.48"/>
    <n v="16804"/>
  </r>
  <r>
    <d v="2024-08-05T00:00:00"/>
    <x v="0"/>
    <n v="645"/>
    <n v="293"/>
    <n v="437968"/>
    <n v="7.83"/>
    <n v="49303"/>
  </r>
  <r>
    <d v="2024-08-05T00:00:00"/>
    <x v="1"/>
    <n v="214"/>
    <n v="411"/>
    <n v="125034"/>
    <n v="6.11"/>
    <n v="26455"/>
  </r>
  <r>
    <d v="2024-08-05T00:00:00"/>
    <x v="2"/>
    <n v="826"/>
    <n v="498"/>
    <n v="449994"/>
    <n v="9.43"/>
    <n v="12384"/>
  </r>
  <r>
    <d v="2024-08-05T00:00:00"/>
    <x v="3"/>
    <n v="460"/>
    <n v="141"/>
    <n v="320650"/>
    <n v="4.04"/>
    <n v="49372"/>
  </r>
  <r>
    <d v="2024-08-12T00:00:00"/>
    <x v="0"/>
    <n v="1528"/>
    <n v="203"/>
    <n v="489188"/>
    <n v="6.23"/>
    <n v="47101"/>
  </r>
  <r>
    <d v="2024-08-12T00:00:00"/>
    <x v="1"/>
    <n v="1534"/>
    <n v="200"/>
    <n v="307612"/>
    <n v="6.01"/>
    <n v="37903"/>
  </r>
  <r>
    <d v="2024-08-12T00:00:00"/>
    <x v="2"/>
    <n v="485"/>
    <n v="448"/>
    <n v="434883"/>
    <n v="8.5500000000000007"/>
    <n v="33258"/>
  </r>
  <r>
    <d v="2024-08-12T00:00:00"/>
    <x v="3"/>
    <n v="1210"/>
    <n v="178"/>
    <n v="102042"/>
    <n v="5.42"/>
    <n v="6915"/>
  </r>
  <r>
    <d v="2024-08-19T00:00:00"/>
    <x v="0"/>
    <n v="215"/>
    <n v="139"/>
    <n v="325444"/>
    <n v="3.25"/>
    <n v="35501"/>
  </r>
  <r>
    <d v="2024-08-19T00:00:00"/>
    <x v="1"/>
    <n v="1078"/>
    <n v="20"/>
    <n v="183924"/>
    <n v="8.84"/>
    <n v="14203"/>
  </r>
  <r>
    <d v="2024-08-19T00:00:00"/>
    <x v="2"/>
    <n v="1751"/>
    <n v="86"/>
    <n v="188655"/>
    <n v="7.24"/>
    <n v="22206"/>
  </r>
  <r>
    <d v="2024-08-19T00:00:00"/>
    <x v="3"/>
    <n v="221"/>
    <n v="31"/>
    <n v="87443"/>
    <n v="6.19"/>
    <n v="10283"/>
  </r>
  <r>
    <d v="2024-08-26T00:00:00"/>
    <x v="0"/>
    <n v="1685"/>
    <n v="76"/>
    <n v="453799"/>
    <n v="5.71"/>
    <n v="24913"/>
  </r>
  <r>
    <d v="2024-08-26T00:00:00"/>
    <x v="1"/>
    <n v="248"/>
    <n v="211"/>
    <n v="379380"/>
    <n v="9.0399999999999991"/>
    <n v="26925"/>
  </r>
  <r>
    <d v="2024-08-26T00:00:00"/>
    <x v="2"/>
    <n v="1300"/>
    <n v="71"/>
    <n v="186454"/>
    <n v="3.91"/>
    <n v="9942"/>
  </r>
  <r>
    <d v="2024-08-26T00:00:00"/>
    <x v="3"/>
    <n v="422"/>
    <n v="394"/>
    <n v="239044"/>
    <n v="7.83"/>
    <n v="32929"/>
  </r>
  <r>
    <d v="2024-09-02T00:00:00"/>
    <x v="0"/>
    <n v="1429"/>
    <n v="182"/>
    <n v="101332"/>
    <n v="7.16"/>
    <n v="37829"/>
  </r>
  <r>
    <d v="2024-09-02T00:00:00"/>
    <x v="1"/>
    <n v="1520"/>
    <n v="475"/>
    <n v="496982"/>
    <n v="6.41"/>
    <n v="24384"/>
  </r>
  <r>
    <d v="2024-09-02T00:00:00"/>
    <x v="2"/>
    <n v="557"/>
    <n v="360"/>
    <n v="318779"/>
    <n v="8.02"/>
    <n v="25797"/>
  </r>
  <r>
    <d v="2024-09-02T00:00:00"/>
    <x v="3"/>
    <n v="728"/>
    <n v="395"/>
    <n v="370971"/>
    <n v="3.86"/>
    <n v="12646"/>
  </r>
  <r>
    <d v="2024-09-09T00:00:00"/>
    <x v="0"/>
    <n v="1592"/>
    <n v="20"/>
    <n v="378054"/>
    <n v="9.09"/>
    <n v="26663"/>
  </r>
  <r>
    <d v="2024-09-09T00:00:00"/>
    <x v="1"/>
    <n v="1842"/>
    <n v="414"/>
    <n v="307524"/>
    <n v="1.76"/>
    <n v="40478"/>
  </r>
  <r>
    <d v="2024-09-09T00:00:00"/>
    <x v="2"/>
    <n v="751"/>
    <n v="491"/>
    <n v="434047"/>
    <n v="9.24"/>
    <n v="15476"/>
  </r>
  <r>
    <d v="2024-09-09T00:00:00"/>
    <x v="3"/>
    <n v="1409"/>
    <n v="309"/>
    <n v="64583"/>
    <n v="8.99"/>
    <n v="10217"/>
  </r>
  <r>
    <d v="2024-09-16T00:00:00"/>
    <x v="0"/>
    <n v="778"/>
    <n v="401"/>
    <n v="50793"/>
    <n v="3.4"/>
    <n v="21939"/>
  </r>
  <r>
    <d v="2024-09-16T00:00:00"/>
    <x v="1"/>
    <n v="443"/>
    <n v="345"/>
    <n v="474162"/>
    <n v="9.1999999999999993"/>
    <n v="47462"/>
  </r>
  <r>
    <d v="2024-09-16T00:00:00"/>
    <x v="2"/>
    <n v="1472"/>
    <n v="347"/>
    <n v="392355"/>
    <n v="8.59"/>
    <n v="30270"/>
  </r>
  <r>
    <d v="2024-09-16T00:00:00"/>
    <x v="3"/>
    <n v="123"/>
    <n v="155"/>
    <n v="119934"/>
    <n v="3.5"/>
    <n v="5442"/>
  </r>
  <r>
    <d v="2024-09-23T00:00:00"/>
    <x v="0"/>
    <n v="817"/>
    <n v="151"/>
    <n v="422625"/>
    <n v="2.36"/>
    <n v="1083"/>
  </r>
  <r>
    <d v="2024-09-23T00:00:00"/>
    <x v="1"/>
    <n v="198"/>
    <n v="217"/>
    <n v="239753"/>
    <n v="7.36"/>
    <n v="11901"/>
  </r>
  <r>
    <d v="2024-09-23T00:00:00"/>
    <x v="2"/>
    <n v="1911"/>
    <n v="231"/>
    <n v="268516"/>
    <n v="8.5500000000000007"/>
    <n v="24018"/>
  </r>
  <r>
    <d v="2024-09-23T00:00:00"/>
    <x v="3"/>
    <n v="1218"/>
    <n v="212"/>
    <n v="63177"/>
    <n v="8.1300000000000008"/>
    <n v="38883"/>
  </r>
  <r>
    <d v="2024-09-30T00:00:00"/>
    <x v="0"/>
    <n v="1433"/>
    <n v="408"/>
    <n v="370269"/>
    <n v="3.3"/>
    <n v="30575"/>
  </r>
  <r>
    <d v="2024-09-30T00:00:00"/>
    <x v="1"/>
    <n v="250"/>
    <n v="429"/>
    <n v="453423"/>
    <n v="1.77"/>
    <n v="2315"/>
  </r>
  <r>
    <d v="2024-09-30T00:00:00"/>
    <x v="2"/>
    <n v="752"/>
    <n v="153"/>
    <n v="64906"/>
    <n v="2.09"/>
    <n v="12148"/>
  </r>
  <r>
    <d v="2024-09-30T00:00:00"/>
    <x v="3"/>
    <n v="1918"/>
    <n v="212"/>
    <n v="94360"/>
    <n v="7.36"/>
    <n v="36851"/>
  </r>
  <r>
    <d v="2024-10-07T00:00:00"/>
    <x v="0"/>
    <n v="1939"/>
    <n v="67"/>
    <n v="187183"/>
    <n v="6.25"/>
    <n v="41215"/>
  </r>
  <r>
    <d v="2024-10-07T00:00:00"/>
    <x v="1"/>
    <n v="1929"/>
    <n v="267"/>
    <n v="379363"/>
    <n v="1.75"/>
    <n v="43836"/>
  </r>
  <r>
    <d v="2024-10-07T00:00:00"/>
    <x v="2"/>
    <n v="437"/>
    <n v="330"/>
    <n v="476486"/>
    <n v="4.97"/>
    <n v="4509"/>
  </r>
  <r>
    <d v="2024-10-07T00:00:00"/>
    <x v="3"/>
    <n v="307"/>
    <n v="189"/>
    <n v="117767"/>
    <n v="9.3000000000000007"/>
    <n v="27822"/>
  </r>
  <r>
    <d v="2024-10-14T00:00:00"/>
    <x v="0"/>
    <n v="1527"/>
    <n v="303"/>
    <n v="388555"/>
    <n v="8.9"/>
    <n v="36397"/>
  </r>
  <r>
    <d v="2024-10-14T00:00:00"/>
    <x v="1"/>
    <n v="643"/>
    <n v="358"/>
    <n v="157599"/>
    <n v="3.88"/>
    <n v="7285"/>
  </r>
  <r>
    <d v="2024-10-14T00:00:00"/>
    <x v="2"/>
    <n v="201"/>
    <n v="221"/>
    <n v="309772"/>
    <n v="5.9"/>
    <n v="33174"/>
  </r>
  <r>
    <d v="2024-10-14T00:00:00"/>
    <x v="3"/>
    <n v="414"/>
    <n v="47"/>
    <n v="199178"/>
    <n v="1.53"/>
    <n v="6742"/>
  </r>
  <r>
    <d v="2024-10-21T00:00:00"/>
    <x v="0"/>
    <n v="703"/>
    <n v="441"/>
    <n v="357089"/>
    <n v="6.5"/>
    <n v="32478"/>
  </r>
  <r>
    <d v="2024-10-21T00:00:00"/>
    <x v="1"/>
    <n v="508"/>
    <n v="69"/>
    <n v="23492"/>
    <n v="3.16"/>
    <n v="42824"/>
  </r>
  <r>
    <d v="2024-10-21T00:00:00"/>
    <x v="2"/>
    <n v="697"/>
    <n v="61"/>
    <n v="258287"/>
    <n v="8.25"/>
    <n v="21208"/>
  </r>
  <r>
    <d v="2024-10-21T00:00:00"/>
    <x v="3"/>
    <n v="1707"/>
    <n v="223"/>
    <n v="256910"/>
    <n v="5.41"/>
    <n v="44321"/>
  </r>
  <r>
    <d v="2024-10-28T00:00:00"/>
    <x v="0"/>
    <n v="642"/>
    <n v="66"/>
    <n v="346522"/>
    <n v="5.85"/>
    <n v="13116"/>
  </r>
  <r>
    <d v="2024-10-28T00:00:00"/>
    <x v="1"/>
    <n v="859"/>
    <n v="473"/>
    <n v="209987"/>
    <n v="4.46"/>
    <n v="30214"/>
  </r>
  <r>
    <d v="2024-10-28T00:00:00"/>
    <x v="2"/>
    <n v="191"/>
    <n v="154"/>
    <n v="240550"/>
    <n v="5.22"/>
    <n v="15827"/>
  </r>
  <r>
    <d v="2024-10-28T00:00:00"/>
    <x v="3"/>
    <n v="1814"/>
    <n v="157"/>
    <n v="305827"/>
    <n v="1.99"/>
    <n v="46643"/>
  </r>
  <r>
    <d v="2024-11-04T00:00:00"/>
    <x v="0"/>
    <n v="1466"/>
    <n v="69"/>
    <n v="54935"/>
    <n v="6.85"/>
    <n v="36484"/>
  </r>
  <r>
    <d v="2024-11-04T00:00:00"/>
    <x v="1"/>
    <n v="947"/>
    <n v="407"/>
    <n v="319186"/>
    <n v="3.32"/>
    <n v="4996"/>
  </r>
  <r>
    <d v="2024-11-04T00:00:00"/>
    <x v="2"/>
    <n v="1821"/>
    <n v="218"/>
    <n v="439080"/>
    <n v="5.68"/>
    <n v="36095"/>
  </r>
  <r>
    <d v="2024-11-04T00:00:00"/>
    <x v="3"/>
    <n v="1507"/>
    <n v="463"/>
    <n v="258944"/>
    <n v="6.08"/>
    <n v="16443"/>
  </r>
  <r>
    <d v="2024-11-11T00:00:00"/>
    <x v="0"/>
    <n v="1075"/>
    <n v="173"/>
    <n v="51395"/>
    <n v="4.66"/>
    <n v="47812"/>
  </r>
  <r>
    <d v="2024-11-11T00:00:00"/>
    <x v="1"/>
    <n v="171"/>
    <n v="277"/>
    <n v="309483"/>
    <n v="8.6999999999999993"/>
    <n v="38452"/>
  </r>
  <r>
    <d v="2024-11-11T00:00:00"/>
    <x v="2"/>
    <n v="1487"/>
    <n v="337"/>
    <n v="87305"/>
    <n v="2.46"/>
    <n v="30428"/>
  </r>
  <r>
    <d v="2024-11-11T00:00:00"/>
    <x v="3"/>
    <n v="454"/>
    <n v="105"/>
    <n v="121091"/>
    <n v="7.97"/>
    <n v="9269"/>
  </r>
  <r>
    <d v="2024-11-18T00:00:00"/>
    <x v="0"/>
    <n v="187"/>
    <n v="236"/>
    <n v="51087"/>
    <n v="9.41"/>
    <n v="29533"/>
  </r>
  <r>
    <d v="2024-11-18T00:00:00"/>
    <x v="1"/>
    <n v="513"/>
    <n v="441"/>
    <n v="338847"/>
    <n v="2.68"/>
    <n v="39997"/>
  </r>
  <r>
    <d v="2024-11-18T00:00:00"/>
    <x v="2"/>
    <n v="628"/>
    <n v="183"/>
    <n v="487523"/>
    <n v="7.32"/>
    <n v="5391"/>
  </r>
  <r>
    <d v="2024-11-18T00:00:00"/>
    <x v="3"/>
    <n v="278"/>
    <n v="218"/>
    <n v="301695"/>
    <n v="4.68"/>
    <n v="22373"/>
  </r>
  <r>
    <d v="2024-11-25T00:00:00"/>
    <x v="0"/>
    <n v="1854"/>
    <n v="161"/>
    <n v="282466"/>
    <n v="5.17"/>
    <n v="1810"/>
  </r>
  <r>
    <d v="2024-11-25T00:00:00"/>
    <x v="1"/>
    <n v="1710"/>
    <n v="378"/>
    <n v="336661"/>
    <n v="6.2"/>
    <n v="28498"/>
  </r>
  <r>
    <d v="2024-11-25T00:00:00"/>
    <x v="2"/>
    <n v="330"/>
    <n v="232"/>
    <n v="88455"/>
    <n v="2.69"/>
    <n v="39530"/>
  </r>
  <r>
    <d v="2024-11-25T00:00:00"/>
    <x v="3"/>
    <n v="1293"/>
    <n v="408"/>
    <n v="62535"/>
    <n v="8.9"/>
    <n v="37876"/>
  </r>
  <r>
    <d v="2024-12-02T00:00:00"/>
    <x v="0"/>
    <n v="1696"/>
    <n v="71"/>
    <n v="421957"/>
    <n v="3.79"/>
    <n v="36103"/>
  </r>
  <r>
    <d v="2024-12-02T00:00:00"/>
    <x v="1"/>
    <n v="1902"/>
    <n v="196"/>
    <n v="470269"/>
    <n v="4.79"/>
    <n v="26103"/>
  </r>
  <r>
    <d v="2024-12-02T00:00:00"/>
    <x v="2"/>
    <n v="1441"/>
    <n v="268"/>
    <n v="309904"/>
    <n v="6.37"/>
    <n v="3455"/>
  </r>
  <r>
    <d v="2024-12-02T00:00:00"/>
    <x v="3"/>
    <n v="452"/>
    <n v="161"/>
    <n v="221274"/>
    <n v="2.65"/>
    <n v="40888"/>
  </r>
  <r>
    <d v="2024-12-09T00:00:00"/>
    <x v="0"/>
    <n v="1494"/>
    <n v="375"/>
    <n v="220616"/>
    <n v="1.81"/>
    <n v="22724"/>
  </r>
  <r>
    <d v="2024-12-09T00:00:00"/>
    <x v="1"/>
    <n v="1514"/>
    <n v="141"/>
    <n v="35842"/>
    <n v="7.47"/>
    <n v="18601"/>
  </r>
  <r>
    <d v="2024-12-09T00:00:00"/>
    <x v="2"/>
    <n v="1937"/>
    <n v="210"/>
    <n v="20607"/>
    <n v="4.2"/>
    <n v="20861"/>
  </r>
  <r>
    <d v="2024-12-09T00:00:00"/>
    <x v="3"/>
    <n v="736"/>
    <n v="163"/>
    <n v="451894"/>
    <n v="5.43"/>
    <n v="46625"/>
  </r>
  <r>
    <d v="2024-12-16T00:00:00"/>
    <x v="0"/>
    <n v="1502"/>
    <n v="70"/>
    <n v="465553"/>
    <n v="3.32"/>
    <n v="20692"/>
  </r>
  <r>
    <d v="2024-12-16T00:00:00"/>
    <x v="1"/>
    <n v="1623"/>
    <n v="246"/>
    <n v="415815"/>
    <n v="8.11"/>
    <n v="18656"/>
  </r>
  <r>
    <d v="2024-12-16T00:00:00"/>
    <x v="2"/>
    <n v="1592"/>
    <n v="233"/>
    <n v="327183"/>
    <n v="6.66"/>
    <n v="13316"/>
  </r>
  <r>
    <d v="2024-12-16T00:00:00"/>
    <x v="3"/>
    <n v="1004"/>
    <n v="128"/>
    <n v="488901"/>
    <n v="8.09"/>
    <n v="49558"/>
  </r>
  <r>
    <d v="2024-12-23T00:00:00"/>
    <x v="0"/>
    <n v="1092"/>
    <n v="408"/>
    <n v="280795"/>
    <n v="8.44"/>
    <n v="4683"/>
  </r>
  <r>
    <d v="2024-12-23T00:00:00"/>
    <x v="1"/>
    <n v="1155"/>
    <n v="425"/>
    <n v="93347"/>
    <n v="2.02"/>
    <n v="47502"/>
  </r>
  <r>
    <d v="2024-12-23T00:00:00"/>
    <x v="2"/>
    <n v="1137"/>
    <n v="226"/>
    <n v="81119"/>
    <n v="7.74"/>
    <n v="35359"/>
  </r>
  <r>
    <d v="2024-12-23T00:00:00"/>
    <x v="3"/>
    <n v="1900"/>
    <n v="311"/>
    <n v="25177"/>
    <n v="2.89"/>
    <n v="14154"/>
  </r>
  <r>
    <d v="2024-12-30T00:00:00"/>
    <x v="0"/>
    <n v="1814"/>
    <n v="49"/>
    <n v="140804"/>
    <n v="1.76"/>
    <n v="4313"/>
  </r>
  <r>
    <d v="2024-12-30T00:00:00"/>
    <x v="1"/>
    <n v="1980"/>
    <n v="204"/>
    <n v="379431"/>
    <n v="3.09"/>
    <n v="25140"/>
  </r>
  <r>
    <d v="2024-12-30T00:00:00"/>
    <x v="2"/>
    <n v="1786"/>
    <n v="257"/>
    <n v="274831"/>
    <n v="4.68"/>
    <n v="9118"/>
  </r>
  <r>
    <d v="2024-12-30T00:00:00"/>
    <x v="3"/>
    <n v="1495"/>
    <n v="35"/>
    <n v="136845"/>
    <n v="4.4800000000000004"/>
    <n v="39931"/>
  </r>
  <r>
    <d v="2025-01-06T00:00:00"/>
    <x v="0"/>
    <n v="1013"/>
    <n v="110"/>
    <n v="466382"/>
    <n v="5.3"/>
    <n v="37132"/>
  </r>
  <r>
    <d v="2025-01-06T00:00:00"/>
    <x v="1"/>
    <n v="816"/>
    <n v="196"/>
    <n v="95728"/>
    <n v="8.1999999999999993"/>
    <n v="17951"/>
  </r>
  <r>
    <d v="2025-01-06T00:00:00"/>
    <x v="2"/>
    <n v="1633"/>
    <n v="445"/>
    <n v="371156"/>
    <n v="2.2200000000000002"/>
    <n v="2798"/>
  </r>
  <r>
    <d v="2025-01-06T00:00:00"/>
    <x v="3"/>
    <n v="891"/>
    <n v="45"/>
    <n v="95410"/>
    <n v="8.33"/>
    <n v="15045"/>
  </r>
  <r>
    <d v="2025-01-13T00:00:00"/>
    <x v="0"/>
    <n v="1855"/>
    <n v="133"/>
    <n v="349413"/>
    <n v="3.3"/>
    <n v="14548"/>
  </r>
  <r>
    <d v="2025-01-13T00:00:00"/>
    <x v="1"/>
    <n v="651"/>
    <n v="353"/>
    <n v="224699"/>
    <n v="5.61"/>
    <n v="45708"/>
  </r>
  <r>
    <d v="2025-01-13T00:00:00"/>
    <x v="2"/>
    <n v="118"/>
    <n v="262"/>
    <n v="487896"/>
    <n v="2.56"/>
    <n v="12350"/>
  </r>
  <r>
    <d v="2025-01-13T00:00:00"/>
    <x v="3"/>
    <n v="1331"/>
    <n v="430"/>
    <n v="14437"/>
    <n v="3.29"/>
    <n v="40868"/>
  </r>
  <r>
    <d v="2025-01-20T00:00:00"/>
    <x v="0"/>
    <n v="1748"/>
    <n v="176"/>
    <n v="383681"/>
    <n v="9.24"/>
    <n v="43122"/>
  </r>
  <r>
    <d v="2025-01-20T00:00:00"/>
    <x v="1"/>
    <n v="663"/>
    <n v="236"/>
    <n v="479490"/>
    <n v="4.51"/>
    <n v="23853"/>
  </r>
  <r>
    <d v="2025-01-20T00:00:00"/>
    <x v="2"/>
    <n v="1040"/>
    <n v="149"/>
    <n v="124404"/>
    <n v="5.23"/>
    <n v="45380"/>
  </r>
  <r>
    <d v="2025-01-20T00:00:00"/>
    <x v="3"/>
    <n v="1166"/>
    <n v="442"/>
    <n v="336949"/>
    <n v="4.68"/>
    <n v="7705"/>
  </r>
  <r>
    <d v="2025-01-27T00:00:00"/>
    <x v="0"/>
    <n v="115"/>
    <n v="281"/>
    <n v="357265"/>
    <n v="9.23"/>
    <n v="25525"/>
  </r>
  <r>
    <d v="2025-01-27T00:00:00"/>
    <x v="1"/>
    <n v="1249"/>
    <n v="351"/>
    <n v="321307"/>
    <n v="6.37"/>
    <n v="20560"/>
  </r>
  <r>
    <d v="2025-01-27T00:00:00"/>
    <x v="2"/>
    <n v="1501"/>
    <n v="75"/>
    <n v="262569"/>
    <n v="2.0099999999999998"/>
    <n v="19119"/>
  </r>
  <r>
    <d v="2025-01-27T00:00:00"/>
    <x v="3"/>
    <n v="1411"/>
    <n v="186"/>
    <n v="461669"/>
    <n v="3.72"/>
    <n v="43999"/>
  </r>
  <r>
    <d v="2025-02-03T00:00:00"/>
    <x v="0"/>
    <n v="1556"/>
    <n v="476"/>
    <n v="351556"/>
    <n v="3.89"/>
    <n v="10825"/>
  </r>
  <r>
    <d v="2025-02-03T00:00:00"/>
    <x v="1"/>
    <n v="1159"/>
    <n v="411"/>
    <n v="135987"/>
    <n v="8.6999999999999993"/>
    <n v="40323"/>
  </r>
  <r>
    <d v="2025-02-03T00:00:00"/>
    <x v="2"/>
    <n v="927"/>
    <n v="358"/>
    <n v="177554"/>
    <n v="6.95"/>
    <n v="48270"/>
  </r>
  <r>
    <d v="2025-02-03T00:00:00"/>
    <x v="3"/>
    <n v="152"/>
    <n v="355"/>
    <n v="270766"/>
    <n v="9.48"/>
    <n v="18001"/>
  </r>
  <r>
    <d v="2025-02-10T00:00:00"/>
    <x v="0"/>
    <n v="1957"/>
    <n v="234"/>
    <n v="222126"/>
    <n v="4.6100000000000003"/>
    <n v="3314"/>
  </r>
  <r>
    <d v="2025-02-10T00:00:00"/>
    <x v="1"/>
    <n v="1294"/>
    <n v="382"/>
    <n v="309914"/>
    <n v="8.0299999999999994"/>
    <n v="23489"/>
  </r>
  <r>
    <d v="2025-02-10T00:00:00"/>
    <x v="2"/>
    <n v="1587"/>
    <n v="385"/>
    <n v="126582"/>
    <n v="6.99"/>
    <n v="42832"/>
  </r>
  <r>
    <d v="2025-02-10T00:00:00"/>
    <x v="3"/>
    <n v="1707"/>
    <n v="263"/>
    <n v="485280"/>
    <n v="9.0299999999999994"/>
    <n v="24494"/>
  </r>
  <r>
    <d v="2025-02-17T00:00:00"/>
    <x v="0"/>
    <n v="1138"/>
    <n v="173"/>
    <n v="453243"/>
    <n v="2.86"/>
    <n v="44097"/>
  </r>
  <r>
    <d v="2025-02-17T00:00:00"/>
    <x v="1"/>
    <n v="1895"/>
    <n v="305"/>
    <n v="104967"/>
    <n v="3.85"/>
    <n v="31853"/>
  </r>
  <r>
    <d v="2025-02-17T00:00:00"/>
    <x v="2"/>
    <n v="362"/>
    <n v="399"/>
    <n v="145608"/>
    <n v="7.3"/>
    <n v="37636"/>
  </r>
  <r>
    <d v="2025-02-17T00:00:00"/>
    <x v="3"/>
    <n v="1662"/>
    <n v="487"/>
    <n v="105980"/>
    <n v="9.08"/>
    <n v="22996"/>
  </r>
  <r>
    <d v="2025-02-24T00:00:00"/>
    <x v="0"/>
    <n v="1440"/>
    <n v="65"/>
    <n v="126524"/>
    <n v="4.34"/>
    <n v="49772"/>
  </r>
  <r>
    <d v="2025-02-24T00:00:00"/>
    <x v="1"/>
    <n v="1884"/>
    <n v="177"/>
    <n v="230448"/>
    <n v="7.8"/>
    <n v="22713"/>
  </r>
  <r>
    <d v="2025-02-24T00:00:00"/>
    <x v="2"/>
    <n v="861"/>
    <n v="153"/>
    <n v="317007"/>
    <n v="3.85"/>
    <n v="8718"/>
  </r>
  <r>
    <d v="2025-02-24T00:00:00"/>
    <x v="3"/>
    <n v="1063"/>
    <n v="47"/>
    <n v="464239"/>
    <n v="6.58"/>
    <n v="39031"/>
  </r>
  <r>
    <d v="2025-03-03T00:00:00"/>
    <x v="0"/>
    <n v="1371"/>
    <n v="56"/>
    <n v="257579"/>
    <n v="8.6199999999999992"/>
    <n v="33799"/>
  </r>
  <r>
    <d v="2025-03-03T00:00:00"/>
    <x v="1"/>
    <n v="345"/>
    <n v="464"/>
    <n v="366881"/>
    <n v="4.55"/>
    <n v="20553"/>
  </r>
  <r>
    <d v="2025-03-03T00:00:00"/>
    <x v="2"/>
    <n v="946"/>
    <n v="47"/>
    <n v="466575"/>
    <n v="8.33"/>
    <n v="10002"/>
  </r>
  <r>
    <d v="2025-03-03T00:00:00"/>
    <x v="3"/>
    <n v="510"/>
    <n v="195"/>
    <n v="224534"/>
    <n v="9.4"/>
    <n v="30987"/>
  </r>
  <r>
    <d v="2025-03-10T00:00:00"/>
    <x v="0"/>
    <n v="393"/>
    <n v="181"/>
    <n v="462142"/>
    <n v="7.23"/>
    <n v="6296"/>
  </r>
  <r>
    <d v="2025-03-10T00:00:00"/>
    <x v="1"/>
    <n v="1098"/>
    <n v="190"/>
    <n v="340842"/>
    <n v="9.39"/>
    <n v="21539"/>
  </r>
  <r>
    <d v="2025-03-10T00:00:00"/>
    <x v="2"/>
    <n v="1399"/>
    <n v="49"/>
    <n v="12471"/>
    <n v="5.12"/>
    <n v="14722"/>
  </r>
  <r>
    <d v="2025-03-10T00:00:00"/>
    <x v="3"/>
    <n v="1658"/>
    <n v="416"/>
    <n v="98397"/>
    <n v="6.11"/>
    <n v="11383"/>
  </r>
  <r>
    <d v="2025-03-17T00:00:00"/>
    <x v="0"/>
    <n v="1102"/>
    <n v="422"/>
    <n v="410330"/>
    <n v="7.74"/>
    <n v="9480"/>
  </r>
  <r>
    <d v="2025-03-17T00:00:00"/>
    <x v="1"/>
    <n v="1358"/>
    <n v="242"/>
    <n v="342129"/>
    <n v="4.9400000000000004"/>
    <n v="29116"/>
  </r>
  <r>
    <d v="2025-03-17T00:00:00"/>
    <x v="2"/>
    <n v="1077"/>
    <n v="216"/>
    <n v="12447"/>
    <n v="1.8"/>
    <n v="14068"/>
  </r>
  <r>
    <d v="2025-03-17T00:00:00"/>
    <x v="3"/>
    <n v="1596"/>
    <n v="211"/>
    <n v="17380"/>
    <n v="8.64"/>
    <n v="35801"/>
  </r>
  <r>
    <d v="2025-03-24T00:00:00"/>
    <x v="0"/>
    <n v="490"/>
    <n v="29"/>
    <n v="364810"/>
    <n v="1.53"/>
    <n v="49077"/>
  </r>
  <r>
    <d v="2025-03-24T00:00:00"/>
    <x v="1"/>
    <n v="609"/>
    <n v="135"/>
    <n v="373606"/>
    <n v="8.52"/>
    <n v="21453"/>
  </r>
  <r>
    <d v="2025-03-24T00:00:00"/>
    <x v="2"/>
    <n v="364"/>
    <n v="72"/>
    <n v="211090"/>
    <n v="5.53"/>
    <n v="21061"/>
  </r>
  <r>
    <d v="2025-03-24T00:00:00"/>
    <x v="3"/>
    <n v="442"/>
    <n v="53"/>
    <n v="441931"/>
    <n v="1.87"/>
    <n v="20059"/>
  </r>
  <r>
    <d v="2025-03-31T00:00:00"/>
    <x v="0"/>
    <n v="1033"/>
    <n v="392"/>
    <n v="282780"/>
    <n v="6.27"/>
    <n v="23140"/>
  </r>
  <r>
    <d v="2025-03-31T00:00:00"/>
    <x v="1"/>
    <n v="988"/>
    <n v="474"/>
    <n v="370070"/>
    <n v="9.4600000000000009"/>
    <n v="23461"/>
  </r>
  <r>
    <d v="2025-03-31T00:00:00"/>
    <x v="2"/>
    <n v="1946"/>
    <n v="270"/>
    <n v="198350"/>
    <n v="7.5"/>
    <n v="11805"/>
  </r>
  <r>
    <d v="2025-03-31T00:00:00"/>
    <x v="3"/>
    <n v="1957"/>
    <n v="490"/>
    <n v="435726"/>
    <n v="4.7300000000000004"/>
    <n v="15969"/>
  </r>
  <r>
    <d v="2025-04-07T00:00:00"/>
    <x v="0"/>
    <n v="559"/>
    <n v="392"/>
    <n v="78789"/>
    <n v="3.19"/>
    <n v="2436"/>
  </r>
  <r>
    <d v="2025-04-07T00:00:00"/>
    <x v="1"/>
    <n v="1307"/>
    <n v="278"/>
    <n v="98596"/>
    <n v="2.4900000000000002"/>
    <n v="47603"/>
  </r>
  <r>
    <d v="2025-04-07T00:00:00"/>
    <x v="2"/>
    <n v="1432"/>
    <n v="425"/>
    <n v="29589"/>
    <n v="4.5"/>
    <n v="42964"/>
  </r>
  <r>
    <d v="2025-04-07T00:00:00"/>
    <x v="3"/>
    <n v="623"/>
    <n v="414"/>
    <n v="290354"/>
    <n v="6.49"/>
    <n v="39923"/>
  </r>
  <r>
    <d v="2025-04-14T00:00:00"/>
    <x v="0"/>
    <n v="198"/>
    <n v="358"/>
    <n v="66682"/>
    <n v="6.73"/>
    <n v="2293"/>
  </r>
  <r>
    <d v="2025-04-14T00:00:00"/>
    <x v="1"/>
    <n v="198"/>
    <n v="373"/>
    <n v="70707"/>
    <n v="4.83"/>
    <n v="25920"/>
  </r>
  <r>
    <d v="2025-04-14T00:00:00"/>
    <x v="2"/>
    <n v="353"/>
    <n v="300"/>
    <n v="142507"/>
    <n v="5.3"/>
    <n v="11035"/>
  </r>
  <r>
    <d v="2025-04-14T00:00:00"/>
    <x v="3"/>
    <n v="520"/>
    <n v="375"/>
    <n v="369525"/>
    <n v="6.54"/>
    <n v="20733"/>
  </r>
  <r>
    <d v="2025-04-21T00:00:00"/>
    <x v="0"/>
    <n v="961"/>
    <n v="358"/>
    <n v="62942"/>
    <n v="6.8"/>
    <n v="18693"/>
  </r>
  <r>
    <d v="2025-04-21T00:00:00"/>
    <x v="1"/>
    <n v="1375"/>
    <n v="330"/>
    <n v="377382"/>
    <n v="2.6"/>
    <n v="7875"/>
  </r>
  <r>
    <d v="2025-04-21T00:00:00"/>
    <x v="2"/>
    <n v="1147"/>
    <n v="388"/>
    <n v="333851"/>
    <n v="2.44"/>
    <n v="8471"/>
  </r>
  <r>
    <d v="2025-04-21T00:00:00"/>
    <x v="3"/>
    <n v="1707"/>
    <n v="74"/>
    <n v="270958"/>
    <n v="3.09"/>
    <n v="14090"/>
  </r>
  <r>
    <d v="2025-04-28T00:00:00"/>
    <x v="0"/>
    <n v="1693"/>
    <n v="154"/>
    <n v="445944"/>
    <n v="5.69"/>
    <n v="14216"/>
  </r>
  <r>
    <d v="2025-04-28T00:00:00"/>
    <x v="1"/>
    <n v="833"/>
    <n v="380"/>
    <n v="224830"/>
    <n v="3.86"/>
    <n v="3582"/>
  </r>
  <r>
    <d v="2025-04-28T00:00:00"/>
    <x v="2"/>
    <n v="1222"/>
    <n v="274"/>
    <n v="487289"/>
    <n v="3.16"/>
    <n v="32500"/>
  </r>
  <r>
    <d v="2025-04-28T00:00:00"/>
    <x v="3"/>
    <n v="777"/>
    <n v="140"/>
    <n v="11435"/>
    <n v="1.6"/>
    <n v="6832"/>
  </r>
  <r>
    <d v="2025-05-05T00:00:00"/>
    <x v="0"/>
    <n v="1957"/>
    <n v="76"/>
    <n v="447902"/>
    <n v="6.09"/>
    <n v="33381"/>
  </r>
  <r>
    <d v="2025-05-05T00:00:00"/>
    <x v="1"/>
    <n v="405"/>
    <n v="66"/>
    <n v="418696"/>
    <n v="5.59"/>
    <n v="48419"/>
  </r>
  <r>
    <d v="2025-05-05T00:00:00"/>
    <x v="2"/>
    <n v="1581"/>
    <n v="71"/>
    <n v="484364"/>
    <n v="3.55"/>
    <n v="16149"/>
  </r>
  <r>
    <d v="2025-05-05T00:00:00"/>
    <x v="3"/>
    <n v="1035"/>
    <n v="171"/>
    <n v="148477"/>
    <n v="5.21"/>
    <n v="7541"/>
  </r>
  <r>
    <d v="2025-05-12T00:00:00"/>
    <x v="0"/>
    <n v="1765"/>
    <n v="109"/>
    <n v="468301"/>
    <n v="1.82"/>
    <n v="20042"/>
  </r>
  <r>
    <d v="2025-05-12T00:00:00"/>
    <x v="1"/>
    <n v="837"/>
    <n v="430"/>
    <n v="364820"/>
    <n v="4"/>
    <n v="49400"/>
  </r>
  <r>
    <d v="2025-05-12T00:00:00"/>
    <x v="2"/>
    <n v="337"/>
    <n v="68"/>
    <n v="456298"/>
    <n v="7.57"/>
    <n v="4007"/>
  </r>
  <r>
    <d v="2025-05-12T00:00:00"/>
    <x v="3"/>
    <n v="119"/>
    <n v="456"/>
    <n v="82558"/>
    <n v="6.81"/>
    <n v="1217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344084"/>
    <n v="8.06"/>
    <n v="5904"/>
    <n v="1289.7727272727273"/>
  </r>
  <r>
    <d v="2024-06-03T00:00:00"/>
    <x v="1"/>
    <n v="1312"/>
    <n v="310"/>
    <n v="42654"/>
    <n v="4.9800000000000004"/>
    <n v="9566"/>
    <n v="423.22580645161293"/>
  </r>
  <r>
    <d v="2024-06-03T00:00:00"/>
    <x v="2"/>
    <n v="584"/>
    <n v="169"/>
    <n v="146834"/>
    <n v="8.31"/>
    <n v="26752"/>
    <n v="345.5621301775148"/>
  </r>
  <r>
    <d v="2024-06-03T00:00:00"/>
    <x v="3"/>
    <n v="1535"/>
    <n v="445"/>
    <n v="395536"/>
    <n v="4.1100000000000003"/>
    <n v="30671"/>
    <n v="344.9438202247191"/>
  </r>
  <r>
    <d v="2024-06-10T00:00:00"/>
    <x v="0"/>
    <n v="656"/>
    <n v="139"/>
    <n v="49157"/>
    <n v="9.0500000000000007"/>
    <n v="9920"/>
    <n v="471.94244604316549"/>
  </r>
  <r>
    <d v="2024-06-10T00:00:00"/>
    <x v="1"/>
    <n v="1697"/>
    <n v="414"/>
    <n v="316555"/>
    <n v="2.37"/>
    <n v="7924"/>
    <n v="409.9033816425121"/>
  </r>
  <r>
    <d v="2024-06-10T00:00:00"/>
    <x v="2"/>
    <n v="436"/>
    <n v="250"/>
    <n v="254347"/>
    <n v="4.01"/>
    <n v="8912"/>
    <n v="174.4"/>
  </r>
  <r>
    <d v="2024-06-10T00:00:00"/>
    <x v="3"/>
    <n v="1197"/>
    <n v="203"/>
    <n v="413878"/>
    <n v="3.16"/>
    <n v="21205"/>
    <n v="589.65517241379303"/>
  </r>
  <r>
    <d v="2024-06-17T00:00:00"/>
    <x v="0"/>
    <n v="1048"/>
    <n v="155"/>
    <n v="456946"/>
    <n v="2.46"/>
    <n v="11329"/>
    <n v="676.12903225806451"/>
  </r>
  <r>
    <d v="2024-06-17T00:00:00"/>
    <x v="1"/>
    <n v="1753"/>
    <n v="371"/>
    <n v="169496"/>
    <n v="8.11"/>
    <n v="46670"/>
    <n v="472.50673854447439"/>
  </r>
  <r>
    <d v="2024-06-17T00:00:00"/>
    <x v="2"/>
    <n v="1335"/>
    <n v="40"/>
    <n v="122732"/>
    <n v="8.19"/>
    <n v="22482"/>
    <n v="3337.5"/>
  </r>
  <r>
    <d v="2024-06-17T00:00:00"/>
    <x v="3"/>
    <n v="403"/>
    <n v="66"/>
    <n v="382851"/>
    <n v="3.49"/>
    <n v="24313"/>
    <n v="610.60606060606062"/>
  </r>
  <r>
    <d v="2024-06-24T00:00:00"/>
    <x v="0"/>
    <n v="911"/>
    <n v="282"/>
    <n v="35664"/>
    <n v="6.92"/>
    <n v="18050"/>
    <n v="323.04964539007091"/>
  </r>
  <r>
    <d v="2024-06-24T00:00:00"/>
    <x v="1"/>
    <n v="1779"/>
    <n v="109"/>
    <n v="26295"/>
    <n v="9.1199999999999992"/>
    <n v="30635"/>
    <n v="1632.1100917431193"/>
  </r>
  <r>
    <d v="2024-06-24T00:00:00"/>
    <x v="2"/>
    <n v="1238"/>
    <n v="403"/>
    <n v="298421"/>
    <n v="3.5"/>
    <n v="31280"/>
    <n v="307.19602977667495"/>
  </r>
  <r>
    <d v="2024-06-24T00:00:00"/>
    <x v="3"/>
    <n v="308"/>
    <n v="431"/>
    <n v="426184"/>
    <n v="2.62"/>
    <n v="1783"/>
    <n v="71.461716937354993"/>
  </r>
  <r>
    <d v="2024-07-01T00:00:00"/>
    <x v="0"/>
    <n v="226"/>
    <n v="445"/>
    <n v="419447"/>
    <n v="9.36"/>
    <n v="9566"/>
    <n v="50.786516853932582"/>
  </r>
  <r>
    <d v="2024-07-01T00:00:00"/>
    <x v="1"/>
    <n v="505"/>
    <n v="441"/>
    <n v="220020"/>
    <n v="4.4800000000000004"/>
    <n v="42307"/>
    <n v="114.51247165532881"/>
  </r>
  <r>
    <d v="2024-07-01T00:00:00"/>
    <x v="2"/>
    <n v="1420"/>
    <n v="63"/>
    <n v="315305"/>
    <n v="6.19"/>
    <n v="5914"/>
    <n v="2253.968253968254"/>
  </r>
  <r>
    <d v="2024-07-01T00:00:00"/>
    <x v="3"/>
    <n v="144"/>
    <n v="53"/>
    <n v="113678"/>
    <n v="8.7200000000000006"/>
    <n v="30060"/>
    <n v="271.69811320754718"/>
  </r>
  <r>
    <d v="2024-07-08T00:00:00"/>
    <x v="0"/>
    <n v="1757"/>
    <n v="85"/>
    <n v="58223"/>
    <n v="8.74"/>
    <n v="22728"/>
    <n v="2067.0588235294117"/>
  </r>
  <r>
    <d v="2024-07-08T00:00:00"/>
    <x v="1"/>
    <n v="350"/>
    <n v="41"/>
    <n v="251694"/>
    <n v="1.91"/>
    <n v="38610"/>
    <n v="853.65853658536594"/>
  </r>
  <r>
    <d v="2024-07-08T00:00:00"/>
    <x v="2"/>
    <n v="987"/>
    <n v="440"/>
    <n v="389810"/>
    <n v="4.66"/>
    <n v="2932"/>
    <n v="224.31818181818181"/>
  </r>
  <r>
    <d v="2024-07-08T00:00:00"/>
    <x v="3"/>
    <n v="883"/>
    <n v="369"/>
    <n v="233694"/>
    <n v="2.88"/>
    <n v="15071"/>
    <n v="239.29539295392951"/>
  </r>
  <r>
    <d v="2024-07-15T00:00:00"/>
    <x v="0"/>
    <n v="1960"/>
    <n v="115"/>
    <n v="154169"/>
    <n v="3.74"/>
    <n v="10740"/>
    <n v="1704.3478260869567"/>
  </r>
  <r>
    <d v="2024-07-15T00:00:00"/>
    <x v="1"/>
    <n v="170"/>
    <n v="334"/>
    <n v="334626"/>
    <n v="6.44"/>
    <n v="43420"/>
    <n v="50.898203592814376"/>
  </r>
  <r>
    <d v="2024-07-15T00:00:00"/>
    <x v="2"/>
    <n v="704"/>
    <n v="275"/>
    <n v="226002"/>
    <n v="8.56"/>
    <n v="32393"/>
    <n v="256"/>
  </r>
  <r>
    <d v="2024-07-15T00:00:00"/>
    <x v="3"/>
    <n v="224"/>
    <n v="64"/>
    <n v="156683"/>
    <n v="4.5599999999999996"/>
    <n v="28474"/>
    <n v="350"/>
  </r>
  <r>
    <d v="2024-07-22T00:00:00"/>
    <x v="0"/>
    <n v="508"/>
    <n v="349"/>
    <n v="473812"/>
    <n v="7.88"/>
    <n v="17328"/>
    <n v="145.55873925501433"/>
  </r>
  <r>
    <d v="2024-07-22T00:00:00"/>
    <x v="1"/>
    <n v="1391"/>
    <n v="430"/>
    <n v="295032"/>
    <n v="7.86"/>
    <n v="26067"/>
    <n v="323.48837209302326"/>
  </r>
  <r>
    <d v="2024-07-22T00:00:00"/>
    <x v="2"/>
    <n v="1701"/>
    <n v="385"/>
    <n v="198278"/>
    <n v="5.34"/>
    <n v="32763"/>
    <n v="441.81818181818181"/>
  </r>
  <r>
    <d v="2024-07-22T00:00:00"/>
    <x v="3"/>
    <n v="804"/>
    <n v="487"/>
    <n v="306564"/>
    <n v="5.52"/>
    <n v="26452"/>
    <n v="165.09240246406571"/>
  </r>
  <r>
    <d v="2024-07-29T00:00:00"/>
    <x v="0"/>
    <n v="653"/>
    <n v="112"/>
    <n v="23664"/>
    <n v="4.05"/>
    <n v="15353"/>
    <n v="583.03571428571433"/>
  </r>
  <r>
    <d v="2024-07-29T00:00:00"/>
    <x v="1"/>
    <n v="160"/>
    <n v="478"/>
    <n v="435034"/>
    <n v="7.73"/>
    <n v="4839"/>
    <n v="33.472803347280333"/>
  </r>
  <r>
    <d v="2024-07-29T00:00:00"/>
    <x v="2"/>
    <n v="1756"/>
    <n v="261"/>
    <n v="287574"/>
    <n v="4.3600000000000003"/>
    <n v="39272"/>
    <n v="672.79693486590043"/>
  </r>
  <r>
    <d v="2024-07-29T00:00:00"/>
    <x v="3"/>
    <n v="576"/>
    <n v="101"/>
    <n v="62499"/>
    <n v="3.48"/>
    <n v="16804"/>
    <n v="570.29702970297024"/>
  </r>
  <r>
    <d v="2024-08-05T00:00:00"/>
    <x v="0"/>
    <n v="645"/>
    <n v="293"/>
    <n v="437968"/>
    <n v="7.83"/>
    <n v="49303"/>
    <n v="220.13651877133105"/>
  </r>
  <r>
    <d v="2024-08-05T00:00:00"/>
    <x v="1"/>
    <n v="214"/>
    <n v="411"/>
    <n v="125034"/>
    <n v="6.11"/>
    <n v="26455"/>
    <n v="52.068126520681268"/>
  </r>
  <r>
    <d v="2024-08-05T00:00:00"/>
    <x v="2"/>
    <n v="826"/>
    <n v="498"/>
    <n v="449994"/>
    <n v="9.43"/>
    <n v="12384"/>
    <n v="165.86345381526104"/>
  </r>
  <r>
    <d v="2024-08-05T00:00:00"/>
    <x v="3"/>
    <n v="460"/>
    <n v="141"/>
    <n v="320650"/>
    <n v="4.04"/>
    <n v="49372"/>
    <n v="326.24113475177302"/>
  </r>
  <r>
    <d v="2024-08-12T00:00:00"/>
    <x v="0"/>
    <n v="1528"/>
    <n v="203"/>
    <n v="489188"/>
    <n v="6.23"/>
    <n v="47101"/>
    <n v="752.70935960591135"/>
  </r>
  <r>
    <d v="2024-08-12T00:00:00"/>
    <x v="1"/>
    <n v="1534"/>
    <n v="200"/>
    <n v="307612"/>
    <n v="6.01"/>
    <n v="37903"/>
    <n v="767"/>
  </r>
  <r>
    <d v="2024-08-12T00:00:00"/>
    <x v="2"/>
    <n v="485"/>
    <n v="448"/>
    <n v="434883"/>
    <n v="8.5500000000000007"/>
    <n v="33258"/>
    <n v="108.25892857142858"/>
  </r>
  <r>
    <d v="2024-08-12T00:00:00"/>
    <x v="3"/>
    <n v="1210"/>
    <n v="178"/>
    <n v="102042"/>
    <n v="5.42"/>
    <n v="6915"/>
    <n v="679.77528089887642"/>
  </r>
  <r>
    <d v="2024-08-19T00:00:00"/>
    <x v="0"/>
    <n v="215"/>
    <n v="139"/>
    <n v="325444"/>
    <n v="3.25"/>
    <n v="35501"/>
    <n v="154.67625899280574"/>
  </r>
  <r>
    <d v="2024-08-19T00:00:00"/>
    <x v="1"/>
    <n v="1078"/>
    <n v="20"/>
    <n v="183924"/>
    <n v="8.84"/>
    <n v="14203"/>
    <n v="5390"/>
  </r>
  <r>
    <d v="2024-08-19T00:00:00"/>
    <x v="2"/>
    <n v="1751"/>
    <n v="86"/>
    <n v="188655"/>
    <n v="7.24"/>
    <n v="22206"/>
    <n v="2036.046511627907"/>
  </r>
  <r>
    <d v="2024-08-19T00:00:00"/>
    <x v="3"/>
    <n v="221"/>
    <n v="31"/>
    <n v="87443"/>
    <n v="6.19"/>
    <n v="10283"/>
    <n v="712.90322580645159"/>
  </r>
  <r>
    <d v="2024-08-26T00:00:00"/>
    <x v="0"/>
    <n v="1685"/>
    <n v="76"/>
    <n v="453799"/>
    <n v="5.71"/>
    <n v="24913"/>
    <n v="2217.105263157895"/>
  </r>
  <r>
    <d v="2024-08-26T00:00:00"/>
    <x v="1"/>
    <n v="248"/>
    <n v="211"/>
    <n v="379380"/>
    <n v="9.0399999999999991"/>
    <n v="26925"/>
    <n v="117.53554502369667"/>
  </r>
  <r>
    <d v="2024-08-26T00:00:00"/>
    <x v="2"/>
    <n v="1300"/>
    <n v="71"/>
    <n v="186454"/>
    <n v="3.91"/>
    <n v="9942"/>
    <n v="1830.9859154929577"/>
  </r>
  <r>
    <d v="2024-08-26T00:00:00"/>
    <x v="3"/>
    <n v="422"/>
    <n v="394"/>
    <n v="239044"/>
    <n v="7.83"/>
    <n v="32929"/>
    <n v="107.10659898477158"/>
  </r>
  <r>
    <d v="2024-09-02T00:00:00"/>
    <x v="0"/>
    <n v="1429"/>
    <n v="182"/>
    <n v="101332"/>
    <n v="7.16"/>
    <n v="37829"/>
    <n v="785.16483516483515"/>
  </r>
  <r>
    <d v="2024-09-02T00:00:00"/>
    <x v="1"/>
    <n v="1520"/>
    <n v="475"/>
    <n v="496982"/>
    <n v="6.41"/>
    <n v="24384"/>
    <n v="320"/>
  </r>
  <r>
    <d v="2024-09-02T00:00:00"/>
    <x v="2"/>
    <n v="557"/>
    <n v="360"/>
    <n v="318779"/>
    <n v="8.02"/>
    <n v="25797"/>
    <n v="154.72222222222223"/>
  </r>
  <r>
    <d v="2024-09-02T00:00:00"/>
    <x v="3"/>
    <n v="728"/>
    <n v="395"/>
    <n v="370971"/>
    <n v="3.86"/>
    <n v="12646"/>
    <n v="184.30379746835445"/>
  </r>
  <r>
    <d v="2024-09-09T00:00:00"/>
    <x v="0"/>
    <n v="1592"/>
    <n v="20"/>
    <n v="378054"/>
    <n v="9.09"/>
    <n v="26663"/>
    <n v="7959.9999999999991"/>
  </r>
  <r>
    <d v="2024-09-09T00:00:00"/>
    <x v="1"/>
    <n v="1842"/>
    <n v="414"/>
    <n v="307524"/>
    <n v="1.76"/>
    <n v="40478"/>
    <n v="444.92753623188406"/>
  </r>
  <r>
    <d v="2024-09-09T00:00:00"/>
    <x v="2"/>
    <n v="751"/>
    <n v="491"/>
    <n v="434047"/>
    <n v="9.24"/>
    <n v="15476"/>
    <n v="152.9531568228106"/>
  </r>
  <r>
    <d v="2024-09-09T00:00:00"/>
    <x v="3"/>
    <n v="1409"/>
    <n v="309"/>
    <n v="64583"/>
    <n v="8.99"/>
    <n v="10217"/>
    <n v="455.98705501618122"/>
  </r>
  <r>
    <d v="2024-09-16T00:00:00"/>
    <x v="0"/>
    <n v="778"/>
    <n v="401"/>
    <n v="50793"/>
    <n v="3.4"/>
    <n v="21939"/>
    <n v="194.0149625935162"/>
  </r>
  <r>
    <d v="2024-09-16T00:00:00"/>
    <x v="1"/>
    <n v="443"/>
    <n v="345"/>
    <n v="474162"/>
    <n v="9.1999999999999993"/>
    <n v="47462"/>
    <n v="128.40579710144928"/>
  </r>
  <r>
    <d v="2024-09-16T00:00:00"/>
    <x v="2"/>
    <n v="1472"/>
    <n v="347"/>
    <n v="392355"/>
    <n v="8.59"/>
    <n v="30270"/>
    <n v="424.20749279538904"/>
  </r>
  <r>
    <d v="2024-09-16T00:00:00"/>
    <x v="3"/>
    <n v="123"/>
    <n v="155"/>
    <n v="119934"/>
    <n v="3.5"/>
    <n v="5442"/>
    <n v="79.354838709677423"/>
  </r>
  <r>
    <d v="2024-09-23T00:00:00"/>
    <x v="0"/>
    <n v="817"/>
    <n v="151"/>
    <n v="422625"/>
    <n v="2.36"/>
    <n v="1083"/>
    <n v="541.05960264900659"/>
  </r>
  <r>
    <d v="2024-09-23T00:00:00"/>
    <x v="1"/>
    <n v="198"/>
    <n v="217"/>
    <n v="239753"/>
    <n v="7.36"/>
    <n v="11901"/>
    <n v="91.244239631336413"/>
  </r>
  <r>
    <d v="2024-09-23T00:00:00"/>
    <x v="2"/>
    <n v="1911"/>
    <n v="231"/>
    <n v="268516"/>
    <n v="8.5500000000000007"/>
    <n v="24018"/>
    <n v="827.27272727272737"/>
  </r>
  <r>
    <d v="2024-09-23T00:00:00"/>
    <x v="3"/>
    <n v="1218"/>
    <n v="212"/>
    <n v="63177"/>
    <n v="8.1300000000000008"/>
    <n v="38883"/>
    <n v="574.52830188679252"/>
  </r>
  <r>
    <d v="2024-09-30T00:00:00"/>
    <x v="0"/>
    <n v="1433"/>
    <n v="408"/>
    <n v="370269"/>
    <n v="3.3"/>
    <n v="30575"/>
    <n v="351.22549019607845"/>
  </r>
  <r>
    <d v="2024-09-30T00:00:00"/>
    <x v="1"/>
    <n v="250"/>
    <n v="429"/>
    <n v="453423"/>
    <n v="1.77"/>
    <n v="2315"/>
    <n v="58.275058275058278"/>
  </r>
  <r>
    <d v="2024-09-30T00:00:00"/>
    <x v="2"/>
    <n v="752"/>
    <n v="153"/>
    <n v="64906"/>
    <n v="2.09"/>
    <n v="12148"/>
    <n v="491.50326797385623"/>
  </r>
  <r>
    <d v="2024-09-30T00:00:00"/>
    <x v="3"/>
    <n v="1918"/>
    <n v="212"/>
    <n v="94360"/>
    <n v="7.36"/>
    <n v="36851"/>
    <n v="904.71698113207549"/>
  </r>
  <r>
    <d v="2024-10-07T00:00:00"/>
    <x v="0"/>
    <n v="1939"/>
    <n v="67"/>
    <n v="187183"/>
    <n v="6.25"/>
    <n v="41215"/>
    <n v="2894.0298507462685"/>
  </r>
  <r>
    <d v="2024-10-07T00:00:00"/>
    <x v="1"/>
    <n v="1929"/>
    <n v="267"/>
    <n v="379363"/>
    <n v="1.75"/>
    <n v="43836"/>
    <n v="722.47191011235952"/>
  </r>
  <r>
    <d v="2024-10-07T00:00:00"/>
    <x v="2"/>
    <n v="437"/>
    <n v="330"/>
    <n v="476486"/>
    <n v="4.97"/>
    <n v="4509"/>
    <n v="132.42424242424244"/>
  </r>
  <r>
    <d v="2024-10-07T00:00:00"/>
    <x v="3"/>
    <n v="307"/>
    <n v="189"/>
    <n v="117767"/>
    <n v="9.3000000000000007"/>
    <n v="27822"/>
    <n v="162.43386243386243"/>
  </r>
  <r>
    <d v="2024-10-14T00:00:00"/>
    <x v="0"/>
    <n v="1527"/>
    <n v="303"/>
    <n v="388555"/>
    <n v="8.9"/>
    <n v="36397"/>
    <n v="503.96039603960395"/>
  </r>
  <r>
    <d v="2024-10-14T00:00:00"/>
    <x v="1"/>
    <n v="643"/>
    <n v="358"/>
    <n v="157599"/>
    <n v="3.88"/>
    <n v="7285"/>
    <n v="179.60893854748602"/>
  </r>
  <r>
    <d v="2024-10-14T00:00:00"/>
    <x v="2"/>
    <n v="201"/>
    <n v="221"/>
    <n v="309772"/>
    <n v="5.9"/>
    <n v="33174"/>
    <n v="90.950226244343895"/>
  </r>
  <r>
    <d v="2024-10-14T00:00:00"/>
    <x v="3"/>
    <n v="414"/>
    <n v="47"/>
    <n v="199178"/>
    <n v="1.53"/>
    <n v="6742"/>
    <n v="880.85106382978711"/>
  </r>
  <r>
    <d v="2024-10-21T00:00:00"/>
    <x v="0"/>
    <n v="703"/>
    <n v="441"/>
    <n v="357089"/>
    <n v="6.5"/>
    <n v="32478"/>
    <n v="159.41043083900226"/>
  </r>
  <r>
    <d v="2024-10-21T00:00:00"/>
    <x v="1"/>
    <n v="508"/>
    <n v="69"/>
    <n v="23492"/>
    <n v="3.16"/>
    <n v="42824"/>
    <n v="736.231884057971"/>
  </r>
  <r>
    <d v="2024-10-21T00:00:00"/>
    <x v="2"/>
    <n v="697"/>
    <n v="61"/>
    <n v="258287"/>
    <n v="8.25"/>
    <n v="21208"/>
    <n v="1142.622950819672"/>
  </r>
  <r>
    <d v="2024-10-21T00:00:00"/>
    <x v="3"/>
    <n v="1707"/>
    <n v="223"/>
    <n v="256910"/>
    <n v="5.41"/>
    <n v="44321"/>
    <n v="765.4708520179372"/>
  </r>
  <r>
    <d v="2024-10-28T00:00:00"/>
    <x v="0"/>
    <n v="642"/>
    <n v="66"/>
    <n v="346522"/>
    <n v="5.85"/>
    <n v="13116"/>
    <n v="972.72727272727263"/>
  </r>
  <r>
    <d v="2024-10-28T00:00:00"/>
    <x v="1"/>
    <n v="859"/>
    <n v="473"/>
    <n v="209987"/>
    <n v="4.46"/>
    <n v="30214"/>
    <n v="181.60676532769554"/>
  </r>
  <r>
    <d v="2024-10-28T00:00:00"/>
    <x v="2"/>
    <n v="191"/>
    <n v="154"/>
    <n v="240550"/>
    <n v="5.22"/>
    <n v="15827"/>
    <n v="124.02597402597402"/>
  </r>
  <r>
    <d v="2024-10-28T00:00:00"/>
    <x v="3"/>
    <n v="1814"/>
    <n v="157"/>
    <n v="305827"/>
    <n v="1.99"/>
    <n v="46643"/>
    <n v="1155.4140127388537"/>
  </r>
  <r>
    <d v="2024-11-04T00:00:00"/>
    <x v="0"/>
    <n v="1466"/>
    <n v="69"/>
    <n v="54935"/>
    <n v="6.85"/>
    <n v="36484"/>
    <n v="2124.6376811594205"/>
  </r>
  <r>
    <d v="2024-11-04T00:00:00"/>
    <x v="1"/>
    <n v="947"/>
    <n v="407"/>
    <n v="319186"/>
    <n v="3.32"/>
    <n v="4996"/>
    <n v="232.6781326781327"/>
  </r>
  <r>
    <d v="2024-11-04T00:00:00"/>
    <x v="2"/>
    <n v="1821"/>
    <n v="218"/>
    <n v="439080"/>
    <n v="5.68"/>
    <n v="36095"/>
    <n v="835.32110091743129"/>
  </r>
  <r>
    <d v="2024-11-04T00:00:00"/>
    <x v="3"/>
    <n v="1507"/>
    <n v="463"/>
    <n v="258944"/>
    <n v="6.08"/>
    <n v="16443"/>
    <n v="325.48596112311014"/>
  </r>
  <r>
    <d v="2024-11-11T00:00:00"/>
    <x v="0"/>
    <n v="1075"/>
    <n v="173"/>
    <n v="51395"/>
    <n v="4.66"/>
    <n v="47812"/>
    <n v="621.38728323699422"/>
  </r>
  <r>
    <d v="2024-11-11T00:00:00"/>
    <x v="1"/>
    <n v="171"/>
    <n v="277"/>
    <n v="309483"/>
    <n v="8.6999999999999993"/>
    <n v="38452"/>
    <n v="61.73285198555957"/>
  </r>
  <r>
    <d v="2024-11-11T00:00:00"/>
    <x v="2"/>
    <n v="1487"/>
    <n v="337"/>
    <n v="87305"/>
    <n v="2.46"/>
    <n v="30428"/>
    <n v="441.246290801187"/>
  </r>
  <r>
    <d v="2024-11-11T00:00:00"/>
    <x v="3"/>
    <n v="454"/>
    <n v="105"/>
    <n v="121091"/>
    <n v="7.97"/>
    <n v="9269"/>
    <n v="432.38095238095235"/>
  </r>
  <r>
    <d v="2024-11-18T00:00:00"/>
    <x v="0"/>
    <n v="187"/>
    <n v="236"/>
    <n v="51087"/>
    <n v="9.41"/>
    <n v="29533"/>
    <n v="79.237288135593218"/>
  </r>
  <r>
    <d v="2024-11-18T00:00:00"/>
    <x v="1"/>
    <n v="513"/>
    <n v="441"/>
    <n v="338847"/>
    <n v="2.68"/>
    <n v="39997"/>
    <n v="116.32653061224489"/>
  </r>
  <r>
    <d v="2024-11-18T00:00:00"/>
    <x v="2"/>
    <n v="628"/>
    <n v="183"/>
    <n v="487523"/>
    <n v="7.32"/>
    <n v="5391"/>
    <n v="343.16939890710381"/>
  </r>
  <r>
    <d v="2024-11-18T00:00:00"/>
    <x v="3"/>
    <n v="278"/>
    <n v="218"/>
    <n v="301695"/>
    <n v="4.68"/>
    <n v="22373"/>
    <n v="127.52293577981651"/>
  </r>
  <r>
    <d v="2024-11-25T00:00:00"/>
    <x v="0"/>
    <n v="1854"/>
    <n v="161"/>
    <n v="282466"/>
    <n v="5.17"/>
    <n v="1810"/>
    <n v="1151.5527950310559"/>
  </r>
  <r>
    <d v="2024-11-25T00:00:00"/>
    <x v="1"/>
    <n v="1710"/>
    <n v="378"/>
    <n v="336661"/>
    <n v="6.2"/>
    <n v="28498"/>
    <n v="452.38095238095235"/>
  </r>
  <r>
    <d v="2024-11-25T00:00:00"/>
    <x v="2"/>
    <n v="330"/>
    <n v="232"/>
    <n v="88455"/>
    <n v="2.69"/>
    <n v="39530"/>
    <n v="142.24137931034483"/>
  </r>
  <r>
    <d v="2024-11-25T00:00:00"/>
    <x v="3"/>
    <n v="1293"/>
    <n v="408"/>
    <n v="62535"/>
    <n v="8.9"/>
    <n v="37876"/>
    <n v="316.91176470588232"/>
  </r>
  <r>
    <d v="2024-12-02T00:00:00"/>
    <x v="0"/>
    <n v="1696"/>
    <n v="71"/>
    <n v="421957"/>
    <n v="3.79"/>
    <n v="36103"/>
    <n v="2388.7323943661972"/>
  </r>
  <r>
    <d v="2024-12-02T00:00:00"/>
    <x v="1"/>
    <n v="1902"/>
    <n v="196"/>
    <n v="470269"/>
    <n v="4.79"/>
    <n v="26103"/>
    <n v="970.40816326530614"/>
  </r>
  <r>
    <d v="2024-12-02T00:00:00"/>
    <x v="2"/>
    <n v="1441"/>
    <n v="268"/>
    <n v="309904"/>
    <n v="6.37"/>
    <n v="3455"/>
    <n v="537.68656716417911"/>
  </r>
  <r>
    <d v="2024-12-02T00:00:00"/>
    <x v="3"/>
    <n v="452"/>
    <n v="161"/>
    <n v="221274"/>
    <n v="2.65"/>
    <n v="40888"/>
    <n v="280.74534161490681"/>
  </r>
  <r>
    <d v="2024-12-09T00:00:00"/>
    <x v="0"/>
    <n v="1494"/>
    <n v="375"/>
    <n v="220616"/>
    <n v="1.81"/>
    <n v="22724"/>
    <n v="398.4"/>
  </r>
  <r>
    <d v="2024-12-09T00:00:00"/>
    <x v="1"/>
    <n v="1514"/>
    <n v="141"/>
    <n v="35842"/>
    <n v="7.47"/>
    <n v="18601"/>
    <n v="1073.758865248227"/>
  </r>
  <r>
    <d v="2024-12-09T00:00:00"/>
    <x v="2"/>
    <n v="1937"/>
    <n v="210"/>
    <n v="20607"/>
    <n v="4.2"/>
    <n v="20861"/>
    <n v="922.38095238095229"/>
  </r>
  <r>
    <d v="2024-12-09T00:00:00"/>
    <x v="3"/>
    <n v="736"/>
    <n v="163"/>
    <n v="451894"/>
    <n v="5.43"/>
    <n v="46625"/>
    <n v="451.53374233128829"/>
  </r>
  <r>
    <d v="2024-12-16T00:00:00"/>
    <x v="0"/>
    <n v="1502"/>
    <n v="70"/>
    <n v="465553"/>
    <n v="3.32"/>
    <n v="20692"/>
    <n v="2145.7142857142853"/>
  </r>
  <r>
    <d v="2024-12-16T00:00:00"/>
    <x v="1"/>
    <n v="1623"/>
    <n v="246"/>
    <n v="415815"/>
    <n v="8.11"/>
    <n v="18656"/>
    <n v="659.7560975609756"/>
  </r>
  <r>
    <d v="2024-12-16T00:00:00"/>
    <x v="2"/>
    <n v="1592"/>
    <n v="233"/>
    <n v="327183"/>
    <n v="6.66"/>
    <n v="13316"/>
    <n v="683.26180257510737"/>
  </r>
  <r>
    <d v="2024-12-16T00:00:00"/>
    <x v="3"/>
    <n v="1004"/>
    <n v="128"/>
    <n v="488901"/>
    <n v="8.09"/>
    <n v="49558"/>
    <n v="784.375"/>
  </r>
  <r>
    <d v="2024-12-23T00:00:00"/>
    <x v="0"/>
    <n v="1092"/>
    <n v="408"/>
    <n v="280795"/>
    <n v="8.44"/>
    <n v="4683"/>
    <n v="267.64705882352939"/>
  </r>
  <r>
    <d v="2024-12-23T00:00:00"/>
    <x v="1"/>
    <n v="1155"/>
    <n v="425"/>
    <n v="93347"/>
    <n v="2.02"/>
    <n v="47502"/>
    <n v="271.76470588235293"/>
  </r>
  <r>
    <d v="2024-12-23T00:00:00"/>
    <x v="2"/>
    <n v="1137"/>
    <n v="226"/>
    <n v="81119"/>
    <n v="7.74"/>
    <n v="35359"/>
    <n v="503.09734513274338"/>
  </r>
  <r>
    <d v="2024-12-23T00:00:00"/>
    <x v="3"/>
    <n v="1900"/>
    <n v="311"/>
    <n v="25177"/>
    <n v="2.89"/>
    <n v="14154"/>
    <n v="610.93247588424435"/>
  </r>
  <r>
    <d v="2024-12-30T00:00:00"/>
    <x v="0"/>
    <n v="1814"/>
    <n v="49"/>
    <n v="140804"/>
    <n v="1.76"/>
    <n v="4313"/>
    <n v="3702.0408163265311"/>
  </r>
  <r>
    <d v="2024-12-30T00:00:00"/>
    <x v="1"/>
    <n v="1980"/>
    <n v="204"/>
    <n v="379431"/>
    <n v="3.09"/>
    <n v="25140"/>
    <n v="970.58823529411757"/>
  </r>
  <r>
    <d v="2024-12-30T00:00:00"/>
    <x v="2"/>
    <n v="1786"/>
    <n v="257"/>
    <n v="274831"/>
    <n v="4.68"/>
    <n v="9118"/>
    <n v="694.9416342412452"/>
  </r>
  <r>
    <d v="2024-12-30T00:00:00"/>
    <x v="3"/>
    <n v="1495"/>
    <n v="35"/>
    <n v="136845"/>
    <n v="4.4800000000000004"/>
    <n v="39931"/>
    <n v="4271.4285714285716"/>
  </r>
  <r>
    <d v="2025-01-06T00:00:00"/>
    <x v="0"/>
    <n v="1013"/>
    <n v="110"/>
    <n v="466382"/>
    <n v="5.3"/>
    <n v="37132"/>
    <n v="920.90909090909088"/>
  </r>
  <r>
    <d v="2025-01-06T00:00:00"/>
    <x v="1"/>
    <n v="816"/>
    <n v="196"/>
    <n v="95728"/>
    <n v="8.1999999999999993"/>
    <n v="17951"/>
    <n v="416.32653061224494"/>
  </r>
  <r>
    <d v="2025-01-06T00:00:00"/>
    <x v="2"/>
    <n v="1633"/>
    <n v="445"/>
    <n v="371156"/>
    <n v="2.2200000000000002"/>
    <n v="2798"/>
    <n v="366.96629213483146"/>
  </r>
  <r>
    <d v="2025-01-06T00:00:00"/>
    <x v="3"/>
    <n v="891"/>
    <n v="45"/>
    <n v="95410"/>
    <n v="8.33"/>
    <n v="15045"/>
    <n v="1980"/>
  </r>
  <r>
    <d v="2025-01-13T00:00:00"/>
    <x v="0"/>
    <n v="1855"/>
    <n v="133"/>
    <n v="349413"/>
    <n v="3.3"/>
    <n v="14548"/>
    <n v="1394.7368421052631"/>
  </r>
  <r>
    <d v="2025-01-13T00:00:00"/>
    <x v="1"/>
    <n v="651"/>
    <n v="353"/>
    <n v="224699"/>
    <n v="5.61"/>
    <n v="45708"/>
    <n v="184.41926345609065"/>
  </r>
  <r>
    <d v="2025-01-13T00:00:00"/>
    <x v="2"/>
    <n v="118"/>
    <n v="262"/>
    <n v="487896"/>
    <n v="2.56"/>
    <n v="12350"/>
    <n v="45.038167938931295"/>
  </r>
  <r>
    <d v="2025-01-13T00:00:00"/>
    <x v="3"/>
    <n v="1331"/>
    <n v="430"/>
    <n v="14437"/>
    <n v="3.29"/>
    <n v="40868"/>
    <n v="309.53488372093022"/>
  </r>
  <r>
    <d v="2025-01-20T00:00:00"/>
    <x v="0"/>
    <n v="1748"/>
    <n v="176"/>
    <n v="383681"/>
    <n v="9.24"/>
    <n v="43122"/>
    <n v="993.18181818181813"/>
  </r>
  <r>
    <d v="2025-01-20T00:00:00"/>
    <x v="1"/>
    <n v="663"/>
    <n v="236"/>
    <n v="479490"/>
    <n v="4.51"/>
    <n v="23853"/>
    <n v="280.93220338983048"/>
  </r>
  <r>
    <d v="2025-01-20T00:00:00"/>
    <x v="2"/>
    <n v="1040"/>
    <n v="149"/>
    <n v="124404"/>
    <n v="5.23"/>
    <n v="45380"/>
    <n v="697.98657718120808"/>
  </r>
  <r>
    <d v="2025-01-20T00:00:00"/>
    <x v="3"/>
    <n v="1166"/>
    <n v="442"/>
    <n v="336949"/>
    <n v="4.68"/>
    <n v="7705"/>
    <n v="263.80090497737558"/>
  </r>
  <r>
    <d v="2025-01-27T00:00:00"/>
    <x v="0"/>
    <n v="115"/>
    <n v="281"/>
    <n v="357265"/>
    <n v="9.23"/>
    <n v="25525"/>
    <n v="40.92526690391459"/>
  </r>
  <r>
    <d v="2025-01-27T00:00:00"/>
    <x v="1"/>
    <n v="1249"/>
    <n v="351"/>
    <n v="321307"/>
    <n v="6.37"/>
    <n v="20560"/>
    <n v="355.84045584045583"/>
  </r>
  <r>
    <d v="2025-01-27T00:00:00"/>
    <x v="2"/>
    <n v="1501"/>
    <n v="75"/>
    <n v="262569"/>
    <n v="2.0099999999999998"/>
    <n v="19119"/>
    <n v="2001.3333333333333"/>
  </r>
  <r>
    <d v="2025-01-27T00:00:00"/>
    <x v="3"/>
    <n v="1411"/>
    <n v="186"/>
    <n v="461669"/>
    <n v="3.72"/>
    <n v="43999"/>
    <n v="758.60215053763443"/>
  </r>
  <r>
    <d v="2025-02-03T00:00:00"/>
    <x v="0"/>
    <n v="1556"/>
    <n v="476"/>
    <n v="351556"/>
    <n v="3.89"/>
    <n v="10825"/>
    <n v="326.89075630252103"/>
  </r>
  <r>
    <d v="2025-02-03T00:00:00"/>
    <x v="1"/>
    <n v="1159"/>
    <n v="411"/>
    <n v="135987"/>
    <n v="8.6999999999999993"/>
    <n v="40323"/>
    <n v="281.99513381995132"/>
  </r>
  <r>
    <d v="2025-02-03T00:00:00"/>
    <x v="2"/>
    <n v="927"/>
    <n v="358"/>
    <n v="177554"/>
    <n v="6.95"/>
    <n v="48270"/>
    <n v="258.93854748603349"/>
  </r>
  <r>
    <d v="2025-02-03T00:00:00"/>
    <x v="3"/>
    <n v="152"/>
    <n v="355"/>
    <n v="270766"/>
    <n v="9.48"/>
    <n v="18001"/>
    <n v="42.816901408450704"/>
  </r>
  <r>
    <d v="2025-02-10T00:00:00"/>
    <x v="0"/>
    <n v="1957"/>
    <n v="234"/>
    <n v="222126"/>
    <n v="4.6100000000000003"/>
    <n v="3314"/>
    <n v="836.32478632478637"/>
  </r>
  <r>
    <d v="2025-02-10T00:00:00"/>
    <x v="1"/>
    <n v="1294"/>
    <n v="382"/>
    <n v="309914"/>
    <n v="8.0299999999999994"/>
    <n v="23489"/>
    <n v="338.74345549738217"/>
  </r>
  <r>
    <d v="2025-02-10T00:00:00"/>
    <x v="2"/>
    <n v="1587"/>
    <n v="385"/>
    <n v="126582"/>
    <n v="6.99"/>
    <n v="42832"/>
    <n v="412.20779220779224"/>
  </r>
  <r>
    <d v="2025-02-10T00:00:00"/>
    <x v="3"/>
    <n v="1707"/>
    <n v="263"/>
    <n v="485280"/>
    <n v="9.0299999999999994"/>
    <n v="24494"/>
    <n v="649.04942965779469"/>
  </r>
  <r>
    <d v="2025-02-17T00:00:00"/>
    <x v="0"/>
    <n v="1138"/>
    <n v="173"/>
    <n v="453243"/>
    <n v="2.86"/>
    <n v="44097"/>
    <n v="657.80346820809245"/>
  </r>
  <r>
    <d v="2025-02-17T00:00:00"/>
    <x v="1"/>
    <n v="1895"/>
    <n v="305"/>
    <n v="104967"/>
    <n v="3.85"/>
    <n v="31853"/>
    <n v="621.31147540983602"/>
  </r>
  <r>
    <d v="2025-02-17T00:00:00"/>
    <x v="2"/>
    <n v="362"/>
    <n v="399"/>
    <n v="145608"/>
    <n v="7.3"/>
    <n v="37636"/>
    <n v="90.726817042606513"/>
  </r>
  <r>
    <d v="2025-02-17T00:00:00"/>
    <x v="3"/>
    <n v="1662"/>
    <n v="487"/>
    <n v="105980"/>
    <n v="9.08"/>
    <n v="22996"/>
    <n v="341.27310061601645"/>
  </r>
  <r>
    <d v="2025-02-24T00:00:00"/>
    <x v="0"/>
    <n v="1440"/>
    <n v="65"/>
    <n v="126524"/>
    <n v="4.34"/>
    <n v="49772"/>
    <n v="2215.3846153846152"/>
  </r>
  <r>
    <d v="2025-02-24T00:00:00"/>
    <x v="1"/>
    <n v="1884"/>
    <n v="177"/>
    <n v="230448"/>
    <n v="7.8"/>
    <n v="22713"/>
    <n v="1064.406779661017"/>
  </r>
  <r>
    <d v="2025-02-24T00:00:00"/>
    <x v="2"/>
    <n v="861"/>
    <n v="153"/>
    <n v="317007"/>
    <n v="3.85"/>
    <n v="8718"/>
    <n v="562.74509803921569"/>
  </r>
  <r>
    <d v="2025-02-24T00:00:00"/>
    <x v="3"/>
    <n v="1063"/>
    <n v="47"/>
    <n v="464239"/>
    <n v="6.58"/>
    <n v="39031"/>
    <n v="2261.7021276595742"/>
  </r>
  <r>
    <d v="2025-03-03T00:00:00"/>
    <x v="0"/>
    <n v="1371"/>
    <n v="56"/>
    <n v="257579"/>
    <n v="8.6199999999999992"/>
    <n v="33799"/>
    <n v="2448.2142857142858"/>
  </r>
  <r>
    <d v="2025-03-03T00:00:00"/>
    <x v="1"/>
    <n v="345"/>
    <n v="464"/>
    <n v="366881"/>
    <n v="4.55"/>
    <n v="20553"/>
    <n v="74.353448275862064"/>
  </r>
  <r>
    <d v="2025-03-03T00:00:00"/>
    <x v="2"/>
    <n v="946"/>
    <n v="47"/>
    <n v="466575"/>
    <n v="8.33"/>
    <n v="10002"/>
    <n v="2012.7659574468087"/>
  </r>
  <r>
    <d v="2025-03-03T00:00:00"/>
    <x v="3"/>
    <n v="510"/>
    <n v="195"/>
    <n v="224534"/>
    <n v="9.4"/>
    <n v="30987"/>
    <n v="261.53846153846155"/>
  </r>
  <r>
    <d v="2025-03-10T00:00:00"/>
    <x v="0"/>
    <n v="393"/>
    <n v="181"/>
    <n v="462142"/>
    <n v="7.23"/>
    <n v="6296"/>
    <n v="217.12707182320443"/>
  </r>
  <r>
    <d v="2025-03-10T00:00:00"/>
    <x v="1"/>
    <n v="1098"/>
    <n v="190"/>
    <n v="340842"/>
    <n v="9.39"/>
    <n v="21539"/>
    <n v="577.8947368421052"/>
  </r>
  <r>
    <d v="2025-03-10T00:00:00"/>
    <x v="2"/>
    <n v="1399"/>
    <n v="49"/>
    <n v="12471"/>
    <n v="5.12"/>
    <n v="14722"/>
    <n v="2855.1020408163263"/>
  </r>
  <r>
    <d v="2025-03-10T00:00:00"/>
    <x v="3"/>
    <n v="1658"/>
    <n v="416"/>
    <n v="98397"/>
    <n v="6.11"/>
    <n v="11383"/>
    <n v="398.55769230769226"/>
  </r>
  <r>
    <d v="2025-03-17T00:00:00"/>
    <x v="0"/>
    <n v="1102"/>
    <n v="422"/>
    <n v="410330"/>
    <n v="7.74"/>
    <n v="9480"/>
    <n v="261.13744075829385"/>
  </r>
  <r>
    <d v="2025-03-17T00:00:00"/>
    <x v="1"/>
    <n v="1358"/>
    <n v="242"/>
    <n v="342129"/>
    <n v="4.9400000000000004"/>
    <n v="29116"/>
    <n v="561.15702479338847"/>
  </r>
  <r>
    <d v="2025-03-17T00:00:00"/>
    <x v="2"/>
    <n v="1077"/>
    <n v="216"/>
    <n v="12447"/>
    <n v="1.8"/>
    <n v="14068"/>
    <n v="498.61111111111109"/>
  </r>
  <r>
    <d v="2025-03-17T00:00:00"/>
    <x v="3"/>
    <n v="1596"/>
    <n v="211"/>
    <n v="17380"/>
    <n v="8.64"/>
    <n v="35801"/>
    <n v="756.39810426540294"/>
  </r>
  <r>
    <d v="2025-03-24T00:00:00"/>
    <x v="0"/>
    <n v="490"/>
    <n v="29"/>
    <n v="364810"/>
    <n v="1.53"/>
    <n v="49077"/>
    <n v="1689.6551724137933"/>
  </r>
  <r>
    <d v="2025-03-24T00:00:00"/>
    <x v="1"/>
    <n v="609"/>
    <n v="135"/>
    <n v="373606"/>
    <n v="8.52"/>
    <n v="21453"/>
    <n v="451.11111111111109"/>
  </r>
  <r>
    <d v="2025-03-24T00:00:00"/>
    <x v="2"/>
    <n v="364"/>
    <n v="72"/>
    <n v="211090"/>
    <n v="5.53"/>
    <n v="21061"/>
    <n v="505.55555555555554"/>
  </r>
  <r>
    <d v="2025-03-24T00:00:00"/>
    <x v="3"/>
    <n v="442"/>
    <n v="53"/>
    <n v="441931"/>
    <n v="1.87"/>
    <n v="20059"/>
    <n v="833.96226415094338"/>
  </r>
  <r>
    <d v="2025-03-31T00:00:00"/>
    <x v="0"/>
    <n v="1033"/>
    <n v="392"/>
    <n v="282780"/>
    <n v="6.27"/>
    <n v="23140"/>
    <n v="263.5204081632653"/>
  </r>
  <r>
    <d v="2025-03-31T00:00:00"/>
    <x v="1"/>
    <n v="988"/>
    <n v="474"/>
    <n v="370070"/>
    <n v="9.4600000000000009"/>
    <n v="23461"/>
    <n v="208.43881856540082"/>
  </r>
  <r>
    <d v="2025-03-31T00:00:00"/>
    <x v="2"/>
    <n v="1946"/>
    <n v="270"/>
    <n v="198350"/>
    <n v="7.5"/>
    <n v="11805"/>
    <n v="720.74074074074076"/>
  </r>
  <r>
    <d v="2025-03-31T00:00:00"/>
    <x v="3"/>
    <n v="1957"/>
    <n v="490"/>
    <n v="435726"/>
    <n v="4.7300000000000004"/>
    <n v="15969"/>
    <n v="399.38775510204084"/>
  </r>
  <r>
    <d v="2025-04-07T00:00:00"/>
    <x v="0"/>
    <n v="559"/>
    <n v="392"/>
    <n v="78789"/>
    <n v="3.19"/>
    <n v="2436"/>
    <n v="142.60204081632654"/>
  </r>
  <r>
    <d v="2025-04-07T00:00:00"/>
    <x v="1"/>
    <n v="1307"/>
    <n v="278"/>
    <n v="98596"/>
    <n v="2.4900000000000002"/>
    <n v="47603"/>
    <n v="470.14388489208631"/>
  </r>
  <r>
    <d v="2025-04-07T00:00:00"/>
    <x v="2"/>
    <n v="1432"/>
    <n v="425"/>
    <n v="29589"/>
    <n v="4.5"/>
    <n v="42964"/>
    <n v="336.94117647058823"/>
  </r>
  <r>
    <d v="2025-04-07T00:00:00"/>
    <x v="3"/>
    <n v="623"/>
    <n v="414"/>
    <n v="290354"/>
    <n v="6.49"/>
    <n v="39923"/>
    <n v="150.48309178743961"/>
  </r>
  <r>
    <d v="2025-04-14T00:00:00"/>
    <x v="0"/>
    <n v="198"/>
    <n v="358"/>
    <n v="66682"/>
    <n v="6.73"/>
    <n v="2293"/>
    <n v="55.307262569832403"/>
  </r>
  <r>
    <d v="2025-04-14T00:00:00"/>
    <x v="1"/>
    <n v="198"/>
    <n v="373"/>
    <n v="70707"/>
    <n v="4.83"/>
    <n v="25920"/>
    <n v="53.083109919571051"/>
  </r>
  <r>
    <d v="2025-04-14T00:00:00"/>
    <x v="2"/>
    <n v="353"/>
    <n v="300"/>
    <n v="142507"/>
    <n v="5.3"/>
    <n v="11035"/>
    <n v="117.66666666666667"/>
  </r>
  <r>
    <d v="2025-04-14T00:00:00"/>
    <x v="3"/>
    <n v="520"/>
    <n v="375"/>
    <n v="369525"/>
    <n v="6.54"/>
    <n v="20733"/>
    <n v="138.66666666666669"/>
  </r>
  <r>
    <d v="2025-04-21T00:00:00"/>
    <x v="0"/>
    <n v="961"/>
    <n v="358"/>
    <n v="62942"/>
    <n v="6.8"/>
    <n v="18693"/>
    <n v="268.43575418994413"/>
  </r>
  <r>
    <d v="2025-04-21T00:00:00"/>
    <x v="1"/>
    <n v="1375"/>
    <n v="330"/>
    <n v="377382"/>
    <n v="2.6"/>
    <n v="7875"/>
    <n v="416.66666666666669"/>
  </r>
  <r>
    <d v="2025-04-21T00:00:00"/>
    <x v="2"/>
    <n v="1147"/>
    <n v="388"/>
    <n v="333851"/>
    <n v="2.44"/>
    <n v="8471"/>
    <n v="295.61855670103097"/>
  </r>
  <r>
    <d v="2025-04-21T00:00:00"/>
    <x v="3"/>
    <n v="1707"/>
    <n v="74"/>
    <n v="270958"/>
    <n v="3.09"/>
    <n v="14090"/>
    <n v="2306.7567567567567"/>
  </r>
  <r>
    <d v="2025-04-28T00:00:00"/>
    <x v="0"/>
    <n v="1693"/>
    <n v="154"/>
    <n v="445944"/>
    <n v="5.69"/>
    <n v="14216"/>
    <n v="1099.3506493506495"/>
  </r>
  <r>
    <d v="2025-04-28T00:00:00"/>
    <x v="1"/>
    <n v="833"/>
    <n v="380"/>
    <n v="224830"/>
    <n v="3.86"/>
    <n v="3582"/>
    <n v="219.21052631578948"/>
  </r>
  <r>
    <d v="2025-04-28T00:00:00"/>
    <x v="2"/>
    <n v="1222"/>
    <n v="274"/>
    <n v="487289"/>
    <n v="3.16"/>
    <n v="32500"/>
    <n v="445.98540145985402"/>
  </r>
  <r>
    <d v="2025-04-28T00:00:00"/>
    <x v="3"/>
    <n v="777"/>
    <n v="140"/>
    <n v="11435"/>
    <n v="1.6"/>
    <n v="6832"/>
    <n v="555"/>
  </r>
  <r>
    <d v="2025-05-05T00:00:00"/>
    <x v="0"/>
    <n v="1957"/>
    <n v="76"/>
    <n v="447902"/>
    <n v="6.09"/>
    <n v="33381"/>
    <n v="2575"/>
  </r>
  <r>
    <d v="2025-05-05T00:00:00"/>
    <x v="1"/>
    <n v="405"/>
    <n v="66"/>
    <n v="418696"/>
    <n v="5.59"/>
    <n v="48419"/>
    <n v="613.63636363636363"/>
  </r>
  <r>
    <d v="2025-05-05T00:00:00"/>
    <x v="2"/>
    <n v="1581"/>
    <n v="71"/>
    <n v="484364"/>
    <n v="3.55"/>
    <n v="16149"/>
    <n v="2226.7605633802814"/>
  </r>
  <r>
    <d v="2025-05-05T00:00:00"/>
    <x v="3"/>
    <n v="1035"/>
    <n v="171"/>
    <n v="148477"/>
    <n v="5.21"/>
    <n v="7541"/>
    <n v="605.26315789473676"/>
  </r>
  <r>
    <d v="2025-05-12T00:00:00"/>
    <x v="0"/>
    <n v="1765"/>
    <n v="109"/>
    <n v="468301"/>
    <n v="1.82"/>
    <n v="20042"/>
    <n v="1619.2660550458716"/>
  </r>
  <r>
    <d v="2025-05-12T00:00:00"/>
    <x v="1"/>
    <n v="837"/>
    <n v="430"/>
    <n v="364820"/>
    <n v="4"/>
    <n v="49400"/>
    <n v="194.65116279069767"/>
  </r>
  <r>
    <d v="2025-05-12T00:00:00"/>
    <x v="2"/>
    <n v="337"/>
    <n v="68"/>
    <n v="456298"/>
    <n v="7.57"/>
    <n v="4007"/>
    <n v="495.58823529411768"/>
  </r>
  <r>
    <d v="2025-05-12T00:00:00"/>
    <x v="3"/>
    <n v="119"/>
    <n v="456"/>
    <n v="82558"/>
    <n v="6.81"/>
    <n v="12174"/>
    <n v="26.09649122807017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s v="Twitter"/>
    <d v="2024-12-23T00:00:00"/>
    <s v="Reel"/>
    <s v="Explore the latest reel on Myntra! Trendy styles await."/>
    <n v="1461"/>
    <n v="184"/>
    <n v="344"/>
    <n v="21915"/>
    <n v="21675"/>
    <n v="15"/>
    <x v="0"/>
    <s v="FashionUpgrade"/>
  </r>
  <r>
    <s v="P002"/>
    <s v="Twitter"/>
    <d v="2025-04-03T00:00:00"/>
    <s v="Text"/>
    <s v="Explore the latest text on Myntra! Trendy styles await."/>
    <n v="4054"/>
    <n v="389"/>
    <n v="493"/>
    <n v="64864"/>
    <n v="64383"/>
    <n v="117"/>
    <x v="1"/>
    <s v="EndOfSeasonSale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x v="1"/>
    <s v="FashionUpgrade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x v="0"/>
    <s v="FashionUpgrade"/>
  </r>
  <r>
    <s v="P004"/>
    <s v="Instagram"/>
    <d v="2024-08-12T00:00:00"/>
    <s v="Story"/>
    <s v="Explore the latest story on Myntra! Trendy styles await."/>
    <n v="2404"/>
    <n v="363"/>
    <n v="138"/>
    <n v="19232"/>
    <n v="18636"/>
    <n v="128"/>
    <x v="0"/>
    <s v="FashionUpgrade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x v="2"/>
    <s v="MyntraFestiveEdit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x v="1"/>
    <s v="MyntraFestiveEdit"/>
  </r>
  <r>
    <s v="P006"/>
    <s v="Facebook"/>
    <d v="2024-10-31T00:00:00"/>
    <s v="Carousel"/>
    <s v="Explore the latest carousel on Myntra! Trendy styles await."/>
    <n v="2945"/>
    <n v="930"/>
    <n v="355"/>
    <n v="23560"/>
    <n v="23275"/>
    <n v="256"/>
    <x v="3"/>
    <s v="EndOfSeasonSale"/>
  </r>
  <r>
    <s v="P007"/>
    <s v="Twitter"/>
    <d v="2024-06-24T00:00:00"/>
    <s v="Carousel"/>
    <s v="Explore the latest carousel on Myntra! Trendy styles await."/>
    <n v="3860"/>
    <n v="201"/>
    <n v="279"/>
    <n v="61760"/>
    <n v="61660"/>
    <n v="235"/>
    <x v="3"/>
    <s v="MyntraFestiveEdit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x v="1"/>
    <s v="MyntraFestiveEdit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x v="0"/>
    <s v="MyntraFestiveEdit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x v="1"/>
    <s v="MyntraFestiveEdit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x v="0"/>
    <s v="MyntraFestiveEdit"/>
  </r>
  <r>
    <s v="P010"/>
    <s v="Facebook"/>
    <d v="2025-03-11T00:00:00"/>
    <s v="Image"/>
    <s v="Explore the latest image on Myntra! Trendy styles await."/>
    <n v="4241"/>
    <n v="902"/>
    <n v="47"/>
    <n v="72097"/>
    <n v="71598"/>
    <n v="167"/>
    <x v="3"/>
    <s v="StyleRevolution"/>
  </r>
  <r>
    <s v="P011"/>
    <s v="Instagram"/>
    <d v="2025-02-02T00:00:00"/>
    <s v="Story"/>
    <s v="Explore the latest story on Myntra! Trendy styles await."/>
    <n v="1792"/>
    <n v="614"/>
    <n v="497"/>
    <n v="25088"/>
    <n v="24675"/>
    <n v="65"/>
    <x v="2"/>
    <s v="FashionUpgrade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x v="2"/>
    <s v="MyntraFestiveEdit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x v="0"/>
    <s v="MyntraFestiveEdit"/>
  </r>
  <r>
    <s v="P013"/>
    <s v="Youtube"/>
    <d v="2024-11-18T00:00:00"/>
    <s v="Carousel"/>
    <s v="Explore the latest carousel on Myntra! Trendy styles await."/>
    <n v="1171"/>
    <n v="286"/>
    <n v="231"/>
    <n v="22249"/>
    <n v="21282"/>
    <n v="114"/>
    <x v="1"/>
    <s v="StyleRevolution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x v="0"/>
    <s v="MyntraFestiveEdit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x v="1"/>
    <s v="MyntraFestiveEdit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x v="1"/>
    <s v="FashionUpgrade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x v="4"/>
    <s v="FashionUpgrade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x v="0"/>
    <s v="MyntraFestiveEdit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x v="4"/>
    <s v="MyntraFestiveEdit"/>
  </r>
  <r>
    <s v="P017"/>
    <s v="Facebook"/>
    <d v="2025-05-05T00:00:00"/>
    <s v="Text"/>
    <s v="Explore the latest text on Myntra! Trendy styles await."/>
    <n v="4441"/>
    <n v="511"/>
    <n v="70"/>
    <n v="53292"/>
    <n v="53082"/>
    <n v="159"/>
    <x v="4"/>
    <s v="MyntraFestiveEdit"/>
  </r>
  <r>
    <s v="P018"/>
    <s v="Instagram"/>
    <d v="2024-08-19T00:00:00"/>
    <s v="Reel"/>
    <s v="Explore the latest reel on Myntra! Trendy styles await."/>
    <n v="3000"/>
    <n v="382"/>
    <n v="325"/>
    <n v="36000"/>
    <n v="35819"/>
    <n v="19"/>
    <x v="2"/>
    <s v="EndOfSeasonSale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x v="0"/>
    <s v="MyntraFestiveEdit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x v="2"/>
    <s v="MyntraFestiveEdit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x v="1"/>
    <s v="MyntraFestiveEdit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x v="0"/>
    <s v="MyntraFestiveEdit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x v="2"/>
    <s v="MyntraFestiveEdit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x v="3"/>
    <s v="MyntraFestiveEdit"/>
  </r>
  <r>
    <s v="P022"/>
    <s v="Facebook"/>
    <d v="2025-02-27T00:00:00"/>
    <s v="Text"/>
    <s v="Explore the latest text on Myntra! Trendy styles await."/>
    <n v="1570"/>
    <n v="187"/>
    <n v="260"/>
    <n v="25120"/>
    <n v="24613"/>
    <n v="133"/>
    <x v="0"/>
    <s v="StyleRevolution"/>
  </r>
  <r>
    <s v="P023"/>
    <s v="Facebook"/>
    <d v="2024-11-06T00:00:00"/>
    <s v="Video"/>
    <s v="Explore the latest video on Myntra! Trendy styles await."/>
    <n v="1606"/>
    <n v="547"/>
    <n v="316"/>
    <n v="32120"/>
    <n v="31736"/>
    <n v="225"/>
    <x v="0"/>
    <s v="MyntraFestiveEdit"/>
  </r>
  <r>
    <s v="P024"/>
    <s v="Facebook"/>
    <d v="2025-01-23T00:00:00"/>
    <s v="Video"/>
    <s v="Explore the latest video on Myntra! Trendy styles await."/>
    <n v="3961"/>
    <n v="761"/>
    <n v="131"/>
    <n v="67337"/>
    <n v="66615"/>
    <n v="161"/>
    <x v="3"/>
    <s v="EndOfSeasonSale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x v="2"/>
    <s v="FashionUpgrade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x v="0"/>
    <s v="FashionUpgrade"/>
  </r>
  <r>
    <s v="P026"/>
    <s v="Youtube"/>
    <d v="2025-04-05T00:00:00"/>
    <s v="Reel"/>
    <s v="Explore the latest reel on Myntra! Trendy styles await."/>
    <n v="3009"/>
    <n v="413"/>
    <n v="358"/>
    <n v="42126"/>
    <n v="41309"/>
    <n v="211"/>
    <x v="0"/>
    <s v="EndOfSeasonSale"/>
  </r>
  <r>
    <s v="P027"/>
    <s v="Youtube"/>
    <d v="2024-09-17T00:00:00"/>
    <s v="Text"/>
    <s v="Explore the latest text on Myntra! Trendy styles await."/>
    <n v="2076"/>
    <n v="195"/>
    <n v="104"/>
    <n v="33216"/>
    <n v="32244"/>
    <n v="51"/>
    <x v="3"/>
    <s v="StyleRevolution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x v="0"/>
    <s v="EndOfSeasonSale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x v="3"/>
    <s v="EndOfSeasonSale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x v="3"/>
    <s v="MyntraFestiveEdit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x v="1"/>
    <s v="MyntraFestiveEdit"/>
  </r>
  <r>
    <s v="P030"/>
    <s v="Instagram"/>
    <d v="2025-02-25T00:00:00"/>
    <s v="Video"/>
    <s v="Explore the latest video on Myntra! Trendy styles await."/>
    <n v="3095"/>
    <n v="39"/>
    <n v="78"/>
    <n v="55710"/>
    <n v="54808"/>
    <n v="93"/>
    <x v="0"/>
    <s v="StyleRevolution"/>
  </r>
  <r>
    <s v="P031"/>
    <s v="Instagram"/>
    <d v="2024-12-16T00:00:00"/>
    <s v="Text"/>
    <s v="Explore the latest text on Myntra! Trendy styles await."/>
    <n v="438"/>
    <n v="153"/>
    <n v="275"/>
    <n v="3066"/>
    <n v="2701"/>
    <n v="282"/>
    <x v="3"/>
    <s v="StyleRevolution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x v="3"/>
    <s v="StyleRevolution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x v="1"/>
    <s v="StyleRevolution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x v="1"/>
    <s v="MyntraFestiveEdit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x v="4"/>
    <s v="MyntraFestiveEdit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x v="3"/>
    <s v="EndOfSeasonSale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x v="4"/>
    <s v="EndOfSeasonSale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x v="2"/>
    <s v="MyntraFestiveEdit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x v="0"/>
    <s v="MyntraFestiveEdit"/>
  </r>
  <r>
    <s v="P036"/>
    <s v="Instagram"/>
    <d v="2025-04-19T00:00:00"/>
    <s v="Story"/>
    <s v="Explore the latest story on Myntra! Trendy styles await."/>
    <n v="4518"/>
    <n v="285"/>
    <n v="383"/>
    <n v="67770"/>
    <n v="67621"/>
    <n v="31"/>
    <x v="4"/>
    <s v="EndOfSeasonSale"/>
  </r>
  <r>
    <s v="P037"/>
    <s v="Facebook"/>
    <d v="2025-01-06T00:00:00"/>
    <s v="Carousel"/>
    <s v="Explore the latest carousel on Myntra! Trendy styles await."/>
    <n v="3024"/>
    <n v="925"/>
    <n v="350"/>
    <n v="24192"/>
    <n v="23518"/>
    <n v="36"/>
    <x v="0"/>
    <s v="MyntraFestiveEdit"/>
  </r>
  <r>
    <s v="P038"/>
    <s v="Youtube"/>
    <d v="2025-02-17T00:00:00"/>
    <s v="Reel"/>
    <s v="Explore the latest reel on Myntra! Trendy styles await."/>
    <n v="3138"/>
    <n v="123"/>
    <n v="291"/>
    <n v="28242"/>
    <n v="27550"/>
    <n v="87"/>
    <x v="4"/>
    <s v="StyleRevolution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x v="4"/>
    <s v="MyntraFestiveEdit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x v="0"/>
    <s v="MyntraFestiveEdit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x v="2"/>
    <s v="EndOfSeasonSale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x v="0"/>
    <s v="EndOfSeasonSale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x v="0"/>
    <s v="MyntraFestiveEdit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x v="4"/>
    <s v="MyntraFestiveEdit"/>
  </r>
  <r>
    <s v="P042"/>
    <s v="Youtube"/>
    <d v="2025-03-05T00:00:00"/>
    <s v="Reel"/>
    <s v="Explore the latest reel on Myntra! Trendy styles await."/>
    <n v="1543"/>
    <n v="820"/>
    <n v="333"/>
    <n v="12344"/>
    <n v="11496"/>
    <n v="241"/>
    <x v="2"/>
    <s v="MyntraFestiveEdit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x v="0"/>
    <s v="StyleRevolution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x v="1"/>
    <s v="StyleRevolution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x v="0"/>
    <s v="FashionUpgrade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x v="2"/>
    <s v="FashionUpgrade"/>
  </r>
  <r>
    <s v="P045"/>
    <s v="Facebook"/>
    <d v="2024-11-01T00:00:00"/>
    <s v="Video"/>
    <s v="Explore the latest video on Myntra! Trendy styles await."/>
    <n v="3371"/>
    <n v="106"/>
    <n v="327"/>
    <n v="50565"/>
    <n v="49816"/>
    <n v="176"/>
    <x v="4"/>
    <s v="StyleRevolution"/>
  </r>
  <r>
    <s v="P046"/>
    <s v="Twitter"/>
    <d v="2025-05-02T00:00:00"/>
    <s v="Video"/>
    <s v="Explore the latest video on Myntra! Trendy styles await."/>
    <n v="1108"/>
    <n v="177"/>
    <n v="212"/>
    <n v="8864"/>
    <n v="8710"/>
    <n v="97"/>
    <x v="1"/>
    <s v="StyleRevolution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x v="4"/>
    <s v="FashionUpgrade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x v="1"/>
    <s v="FashionUpgrade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x v="1"/>
    <s v="StyleRevolution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x v="2"/>
    <s v="StyleRevolution"/>
  </r>
  <r>
    <s v="P049"/>
    <s v="Twitter"/>
    <d v="2024-06-10T00:00:00"/>
    <s v="Story"/>
    <s v="Explore the latest story on Myntra! Trendy styles await."/>
    <n v="2164"/>
    <n v="549"/>
    <n v="274"/>
    <n v="28132"/>
    <n v="27361"/>
    <n v="177"/>
    <x v="2"/>
    <s v="FashionUpgrade"/>
  </r>
  <r>
    <s v="P050"/>
    <s v="Youtube"/>
    <d v="2024-07-03T00:00:00"/>
    <s v="Story"/>
    <s v="Explore the latest story on Myntra! Trendy styles await."/>
    <n v="2754"/>
    <n v="130"/>
    <n v="90"/>
    <n v="22032"/>
    <n v="21288"/>
    <n v="112"/>
    <x v="1"/>
    <s v="FashionUpgrade"/>
  </r>
  <r>
    <s v="P051"/>
    <s v="Facebook"/>
    <d v="2024-06-13T00:00:00"/>
    <s v="Carousel"/>
    <s v="Explore the latest carousel on Myntra! Trendy styles await."/>
    <n v="2200"/>
    <n v="504"/>
    <n v="239"/>
    <n v="37400"/>
    <n v="36938"/>
    <n v="225"/>
    <x v="0"/>
    <s v="MyntraFestiveEdit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x v="1"/>
    <s v="MyntraFestiveEdit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x v="0"/>
    <s v="MyntraFestiveEdit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x v="2"/>
    <s v="StyleRevolution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x v="3"/>
    <s v="StyleRevolution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x v="1"/>
    <s v="EndOfSeasonSale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x v="4"/>
    <s v="EndOfSeasonSale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x v="0"/>
    <s v="StyleRevolution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x v="3"/>
    <s v="StyleRevolution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x v="2"/>
    <s v="EndOfSeasonSale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x v="4"/>
    <s v="EndOfSeasonSale"/>
  </r>
  <r>
    <s v="P057"/>
    <s v="Twitter"/>
    <d v="2024-10-21T00:00:00"/>
    <s v="Video"/>
    <s v="Explore the latest video on Myntra! Trendy styles await."/>
    <n v="2825"/>
    <n v="535"/>
    <n v="295"/>
    <n v="45200"/>
    <n v="44739"/>
    <n v="169"/>
    <x v="2"/>
    <s v="EndOfSeasonSale"/>
  </r>
  <r>
    <s v="P058"/>
    <s v="Instagram"/>
    <d v="2025-04-15T00:00:00"/>
    <s v="Reel"/>
    <s v="Explore the latest reel on Myntra! Trendy styles await."/>
    <n v="103"/>
    <n v="770"/>
    <n v="19"/>
    <n v="1030"/>
    <n v="410"/>
    <n v="262"/>
    <x v="0"/>
    <s v="MyntraFestiveEdit"/>
  </r>
  <r>
    <s v="P059"/>
    <s v="Instagram"/>
    <d v="2024-06-22T00:00:00"/>
    <s v="Text"/>
    <s v="Explore the latest text on Myntra! Trendy styles await."/>
    <n v="2180"/>
    <n v="263"/>
    <n v="387"/>
    <n v="30520"/>
    <n v="30059"/>
    <n v="174"/>
    <x v="4"/>
    <s v="FashionUpgrade"/>
  </r>
  <r>
    <s v="P060"/>
    <s v="Instagram"/>
    <d v="2025-01-28T00:00:00"/>
    <s v="Video"/>
    <s v="Explore the latest video on Myntra! Trendy styles await."/>
    <n v="904"/>
    <n v="973"/>
    <n v="63"/>
    <n v="11752"/>
    <n v="11580"/>
    <n v="84"/>
    <x v="2"/>
    <s v="FashionUpgrade"/>
  </r>
  <r>
    <s v="P061"/>
    <s v="Twitter"/>
    <d v="2024-09-05T00:00:00"/>
    <s v="Video"/>
    <s v="Explore the latest video on Myntra! Trendy styles await."/>
    <n v="4886"/>
    <n v="983"/>
    <n v="409"/>
    <n v="43974"/>
    <n v="43239"/>
    <n v="65"/>
    <x v="1"/>
    <s v="FashionUpgrade"/>
  </r>
  <r>
    <s v="P062"/>
    <s v="Twitter"/>
    <d v="2024-11-22T00:00:00"/>
    <s v="Carousel"/>
    <s v="Explore the latest carousel on Myntra! Trendy styles await."/>
    <n v="53"/>
    <n v="81"/>
    <n v="379"/>
    <n v="954"/>
    <n v="7"/>
    <n v="148"/>
    <x v="4"/>
    <s v="MyntraFestiveEdit"/>
  </r>
  <r>
    <s v="P063"/>
    <s v="Twitter"/>
    <d v="2024-07-31T00:00:00"/>
    <s v="Carousel"/>
    <s v="Explore the latest carousel on Myntra! Trendy styles await."/>
    <n v="4507"/>
    <n v="217"/>
    <n v="13"/>
    <n v="90140"/>
    <n v="89591"/>
    <n v="125"/>
    <x v="0"/>
    <s v="FashionUpgrade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x v="4"/>
    <s v="EndOfSeasonSale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x v="3"/>
    <s v="EndOfSeasonSale"/>
  </r>
  <r>
    <s v="P065"/>
    <s v="Instagram"/>
    <d v="2025-03-28T00:00:00"/>
    <s v="Story"/>
    <s v="Explore the latest story on Myntra! Trendy styles await."/>
    <n v="1881"/>
    <n v="501"/>
    <n v="99"/>
    <n v="20691"/>
    <n v="19987"/>
    <n v="289"/>
    <x v="4"/>
    <s v="EndOfSeasonSale"/>
  </r>
  <r>
    <s v="P066"/>
    <s v="Twitter"/>
    <d v="2024-07-26T00:00:00"/>
    <s v="Carousel"/>
    <s v="Explore the latest carousel on Myntra! Trendy styles await."/>
    <n v="432"/>
    <n v="171"/>
    <n v="280"/>
    <n v="3024"/>
    <n v="2285"/>
    <n v="184"/>
    <x v="1"/>
    <s v="MyntraFestiveEdit"/>
  </r>
  <r>
    <s v="P067"/>
    <s v="Facebook"/>
    <d v="2025-03-29T00:00:00"/>
    <s v="Carousel"/>
    <s v="Explore the latest carousel on Myntra! Trendy styles await."/>
    <n v="4712"/>
    <n v="568"/>
    <n v="127"/>
    <n v="84816"/>
    <n v="84691"/>
    <n v="100"/>
    <x v="4"/>
    <s v="FashionUpgrade"/>
  </r>
  <r>
    <s v="P068"/>
    <s v="Instagram"/>
    <d v="2024-12-08T00:00:00"/>
    <s v="Story"/>
    <s v="Explore the latest story on Myntra! Trendy styles await."/>
    <n v="2610"/>
    <n v="126"/>
    <n v="288"/>
    <n v="15660"/>
    <n v="15145"/>
    <n v="73"/>
    <x v="1"/>
    <s v="FashionUpgrade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x v="2"/>
    <s v="StyleRevolution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x v="3"/>
    <s v="StyleRevolution"/>
  </r>
  <r>
    <s v="P070"/>
    <s v="Facebook"/>
    <d v="2025-04-02T00:00:00"/>
    <s v="Video"/>
    <s v="Explore the latest video on Myntra! Trendy styles await."/>
    <n v="199"/>
    <n v="772"/>
    <n v="400"/>
    <n v="3582"/>
    <n v="2988"/>
    <n v="43"/>
    <x v="3"/>
    <s v="FashionUpgrade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x v="0"/>
    <s v="EndOfSeasonSale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x v="4"/>
    <s v="EndOfSeasonSale"/>
  </r>
  <r>
    <s v="P072"/>
    <s v="Youtube"/>
    <d v="2025-03-03T00:00:00"/>
    <s v="Reel"/>
    <s v="Explore the latest reel on Myntra! Trendy styles await."/>
    <n v="296"/>
    <n v="60"/>
    <n v="141"/>
    <n v="5624"/>
    <n v="5239"/>
    <n v="88"/>
    <x v="3"/>
    <s v="StyleRevolution"/>
  </r>
  <r>
    <s v="P073"/>
    <s v="Facebook"/>
    <d v="2024-10-18T00:00:00"/>
    <s v="Story"/>
    <s v="Explore the latest story on Myntra! Trendy styles await."/>
    <n v="4126"/>
    <n v="426"/>
    <n v="486"/>
    <n v="78394"/>
    <n v="77798"/>
    <n v="88"/>
    <x v="1"/>
    <s v="FashionUpgrade"/>
  </r>
  <r>
    <s v="P074"/>
    <s v="Youtube"/>
    <d v="2024-10-28T00:00:00"/>
    <s v="Reel"/>
    <s v="Explore the latest reel on Myntra! Trendy styles await."/>
    <n v="1855"/>
    <n v="200"/>
    <n v="174"/>
    <n v="16695"/>
    <n v="16330"/>
    <n v="123"/>
    <x v="1"/>
    <s v="MyntraFestiveEdit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x v="2"/>
    <s v="MyntraFestiveEdit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x v="4"/>
    <s v="MyntraFestiveEdit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x v="0"/>
    <s v="StyleRevolution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x v="1"/>
    <s v="StyleRevolution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x v="1"/>
    <s v="MyntraFestiveEdit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x v="4"/>
    <s v="MyntraFestiveEdit"/>
  </r>
  <r>
    <s v="P078"/>
    <s v="Twitter"/>
    <d v="2024-06-17T00:00:00"/>
    <s v="Image"/>
    <s v="Explore the latest image on Myntra! Trendy styles await."/>
    <n v="954"/>
    <n v="324"/>
    <n v="288"/>
    <n v="19080"/>
    <n v="18859"/>
    <n v="21"/>
    <x v="3"/>
    <s v="MyntraFestiveEdit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x v="0"/>
    <s v="MyntraFestiveEdit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x v="3"/>
    <s v="MyntraFestiveEdit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x v="4"/>
    <s v="EndOfSeasonSale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x v="1"/>
    <s v="EndOfSeasonSale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x v="3"/>
    <s v="MyntraFestiveEdit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x v="0"/>
    <s v="MyntraFestiveEdit"/>
  </r>
  <r>
    <s v="P082"/>
    <s v="Instagram"/>
    <d v="2024-07-24T00:00:00"/>
    <s v="Image"/>
    <s v="Explore the latest image on Myntra! Trendy styles await."/>
    <n v="725"/>
    <n v="88"/>
    <n v="428"/>
    <n v="14500"/>
    <n v="13637"/>
    <n v="200"/>
    <x v="3"/>
    <s v="MyntraFestiveEdit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x v="3"/>
    <s v="MyntraFestiveEdit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x v="2"/>
    <s v="MyntraFestiveEdit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x v="1"/>
    <s v="FashionUpgrade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x v="4"/>
    <s v="FashionUpgrade"/>
  </r>
  <r>
    <s v="P085"/>
    <s v="Instagram"/>
    <d v="2025-04-19T00:00:00"/>
    <s v="Image"/>
    <s v="Explore the latest image on Myntra! Trendy styles await."/>
    <n v="4177"/>
    <n v="569"/>
    <n v="55"/>
    <n v="25062"/>
    <n v="24847"/>
    <n v="230"/>
    <x v="1"/>
    <s v="FashionUpgrade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x v="3"/>
    <s v="MyntraFestiveEdit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x v="2"/>
    <s v="MyntraFestiveEdit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x v="3"/>
    <s v="EndOfSeasonSale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x v="0"/>
    <s v="EndOfSeasonSale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x v="1"/>
    <s v="EndOfSeasonSale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x v="0"/>
    <s v="EndOfSeasonSale"/>
  </r>
  <r>
    <s v="P089"/>
    <s v="Twitter"/>
    <d v="2025-01-10T00:00:00"/>
    <s v="Image"/>
    <s v="Explore the latest image on Myntra! Trendy styles await."/>
    <n v="2214"/>
    <n v="249"/>
    <n v="152"/>
    <n v="15498"/>
    <n v="14800"/>
    <n v="180"/>
    <x v="0"/>
    <s v="EndOfSeasonSale"/>
  </r>
  <r>
    <s v="P090"/>
    <s v="Instagram"/>
    <d v="2024-06-03T00:00:00"/>
    <s v="Image"/>
    <s v="Explore the latest image on Myntra! Trendy styles await."/>
    <n v="3861"/>
    <n v="960"/>
    <n v="101"/>
    <n v="69498"/>
    <n v="68817"/>
    <n v="297"/>
    <x v="1"/>
    <s v="EndOfSeasonSale"/>
  </r>
  <r>
    <s v="P091"/>
    <s v="Facebook"/>
    <d v="2025-03-24T00:00:00"/>
    <s v="Image"/>
    <s v="Explore the latest image on Myntra! Trendy styles await."/>
    <n v="1263"/>
    <n v="397"/>
    <n v="357"/>
    <n v="25260"/>
    <n v="24615"/>
    <n v="137"/>
    <x v="0"/>
    <s v="EndOfSeasonSale"/>
  </r>
  <r>
    <s v="P092"/>
    <s v="Twitter"/>
    <d v="2024-10-21T00:00:00"/>
    <s v="Story"/>
    <s v="Explore the latest story on Myntra! Trendy styles await."/>
    <n v="3801"/>
    <n v="967"/>
    <n v="401"/>
    <n v="38010"/>
    <n v="37625"/>
    <n v="236"/>
    <x v="2"/>
    <s v="StyleRevolution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x v="3"/>
    <s v="FashionUpgrade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x v="4"/>
    <s v="FashionUpgrade"/>
  </r>
  <r>
    <s v="P094"/>
    <s v="Instagram"/>
    <d v="2024-11-07T00:00:00"/>
    <s v="Image"/>
    <s v="Explore the latest image on Myntra! Trendy styles await."/>
    <n v="2647"/>
    <n v="304"/>
    <n v="170"/>
    <n v="18529"/>
    <n v="17841"/>
    <n v="46"/>
    <x v="2"/>
    <s v="EndOfSeasonSale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x v="2"/>
    <s v="EndOfSeasonSale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x v="3"/>
    <s v="EndOfSeasonSale"/>
  </r>
  <r>
    <s v="P096"/>
    <s v="Twitter"/>
    <d v="2024-09-10T00:00:00"/>
    <s v="Image"/>
    <s v="Explore the latest image on Myntra! Trendy styles await."/>
    <n v="1238"/>
    <n v="366"/>
    <n v="444"/>
    <n v="19808"/>
    <n v="19334"/>
    <n v="123"/>
    <x v="4"/>
    <s v="MyntraFestiveEdit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x v="2"/>
    <s v="EndOfSeasonSale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x v="0"/>
    <s v="EndOfSeasonSale"/>
  </r>
  <r>
    <s v="P098"/>
    <s v="Twitter"/>
    <d v="2024-06-10T00:00:00"/>
    <s v="Story"/>
    <s v="Explore the latest story on Myntra! Trendy styles await."/>
    <n v="1575"/>
    <n v="771"/>
    <n v="486"/>
    <n v="25200"/>
    <n v="24826"/>
    <n v="17"/>
    <x v="2"/>
    <s v="MyntraFestiveEdit"/>
  </r>
  <r>
    <s v="P099"/>
    <s v="Youtube"/>
    <d v="2024-07-02T00:00:00"/>
    <s v="Carousel"/>
    <s v="Explore the latest carousel on Myntra! Trendy styles await."/>
    <n v="4171"/>
    <n v="548"/>
    <n v="86"/>
    <n v="66736"/>
    <n v="66634"/>
    <n v="173"/>
    <x v="2"/>
    <s v="MyntraFestiveEdit"/>
  </r>
  <r>
    <s v="P100"/>
    <s v="Youtube"/>
    <d v="2025-02-10T00:00:00"/>
    <s v="Video"/>
    <s v="Explore the latest video on Myntra! Trendy styles await."/>
    <n v="1766"/>
    <n v="92"/>
    <n v="424"/>
    <n v="24724"/>
    <n v="24333"/>
    <n v="52"/>
    <x v="2"/>
    <s v="FashionUpgrade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x v="0"/>
    <s v="EndOfSeasonSale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x v="2"/>
    <s v="EndOfSeasonSale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x v="3"/>
    <s v="MyntraFestiveEdit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x v="1"/>
    <s v="MyntraFestiveEdit"/>
  </r>
  <r>
    <s v="P103"/>
    <s v="Facebook"/>
    <d v="2024-06-11T00:00:00"/>
    <s v="Image"/>
    <s v="Explore the latest image on Myntra! Trendy styles await."/>
    <n v="3689"/>
    <n v="48"/>
    <n v="306"/>
    <n v="40579"/>
    <n v="39588"/>
    <n v="212"/>
    <x v="3"/>
    <s v="FashionUpgrade"/>
  </r>
  <r>
    <s v="P104"/>
    <s v="Youtube"/>
    <d v="2025-03-23T00:00:00"/>
    <s v="Story"/>
    <s v="Explore the latest story on Myntra! Trendy styles await."/>
    <n v="3655"/>
    <n v="568"/>
    <n v="286"/>
    <n v="32895"/>
    <n v="32015"/>
    <n v="199"/>
    <x v="3"/>
    <s v="StyleRevolution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x v="2"/>
    <s v="StyleRevolution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x v="4"/>
    <s v="StyleRevolution"/>
  </r>
  <r>
    <s v="P106"/>
    <s v="Instagram"/>
    <d v="2025-02-04T00:00:00"/>
    <s v="Image"/>
    <s v="Explore the latest image on Myntra! Trendy styles await."/>
    <n v="4619"/>
    <n v="821"/>
    <n v="499"/>
    <n v="69285"/>
    <n v="69141"/>
    <n v="298"/>
    <x v="1"/>
    <s v="FashionUpgrade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x v="0"/>
    <s v="MyntraFestiveEdit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x v="2"/>
    <s v="MyntraFestiveEdit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x v="2"/>
    <s v="FashionUpgrade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x v="4"/>
    <s v="FashionUpgrade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x v="1"/>
    <s v="FashionUpgrade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x v="2"/>
    <s v="FashionUpgrade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x v="4"/>
    <s v="EndOfSeasonSale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x v="2"/>
    <s v="EndOfSeasonSale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x v="1"/>
    <s v="MyntraFestiveEdit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x v="2"/>
    <s v="MyntraFestiveEdit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x v="1"/>
    <s v="MyntraFestiveEdit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x v="0"/>
    <s v="MyntraFestiveEdit"/>
  </r>
  <r>
    <s v="P113"/>
    <s v="Twitter"/>
    <d v="2024-10-02T00:00:00"/>
    <s v="Carousel"/>
    <s v="Explore the latest carousel on Myntra! Trendy styles await."/>
    <n v="4419"/>
    <n v="236"/>
    <n v="369"/>
    <n v="44190"/>
    <n v="43582"/>
    <n v="10"/>
    <x v="3"/>
    <s v="StyleRevolution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x v="4"/>
    <s v="MyntraFestiveEdit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x v="1"/>
    <s v="MyntraFestiveEdit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x v="0"/>
    <s v="FashionUpgrade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x v="2"/>
    <s v="FashionUpgrade"/>
  </r>
  <r>
    <s v="P116"/>
    <s v="Youtube"/>
    <d v="2025-03-18T00:00:00"/>
    <s v="Reel"/>
    <s v="Explore the latest reel on Myntra! Trendy styles await."/>
    <n v="3704"/>
    <n v="186"/>
    <n v="458"/>
    <n v="25928"/>
    <n v="25081"/>
    <n v="131"/>
    <x v="2"/>
    <s v="FashionUpgrade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x v="0"/>
    <s v="EndOfSeasonSale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x v="2"/>
    <s v="EndOfSeasonSale"/>
  </r>
  <r>
    <s v="P118"/>
    <s v="Facebook"/>
    <d v="2024-11-04T00:00:00"/>
    <s v="Image"/>
    <s v="Explore the latest image on Myntra! Trendy styles await."/>
    <n v="4551"/>
    <n v="714"/>
    <n v="207"/>
    <n v="68265"/>
    <n v="67754"/>
    <n v="57"/>
    <x v="3"/>
    <s v="EndOfSeasonSale"/>
  </r>
  <r>
    <s v="P119"/>
    <s v="Instagram"/>
    <d v="2025-02-07T00:00:00"/>
    <s v="Reel"/>
    <s v="Explore the latest reel on Myntra! Trendy styles await."/>
    <n v="1970"/>
    <n v="675"/>
    <n v="478"/>
    <n v="9850"/>
    <n v="8924"/>
    <n v="117"/>
    <x v="3"/>
    <s v="StyleRevolution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x v="0"/>
    <s v="StyleRevolution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x v="1"/>
    <s v="StyleRevolution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x v="4"/>
    <s v="StyleRevolution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x v="2"/>
    <s v="StyleRevolution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x v="1"/>
    <s v="EndOfSeasonSale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x v="3"/>
    <s v="EndOfSeasonSale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x v="0"/>
    <s v="EndOfSeasonSale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x v="1"/>
    <s v="EndOfSeasonSale"/>
  </r>
  <r>
    <s v="P124"/>
    <s v="Youtube"/>
    <d v="2025-04-06T00:00:00"/>
    <s v="Carousel"/>
    <s v="Explore the latest carousel on Myntra! Trendy styles await."/>
    <n v="736"/>
    <n v="771"/>
    <n v="225"/>
    <n v="5152"/>
    <n v="4706"/>
    <n v="19"/>
    <x v="2"/>
    <s v="MyntraFestiveEdit"/>
  </r>
  <r>
    <s v="P125"/>
    <s v="Twitter"/>
    <d v="2024-09-08T00:00:00"/>
    <s v="Carousel"/>
    <s v="Explore the latest carousel on Myntra! Trendy styles await."/>
    <n v="3811"/>
    <n v="866"/>
    <n v="216"/>
    <n v="34299"/>
    <n v="34088"/>
    <n v="233"/>
    <x v="2"/>
    <s v="MyntraFestiveEdit"/>
  </r>
  <r>
    <s v="P126"/>
    <s v="Instagram"/>
    <d v="2025-03-28T00:00:00"/>
    <s v="Carousel"/>
    <s v="Explore the latest carousel on Myntra! Trendy styles await."/>
    <n v="4158"/>
    <n v="167"/>
    <n v="241"/>
    <n v="45738"/>
    <n v="45183"/>
    <n v="142"/>
    <x v="1"/>
    <s v="EndOfSeasonSale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x v="0"/>
    <s v="FashionUpgrade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x v="2"/>
    <s v="FashionUpgrade"/>
  </r>
  <r>
    <s v="P128"/>
    <s v="Twitter"/>
    <d v="2025-01-10T00:00:00"/>
    <s v="Image"/>
    <s v="Explore the latest image on Myntra! Trendy styles await."/>
    <n v="3092"/>
    <n v="106"/>
    <n v="291"/>
    <n v="27828"/>
    <n v="27217"/>
    <n v="102"/>
    <x v="2"/>
    <s v="StyleRevolution"/>
  </r>
  <r>
    <s v="P129"/>
    <s v="Twitter"/>
    <d v="2024-07-21T00:00:00"/>
    <s v="Text"/>
    <s v="Explore the latest text on Myntra! Trendy styles await."/>
    <n v="2147"/>
    <n v="430"/>
    <n v="393"/>
    <n v="17176"/>
    <n v="16483"/>
    <n v="170"/>
    <x v="4"/>
    <s v="StyleRevolution"/>
  </r>
  <r>
    <s v="P130"/>
    <s v="Youtube"/>
    <d v="2024-09-29T00:00:00"/>
    <s v="Reel"/>
    <s v="Explore the latest reel on Myntra! Trendy styles await."/>
    <n v="2936"/>
    <n v="439"/>
    <n v="44"/>
    <n v="38168"/>
    <n v="37571"/>
    <n v="22"/>
    <x v="0"/>
    <s v="MyntraFestiveEdit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x v="0"/>
    <s v="EndOfSeasonSale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x v="1"/>
    <s v="EndOfSeasonSale"/>
  </r>
  <r>
    <s v="P132"/>
    <s v="Instagram"/>
    <d v="2025-03-04T00:00:00"/>
    <s v="Story"/>
    <s v="Explore the latest story on Myntra! Trendy styles await."/>
    <n v="1947"/>
    <n v="842"/>
    <n v="101"/>
    <n v="21417"/>
    <n v="20967"/>
    <n v="186"/>
    <x v="1"/>
    <s v="EndOfSeasonSale"/>
  </r>
  <r>
    <s v="P133"/>
    <s v="Facebook"/>
    <d v="2025-02-06T00:00:00"/>
    <s v="Image"/>
    <s v="Explore the latest image on Myntra! Trendy styles await."/>
    <n v="2072"/>
    <n v="532"/>
    <n v="71"/>
    <n v="37296"/>
    <n v="36467"/>
    <n v="25"/>
    <x v="0"/>
    <s v="MyntraFestiveEdit"/>
  </r>
  <r>
    <s v="P134"/>
    <s v="Twitter"/>
    <d v="2025-04-24T00:00:00"/>
    <s v="Reel"/>
    <s v="Explore the latest reel on Myntra! Trendy styles await."/>
    <n v="3731"/>
    <n v="115"/>
    <n v="135"/>
    <n v="55965"/>
    <n v="55436"/>
    <n v="103"/>
    <x v="4"/>
    <s v="StyleRevolution"/>
  </r>
  <r>
    <s v="P135"/>
    <s v="Facebook"/>
    <d v="2024-11-28T00:00:00"/>
    <s v="Text"/>
    <s v="Explore the latest text on Myntra! Trendy styles await."/>
    <n v="4213"/>
    <n v="253"/>
    <n v="434"/>
    <n v="75834"/>
    <n v="75437"/>
    <n v="272"/>
    <x v="3"/>
    <s v="MyntraFestiveEdit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x v="0"/>
    <s v="StyleRevolution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x v="1"/>
    <s v="StyleRevolution"/>
  </r>
  <r>
    <s v="P137"/>
    <s v="Facebook"/>
    <d v="2024-07-31T00:00:00"/>
    <s v="Video"/>
    <s v="Explore the latest video on Myntra! Trendy styles await."/>
    <n v="3008"/>
    <n v="94"/>
    <n v="37"/>
    <n v="15040"/>
    <n v="14639"/>
    <n v="277"/>
    <x v="4"/>
    <s v="FashionUpgrade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x v="1"/>
    <s v="StyleRevolution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x v="3"/>
    <s v="StyleRevolution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x v="1"/>
    <s v="EndOfSeasonSale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x v="2"/>
    <s v="EndOfSeasonSale"/>
  </r>
  <r>
    <s v="P140"/>
    <s v="Facebook"/>
    <d v="2024-07-15T00:00:00"/>
    <s v="Image"/>
    <s v="Explore the latest image on Myntra! Trendy styles await."/>
    <n v="2291"/>
    <n v="78"/>
    <n v="485"/>
    <n v="18328"/>
    <n v="18101"/>
    <n v="10"/>
    <x v="4"/>
    <s v="FashionUpgrade"/>
  </r>
  <r>
    <s v="P141"/>
    <s v="Twitter"/>
    <d v="2024-08-31T00:00:00"/>
    <s v="Image"/>
    <s v="Explore the latest image on Myntra! Trendy styles await."/>
    <n v="3170"/>
    <n v="857"/>
    <n v="379"/>
    <n v="19020"/>
    <n v="18559"/>
    <n v="240"/>
    <x v="0"/>
    <s v="MyntraFestiveEdit"/>
  </r>
  <r>
    <s v="P142"/>
    <s v="Youtube"/>
    <d v="2025-03-25T00:00:00"/>
    <s v="Story"/>
    <s v="Explore the latest story on Myntra! Trendy styles await."/>
    <n v="2070"/>
    <n v="275"/>
    <n v="386"/>
    <n v="39330"/>
    <n v="38627"/>
    <n v="114"/>
    <x v="0"/>
    <s v="StyleRevolution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x v="1"/>
    <s v="EndOfSeasonSale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x v="2"/>
    <s v="EndOfSeasonSale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x v="3"/>
    <s v="FashionUpgrade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x v="2"/>
    <s v="FashionUpgrade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x v="4"/>
    <s v="FashionUpgrade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x v="3"/>
    <s v="FashionUpgrade"/>
  </r>
  <r>
    <s v="P146"/>
    <s v="Youtube"/>
    <d v="2024-06-05T00:00:00"/>
    <s v="Reel"/>
    <s v="Explore the latest reel on Myntra! Trendy styles await."/>
    <n v="3065"/>
    <n v="772"/>
    <n v="142"/>
    <n v="18390"/>
    <n v="17875"/>
    <n v="200"/>
    <x v="2"/>
    <s v="FashionUpgrade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x v="0"/>
    <s v="MyntraFestiveEdit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x v="2"/>
    <s v="MyntraFestiveEdit"/>
  </r>
  <r>
    <s v="P148"/>
    <s v="Instagram"/>
    <d v="2025-04-15T00:00:00"/>
    <s v="Video"/>
    <s v="Explore the latest video on Myntra! Trendy styles await."/>
    <n v="4133"/>
    <n v="466"/>
    <n v="327"/>
    <n v="24798"/>
    <n v="24620"/>
    <n v="176"/>
    <x v="2"/>
    <s v="EndOfSeasonSale"/>
  </r>
  <r>
    <s v="P149"/>
    <s v="Twitter"/>
    <d v="2024-06-16T00:00:00"/>
    <s v="Video"/>
    <s v="Explore the latest video on Myntra! Trendy styles await."/>
    <n v="1702"/>
    <n v="750"/>
    <n v="179"/>
    <n v="34040"/>
    <n v="33174"/>
    <n v="76"/>
    <x v="3"/>
    <s v="MyntraFestiveEdit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x v="3"/>
    <s v="EndOfSeasonSale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x v="0"/>
    <s v="EndOfSeasonSale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x v="3"/>
    <s v="MyntraFestiveEdit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x v="2"/>
    <s v="MyntraFestiveEdit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x v="0"/>
    <s v="StyleRevolution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x v="2"/>
    <s v="StyleRevolution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x v="4"/>
    <s v="MyntraFestiveEdit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x v="3"/>
    <s v="MyntraFestiveEdit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x v="0"/>
    <s v="EndOfSeasonSale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x v="1"/>
    <s v="EndOfSeasonSale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x v="1"/>
    <s v="MyntraFestiveEdit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x v="2"/>
    <s v="MyntraFestiveEdit"/>
  </r>
  <r>
    <s v="P156"/>
    <s v="Facebook"/>
    <d v="2024-10-22T00:00:00"/>
    <s v="Carousel"/>
    <s v="Explore the latest carousel on Myntra! Trendy styles await."/>
    <n v="3352"/>
    <n v="941"/>
    <n v="482"/>
    <n v="43576"/>
    <n v="43338"/>
    <n v="240"/>
    <x v="3"/>
    <s v="MyntraFestiveEdit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x v="2"/>
    <s v="StyleRevolution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x v="3"/>
    <s v="StyleRevolution"/>
  </r>
  <r>
    <s v="P158"/>
    <s v="Instagram"/>
    <d v="2024-08-11T00:00:00"/>
    <s v="Story"/>
    <s v="Explore the latest story on Myntra! Trendy styles await."/>
    <n v="1762"/>
    <n v="405"/>
    <n v="423"/>
    <n v="22906"/>
    <n v="21925"/>
    <n v="25"/>
    <x v="4"/>
    <s v="EndOfSeasonSale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x v="2"/>
    <s v="EndOfSeasonSale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x v="3"/>
    <s v="EndOfSeasonSale"/>
  </r>
  <r>
    <s v="P160"/>
    <s v="Twitter"/>
    <d v="2024-08-24T00:00:00"/>
    <s v="Video"/>
    <s v="Explore the latest video on Myntra! Trendy styles await."/>
    <n v="1082"/>
    <n v="209"/>
    <n v="484"/>
    <n v="19476"/>
    <n v="18654"/>
    <n v="20"/>
    <x v="2"/>
    <s v="StyleRevolution"/>
  </r>
  <r>
    <s v="P161"/>
    <s v="Twitter"/>
    <d v="2025-02-19T00:00:00"/>
    <s v="Text"/>
    <s v="Explore the latest text on Myntra! Trendy styles await."/>
    <n v="4671"/>
    <n v="876"/>
    <n v="366"/>
    <n v="51381"/>
    <n v="50565"/>
    <n v="245"/>
    <x v="0"/>
    <s v="EndOfSeasonSale"/>
  </r>
  <r>
    <s v="P162"/>
    <s v="Facebook"/>
    <d v="2025-04-01T00:00:00"/>
    <s v="Story"/>
    <s v="Explore the latest story on Myntra! Trendy styles await."/>
    <n v="3430"/>
    <n v="566"/>
    <n v="164"/>
    <n v="48020"/>
    <n v="47305"/>
    <n v="120"/>
    <x v="3"/>
    <s v="EndOfSeasonSale"/>
  </r>
  <r>
    <s v="P163"/>
    <s v="Instagram"/>
    <d v="2025-04-08T00:00:00"/>
    <s v="Image"/>
    <s v="Explore the latest image on Myntra! Trendy styles await."/>
    <n v="4501"/>
    <n v="375"/>
    <n v="323"/>
    <n v="22505"/>
    <n v="21836"/>
    <n v="132"/>
    <x v="1"/>
    <s v="StyleRevolution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x v="4"/>
    <s v="EndOfSeasonSale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x v="2"/>
    <s v="EndOfSeasonSale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x v="3"/>
    <s v="EndOfSeasonSale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x v="2"/>
    <s v="EndOfSeasonSale"/>
  </r>
  <r>
    <s v="P166"/>
    <s v="Twitter"/>
    <d v="2025-02-16T00:00:00"/>
    <s v="Reel"/>
    <s v="Explore the latest reel on Myntra! Trendy styles await."/>
    <n v="1076"/>
    <n v="313"/>
    <n v="306"/>
    <n v="11836"/>
    <n v="11596"/>
    <n v="104"/>
    <x v="4"/>
    <s v="EndOfSeasonSale"/>
  </r>
  <r>
    <s v="P167"/>
    <s v="Instagram"/>
    <d v="2024-11-28T00:00:00"/>
    <s v="Text"/>
    <s v="Explore the latest text on Myntra! Trendy styles await."/>
    <n v="4771"/>
    <n v="818"/>
    <n v="56"/>
    <n v="57252"/>
    <n v="56378"/>
    <n v="150"/>
    <x v="0"/>
    <s v="EndOfSeasonSale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x v="1"/>
    <s v="StyleRevolution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x v="3"/>
    <s v="StyleRevolution"/>
  </r>
  <r>
    <s v="P169"/>
    <s v="Youtube"/>
    <d v="2024-12-03T00:00:00"/>
    <s v="Video"/>
    <s v="Explore the latest video on Myntra! Trendy styles await."/>
    <n v="3809"/>
    <n v="273"/>
    <n v="200"/>
    <n v="34281"/>
    <n v="33534"/>
    <n v="83"/>
    <x v="3"/>
    <s v="MyntraFestiveEdit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x v="2"/>
    <s v="StyleRevolution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x v="3"/>
    <s v="StyleRevolution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x v="0"/>
    <s v="StyleRevolution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x v="1"/>
    <s v="StyleRevolution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x v="1"/>
    <s v="StyleRevolution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x v="2"/>
    <s v="StyleRevolution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x v="4"/>
    <s v="StyleRevolution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x v="3"/>
    <s v="StyleRevolution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x v="0"/>
    <s v="StyleRevolution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x v="2"/>
    <s v="StyleRevolution"/>
  </r>
  <r>
    <s v="P175"/>
    <s v="Instagram"/>
    <d v="2025-01-17T00:00:00"/>
    <s v="Reel"/>
    <s v="Explore the latest reel on Myntra! Trendy styles await."/>
    <n v="142"/>
    <n v="784"/>
    <n v="183"/>
    <n v="1704"/>
    <n v="995"/>
    <n v="154"/>
    <x v="0"/>
    <s v="FashionUpgrade"/>
  </r>
  <r>
    <s v="P176"/>
    <s v="Facebook"/>
    <d v="2024-06-20T00:00:00"/>
    <s v="Video"/>
    <s v="Explore the latest video on Myntra! Trendy styles await."/>
    <n v="3798"/>
    <n v="31"/>
    <n v="279"/>
    <n v="75960"/>
    <n v="75813"/>
    <n v="266"/>
    <x v="1"/>
    <s v="EndOfSeasonSale"/>
  </r>
  <r>
    <s v="P177"/>
    <s v="Instagram"/>
    <d v="2024-07-10T00:00:00"/>
    <s v="Carousel"/>
    <s v="Explore the latest carousel on Myntra! Trendy styles await."/>
    <n v="3099"/>
    <n v="694"/>
    <n v="171"/>
    <n v="43386"/>
    <n v="42921"/>
    <n v="52"/>
    <x v="4"/>
    <s v="StyleRevolution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x v="2"/>
    <s v="StyleRevolution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x v="4"/>
    <s v="StyleRevolution"/>
  </r>
  <r>
    <s v="P179"/>
    <s v="Facebook"/>
    <d v="2024-07-15T00:00:00"/>
    <s v="Carousel"/>
    <s v="Explore the latest carousel on Myntra! Trendy styles await."/>
    <n v="3796"/>
    <n v="667"/>
    <n v="395"/>
    <n v="64532"/>
    <n v="63550"/>
    <n v="292"/>
    <x v="2"/>
    <s v="FashionUpgrade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x v="2"/>
    <s v="StyleRevolution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x v="4"/>
    <s v="StyleRevolution"/>
  </r>
  <r>
    <s v="P181"/>
    <s v="Youtube"/>
    <d v="2025-03-21T00:00:00"/>
    <s v="Image"/>
    <s v="Explore the latest image on Myntra! Trendy styles await."/>
    <n v="606"/>
    <n v="789"/>
    <n v="470"/>
    <n v="7878"/>
    <n v="7389"/>
    <n v="239"/>
    <x v="0"/>
    <s v="EndOfSeasonSale"/>
  </r>
  <r>
    <s v="P182"/>
    <s v="Facebook"/>
    <d v="2024-07-31T00:00:00"/>
    <s v="Image"/>
    <s v="Explore the latest image on Myntra! Trendy styles await."/>
    <n v="4689"/>
    <n v="134"/>
    <n v="403"/>
    <n v="51579"/>
    <n v="50924"/>
    <n v="173"/>
    <x v="4"/>
    <s v="FashionUpgrade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x v="2"/>
    <s v="EndOfSeasonSale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x v="4"/>
    <s v="EndOfSeasonSale"/>
  </r>
  <r>
    <s v="P184"/>
    <s v="Twitter"/>
    <d v="2024-07-28T00:00:00"/>
    <s v="Image"/>
    <s v="Explore the latest image on Myntra! Trendy styles await."/>
    <n v="3215"/>
    <n v="960"/>
    <n v="202"/>
    <n v="32150"/>
    <n v="31404"/>
    <n v="251"/>
    <x v="2"/>
    <s v="MyntraFestiveEdit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x v="0"/>
    <s v="StyleRevolution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x v="3"/>
    <s v="StyleRevolution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x v="3"/>
    <s v="FashionUpgrade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x v="2"/>
    <s v="FashionUpgrade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x v="0"/>
    <s v="FashionUpgrade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x v="3"/>
    <s v="FashionUpgrade"/>
  </r>
  <r>
    <s v="P188"/>
    <s v="Youtube"/>
    <d v="2024-06-06T00:00:00"/>
    <s v="Reel"/>
    <s v="Explore the latest reel on Myntra! Trendy styles await."/>
    <n v="2728"/>
    <n v="533"/>
    <n v="215"/>
    <n v="40920"/>
    <n v="40816"/>
    <n v="137"/>
    <x v="0"/>
    <s v="EndOfSeasonSale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x v="0"/>
    <s v="FashionUpgrade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x v="2"/>
    <s v="FashionUpgrade"/>
  </r>
  <r>
    <s v="P190"/>
    <s v="Youtube"/>
    <d v="2024-10-04T00:00:00"/>
    <s v="Text"/>
    <s v="Explore the latest text on Myntra! Trendy styles await."/>
    <n v="1963"/>
    <n v="213"/>
    <n v="19"/>
    <n v="39260"/>
    <n v="38771"/>
    <n v="145"/>
    <x v="2"/>
    <s v="FashionUpgrade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x v="1"/>
    <s v="StyleRevolution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x v="4"/>
    <s v="StyleRevolution"/>
  </r>
  <r>
    <s v="P192"/>
    <s v="Instagram"/>
    <d v="2024-11-29T00:00:00"/>
    <s v="Video"/>
    <s v="Explore the latest video on Myntra! Trendy styles await."/>
    <n v="1176"/>
    <n v="464"/>
    <n v="394"/>
    <n v="14112"/>
    <n v="13588"/>
    <n v="272"/>
    <x v="4"/>
    <s v="FashionUpgrade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x v="4"/>
    <s v="FashionUpgrade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x v="3"/>
    <s v="FashionUpgrade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x v="4"/>
    <s v="EndOfSeasonSale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x v="2"/>
    <s v="EndOfSeasonSale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x v="1"/>
    <s v="MyntraFestiveEdit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x v="3"/>
    <s v="MyntraFestiveEdit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x v="3"/>
    <s v="MyntraFestiveEdit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x v="1"/>
    <s v="MyntraFestiveEdit"/>
  </r>
  <r>
    <s v="P197"/>
    <s v="Twitter"/>
    <d v="2024-10-22T00:00:00"/>
    <s v="Reel"/>
    <s v="Explore the latest reel on Myntra! Trendy styles await."/>
    <n v="4782"/>
    <n v="721"/>
    <n v="82"/>
    <n v="86076"/>
    <n v="85339"/>
    <n v="19"/>
    <x v="4"/>
    <s v="EndOfSeasonSale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x v="3"/>
    <s v="EndOfSeasonSale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x v="0"/>
    <s v="EndOfSeasonSale"/>
  </r>
  <r>
    <s v="P199"/>
    <s v="Youtube"/>
    <d v="2024-11-30T00:00:00"/>
    <s v="Carousel"/>
    <s v="Explore the latest carousel on Myntra! Trendy styles await."/>
    <n v="2509"/>
    <n v="324"/>
    <n v="171"/>
    <n v="35126"/>
    <n v="34685"/>
    <n v="277"/>
    <x v="4"/>
    <s v="EndOfSeasonSale"/>
  </r>
  <r>
    <s v="P200"/>
    <s v="Facebook"/>
    <d v="2025-04-07T00:00:00"/>
    <s v="Reel"/>
    <s v="Explore the latest reel on Myntra! Trendy styles await."/>
    <n v="3718"/>
    <n v="385"/>
    <n v="310"/>
    <n v="70642"/>
    <n v="69749"/>
    <n v="233"/>
    <x v="3"/>
    <s v="FashionUpgrade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x v="0"/>
    <s v="StyleRevolution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x v="4"/>
    <s v="StyleRevolution"/>
  </r>
  <r>
    <s v="P202"/>
    <s v="Facebook"/>
    <d v="2024-06-02T00:00:00"/>
    <s v="Image"/>
    <s v="Explore the latest image on Myntra! Trendy styles await."/>
    <n v="1871"/>
    <n v="252"/>
    <n v="335"/>
    <n v="29936"/>
    <n v="29576"/>
    <n v="288"/>
    <x v="3"/>
    <s v="EndOfSeasonSale"/>
  </r>
  <r>
    <s v="P203"/>
    <s v="Instagram"/>
    <d v="2024-11-21T00:00:00"/>
    <s v="Carousel"/>
    <s v="Explore the latest carousel on Myntra! Trendy styles await."/>
    <n v="3773"/>
    <n v="299"/>
    <n v="38"/>
    <n v="71687"/>
    <n v="71447"/>
    <n v="286"/>
    <x v="3"/>
    <s v="StyleRevolution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x v="4"/>
    <s v="StyleRevolution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x v="2"/>
    <s v="StyleRevolution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x v="2"/>
    <s v="FashionUpgrade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x v="4"/>
    <s v="FashionUpgrade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x v="1"/>
    <s v="EndOfSeasonSale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x v="0"/>
    <s v="EndOfSeasonSale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x v="2"/>
    <s v="MyntraFestiveEdit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x v="4"/>
    <s v="MyntraFestiveEdit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x v="3"/>
    <s v="FashionUpgrade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x v="4"/>
    <s v="FashionUpgrade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x v="2"/>
    <s v="FashionUpgrade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x v="3"/>
    <s v="FashionUpgrade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x v="3"/>
    <s v="FashionUpgrade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x v="0"/>
    <s v="FashionUpgrade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x v="3"/>
    <s v="FashionUpgrade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x v="0"/>
    <s v="FashionUpgrade"/>
  </r>
  <r>
    <s v="P212"/>
    <s v="Youtube"/>
    <d v="2025-03-03T00:00:00"/>
    <s v="Video"/>
    <s v="Explore the latest video on Myntra! Trendy styles await."/>
    <n v="3874"/>
    <n v="884"/>
    <n v="19"/>
    <n v="38740"/>
    <n v="38552"/>
    <n v="219"/>
    <x v="2"/>
    <s v="StyleRevolution"/>
  </r>
  <r>
    <s v="P213"/>
    <s v="Facebook"/>
    <d v="2025-05-01T00:00:00"/>
    <s v="Carousel"/>
    <s v="Explore the latest carousel on Myntra! Trendy styles await."/>
    <n v="2696"/>
    <n v="628"/>
    <n v="443"/>
    <n v="45832"/>
    <n v="45632"/>
    <n v="248"/>
    <x v="0"/>
    <s v="MyntraFestiveEdit"/>
  </r>
  <r>
    <s v="P214"/>
    <s v="Instagram"/>
    <d v="2024-12-23T00:00:00"/>
    <s v="Image"/>
    <s v="Explore the latest image on Myntra! Trendy styles await."/>
    <n v="521"/>
    <n v="746"/>
    <n v="315"/>
    <n v="4168"/>
    <n v="3399"/>
    <n v="282"/>
    <x v="0"/>
    <s v="FashionUpgrade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x v="0"/>
    <s v="FashionUpgrade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x v="3"/>
    <s v="FashionUpgrade"/>
  </r>
  <r>
    <s v="P216"/>
    <s v="Youtube"/>
    <d v="2024-07-29T00:00:00"/>
    <s v="Story"/>
    <s v="Explore the latest story on Myntra! Trendy styles await."/>
    <n v="1509"/>
    <n v="88"/>
    <n v="163"/>
    <n v="30180"/>
    <n v="29689"/>
    <n v="119"/>
    <x v="3"/>
    <s v="FashionUpgrade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x v="4"/>
    <s v="MyntraFestiveEdit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x v="1"/>
    <s v="MyntraFestiveEdit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x v="4"/>
    <s v="FashionUpgrade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x v="2"/>
    <s v="FashionUpgrade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x v="2"/>
    <s v="EndOfSeasonSale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x v="1"/>
    <s v="EndOfSeasonSale"/>
  </r>
  <r>
    <s v="P220"/>
    <s v="Instagram"/>
    <d v="2024-06-02T00:00:00"/>
    <s v="Story"/>
    <s v="Explore the latest story on Myntra! Trendy styles await."/>
    <n v="84"/>
    <n v="897"/>
    <n v="85"/>
    <n v="588"/>
    <n v="8"/>
    <n v="12"/>
    <x v="2"/>
    <s v="EndOfSeasonSale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x v="3"/>
    <s v="StyleRevolution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x v="1"/>
    <s v="StyleRevolution"/>
  </r>
  <r>
    <s v="P222"/>
    <s v="Facebook"/>
    <d v="2024-10-08T00:00:00"/>
    <s v="Reel"/>
    <s v="Explore the latest reel on Myntra! Trendy styles await."/>
    <n v="1814"/>
    <n v="653"/>
    <n v="363"/>
    <n v="25396"/>
    <n v="25286"/>
    <n v="39"/>
    <x v="2"/>
    <s v="FashionUpgrade"/>
  </r>
  <r>
    <s v="P223"/>
    <s v="Twitter"/>
    <d v="2024-11-12T00:00:00"/>
    <s v="Image"/>
    <s v="Explore the latest image on Myntra! Trendy styles await."/>
    <n v="3338"/>
    <n v="277"/>
    <n v="118"/>
    <n v="60084"/>
    <n v="59842"/>
    <n v="252"/>
    <x v="2"/>
    <s v="FashionUpgrade"/>
  </r>
  <r>
    <s v="P224"/>
    <s v="Facebook"/>
    <d v="2025-05-13T00:00:00"/>
    <s v="Image"/>
    <s v="Explore the latest image on Myntra! Trendy styles await."/>
    <n v="602"/>
    <n v="594"/>
    <n v="156"/>
    <n v="4214"/>
    <n v="3363"/>
    <n v="164"/>
    <x v="0"/>
    <s v="MyntraFestiveEdit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x v="4"/>
    <s v="MyntraFestiveEdit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x v="0"/>
    <s v="MyntraFestiveEdit"/>
  </r>
  <r>
    <s v="P226"/>
    <s v="Instagram"/>
    <d v="2024-08-07T00:00:00"/>
    <s v="Carousel"/>
    <s v="Explore the latest carousel on Myntra! Trendy styles await."/>
    <n v="1741"/>
    <n v="164"/>
    <n v="318"/>
    <n v="8705"/>
    <n v="8272"/>
    <n v="121"/>
    <x v="0"/>
    <s v="EndOfSeasonSale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x v="3"/>
    <s v="EndOfSeasonSale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x v="4"/>
    <s v="EndOfSeasonSale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x v="3"/>
    <s v="StyleRevolution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x v="0"/>
    <s v="StyleRevolution"/>
  </r>
  <r>
    <s v="P229"/>
    <s v="Instagram"/>
    <d v="2024-07-03T00:00:00"/>
    <s v="Carousel"/>
    <s v="Explore the latest carousel on Myntra! Trendy styles await."/>
    <n v="4799"/>
    <n v="694"/>
    <n v="289"/>
    <n v="43191"/>
    <n v="42228"/>
    <n v="118"/>
    <x v="3"/>
    <s v="EndOfSeasonSale"/>
  </r>
  <r>
    <s v="P230"/>
    <s v="Facebook"/>
    <d v="2024-07-15T00:00:00"/>
    <s v="Reel"/>
    <s v="Explore the latest reel on Myntra! Trendy styles await."/>
    <n v="3663"/>
    <n v="17"/>
    <n v="295"/>
    <n v="51282"/>
    <n v="50567"/>
    <n v="84"/>
    <x v="0"/>
    <s v="FashionUpgrade"/>
  </r>
  <r>
    <s v="P231"/>
    <s v="Instagram"/>
    <d v="2025-05-01T00:00:00"/>
    <s v="Text"/>
    <s v="Explore the latest text on Myntra! Trendy styles await."/>
    <n v="1430"/>
    <n v="376"/>
    <n v="33"/>
    <n v="21450"/>
    <n v="20509"/>
    <n v="251"/>
    <x v="4"/>
    <s v="MyntraFestiveEdit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x v="1"/>
    <s v="StyleRevolution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x v="3"/>
    <s v="StyleRevolution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x v="4"/>
    <s v="EndOfSeasonSale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x v="3"/>
    <s v="EndOfSeasonSale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x v="1"/>
    <s v="EndOfSeasonSale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x v="4"/>
    <s v="EndOfSeasonSale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x v="2"/>
    <s v="StyleRevolution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x v="3"/>
    <s v="StyleRevolution"/>
  </r>
  <r>
    <s v="P236"/>
    <s v="Facebook"/>
    <d v="2024-08-19T00:00:00"/>
    <s v="Text"/>
    <s v="Explore the latest text on Myntra! Trendy styles await."/>
    <n v="1257"/>
    <n v="19"/>
    <n v="351"/>
    <n v="12570"/>
    <n v="11660"/>
    <n v="194"/>
    <x v="2"/>
    <s v="FashionUpgrade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x v="0"/>
    <s v="StyleRevolution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x v="3"/>
    <s v="StyleRevolution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x v="3"/>
    <s v="FashionUpgrade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x v="1"/>
    <s v="FashionUpgrade"/>
  </r>
  <r>
    <s v="P239"/>
    <s v="Youtube"/>
    <d v="2025-02-24T00:00:00"/>
    <s v="Text"/>
    <s v="Explore the latest text on Myntra! Trendy styles await."/>
    <n v="4188"/>
    <n v="942"/>
    <n v="118"/>
    <n v="20940"/>
    <n v="20471"/>
    <n v="102"/>
    <x v="2"/>
    <s v="EndOfSeasonSale"/>
  </r>
  <r>
    <s v="P240"/>
    <s v="Twitter"/>
    <d v="2024-08-26T00:00:00"/>
    <s v="Carousel"/>
    <s v="Explore the latest carousel on Myntra! Trendy styles await."/>
    <n v="929"/>
    <n v="192"/>
    <n v="322"/>
    <n v="16722"/>
    <n v="15996"/>
    <n v="145"/>
    <x v="1"/>
    <s v="MyntraFestiveEdit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x v="0"/>
    <s v="MyntraFestiveEdit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x v="1"/>
    <s v="MyntraFestiveEdit"/>
  </r>
  <r>
    <s v="P242"/>
    <s v="Facebook"/>
    <d v="2024-07-07T00:00:00"/>
    <s v="Reel"/>
    <s v="Explore the latest reel on Myntra! Trendy styles await."/>
    <n v="4767"/>
    <n v="190"/>
    <n v="340"/>
    <n v="28602"/>
    <n v="28044"/>
    <n v="210"/>
    <x v="4"/>
    <s v="StyleRevolution"/>
  </r>
  <r>
    <s v="P243"/>
    <s v="Twitter"/>
    <d v="2025-03-06T00:00:00"/>
    <s v="Image"/>
    <s v="Explore the latest image on Myntra! Trendy styles await."/>
    <n v="3592"/>
    <n v="911"/>
    <n v="375"/>
    <n v="50288"/>
    <n v="49490"/>
    <n v="32"/>
    <x v="2"/>
    <s v="EndOfSeasonSale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x v="2"/>
    <s v="FashionUpgrade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x v="4"/>
    <s v="FashionUpgrade"/>
  </r>
  <r>
    <s v="P245"/>
    <s v="Facebook"/>
    <d v="2025-01-12T00:00:00"/>
    <s v="Reel"/>
    <s v="Explore the latest reel on Myntra! Trendy styles await."/>
    <n v="4134"/>
    <n v="824"/>
    <n v="99"/>
    <n v="41340"/>
    <n v="41050"/>
    <n v="177"/>
    <x v="1"/>
    <s v="EndOfSeasonSale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x v="0"/>
    <s v="EndOfSeasonSale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x v="3"/>
    <s v="EndOfSeasonSale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x v="3"/>
    <s v="StyleRevolution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x v="1"/>
    <s v="StyleRevolution"/>
  </r>
  <r>
    <s v="P248"/>
    <s v="Facebook"/>
    <d v="2025-02-02T00:00:00"/>
    <s v="Story"/>
    <s v="Explore the latest story on Myntra! Trendy styles await."/>
    <n v="886"/>
    <n v="126"/>
    <n v="153"/>
    <n v="4430"/>
    <n v="4037"/>
    <n v="212"/>
    <x v="0"/>
    <s v="MyntraFestiveEdit"/>
  </r>
  <r>
    <s v="P249"/>
    <s v="Twitter"/>
    <d v="2024-07-18T00:00:00"/>
    <s v="Image"/>
    <s v="Explore the latest image on Myntra! Trendy styles await."/>
    <n v="827"/>
    <n v="77"/>
    <n v="402"/>
    <n v="14886"/>
    <n v="14129"/>
    <n v="254"/>
    <x v="2"/>
    <s v="EndOfSeasonSale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x v="4"/>
    <s v="FashionUpgrade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x v="3"/>
    <s v="FashionUpgrade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x v="4"/>
    <s v="MyntraFestiveEdit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x v="1"/>
    <s v="MyntraFestiveEdit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x v="2"/>
    <s v="FashionUpgrade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x v="0"/>
    <s v="FashionUpgrade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x v="2"/>
    <s v="FashionUpgrade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x v="4"/>
    <s v="FashionUpgrade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x v="4"/>
    <s v="StyleRevolution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x v="3"/>
    <s v="StyleRevolution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x v="2"/>
    <s v="FashionUpgrade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x v="4"/>
    <s v="FashionUpgrade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x v="4"/>
    <s v="StyleRevolution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x v="0"/>
    <s v="StyleRevolution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x v="4"/>
    <s v="StyleRevolution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x v="2"/>
    <s v="StyleRevolution"/>
  </r>
  <r>
    <s v="P258"/>
    <s v="Instagram"/>
    <d v="2024-08-05T00:00:00"/>
    <s v="Story"/>
    <s v="Explore the latest story on Myntra! Trendy styles await."/>
    <n v="3601"/>
    <n v="695"/>
    <n v="75"/>
    <n v="21606"/>
    <n v="21454"/>
    <n v="172"/>
    <x v="2"/>
    <s v="EndOfSeasonSale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x v="4"/>
    <s v="StyleRevolution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x v="0"/>
    <s v="StyleRevolution"/>
  </r>
  <r>
    <s v="P260"/>
    <s v="Instagram"/>
    <d v="2025-02-12T00:00:00"/>
    <s v="Story"/>
    <s v="Explore the latest story on Myntra! Trendy styles await."/>
    <n v="4332"/>
    <n v="771"/>
    <n v="219"/>
    <n v="60648"/>
    <n v="60397"/>
    <n v="10"/>
    <x v="1"/>
    <s v="MyntraFestiveEdit"/>
  </r>
  <r>
    <s v="P261"/>
    <s v="Instagram"/>
    <d v="2024-10-27T00:00:00"/>
    <s v="Image"/>
    <s v="Explore the latest image on Myntra! Trendy styles await."/>
    <n v="4853"/>
    <n v="837"/>
    <n v="340"/>
    <n v="72795"/>
    <n v="72237"/>
    <n v="170"/>
    <x v="0"/>
    <s v="EndOfSeasonSale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x v="0"/>
    <s v="MyntraFestiveEdit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x v="2"/>
    <s v="MyntraFestiveEdit"/>
  </r>
  <r>
    <s v="P263"/>
    <s v="Instagram"/>
    <d v="2024-08-20T00:00:00"/>
    <s v="Reel"/>
    <s v="Explore the latest reel on Myntra! Trendy styles await."/>
    <n v="2603"/>
    <n v="690"/>
    <n v="205"/>
    <n v="13015"/>
    <n v="12130"/>
    <n v="20"/>
    <x v="3"/>
    <s v="FashionUpgrade"/>
  </r>
  <r>
    <s v="P264"/>
    <s v="Twitter"/>
    <d v="2025-01-30T00:00:00"/>
    <s v="Image"/>
    <s v="Explore the latest image on Myntra! Trendy styles await."/>
    <n v="59"/>
    <n v="163"/>
    <n v="93"/>
    <n v="590"/>
    <n v="475"/>
    <n v="293"/>
    <x v="3"/>
    <s v="StyleRevolution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x v="2"/>
    <s v="FashionUpgrade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x v="0"/>
    <s v="FashionUpgrade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x v="0"/>
    <s v="MyntraFestiveEdit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x v="2"/>
    <s v="MyntraFestiveEdit"/>
  </r>
  <r>
    <s v="P267"/>
    <s v="Twitter"/>
    <d v="2024-10-04T00:00:00"/>
    <s v="Reel"/>
    <s v="Explore the latest reel on Myntra! Trendy styles await."/>
    <n v="4187"/>
    <n v="66"/>
    <n v="31"/>
    <n v="66992"/>
    <n v="66614"/>
    <n v="62"/>
    <x v="2"/>
    <s v="StyleRevolution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x v="2"/>
    <s v="FashionUpgrade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x v="1"/>
    <s v="FashionUpgrade"/>
  </r>
  <r>
    <s v="P269"/>
    <s v="Instagram"/>
    <d v="2024-11-05T00:00:00"/>
    <s v="Video"/>
    <s v="Explore the latest video on Myntra! Trendy styles await."/>
    <n v="4561"/>
    <n v="51"/>
    <n v="441"/>
    <n v="22805"/>
    <n v="21890"/>
    <n v="45"/>
    <x v="2"/>
    <s v="EndOfSeasonSale"/>
  </r>
  <r>
    <s v="P270"/>
    <s v="Youtube"/>
    <d v="2025-01-15T00:00:00"/>
    <s v="Reel"/>
    <s v="Explore the latest reel on Myntra! Trendy styles await."/>
    <n v="3774"/>
    <n v="239"/>
    <n v="39"/>
    <n v="60384"/>
    <n v="59490"/>
    <n v="241"/>
    <x v="4"/>
    <s v="MyntraFestiveEdit"/>
  </r>
  <r>
    <s v="P271"/>
    <s v="Instagram"/>
    <d v="2024-10-17T00:00:00"/>
    <s v="Video"/>
    <s v="Explore the latest video on Myntra! Trendy styles await."/>
    <n v="3575"/>
    <n v="749"/>
    <n v="111"/>
    <n v="21450"/>
    <n v="20785"/>
    <n v="195"/>
    <x v="4"/>
    <s v="MyntraFestiveEdit"/>
  </r>
  <r>
    <s v="P272"/>
    <s v="Instagram"/>
    <d v="2025-03-27T00:00:00"/>
    <s v="Text"/>
    <s v="Explore the latest text on Myntra! Trendy styles await."/>
    <n v="4941"/>
    <n v="414"/>
    <n v="266"/>
    <n v="39528"/>
    <n v="39154"/>
    <n v="217"/>
    <x v="0"/>
    <s v="EndOfSeasonSale"/>
  </r>
  <r>
    <s v="P273"/>
    <s v="Youtube"/>
    <d v="2024-10-12T00:00:00"/>
    <s v="Story"/>
    <s v="Explore the latest story on Myntra! Trendy styles await."/>
    <n v="3641"/>
    <n v="226"/>
    <n v="46"/>
    <n v="40051"/>
    <n v="39319"/>
    <n v="296"/>
    <x v="3"/>
    <s v="EndOfSeasonSale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x v="3"/>
    <s v="EndOfSeasonSale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x v="2"/>
    <s v="EndOfSeasonSale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x v="1"/>
    <s v="StyleRevolution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x v="4"/>
    <s v="StyleRevolution"/>
  </r>
  <r>
    <s v="P276"/>
    <s v="Twitter"/>
    <d v="2024-06-07T00:00:00"/>
    <s v="Carousel"/>
    <s v="Explore the latest carousel on Myntra! Trendy styles await."/>
    <n v="1556"/>
    <n v="195"/>
    <n v="131"/>
    <n v="9336"/>
    <n v="8875"/>
    <n v="137"/>
    <x v="1"/>
    <s v="EndOfSeasonSale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x v="3"/>
    <s v="StyleRevolution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x v="0"/>
    <s v="StyleRevolution"/>
  </r>
  <r>
    <s v="P278"/>
    <s v="Twitter"/>
    <d v="2024-11-26T00:00:00"/>
    <s v="Text"/>
    <s v="Explore the latest text on Myntra! Trendy styles await."/>
    <n v="4516"/>
    <n v="836"/>
    <n v="169"/>
    <n v="49676"/>
    <n v="49257"/>
    <n v="282"/>
    <x v="3"/>
    <s v="FashionUpgrade"/>
  </r>
  <r>
    <s v="P279"/>
    <s v="Youtube"/>
    <d v="2024-09-02T00:00:00"/>
    <s v="Image"/>
    <s v="Explore the latest image on Myntra! Trendy styles await."/>
    <n v="4905"/>
    <n v="845"/>
    <n v="129"/>
    <n v="98100"/>
    <n v="97772"/>
    <n v="279"/>
    <x v="3"/>
    <s v="StyleRevolution"/>
  </r>
  <r>
    <s v="P280"/>
    <s v="Youtube"/>
    <d v="2024-10-21T00:00:00"/>
    <s v="Video"/>
    <s v="Explore the latest video on Myntra! Trendy styles await."/>
    <n v="4275"/>
    <n v="680"/>
    <n v="385"/>
    <n v="64125"/>
    <n v="63650"/>
    <n v="104"/>
    <x v="2"/>
    <s v="StyleRevolution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x v="1"/>
    <s v="EndOfSeasonSale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x v="2"/>
    <s v="EndOfSeasonSale"/>
  </r>
  <r>
    <s v="P282"/>
    <s v="Instagram"/>
    <d v="2024-10-03T00:00:00"/>
    <s v="Video"/>
    <s v="Explore the latest video on Myntra! Trendy styles await."/>
    <n v="1488"/>
    <n v="417"/>
    <n v="168"/>
    <n v="19344"/>
    <n v="18395"/>
    <n v="30"/>
    <x v="0"/>
    <s v="FashionUpgrade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x v="3"/>
    <s v="MyntraFestiveEdit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x v="1"/>
    <s v="MyntraFestiveEdit"/>
  </r>
  <r>
    <s v="P284"/>
    <s v="Twitter"/>
    <d v="2024-09-17T00:00:00"/>
    <s v="Text"/>
    <s v="Explore the latest text on Myntra! Trendy styles await."/>
    <n v="571"/>
    <n v="190"/>
    <n v="352"/>
    <n v="9707"/>
    <n v="9418"/>
    <n v="231"/>
    <x v="4"/>
    <s v="EndOfSeasonSale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x v="4"/>
    <s v="FashionUpgrade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x v="2"/>
    <s v="FashionUpgrade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x v="1"/>
    <s v="EndOfSeasonSale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x v="0"/>
    <s v="EndOfSeasonSale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x v="1"/>
    <s v="MyntraFestiveEdit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x v="3"/>
    <s v="MyntraFestiveEdit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x v="1"/>
    <s v="MyntraFestiveEdit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x v="4"/>
    <s v="MyntraFestiveEdit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x v="3"/>
    <s v="EndOfSeasonSale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x v="2"/>
    <s v="EndOfSeasonSale"/>
  </r>
  <r>
    <s v="P290"/>
    <s v="Instagram"/>
    <d v="2024-12-20T00:00:00"/>
    <s v="Carousel"/>
    <s v="Explore the latest carousel on Myntra! Trendy styles await."/>
    <n v="2107"/>
    <n v="550"/>
    <n v="349"/>
    <n v="35819"/>
    <n v="35340"/>
    <n v="191"/>
    <x v="3"/>
    <s v="MyntraFestiveEdit"/>
  </r>
  <r>
    <s v="P291"/>
    <s v="Facebook"/>
    <d v="2024-11-06T00:00:00"/>
    <s v="Video"/>
    <s v="Explore the latest video on Myntra! Trendy styles await."/>
    <n v="4663"/>
    <n v="145"/>
    <n v="225"/>
    <n v="69945"/>
    <n v="69596"/>
    <n v="35"/>
    <x v="1"/>
    <s v="EndOfSeasonSale"/>
  </r>
  <r>
    <s v="P292"/>
    <s v="Facebook"/>
    <d v="2024-11-17T00:00:00"/>
    <s v="Text"/>
    <s v="Explore the latest text on Myntra! Trendy styles await."/>
    <n v="880"/>
    <n v="297"/>
    <n v="345"/>
    <n v="12320"/>
    <n v="11978"/>
    <n v="238"/>
    <x v="0"/>
    <s v="EndOfSeasonSale"/>
  </r>
  <r>
    <s v="P293"/>
    <s v="Facebook"/>
    <d v="2025-05-14T00:00:00"/>
    <s v="Text"/>
    <s v="Explore the latest text on Myntra! Trendy styles await."/>
    <n v="2634"/>
    <n v="726"/>
    <n v="241"/>
    <n v="28974"/>
    <n v="28102"/>
    <n v="277"/>
    <x v="2"/>
    <s v="MyntraFestiveEdit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x v="3"/>
    <s v="StyleRevolution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x v="1"/>
    <s v="StyleRevolution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x v="0"/>
    <s v="MyntraFestiveEdit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x v="1"/>
    <s v="MyntraFestiveEdit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x v="1"/>
    <s v="FashionUpgrade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x v="4"/>
    <s v="FashionUpgrade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x v="2"/>
    <s v="FashionUpgrade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x v="3"/>
    <s v="FashionUpgrade"/>
  </r>
  <r>
    <s v="P298"/>
    <s v="Facebook"/>
    <d v="2024-10-24T00:00:00"/>
    <s v="Image"/>
    <s v="Explore the latest image on Myntra! Trendy styles await."/>
    <n v="4303"/>
    <n v="451"/>
    <n v="286"/>
    <n v="86060"/>
    <n v="85823"/>
    <n v="14"/>
    <x v="0"/>
    <s v="EndOfSeasonSale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x v="0"/>
    <s v="EndOfSeasonSale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x v="2"/>
    <s v="EndOfSeasonSale"/>
  </r>
  <r>
    <s v="P300"/>
    <s v="Twitter"/>
    <d v="2024-08-31T00:00:00"/>
    <s v="Carousel"/>
    <s v="Explore the latest carousel on Myntra! Trendy styles await."/>
    <n v="4494"/>
    <n v="717"/>
    <n v="45"/>
    <n v="62916"/>
    <n v="62688"/>
    <n v="191"/>
    <x v="1"/>
    <s v="FashionUpgrade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x v="0"/>
    <d v="2024-12-23T00:00:00"/>
    <x v="0"/>
    <s v="Explore the latest reel on Myntra! Trendy styles await."/>
    <n v="1461"/>
    <n v="184"/>
    <n v="344"/>
    <n v="21915"/>
    <n v="21675"/>
    <n v="15"/>
    <x v="0"/>
    <s v="FashionUpgrade"/>
    <n v="9.1764705882352943E-2"/>
  </r>
  <r>
    <s v="P002"/>
    <x v="0"/>
    <d v="2025-04-03T00:00:00"/>
    <x v="1"/>
    <s v="Explore the latest text on Myntra! Trendy styles await."/>
    <n v="4054"/>
    <n v="389"/>
    <n v="493"/>
    <n v="64864"/>
    <n v="64383"/>
    <n v="117"/>
    <x v="1"/>
    <s v="EndOfSeasonSale"/>
    <n v="7.6666200705155091E-2"/>
  </r>
  <r>
    <s v="P003"/>
    <x v="1"/>
    <d v="2025-05-12T00:00:00"/>
    <x v="0"/>
    <s v="Explore the latest reel on Myntra! Trendy styles await."/>
    <n v="2795"/>
    <n v="105"/>
    <n v="49"/>
    <n v="53105"/>
    <n v="52307"/>
    <n v="204"/>
    <x v="1"/>
    <s v="FashionUpgrade"/>
    <n v="5.6378687364979828E-2"/>
  </r>
  <r>
    <s v="P003"/>
    <x v="1"/>
    <d v="2025-05-12T00:00:00"/>
    <x v="0"/>
    <s v="Explore the latest reel on Myntra! Trendy styles await."/>
    <n v="2795"/>
    <n v="105"/>
    <n v="49"/>
    <n v="53105"/>
    <n v="52307"/>
    <n v="204"/>
    <x v="0"/>
    <s v="FashionUpgrade"/>
    <n v="5.6378687364979828E-2"/>
  </r>
  <r>
    <s v="P004"/>
    <x v="2"/>
    <d v="2024-08-12T00:00:00"/>
    <x v="2"/>
    <s v="Explore the latest story on Myntra! Trendy styles await."/>
    <n v="2404"/>
    <n v="363"/>
    <n v="138"/>
    <n v="19232"/>
    <n v="18636"/>
    <n v="128"/>
    <x v="0"/>
    <s v="FashionUpgrade"/>
    <n v="0.15588109036273878"/>
  </r>
  <r>
    <s v="P005"/>
    <x v="1"/>
    <d v="2024-06-26T00:00:00"/>
    <x v="0"/>
    <s v="Explore the latest reel on Myntra! Trendy styles await."/>
    <n v="3557"/>
    <n v="687"/>
    <n v="424"/>
    <n v="71140"/>
    <n v="70701"/>
    <n v="224"/>
    <x v="2"/>
    <s v="MyntraFestiveEdit"/>
    <n v="6.6024525820002553E-2"/>
  </r>
  <r>
    <s v="P005"/>
    <x v="1"/>
    <d v="2024-06-26T00:00:00"/>
    <x v="0"/>
    <s v="Explore the latest reel on Myntra! Trendy styles await."/>
    <n v="3557"/>
    <n v="687"/>
    <n v="424"/>
    <n v="71140"/>
    <n v="70701"/>
    <n v="224"/>
    <x v="1"/>
    <s v="MyntraFestiveEdit"/>
    <n v="6.6024525820002553E-2"/>
  </r>
  <r>
    <s v="P006"/>
    <x v="3"/>
    <d v="2024-10-31T00:00:00"/>
    <x v="3"/>
    <s v="Explore the latest carousel on Myntra! Trendy styles await."/>
    <n v="2945"/>
    <n v="930"/>
    <n v="355"/>
    <n v="23560"/>
    <n v="23275"/>
    <n v="256"/>
    <x v="3"/>
    <s v="EndOfSeasonSale"/>
    <n v="0.18174006444683136"/>
  </r>
  <r>
    <s v="P007"/>
    <x v="0"/>
    <d v="2024-06-24T00:00:00"/>
    <x v="3"/>
    <s v="Explore the latest carousel on Myntra! Trendy styles await."/>
    <n v="3860"/>
    <n v="201"/>
    <n v="279"/>
    <n v="61760"/>
    <n v="61660"/>
    <n v="235"/>
    <x v="3"/>
    <s v="MyntraFestiveEdit"/>
    <n v="7.0385987674343176E-2"/>
  </r>
  <r>
    <s v="P008"/>
    <x v="1"/>
    <d v="2024-07-13T00:00:00"/>
    <x v="4"/>
    <s v="Explore the latest image on Myntra! Trendy styles await."/>
    <n v="3929"/>
    <n v="262"/>
    <n v="278"/>
    <n v="43219"/>
    <n v="42841"/>
    <n v="39"/>
    <x v="1"/>
    <s v="MyntraFestiveEdit"/>
    <n v="0.10431595901122756"/>
  </r>
  <r>
    <s v="P008"/>
    <x v="1"/>
    <d v="2024-07-13T00:00:00"/>
    <x v="4"/>
    <s v="Explore the latest image on Myntra! Trendy styles await."/>
    <n v="3929"/>
    <n v="262"/>
    <n v="278"/>
    <n v="43219"/>
    <n v="42841"/>
    <n v="39"/>
    <x v="0"/>
    <s v="MyntraFestiveEdit"/>
    <n v="0.10431595901122756"/>
  </r>
  <r>
    <s v="P009"/>
    <x v="3"/>
    <d v="2024-08-30T00:00:00"/>
    <x v="1"/>
    <s v="Explore the latest text on Myntra! Trendy styles await."/>
    <n v="3784"/>
    <n v="808"/>
    <n v="404"/>
    <n v="56760"/>
    <n v="56343"/>
    <n v="131"/>
    <x v="1"/>
    <s v="MyntraFestiveEdit"/>
    <n v="8.8671174768826647E-2"/>
  </r>
  <r>
    <s v="P009"/>
    <x v="3"/>
    <d v="2024-08-30T00:00:00"/>
    <x v="1"/>
    <s v="Explore the latest text on Myntra! Trendy styles await."/>
    <n v="3784"/>
    <n v="808"/>
    <n v="404"/>
    <n v="56760"/>
    <n v="56343"/>
    <n v="131"/>
    <x v="0"/>
    <s v="MyntraFestiveEdit"/>
    <n v="8.8671174768826647E-2"/>
  </r>
  <r>
    <s v="P010"/>
    <x v="3"/>
    <d v="2025-03-11T00:00:00"/>
    <x v="4"/>
    <s v="Explore the latest image on Myntra! Trendy styles await."/>
    <n v="4241"/>
    <n v="902"/>
    <n v="47"/>
    <n v="72097"/>
    <n v="71598"/>
    <n v="167"/>
    <x v="3"/>
    <s v="StyleRevolution"/>
    <n v="7.2488058325651555E-2"/>
  </r>
  <r>
    <s v="P011"/>
    <x v="2"/>
    <d v="2025-02-02T00:00:00"/>
    <x v="2"/>
    <s v="Explore the latest story on Myntra! Trendy styles await."/>
    <n v="1792"/>
    <n v="614"/>
    <n v="497"/>
    <n v="25088"/>
    <n v="24675"/>
    <n v="65"/>
    <x v="2"/>
    <s v="FashionUpgrade"/>
    <n v="0.11764944275582573"/>
  </r>
  <r>
    <s v="P012"/>
    <x v="3"/>
    <d v="2024-07-21T00:00:00"/>
    <x v="0"/>
    <s v="Explore the latest reel on Myntra! Trendy styles await."/>
    <n v="1946"/>
    <n v="686"/>
    <n v="377"/>
    <n v="23352"/>
    <n v="22982"/>
    <n v="213"/>
    <x v="2"/>
    <s v="MyntraFestiveEdit"/>
    <n v="0.13092855278043686"/>
  </r>
  <r>
    <s v="P012"/>
    <x v="3"/>
    <d v="2024-07-21T00:00:00"/>
    <x v="0"/>
    <s v="Explore the latest reel on Myntra! Trendy styles await."/>
    <n v="1946"/>
    <n v="686"/>
    <n v="377"/>
    <n v="23352"/>
    <n v="22982"/>
    <n v="213"/>
    <x v="0"/>
    <s v="MyntraFestiveEdit"/>
    <n v="0.13092855278043686"/>
  </r>
  <r>
    <s v="P013"/>
    <x v="1"/>
    <d v="2024-11-18T00:00:00"/>
    <x v="3"/>
    <s v="Explore the latest carousel on Myntra! Trendy styles await."/>
    <n v="1171"/>
    <n v="286"/>
    <n v="231"/>
    <n v="22249"/>
    <n v="21282"/>
    <n v="114"/>
    <x v="1"/>
    <s v="StyleRevolution"/>
    <n v="7.9315853773141626E-2"/>
  </r>
  <r>
    <s v="P014"/>
    <x v="3"/>
    <d v="2025-02-16T00:00:00"/>
    <x v="2"/>
    <s v="Explore the latest story on Myntra! Trendy styles await."/>
    <n v="4242"/>
    <n v="555"/>
    <n v="131"/>
    <n v="33936"/>
    <n v="33802"/>
    <n v="265"/>
    <x v="0"/>
    <s v="MyntraFestiveEdit"/>
    <n v="0.14579018992958998"/>
  </r>
  <r>
    <s v="P014"/>
    <x v="3"/>
    <d v="2025-02-16T00:00:00"/>
    <x v="2"/>
    <s v="Explore the latest story on Myntra! Trendy styles await."/>
    <n v="4242"/>
    <n v="555"/>
    <n v="131"/>
    <n v="33936"/>
    <n v="33802"/>
    <n v="265"/>
    <x v="1"/>
    <s v="MyntraFestiveEdit"/>
    <n v="0.14579018992958998"/>
  </r>
  <r>
    <s v="P015"/>
    <x v="3"/>
    <d v="2024-10-24T00:00:00"/>
    <x v="5"/>
    <s v="Explore the latest video on Myntra! Trendy styles await."/>
    <n v="3888"/>
    <n v="604"/>
    <n v="128"/>
    <n v="77760"/>
    <n v="77167"/>
    <n v="20"/>
    <x v="1"/>
    <s v="FashionUpgrade"/>
    <n v="5.9870151748804543E-2"/>
  </r>
  <r>
    <s v="P015"/>
    <x v="3"/>
    <d v="2024-10-24T00:00:00"/>
    <x v="5"/>
    <s v="Explore the latest video on Myntra! Trendy styles await."/>
    <n v="3888"/>
    <n v="604"/>
    <n v="128"/>
    <n v="77760"/>
    <n v="77167"/>
    <n v="20"/>
    <x v="4"/>
    <s v="FashionUpgrade"/>
    <n v="5.9870151748804543E-2"/>
  </r>
  <r>
    <s v="P016"/>
    <x v="3"/>
    <d v="2024-08-26T00:00:00"/>
    <x v="1"/>
    <s v="Explore the latest text on Myntra! Trendy styles await."/>
    <n v="3452"/>
    <n v="377"/>
    <n v="360"/>
    <n v="55232"/>
    <n v="55075"/>
    <n v="87"/>
    <x v="0"/>
    <s v="MyntraFestiveEdit"/>
    <n v="7.6059918293236495E-2"/>
  </r>
  <r>
    <s v="P016"/>
    <x v="3"/>
    <d v="2024-08-26T00:00:00"/>
    <x v="1"/>
    <s v="Explore the latest text on Myntra! Trendy styles await."/>
    <n v="3452"/>
    <n v="377"/>
    <n v="360"/>
    <n v="55232"/>
    <n v="55075"/>
    <n v="87"/>
    <x v="4"/>
    <s v="MyntraFestiveEdit"/>
    <n v="7.6059918293236495E-2"/>
  </r>
  <r>
    <s v="P017"/>
    <x v="3"/>
    <d v="2025-05-05T00:00:00"/>
    <x v="1"/>
    <s v="Explore the latest text on Myntra! Trendy styles await."/>
    <n v="4441"/>
    <n v="511"/>
    <n v="70"/>
    <n v="53292"/>
    <n v="53082"/>
    <n v="159"/>
    <x v="4"/>
    <s v="MyntraFestiveEdit"/>
    <n v="9.4608341810783314E-2"/>
  </r>
  <r>
    <s v="P018"/>
    <x v="2"/>
    <d v="2024-08-19T00:00:00"/>
    <x v="0"/>
    <s v="Explore the latest reel on Myntra! Trendy styles await."/>
    <n v="3000"/>
    <n v="382"/>
    <n v="325"/>
    <n v="36000"/>
    <n v="35819"/>
    <n v="19"/>
    <x v="2"/>
    <s v="EndOfSeasonSale"/>
    <n v="0.10349255981462352"/>
  </r>
  <r>
    <s v="P019"/>
    <x v="2"/>
    <d v="2024-06-23T00:00:00"/>
    <x v="5"/>
    <s v="Explore the latest video on Myntra! Trendy styles await."/>
    <n v="1071"/>
    <n v="519"/>
    <n v="22"/>
    <n v="16065"/>
    <n v="15865"/>
    <n v="103"/>
    <x v="0"/>
    <s v="MyntraFestiveEdit"/>
    <n v="0.10160731169240467"/>
  </r>
  <r>
    <s v="P019"/>
    <x v="2"/>
    <d v="2024-06-23T00:00:00"/>
    <x v="5"/>
    <s v="Explore the latest video on Myntra! Trendy styles await."/>
    <n v="1071"/>
    <n v="519"/>
    <n v="22"/>
    <n v="16065"/>
    <n v="15865"/>
    <n v="103"/>
    <x v="2"/>
    <s v="MyntraFestiveEdit"/>
    <n v="0.10160731169240467"/>
  </r>
  <r>
    <s v="P020"/>
    <x v="2"/>
    <d v="2024-09-09T00:00:00"/>
    <x v="3"/>
    <s v="Explore the latest carousel on Myntra! Trendy styles await."/>
    <n v="4054"/>
    <n v="488"/>
    <n v="373"/>
    <n v="77026"/>
    <n v="76881"/>
    <n v="25"/>
    <x v="1"/>
    <s v="MyntraFestiveEdit"/>
    <n v="6.3929969693422309E-2"/>
  </r>
  <r>
    <s v="P020"/>
    <x v="2"/>
    <d v="2024-09-09T00:00:00"/>
    <x v="3"/>
    <s v="Explore the latest carousel on Myntra! Trendy styles await."/>
    <n v="4054"/>
    <n v="488"/>
    <n v="373"/>
    <n v="77026"/>
    <n v="76881"/>
    <n v="25"/>
    <x v="0"/>
    <s v="MyntraFestiveEdit"/>
    <n v="6.3929969693422309E-2"/>
  </r>
  <r>
    <s v="P021"/>
    <x v="2"/>
    <d v="2025-01-04T00:00:00"/>
    <x v="0"/>
    <s v="Explore the latest reel on Myntra! Trendy styles await."/>
    <n v="4838"/>
    <n v="640"/>
    <n v="128"/>
    <n v="72570"/>
    <n v="72396"/>
    <n v="83"/>
    <x v="2"/>
    <s v="MyntraFestiveEdit"/>
    <n v="7.7435217415326815E-2"/>
  </r>
  <r>
    <s v="P021"/>
    <x v="2"/>
    <d v="2025-01-04T00:00:00"/>
    <x v="0"/>
    <s v="Explore the latest reel on Myntra! Trendy styles await."/>
    <n v="4838"/>
    <n v="640"/>
    <n v="128"/>
    <n v="72570"/>
    <n v="72396"/>
    <n v="83"/>
    <x v="3"/>
    <s v="MyntraFestiveEdit"/>
    <n v="7.7435217415326815E-2"/>
  </r>
  <r>
    <s v="P022"/>
    <x v="3"/>
    <d v="2025-02-27T00:00:00"/>
    <x v="1"/>
    <s v="Explore the latest text on Myntra! Trendy styles await."/>
    <n v="1570"/>
    <n v="187"/>
    <n v="260"/>
    <n v="25120"/>
    <n v="24613"/>
    <n v="133"/>
    <x v="0"/>
    <s v="StyleRevolution"/>
    <n v="8.1948563767114943E-2"/>
  </r>
  <r>
    <s v="P023"/>
    <x v="3"/>
    <d v="2024-11-06T00:00:00"/>
    <x v="5"/>
    <s v="Explore the latest video on Myntra! Trendy styles await."/>
    <n v="1606"/>
    <n v="547"/>
    <n v="316"/>
    <n v="32120"/>
    <n v="31736"/>
    <n v="225"/>
    <x v="0"/>
    <s v="MyntraFestiveEdit"/>
    <n v="7.7798084194605502E-2"/>
  </r>
  <r>
    <s v="P024"/>
    <x v="3"/>
    <d v="2025-01-23T00:00:00"/>
    <x v="5"/>
    <s v="Explore the latest video on Myntra! Trendy styles await."/>
    <n v="3961"/>
    <n v="761"/>
    <n v="131"/>
    <n v="67337"/>
    <n v="66615"/>
    <n v="161"/>
    <x v="3"/>
    <s v="EndOfSeasonSale"/>
    <n v="7.2851459881408093E-2"/>
  </r>
  <r>
    <s v="P025"/>
    <x v="0"/>
    <d v="2025-04-10T00:00:00"/>
    <x v="3"/>
    <s v="Explore the latest carousel on Myntra! Trendy styles await."/>
    <n v="3128"/>
    <n v="211"/>
    <n v="197"/>
    <n v="59432"/>
    <n v="59182"/>
    <n v="238"/>
    <x v="2"/>
    <s v="FashionUpgrade"/>
    <n v="5.9747896319826972E-2"/>
  </r>
  <r>
    <s v="P025"/>
    <x v="0"/>
    <d v="2025-04-10T00:00:00"/>
    <x v="3"/>
    <s v="Explore the latest carousel on Myntra! Trendy styles await."/>
    <n v="3128"/>
    <n v="211"/>
    <n v="197"/>
    <n v="59432"/>
    <n v="59182"/>
    <n v="238"/>
    <x v="0"/>
    <s v="FashionUpgrade"/>
    <n v="5.9747896319826972E-2"/>
  </r>
  <r>
    <s v="P026"/>
    <x v="1"/>
    <d v="2025-04-05T00:00:00"/>
    <x v="0"/>
    <s v="Explore the latest reel on Myntra! Trendy styles await."/>
    <n v="3009"/>
    <n v="413"/>
    <n v="358"/>
    <n v="42126"/>
    <n v="41309"/>
    <n v="211"/>
    <x v="0"/>
    <s v="EndOfSeasonSale"/>
    <n v="9.1505483066644078E-2"/>
  </r>
  <r>
    <s v="P027"/>
    <x v="1"/>
    <d v="2024-09-17T00:00:00"/>
    <x v="1"/>
    <s v="Explore the latest text on Myntra! Trendy styles await."/>
    <n v="2076"/>
    <n v="195"/>
    <n v="104"/>
    <n v="33216"/>
    <n v="32244"/>
    <n v="51"/>
    <x v="3"/>
    <s v="StyleRevolution"/>
    <n v="7.3657114501922832E-2"/>
  </r>
  <r>
    <s v="P028"/>
    <x v="2"/>
    <d v="2025-03-04T00:00:00"/>
    <x v="5"/>
    <s v="Explore the latest video on Myntra! Trendy styles await."/>
    <n v="432"/>
    <n v="624"/>
    <n v="123"/>
    <n v="6912"/>
    <n v="6259"/>
    <n v="79"/>
    <x v="0"/>
    <s v="EndOfSeasonSale"/>
    <n v="0.18836874900143794"/>
  </r>
  <r>
    <s v="P028"/>
    <x v="2"/>
    <d v="2025-03-04T00:00:00"/>
    <x v="5"/>
    <s v="Explore the latest video on Myntra! Trendy styles await."/>
    <n v="432"/>
    <n v="624"/>
    <n v="123"/>
    <n v="6912"/>
    <n v="6259"/>
    <n v="79"/>
    <x v="3"/>
    <s v="EndOfSeasonSale"/>
    <n v="0.18836874900143794"/>
  </r>
  <r>
    <s v="P029"/>
    <x v="2"/>
    <d v="2025-01-31T00:00:00"/>
    <x v="3"/>
    <s v="Explore the latest carousel on Myntra! Trendy styles await."/>
    <n v="2566"/>
    <n v="118"/>
    <n v="37"/>
    <n v="12830"/>
    <n v="12264"/>
    <n v="221"/>
    <x v="3"/>
    <s v="MyntraFestiveEdit"/>
    <n v="0.22186888454011741"/>
  </r>
  <r>
    <s v="P029"/>
    <x v="2"/>
    <d v="2025-01-31T00:00:00"/>
    <x v="3"/>
    <s v="Explore the latest carousel on Myntra! Trendy styles await."/>
    <n v="2566"/>
    <n v="118"/>
    <n v="37"/>
    <n v="12830"/>
    <n v="12264"/>
    <n v="221"/>
    <x v="1"/>
    <s v="MyntraFestiveEdit"/>
    <n v="0.22186888454011741"/>
  </r>
  <r>
    <s v="P030"/>
    <x v="2"/>
    <d v="2025-02-25T00:00:00"/>
    <x v="5"/>
    <s v="Explore the latest video on Myntra! Trendy styles await."/>
    <n v="3095"/>
    <n v="39"/>
    <n v="78"/>
    <n v="55710"/>
    <n v="54808"/>
    <n v="93"/>
    <x v="0"/>
    <s v="StyleRevolution"/>
    <n v="5.8604583272514964E-2"/>
  </r>
  <r>
    <s v="P031"/>
    <x v="2"/>
    <d v="2024-12-16T00:00:00"/>
    <x v="1"/>
    <s v="Explore the latest text on Myntra! Trendy styles await."/>
    <n v="438"/>
    <n v="153"/>
    <n v="275"/>
    <n v="3066"/>
    <n v="2701"/>
    <n v="282"/>
    <x v="3"/>
    <s v="StyleRevolution"/>
    <n v="0.32062199185486856"/>
  </r>
  <r>
    <s v="P032"/>
    <x v="0"/>
    <d v="2024-07-31T00:00:00"/>
    <x v="3"/>
    <s v="Explore the latest carousel on Myntra! Trendy styles await."/>
    <n v="2278"/>
    <n v="10"/>
    <n v="321"/>
    <n v="13668"/>
    <n v="12676"/>
    <n v="275"/>
    <x v="3"/>
    <s v="StyleRevolution"/>
    <n v="0.20582202587567056"/>
  </r>
  <r>
    <s v="P032"/>
    <x v="0"/>
    <d v="2024-07-31T00:00:00"/>
    <x v="3"/>
    <s v="Explore the latest carousel on Myntra! Trendy styles await."/>
    <n v="2278"/>
    <n v="10"/>
    <n v="321"/>
    <n v="13668"/>
    <n v="12676"/>
    <n v="275"/>
    <x v="1"/>
    <s v="StyleRevolution"/>
    <n v="0.20582202587567056"/>
  </r>
  <r>
    <s v="P033"/>
    <x v="3"/>
    <d v="2024-08-21T00:00:00"/>
    <x v="4"/>
    <s v="Explore the latest image on Myntra! Trendy styles await."/>
    <n v="1407"/>
    <n v="400"/>
    <n v="351"/>
    <n v="16884"/>
    <n v="15954"/>
    <n v="113"/>
    <x v="1"/>
    <s v="MyntraFestiveEdit"/>
    <n v="0.13526388366553843"/>
  </r>
  <r>
    <s v="P033"/>
    <x v="3"/>
    <d v="2024-08-21T00:00:00"/>
    <x v="4"/>
    <s v="Explore the latest image on Myntra! Trendy styles await."/>
    <n v="1407"/>
    <n v="400"/>
    <n v="351"/>
    <n v="16884"/>
    <n v="15954"/>
    <n v="113"/>
    <x v="4"/>
    <s v="MyntraFestiveEdit"/>
    <n v="0.13526388366553843"/>
  </r>
  <r>
    <s v="P034"/>
    <x v="3"/>
    <d v="2025-03-26T00:00:00"/>
    <x v="1"/>
    <s v="Explore the latest text on Myntra! Trendy styles await."/>
    <n v="1652"/>
    <n v="89"/>
    <n v="357"/>
    <n v="29736"/>
    <n v="28771"/>
    <n v="215"/>
    <x v="3"/>
    <s v="EndOfSeasonSale"/>
    <n v="7.2920649264884785E-2"/>
  </r>
  <r>
    <s v="P034"/>
    <x v="3"/>
    <d v="2025-03-26T00:00:00"/>
    <x v="1"/>
    <s v="Explore the latest text on Myntra! Trendy styles await."/>
    <n v="1652"/>
    <n v="89"/>
    <n v="357"/>
    <n v="29736"/>
    <n v="28771"/>
    <n v="215"/>
    <x v="4"/>
    <s v="EndOfSeasonSale"/>
    <n v="7.2920649264884785E-2"/>
  </r>
  <r>
    <s v="P035"/>
    <x v="2"/>
    <d v="2024-11-30T00:00:00"/>
    <x v="5"/>
    <s v="Explore the latest video on Myntra! Trendy styles await."/>
    <n v="3775"/>
    <n v="16"/>
    <n v="239"/>
    <n v="33975"/>
    <n v="33310"/>
    <n v="271"/>
    <x v="2"/>
    <s v="MyntraFestiveEdit"/>
    <n v="0.12098468928249775"/>
  </r>
  <r>
    <s v="P035"/>
    <x v="2"/>
    <d v="2024-11-30T00:00:00"/>
    <x v="5"/>
    <s v="Explore the latest video on Myntra! Trendy styles await."/>
    <n v="3775"/>
    <n v="16"/>
    <n v="239"/>
    <n v="33975"/>
    <n v="33310"/>
    <n v="271"/>
    <x v="0"/>
    <s v="MyntraFestiveEdit"/>
    <n v="0.12098468928249775"/>
  </r>
  <r>
    <s v="P036"/>
    <x v="2"/>
    <d v="2025-04-19T00:00:00"/>
    <x v="2"/>
    <s v="Explore the latest story on Myntra! Trendy styles await."/>
    <n v="4518"/>
    <n v="285"/>
    <n v="383"/>
    <n v="67770"/>
    <n v="67621"/>
    <n v="31"/>
    <x v="4"/>
    <s v="EndOfSeasonSale"/>
    <n v="7.6692151846319931E-2"/>
  </r>
  <r>
    <s v="P037"/>
    <x v="3"/>
    <d v="2025-01-06T00:00:00"/>
    <x v="3"/>
    <s v="Explore the latest carousel on Myntra! Trendy styles await."/>
    <n v="3024"/>
    <n v="925"/>
    <n v="350"/>
    <n v="24192"/>
    <n v="23518"/>
    <n v="36"/>
    <x v="0"/>
    <s v="MyntraFestiveEdit"/>
    <n v="0.18279615613572583"/>
  </r>
  <r>
    <s v="P038"/>
    <x v="1"/>
    <d v="2025-02-17T00:00:00"/>
    <x v="0"/>
    <s v="Explore the latest reel on Myntra! Trendy styles await."/>
    <n v="3138"/>
    <n v="123"/>
    <n v="291"/>
    <n v="28242"/>
    <n v="27550"/>
    <n v="87"/>
    <x v="4"/>
    <s v="StyleRevolution"/>
    <n v="0.12892921960072595"/>
  </r>
  <r>
    <s v="P039"/>
    <x v="3"/>
    <d v="2024-11-25T00:00:00"/>
    <x v="4"/>
    <s v="Explore the latest image on Myntra! Trendy styles await."/>
    <n v="3564"/>
    <n v="629"/>
    <n v="177"/>
    <n v="60588"/>
    <n v="59627"/>
    <n v="92"/>
    <x v="4"/>
    <s v="MyntraFestiveEdit"/>
    <n v="7.3288946282724268E-2"/>
  </r>
  <r>
    <s v="P039"/>
    <x v="3"/>
    <d v="2024-11-25T00:00:00"/>
    <x v="4"/>
    <s v="Explore the latest image on Myntra! Trendy styles await."/>
    <n v="3564"/>
    <n v="629"/>
    <n v="177"/>
    <n v="60588"/>
    <n v="59627"/>
    <n v="92"/>
    <x v="0"/>
    <s v="MyntraFestiveEdit"/>
    <n v="7.3288946282724268E-2"/>
  </r>
  <r>
    <s v="P040"/>
    <x v="0"/>
    <d v="2025-03-07T00:00:00"/>
    <x v="4"/>
    <s v="Explore the latest image on Myntra! Trendy styles await."/>
    <n v="4750"/>
    <n v="151"/>
    <n v="415"/>
    <n v="38000"/>
    <n v="37792"/>
    <n v="299"/>
    <x v="2"/>
    <s v="EndOfSeasonSale"/>
    <n v="0.14066469093988146"/>
  </r>
  <r>
    <s v="P040"/>
    <x v="0"/>
    <d v="2025-03-07T00:00:00"/>
    <x v="4"/>
    <s v="Explore the latest image on Myntra! Trendy styles await."/>
    <n v="4750"/>
    <n v="151"/>
    <n v="415"/>
    <n v="38000"/>
    <n v="37792"/>
    <n v="299"/>
    <x v="0"/>
    <s v="EndOfSeasonSale"/>
    <n v="0.14066469093988146"/>
  </r>
  <r>
    <s v="P041"/>
    <x v="2"/>
    <d v="2025-03-08T00:00:00"/>
    <x v="0"/>
    <s v="Explore the latest reel on Myntra! Trendy styles await."/>
    <n v="456"/>
    <n v="629"/>
    <n v="428"/>
    <n v="8208"/>
    <n v="7377"/>
    <n v="205"/>
    <x v="0"/>
    <s v="MyntraFestiveEdit"/>
    <n v="0.20509692286837466"/>
  </r>
  <r>
    <s v="P041"/>
    <x v="2"/>
    <d v="2025-03-08T00:00:00"/>
    <x v="0"/>
    <s v="Explore the latest reel on Myntra! Trendy styles await."/>
    <n v="456"/>
    <n v="629"/>
    <n v="428"/>
    <n v="8208"/>
    <n v="7377"/>
    <n v="205"/>
    <x v="4"/>
    <s v="MyntraFestiveEdit"/>
    <n v="0.20509692286837466"/>
  </r>
  <r>
    <s v="P042"/>
    <x v="1"/>
    <d v="2025-03-05T00:00:00"/>
    <x v="0"/>
    <s v="Explore the latest reel on Myntra! Trendy styles await."/>
    <n v="1543"/>
    <n v="820"/>
    <n v="333"/>
    <n v="12344"/>
    <n v="11496"/>
    <n v="241"/>
    <x v="2"/>
    <s v="MyntraFestiveEdit"/>
    <n v="0.23451635351426584"/>
  </r>
  <r>
    <s v="P043"/>
    <x v="2"/>
    <d v="2024-12-14T00:00:00"/>
    <x v="3"/>
    <s v="Explore the latest carousel on Myntra! Trendy styles await."/>
    <n v="2174"/>
    <n v="658"/>
    <n v="15"/>
    <n v="13044"/>
    <n v="12206"/>
    <n v="137"/>
    <x v="0"/>
    <s v="StyleRevolution"/>
    <n v="0.23324594461740128"/>
  </r>
  <r>
    <s v="P043"/>
    <x v="2"/>
    <d v="2024-12-14T00:00:00"/>
    <x v="3"/>
    <s v="Explore the latest carousel on Myntra! Trendy styles await."/>
    <n v="2174"/>
    <n v="658"/>
    <n v="15"/>
    <n v="13044"/>
    <n v="12206"/>
    <n v="137"/>
    <x v="1"/>
    <s v="StyleRevolution"/>
    <n v="0.23324594461740128"/>
  </r>
  <r>
    <s v="P044"/>
    <x v="0"/>
    <d v="2025-03-02T00:00:00"/>
    <x v="4"/>
    <s v="Explore the latest image on Myntra! Trendy styles await."/>
    <n v="2358"/>
    <n v="784"/>
    <n v="344"/>
    <n v="35370"/>
    <n v="34475"/>
    <n v="216"/>
    <x v="0"/>
    <s v="FashionUpgrade"/>
    <n v="0.10111675126903553"/>
  </r>
  <r>
    <s v="P044"/>
    <x v="0"/>
    <d v="2025-03-02T00:00:00"/>
    <x v="4"/>
    <s v="Explore the latest image on Myntra! Trendy styles await."/>
    <n v="2358"/>
    <n v="784"/>
    <n v="344"/>
    <n v="35370"/>
    <n v="34475"/>
    <n v="216"/>
    <x v="2"/>
    <s v="FashionUpgrade"/>
    <n v="0.10111675126903553"/>
  </r>
  <r>
    <s v="P045"/>
    <x v="3"/>
    <d v="2024-11-01T00:00:00"/>
    <x v="5"/>
    <s v="Explore the latest video on Myntra! Trendy styles await."/>
    <n v="3371"/>
    <n v="106"/>
    <n v="327"/>
    <n v="50565"/>
    <n v="49816"/>
    <n v="176"/>
    <x v="4"/>
    <s v="StyleRevolution"/>
    <n v="7.636100851132166E-2"/>
  </r>
  <r>
    <s v="P046"/>
    <x v="0"/>
    <d v="2025-05-02T00:00:00"/>
    <x v="5"/>
    <s v="Explore the latest video on Myntra! Trendy styles await."/>
    <n v="1108"/>
    <n v="177"/>
    <n v="212"/>
    <n v="8864"/>
    <n v="8710"/>
    <n v="97"/>
    <x v="1"/>
    <s v="StyleRevolution"/>
    <n v="0.17187141216991964"/>
  </r>
  <r>
    <s v="P047"/>
    <x v="0"/>
    <d v="2025-02-24T00:00:00"/>
    <x v="3"/>
    <s v="Explore the latest carousel on Myntra! Trendy styles await."/>
    <n v="2704"/>
    <n v="752"/>
    <n v="153"/>
    <n v="21632"/>
    <n v="20792"/>
    <n v="127"/>
    <x v="4"/>
    <s v="FashionUpgrade"/>
    <n v="0.17357637552904964"/>
  </r>
  <r>
    <s v="P047"/>
    <x v="0"/>
    <d v="2025-02-24T00:00:00"/>
    <x v="3"/>
    <s v="Explore the latest carousel on Myntra! Trendy styles await."/>
    <n v="2704"/>
    <n v="752"/>
    <n v="153"/>
    <n v="21632"/>
    <n v="20792"/>
    <n v="127"/>
    <x v="1"/>
    <s v="FashionUpgrade"/>
    <n v="0.17357637552904964"/>
  </r>
  <r>
    <s v="P048"/>
    <x v="0"/>
    <d v="2025-03-11T00:00:00"/>
    <x v="2"/>
    <s v="Explore the latest story on Myntra! Trendy styles await."/>
    <n v="1950"/>
    <n v="295"/>
    <n v="478"/>
    <n v="37050"/>
    <n v="36272"/>
    <n v="119"/>
    <x v="1"/>
    <s v="StyleRevolution"/>
    <n v="7.5071680635200699E-2"/>
  </r>
  <r>
    <s v="P048"/>
    <x v="0"/>
    <d v="2025-03-11T00:00:00"/>
    <x v="2"/>
    <s v="Explore the latest story on Myntra! Trendy styles await."/>
    <n v="1950"/>
    <n v="295"/>
    <n v="478"/>
    <n v="37050"/>
    <n v="36272"/>
    <n v="119"/>
    <x v="2"/>
    <s v="StyleRevolution"/>
    <n v="7.5071680635200699E-2"/>
  </r>
  <r>
    <s v="P049"/>
    <x v="0"/>
    <d v="2024-06-10T00:00:00"/>
    <x v="2"/>
    <s v="Explore the latest story on Myntra! Trendy styles await."/>
    <n v="2164"/>
    <n v="549"/>
    <n v="274"/>
    <n v="28132"/>
    <n v="27361"/>
    <n v="177"/>
    <x v="2"/>
    <s v="FashionUpgrade"/>
    <n v="0.10916998647710245"/>
  </r>
  <r>
    <s v="P050"/>
    <x v="1"/>
    <d v="2024-07-03T00:00:00"/>
    <x v="2"/>
    <s v="Explore the latest story on Myntra! Trendy styles await."/>
    <n v="2754"/>
    <n v="130"/>
    <n v="90"/>
    <n v="22032"/>
    <n v="21288"/>
    <n v="112"/>
    <x v="1"/>
    <s v="FashionUpgrade"/>
    <n v="0.13970311912814731"/>
  </r>
  <r>
    <s v="P051"/>
    <x v="3"/>
    <d v="2024-06-13T00:00:00"/>
    <x v="3"/>
    <s v="Explore the latest carousel on Myntra! Trendy styles await."/>
    <n v="2200"/>
    <n v="504"/>
    <n v="239"/>
    <n v="37400"/>
    <n v="36938"/>
    <n v="225"/>
    <x v="0"/>
    <s v="MyntraFestiveEdit"/>
    <n v="7.967404840543614E-2"/>
  </r>
  <r>
    <s v="P052"/>
    <x v="3"/>
    <d v="2025-01-03T00:00:00"/>
    <x v="4"/>
    <s v="Explore the latest image on Myntra! Trendy styles await."/>
    <n v="947"/>
    <n v="338"/>
    <n v="350"/>
    <n v="10417"/>
    <n v="9730"/>
    <n v="34"/>
    <x v="1"/>
    <s v="MyntraFestiveEdit"/>
    <n v="0.16803699897225077"/>
  </r>
  <r>
    <s v="P052"/>
    <x v="3"/>
    <d v="2025-01-03T00:00:00"/>
    <x v="4"/>
    <s v="Explore the latest image on Myntra! Trendy styles await."/>
    <n v="947"/>
    <n v="338"/>
    <n v="350"/>
    <n v="10417"/>
    <n v="9730"/>
    <n v="34"/>
    <x v="0"/>
    <s v="MyntraFestiveEdit"/>
    <n v="0.16803699897225077"/>
  </r>
  <r>
    <s v="P053"/>
    <x v="1"/>
    <d v="2025-02-24T00:00:00"/>
    <x v="3"/>
    <s v="Explore the latest carousel on Myntra! Trendy styles await."/>
    <n v="804"/>
    <n v="639"/>
    <n v="43"/>
    <n v="4020"/>
    <n v="3144"/>
    <n v="11"/>
    <x v="2"/>
    <s v="StyleRevolution"/>
    <n v="0.47264631043256999"/>
  </r>
  <r>
    <s v="P053"/>
    <x v="1"/>
    <d v="2025-02-24T00:00:00"/>
    <x v="3"/>
    <s v="Explore the latest carousel on Myntra! Trendy styles await."/>
    <n v="804"/>
    <n v="639"/>
    <n v="43"/>
    <n v="4020"/>
    <n v="3144"/>
    <n v="11"/>
    <x v="3"/>
    <s v="StyleRevolution"/>
    <n v="0.47264631043256999"/>
  </r>
  <r>
    <s v="P054"/>
    <x v="1"/>
    <d v="2025-03-13T00:00:00"/>
    <x v="3"/>
    <s v="Explore the latest carousel on Myntra! Trendy styles await."/>
    <n v="1686"/>
    <n v="904"/>
    <n v="472"/>
    <n v="18546"/>
    <n v="18171"/>
    <n v="52"/>
    <x v="1"/>
    <s v="EndOfSeasonSale"/>
    <n v="0.16851026360684607"/>
  </r>
  <r>
    <s v="P054"/>
    <x v="1"/>
    <d v="2025-03-13T00:00:00"/>
    <x v="3"/>
    <s v="Explore the latest carousel on Myntra! Trendy styles await."/>
    <n v="1686"/>
    <n v="904"/>
    <n v="472"/>
    <n v="18546"/>
    <n v="18171"/>
    <n v="52"/>
    <x v="4"/>
    <s v="EndOfSeasonSale"/>
    <n v="0.16851026360684607"/>
  </r>
  <r>
    <s v="P055"/>
    <x v="3"/>
    <d v="2024-06-17T00:00:00"/>
    <x v="4"/>
    <s v="Explore the latest image on Myntra! Trendy styles await."/>
    <n v="1226"/>
    <n v="119"/>
    <n v="7"/>
    <n v="14712"/>
    <n v="14049"/>
    <n v="123"/>
    <x v="0"/>
    <s v="StyleRevolution"/>
    <n v="9.6234607445369783E-2"/>
  </r>
  <r>
    <s v="P055"/>
    <x v="3"/>
    <d v="2024-06-17T00:00:00"/>
    <x v="4"/>
    <s v="Explore the latest image on Myntra! Trendy styles await."/>
    <n v="1226"/>
    <n v="119"/>
    <n v="7"/>
    <n v="14712"/>
    <n v="14049"/>
    <n v="123"/>
    <x v="3"/>
    <s v="StyleRevolution"/>
    <n v="9.6234607445369783E-2"/>
  </r>
  <r>
    <s v="P056"/>
    <x v="3"/>
    <d v="2024-12-18T00:00:00"/>
    <x v="3"/>
    <s v="Explore the latest carousel on Myntra! Trendy styles await."/>
    <n v="2946"/>
    <n v="498"/>
    <n v="367"/>
    <n v="29460"/>
    <n v="28527"/>
    <n v="60"/>
    <x v="2"/>
    <s v="EndOfSeasonSale"/>
    <n v="0.13359273670557717"/>
  </r>
  <r>
    <s v="P056"/>
    <x v="3"/>
    <d v="2024-12-18T00:00:00"/>
    <x v="3"/>
    <s v="Explore the latest carousel on Myntra! Trendy styles await."/>
    <n v="2946"/>
    <n v="498"/>
    <n v="367"/>
    <n v="29460"/>
    <n v="28527"/>
    <n v="60"/>
    <x v="4"/>
    <s v="EndOfSeasonSale"/>
    <n v="0.13359273670557717"/>
  </r>
  <r>
    <s v="P057"/>
    <x v="0"/>
    <d v="2024-10-21T00:00:00"/>
    <x v="5"/>
    <s v="Explore the latest video on Myntra! Trendy styles await."/>
    <n v="2825"/>
    <n v="535"/>
    <n v="295"/>
    <n v="45200"/>
    <n v="44739"/>
    <n v="169"/>
    <x v="2"/>
    <s v="EndOfSeasonSale"/>
    <n v="8.1696059366548196E-2"/>
  </r>
  <r>
    <s v="P058"/>
    <x v="2"/>
    <d v="2025-04-15T00:00:00"/>
    <x v="0"/>
    <s v="Explore the latest reel on Myntra! Trendy styles await."/>
    <n v="103"/>
    <n v="770"/>
    <n v="19"/>
    <n v="1030"/>
    <n v="410"/>
    <n v="262"/>
    <x v="0"/>
    <s v="MyntraFestiveEdit"/>
    <n v="2.1756097560975611"/>
  </r>
  <r>
    <s v="P059"/>
    <x v="2"/>
    <d v="2024-06-22T00:00:00"/>
    <x v="1"/>
    <s v="Explore the latest text on Myntra! Trendy styles await."/>
    <n v="2180"/>
    <n v="263"/>
    <n v="387"/>
    <n v="30520"/>
    <n v="30059"/>
    <n v="174"/>
    <x v="4"/>
    <s v="FashionUpgrade"/>
    <n v="9.4148175255331187E-2"/>
  </r>
  <r>
    <s v="P060"/>
    <x v="2"/>
    <d v="2025-01-28T00:00:00"/>
    <x v="5"/>
    <s v="Explore the latest video on Myntra! Trendy styles await."/>
    <n v="904"/>
    <n v="973"/>
    <n v="63"/>
    <n v="11752"/>
    <n v="11580"/>
    <n v="84"/>
    <x v="2"/>
    <s v="FashionUpgrade"/>
    <n v="0.16753022452504318"/>
  </r>
  <r>
    <s v="P061"/>
    <x v="0"/>
    <d v="2024-09-05T00:00:00"/>
    <x v="5"/>
    <s v="Explore the latest video on Myntra! Trendy styles await."/>
    <n v="4886"/>
    <n v="983"/>
    <n v="409"/>
    <n v="43974"/>
    <n v="43239"/>
    <n v="65"/>
    <x v="1"/>
    <s v="FashionUpgrade"/>
    <n v="0.14519299706283678"/>
  </r>
  <r>
    <s v="P062"/>
    <x v="0"/>
    <d v="2024-11-22T00:00:00"/>
    <x v="3"/>
    <s v="Explore the latest carousel on Myntra! Trendy styles await."/>
    <n v="53"/>
    <n v="81"/>
    <n v="379"/>
    <n v="954"/>
    <n v="7"/>
    <n v="148"/>
    <x v="4"/>
    <s v="MyntraFestiveEdit"/>
    <n v="73.285714285714292"/>
  </r>
  <r>
    <s v="P063"/>
    <x v="0"/>
    <d v="2024-07-31T00:00:00"/>
    <x v="3"/>
    <s v="Explore the latest carousel on Myntra! Trendy styles await."/>
    <n v="4507"/>
    <n v="217"/>
    <n v="13"/>
    <n v="90140"/>
    <n v="89591"/>
    <n v="125"/>
    <x v="0"/>
    <s v="FashionUpgrade"/>
    <n v="5.2873614537174492E-2"/>
  </r>
  <r>
    <s v="P064"/>
    <x v="3"/>
    <d v="2024-08-17T00:00:00"/>
    <x v="4"/>
    <s v="Explore the latest image on Myntra! Trendy styles await."/>
    <n v="2878"/>
    <n v="248"/>
    <n v="416"/>
    <n v="43170"/>
    <n v="42667"/>
    <n v="75"/>
    <x v="4"/>
    <s v="EndOfSeasonSale"/>
    <n v="8.3014976445496519E-2"/>
  </r>
  <r>
    <s v="P064"/>
    <x v="3"/>
    <d v="2024-08-17T00:00:00"/>
    <x v="4"/>
    <s v="Explore the latest image on Myntra! Trendy styles await."/>
    <n v="2878"/>
    <n v="248"/>
    <n v="416"/>
    <n v="43170"/>
    <n v="42667"/>
    <n v="75"/>
    <x v="3"/>
    <s v="EndOfSeasonSale"/>
    <n v="8.3014976445496519E-2"/>
  </r>
  <r>
    <s v="P065"/>
    <x v="2"/>
    <d v="2025-03-28T00:00:00"/>
    <x v="2"/>
    <s v="Explore the latest story on Myntra! Trendy styles await."/>
    <n v="1881"/>
    <n v="501"/>
    <n v="99"/>
    <n v="20691"/>
    <n v="19987"/>
    <n v="289"/>
    <x v="4"/>
    <s v="EndOfSeasonSale"/>
    <n v="0.12413068494521438"/>
  </r>
  <r>
    <s v="P066"/>
    <x v="0"/>
    <d v="2024-07-26T00:00:00"/>
    <x v="3"/>
    <s v="Explore the latest carousel on Myntra! Trendy styles await."/>
    <n v="432"/>
    <n v="171"/>
    <n v="280"/>
    <n v="3024"/>
    <n v="2285"/>
    <n v="184"/>
    <x v="1"/>
    <s v="MyntraFestiveEdit"/>
    <n v="0.3864332603938731"/>
  </r>
  <r>
    <s v="P067"/>
    <x v="3"/>
    <d v="2025-03-29T00:00:00"/>
    <x v="3"/>
    <s v="Explore the latest carousel on Myntra! Trendy styles await."/>
    <n v="4712"/>
    <n v="568"/>
    <n v="127"/>
    <n v="84816"/>
    <n v="84691"/>
    <n v="100"/>
    <x v="4"/>
    <s v="FashionUpgrade"/>
    <n v="6.3843855899682375E-2"/>
  </r>
  <r>
    <s v="P068"/>
    <x v="2"/>
    <d v="2024-12-08T00:00:00"/>
    <x v="2"/>
    <s v="Explore the latest story on Myntra! Trendy styles await."/>
    <n v="2610"/>
    <n v="126"/>
    <n v="288"/>
    <n v="15660"/>
    <n v="15145"/>
    <n v="73"/>
    <x v="1"/>
    <s v="FashionUpgrade"/>
    <n v="0.19966985803895676"/>
  </r>
  <r>
    <s v="P069"/>
    <x v="0"/>
    <d v="2025-03-08T00:00:00"/>
    <x v="1"/>
    <s v="Explore the latest text on Myntra! Trendy styles await."/>
    <n v="1292"/>
    <n v="626"/>
    <n v="496"/>
    <n v="25840"/>
    <n v="24916"/>
    <n v="149"/>
    <x v="2"/>
    <s v="StyleRevolution"/>
    <n v="9.6885535398940445E-2"/>
  </r>
  <r>
    <s v="P069"/>
    <x v="0"/>
    <d v="2025-03-08T00:00:00"/>
    <x v="1"/>
    <s v="Explore the latest text on Myntra! Trendy styles await."/>
    <n v="1292"/>
    <n v="626"/>
    <n v="496"/>
    <n v="25840"/>
    <n v="24916"/>
    <n v="149"/>
    <x v="3"/>
    <s v="StyleRevolution"/>
    <n v="9.6885535398940445E-2"/>
  </r>
  <r>
    <s v="P070"/>
    <x v="3"/>
    <d v="2025-04-02T00:00:00"/>
    <x v="5"/>
    <s v="Explore the latest video on Myntra! Trendy styles await."/>
    <n v="199"/>
    <n v="772"/>
    <n v="400"/>
    <n v="3582"/>
    <n v="2988"/>
    <n v="43"/>
    <x v="3"/>
    <s v="FashionUpgrade"/>
    <n v="0.45883534136546184"/>
  </r>
  <r>
    <s v="P071"/>
    <x v="1"/>
    <d v="2024-09-02T00:00:00"/>
    <x v="3"/>
    <s v="Explore the latest carousel on Myntra! Trendy styles await."/>
    <n v="2551"/>
    <n v="915"/>
    <n v="205"/>
    <n v="30612"/>
    <n v="30360"/>
    <n v="227"/>
    <x v="0"/>
    <s v="EndOfSeasonSale"/>
    <n v="0.12091567852437418"/>
  </r>
  <r>
    <s v="P071"/>
    <x v="1"/>
    <d v="2024-09-02T00:00:00"/>
    <x v="3"/>
    <s v="Explore the latest carousel on Myntra! Trendy styles await."/>
    <n v="2551"/>
    <n v="915"/>
    <n v="205"/>
    <n v="30612"/>
    <n v="30360"/>
    <n v="227"/>
    <x v="4"/>
    <s v="EndOfSeasonSale"/>
    <n v="0.12091567852437418"/>
  </r>
  <r>
    <s v="P072"/>
    <x v="1"/>
    <d v="2025-03-03T00:00:00"/>
    <x v="0"/>
    <s v="Explore the latest reel on Myntra! Trendy styles await."/>
    <n v="296"/>
    <n v="60"/>
    <n v="141"/>
    <n v="5624"/>
    <n v="5239"/>
    <n v="88"/>
    <x v="3"/>
    <s v="StyleRevolution"/>
    <n v="9.4865432334414967E-2"/>
  </r>
  <r>
    <s v="P073"/>
    <x v="3"/>
    <d v="2024-10-18T00:00:00"/>
    <x v="2"/>
    <s v="Explore the latest story on Myntra! Trendy styles await."/>
    <n v="4126"/>
    <n v="426"/>
    <n v="486"/>
    <n v="78394"/>
    <n v="77798"/>
    <n v="88"/>
    <x v="1"/>
    <s v="FashionUpgrade"/>
    <n v="6.4757448777603532E-2"/>
  </r>
  <r>
    <s v="P074"/>
    <x v="1"/>
    <d v="2024-10-28T00:00:00"/>
    <x v="0"/>
    <s v="Explore the latest reel on Myntra! Trendy styles await."/>
    <n v="1855"/>
    <n v="200"/>
    <n v="174"/>
    <n v="16695"/>
    <n v="16330"/>
    <n v="123"/>
    <x v="1"/>
    <s v="MyntraFestiveEdit"/>
    <n v="0.13649724433557869"/>
  </r>
  <r>
    <s v="P075"/>
    <x v="2"/>
    <d v="2024-08-01T00:00:00"/>
    <x v="0"/>
    <s v="Explore the latest reel on Myntra! Trendy styles await."/>
    <n v="1674"/>
    <n v="929"/>
    <n v="37"/>
    <n v="21762"/>
    <n v="20998"/>
    <n v="255"/>
    <x v="2"/>
    <s v="MyntraFestiveEdit"/>
    <n v="0.1257262596437756"/>
  </r>
  <r>
    <s v="P075"/>
    <x v="2"/>
    <d v="2024-08-01T00:00:00"/>
    <x v="0"/>
    <s v="Explore the latest reel on Myntra! Trendy styles await."/>
    <n v="1674"/>
    <n v="929"/>
    <n v="37"/>
    <n v="21762"/>
    <n v="20998"/>
    <n v="255"/>
    <x v="4"/>
    <s v="MyntraFestiveEdit"/>
    <n v="0.1257262596437756"/>
  </r>
  <r>
    <s v="P076"/>
    <x v="0"/>
    <d v="2024-11-07T00:00:00"/>
    <x v="2"/>
    <s v="Explore the latest story on Myntra! Trendy styles await."/>
    <n v="1121"/>
    <n v="135"/>
    <n v="18"/>
    <n v="15694"/>
    <n v="14957"/>
    <n v="99"/>
    <x v="0"/>
    <s v="StyleRevolution"/>
    <n v="8.5177508858728351E-2"/>
  </r>
  <r>
    <s v="P076"/>
    <x v="0"/>
    <d v="2024-11-07T00:00:00"/>
    <x v="2"/>
    <s v="Explore the latest story on Myntra! Trendy styles await."/>
    <n v="1121"/>
    <n v="135"/>
    <n v="18"/>
    <n v="15694"/>
    <n v="14957"/>
    <n v="99"/>
    <x v="1"/>
    <s v="StyleRevolution"/>
    <n v="8.5177508858728351E-2"/>
  </r>
  <r>
    <s v="P077"/>
    <x v="3"/>
    <d v="2025-03-04T00:00:00"/>
    <x v="2"/>
    <s v="Explore the latest story on Myntra! Trendy styles await."/>
    <n v="1249"/>
    <n v="116"/>
    <n v="420"/>
    <n v="8743"/>
    <n v="8538"/>
    <n v="63"/>
    <x v="1"/>
    <s v="MyntraFestiveEdit"/>
    <n v="0.20906535488404779"/>
  </r>
  <r>
    <s v="P077"/>
    <x v="3"/>
    <d v="2025-03-04T00:00:00"/>
    <x v="2"/>
    <s v="Explore the latest story on Myntra! Trendy styles await."/>
    <n v="1249"/>
    <n v="116"/>
    <n v="420"/>
    <n v="8743"/>
    <n v="8538"/>
    <n v="63"/>
    <x v="4"/>
    <s v="MyntraFestiveEdit"/>
    <n v="0.20906535488404779"/>
  </r>
  <r>
    <s v="P078"/>
    <x v="0"/>
    <d v="2024-06-17T00:00:00"/>
    <x v="4"/>
    <s v="Explore the latest image on Myntra! Trendy styles await."/>
    <n v="954"/>
    <n v="324"/>
    <n v="288"/>
    <n v="19080"/>
    <n v="18859"/>
    <n v="21"/>
    <x v="3"/>
    <s v="MyntraFestiveEdit"/>
    <n v="8.303727663184686E-2"/>
  </r>
  <r>
    <s v="P079"/>
    <x v="2"/>
    <d v="2024-10-09T00:00:00"/>
    <x v="3"/>
    <s v="Explore the latest carousel on Myntra! Trendy styles await."/>
    <n v="3068"/>
    <n v="137"/>
    <n v="329"/>
    <n v="39884"/>
    <n v="39404"/>
    <n v="266"/>
    <x v="0"/>
    <s v="MyntraFestiveEdit"/>
    <n v="8.9686326261293275E-2"/>
  </r>
  <r>
    <s v="P079"/>
    <x v="2"/>
    <d v="2024-10-09T00:00:00"/>
    <x v="3"/>
    <s v="Explore the latest carousel on Myntra! Trendy styles await."/>
    <n v="3068"/>
    <n v="137"/>
    <n v="329"/>
    <n v="39884"/>
    <n v="39404"/>
    <n v="266"/>
    <x v="3"/>
    <s v="MyntraFestiveEdit"/>
    <n v="8.9686326261293275E-2"/>
  </r>
  <r>
    <s v="P080"/>
    <x v="2"/>
    <d v="2024-06-13T00:00:00"/>
    <x v="2"/>
    <s v="Explore the latest story on Myntra! Trendy styles await."/>
    <n v="2103"/>
    <n v="892"/>
    <n v="103"/>
    <n v="39957"/>
    <n v="39466"/>
    <n v="28"/>
    <x v="4"/>
    <s v="EndOfSeasonSale"/>
    <n v="7.8497947600466231E-2"/>
  </r>
  <r>
    <s v="P080"/>
    <x v="2"/>
    <d v="2024-06-13T00:00:00"/>
    <x v="2"/>
    <s v="Explore the latest story on Myntra! Trendy styles await."/>
    <n v="2103"/>
    <n v="892"/>
    <n v="103"/>
    <n v="39957"/>
    <n v="39466"/>
    <n v="28"/>
    <x v="1"/>
    <s v="EndOfSeasonSale"/>
    <n v="7.8497947600466231E-2"/>
  </r>
  <r>
    <s v="P081"/>
    <x v="2"/>
    <d v="2024-10-19T00:00:00"/>
    <x v="2"/>
    <s v="Explore the latest story on Myntra! Trendy styles await."/>
    <n v="1816"/>
    <n v="29"/>
    <n v="41"/>
    <n v="19976"/>
    <n v="19262"/>
    <n v="283"/>
    <x v="3"/>
    <s v="MyntraFestiveEdit"/>
    <n v="9.7912989305368084E-2"/>
  </r>
  <r>
    <s v="P081"/>
    <x v="2"/>
    <d v="2024-10-19T00:00:00"/>
    <x v="2"/>
    <s v="Explore the latest story on Myntra! Trendy styles await."/>
    <n v="1816"/>
    <n v="29"/>
    <n v="41"/>
    <n v="19976"/>
    <n v="19262"/>
    <n v="283"/>
    <x v="0"/>
    <s v="MyntraFestiveEdit"/>
    <n v="9.7912989305368084E-2"/>
  </r>
  <r>
    <s v="P082"/>
    <x v="2"/>
    <d v="2024-07-24T00:00:00"/>
    <x v="4"/>
    <s v="Explore the latest image on Myntra! Trendy styles await."/>
    <n v="725"/>
    <n v="88"/>
    <n v="428"/>
    <n v="14500"/>
    <n v="13637"/>
    <n v="200"/>
    <x v="3"/>
    <s v="MyntraFestiveEdit"/>
    <n v="9.1002419887071931E-2"/>
  </r>
  <r>
    <s v="P083"/>
    <x v="1"/>
    <d v="2024-10-15T00:00:00"/>
    <x v="5"/>
    <s v="Explore the latest video on Myntra! Trendy styles await."/>
    <n v="1094"/>
    <n v="472"/>
    <n v="21"/>
    <n v="9846"/>
    <n v="9609"/>
    <n v="112"/>
    <x v="3"/>
    <s v="MyntraFestiveEdit"/>
    <n v="0.16515766468935372"/>
  </r>
  <r>
    <s v="P083"/>
    <x v="1"/>
    <d v="2024-10-15T00:00:00"/>
    <x v="5"/>
    <s v="Explore the latest video on Myntra! Trendy styles await."/>
    <n v="1094"/>
    <n v="472"/>
    <n v="21"/>
    <n v="9846"/>
    <n v="9609"/>
    <n v="112"/>
    <x v="2"/>
    <s v="MyntraFestiveEdit"/>
    <n v="0.16515766468935372"/>
  </r>
  <r>
    <s v="P084"/>
    <x v="3"/>
    <d v="2024-12-09T00:00:00"/>
    <x v="4"/>
    <s v="Explore the latest image on Myntra! Trendy styles await."/>
    <n v="1841"/>
    <n v="851"/>
    <n v="342"/>
    <n v="34979"/>
    <n v="34154"/>
    <n v="255"/>
    <x v="1"/>
    <s v="FashionUpgrade"/>
    <n v="8.8832933184985655E-2"/>
  </r>
  <r>
    <s v="P084"/>
    <x v="3"/>
    <d v="2024-12-09T00:00:00"/>
    <x v="4"/>
    <s v="Explore the latest image on Myntra! Trendy styles await."/>
    <n v="1841"/>
    <n v="851"/>
    <n v="342"/>
    <n v="34979"/>
    <n v="34154"/>
    <n v="255"/>
    <x v="4"/>
    <s v="FashionUpgrade"/>
    <n v="8.8832933184985655E-2"/>
  </r>
  <r>
    <s v="P085"/>
    <x v="2"/>
    <d v="2025-04-19T00:00:00"/>
    <x v="4"/>
    <s v="Explore the latest image on Myntra! Trendy styles await."/>
    <n v="4177"/>
    <n v="569"/>
    <n v="55"/>
    <n v="25062"/>
    <n v="24847"/>
    <n v="230"/>
    <x v="1"/>
    <s v="FashionUpgrade"/>
    <n v="0.19322252183362176"/>
  </r>
  <r>
    <s v="P086"/>
    <x v="1"/>
    <d v="2025-01-27T00:00:00"/>
    <x v="1"/>
    <s v="Explore the latest text on Myntra! Trendy styles await."/>
    <n v="3428"/>
    <n v="305"/>
    <n v="85"/>
    <n v="58276"/>
    <n v="58052"/>
    <n v="242"/>
    <x v="3"/>
    <s v="MyntraFestiveEdit"/>
    <n v="6.5768621236133126E-2"/>
  </r>
  <r>
    <s v="P086"/>
    <x v="1"/>
    <d v="2025-01-27T00:00:00"/>
    <x v="1"/>
    <s v="Explore the latest text on Myntra! Trendy styles await."/>
    <n v="3428"/>
    <n v="305"/>
    <n v="85"/>
    <n v="58276"/>
    <n v="58052"/>
    <n v="242"/>
    <x v="2"/>
    <s v="MyntraFestiveEdit"/>
    <n v="6.5768621236133126E-2"/>
  </r>
  <r>
    <s v="P087"/>
    <x v="0"/>
    <d v="2024-06-06T00:00:00"/>
    <x v="5"/>
    <s v="Explore the latest video on Myntra! Trendy styles await."/>
    <n v="1436"/>
    <n v="765"/>
    <n v="496"/>
    <n v="12924"/>
    <n v="12701"/>
    <n v="197"/>
    <x v="3"/>
    <s v="EndOfSeasonSale"/>
    <n v="0.21234548460751121"/>
  </r>
  <r>
    <s v="P087"/>
    <x v="0"/>
    <d v="2024-06-06T00:00:00"/>
    <x v="5"/>
    <s v="Explore the latest video on Myntra! Trendy styles await."/>
    <n v="1436"/>
    <n v="765"/>
    <n v="496"/>
    <n v="12924"/>
    <n v="12701"/>
    <n v="197"/>
    <x v="0"/>
    <s v="EndOfSeasonSale"/>
    <n v="0.21234548460751121"/>
  </r>
  <r>
    <s v="P088"/>
    <x v="3"/>
    <d v="2024-07-07T00:00:00"/>
    <x v="2"/>
    <s v="Explore the latest story on Myntra! Trendy styles await."/>
    <n v="302"/>
    <n v="47"/>
    <n v="430"/>
    <n v="5738"/>
    <n v="4890"/>
    <n v="25"/>
    <x v="1"/>
    <s v="EndOfSeasonSale"/>
    <n v="0.15930470347648262"/>
  </r>
  <r>
    <s v="P088"/>
    <x v="3"/>
    <d v="2024-07-07T00:00:00"/>
    <x v="2"/>
    <s v="Explore the latest story on Myntra! Trendy styles await."/>
    <n v="302"/>
    <n v="47"/>
    <n v="430"/>
    <n v="5738"/>
    <n v="4890"/>
    <n v="25"/>
    <x v="0"/>
    <s v="EndOfSeasonSale"/>
    <n v="0.15930470347648262"/>
  </r>
  <r>
    <s v="P089"/>
    <x v="0"/>
    <d v="2025-01-10T00:00:00"/>
    <x v="4"/>
    <s v="Explore the latest image on Myntra! Trendy styles await."/>
    <n v="2214"/>
    <n v="249"/>
    <n v="152"/>
    <n v="15498"/>
    <n v="14800"/>
    <n v="180"/>
    <x v="0"/>
    <s v="EndOfSeasonSale"/>
    <n v="0.17668918918918919"/>
  </r>
  <r>
    <s v="P090"/>
    <x v="2"/>
    <d v="2024-06-03T00:00:00"/>
    <x v="4"/>
    <s v="Explore the latest image on Myntra! Trendy styles await."/>
    <n v="3861"/>
    <n v="960"/>
    <n v="101"/>
    <n v="69498"/>
    <n v="68817"/>
    <n v="297"/>
    <x v="1"/>
    <s v="EndOfSeasonSale"/>
    <n v="7.1523024833979973E-2"/>
  </r>
  <r>
    <s v="P091"/>
    <x v="3"/>
    <d v="2025-03-24T00:00:00"/>
    <x v="4"/>
    <s v="Explore the latest image on Myntra! Trendy styles await."/>
    <n v="1263"/>
    <n v="397"/>
    <n v="357"/>
    <n v="25260"/>
    <n v="24615"/>
    <n v="137"/>
    <x v="0"/>
    <s v="EndOfSeasonSale"/>
    <n v="8.1941905342270971E-2"/>
  </r>
  <r>
    <s v="P092"/>
    <x v="0"/>
    <d v="2024-10-21T00:00:00"/>
    <x v="2"/>
    <s v="Explore the latest story on Myntra! Trendy styles await."/>
    <n v="3801"/>
    <n v="967"/>
    <n v="401"/>
    <n v="38010"/>
    <n v="37625"/>
    <n v="236"/>
    <x v="2"/>
    <s v="StyleRevolution"/>
    <n v="0.13738205980066445"/>
  </r>
  <r>
    <s v="P093"/>
    <x v="2"/>
    <d v="2024-12-11T00:00:00"/>
    <x v="5"/>
    <s v="Explore the latest video on Myntra! Trendy styles await."/>
    <n v="1431"/>
    <n v="951"/>
    <n v="26"/>
    <n v="8586"/>
    <n v="8396"/>
    <n v="150"/>
    <x v="3"/>
    <s v="FashionUpgrade"/>
    <n v="0.28680323963792281"/>
  </r>
  <r>
    <s v="P093"/>
    <x v="2"/>
    <d v="2024-12-11T00:00:00"/>
    <x v="5"/>
    <s v="Explore the latest video on Myntra! Trendy styles await."/>
    <n v="1431"/>
    <n v="951"/>
    <n v="26"/>
    <n v="8586"/>
    <n v="8396"/>
    <n v="150"/>
    <x v="4"/>
    <s v="FashionUpgrade"/>
    <n v="0.28680323963792281"/>
  </r>
  <r>
    <s v="P094"/>
    <x v="2"/>
    <d v="2024-11-07T00:00:00"/>
    <x v="4"/>
    <s v="Explore the latest image on Myntra! Trendy styles await."/>
    <n v="2647"/>
    <n v="304"/>
    <n v="170"/>
    <n v="18529"/>
    <n v="17841"/>
    <n v="46"/>
    <x v="2"/>
    <s v="EndOfSeasonSale"/>
    <n v="0.17493414046297853"/>
  </r>
  <r>
    <s v="P095"/>
    <x v="2"/>
    <d v="2024-11-08T00:00:00"/>
    <x v="1"/>
    <s v="Explore the latest text on Myntra! Trendy styles await."/>
    <n v="3182"/>
    <n v="559"/>
    <n v="160"/>
    <n v="57276"/>
    <n v="56890"/>
    <n v="163"/>
    <x v="2"/>
    <s v="EndOfSeasonSale"/>
    <n v="6.8570926349094743E-2"/>
  </r>
  <r>
    <s v="P095"/>
    <x v="2"/>
    <d v="2024-11-08T00:00:00"/>
    <x v="1"/>
    <s v="Explore the latest text on Myntra! Trendy styles await."/>
    <n v="3182"/>
    <n v="559"/>
    <n v="160"/>
    <n v="57276"/>
    <n v="56890"/>
    <n v="163"/>
    <x v="3"/>
    <s v="EndOfSeasonSale"/>
    <n v="6.8570926349094743E-2"/>
  </r>
  <r>
    <s v="P096"/>
    <x v="0"/>
    <d v="2024-09-10T00:00:00"/>
    <x v="4"/>
    <s v="Explore the latest image on Myntra! Trendy styles await."/>
    <n v="1238"/>
    <n v="366"/>
    <n v="444"/>
    <n v="19808"/>
    <n v="19334"/>
    <n v="123"/>
    <x v="4"/>
    <s v="MyntraFestiveEdit"/>
    <n v="0.1059273818144202"/>
  </r>
  <r>
    <s v="P097"/>
    <x v="2"/>
    <d v="2024-08-13T00:00:00"/>
    <x v="4"/>
    <s v="Explore the latest image on Myntra! Trendy styles await."/>
    <n v="4739"/>
    <n v="527"/>
    <n v="135"/>
    <n v="61607"/>
    <n v="61333"/>
    <n v="36"/>
    <x v="2"/>
    <s v="EndOfSeasonSale"/>
    <n v="8.8060261197071721E-2"/>
  </r>
  <r>
    <s v="P097"/>
    <x v="2"/>
    <d v="2024-08-13T00:00:00"/>
    <x v="4"/>
    <s v="Explore the latest image on Myntra! Trendy styles await."/>
    <n v="4739"/>
    <n v="527"/>
    <n v="135"/>
    <n v="61607"/>
    <n v="61333"/>
    <n v="36"/>
    <x v="0"/>
    <s v="EndOfSeasonSale"/>
    <n v="8.8060261197071721E-2"/>
  </r>
  <r>
    <s v="P098"/>
    <x v="0"/>
    <d v="2024-06-10T00:00:00"/>
    <x v="2"/>
    <s v="Explore the latest story on Myntra! Trendy styles await."/>
    <n v="1575"/>
    <n v="771"/>
    <n v="486"/>
    <n v="25200"/>
    <n v="24826"/>
    <n v="17"/>
    <x v="2"/>
    <s v="MyntraFestiveEdit"/>
    <n v="0.1140739547248852"/>
  </r>
  <r>
    <s v="P099"/>
    <x v="1"/>
    <d v="2024-07-02T00:00:00"/>
    <x v="3"/>
    <s v="Explore the latest carousel on Myntra! Trendy styles await."/>
    <n v="4171"/>
    <n v="548"/>
    <n v="86"/>
    <n v="66736"/>
    <n v="66634"/>
    <n v="173"/>
    <x v="2"/>
    <s v="MyntraFestiveEdit"/>
    <n v="7.2110334063691203E-2"/>
  </r>
  <r>
    <s v="P100"/>
    <x v="1"/>
    <d v="2025-02-10T00:00:00"/>
    <x v="5"/>
    <s v="Explore the latest video on Myntra! Trendy styles await."/>
    <n v="1766"/>
    <n v="92"/>
    <n v="424"/>
    <n v="24724"/>
    <n v="24333"/>
    <n v="52"/>
    <x v="2"/>
    <s v="FashionUpgrade"/>
    <n v="9.3782106604200055E-2"/>
  </r>
  <r>
    <s v="P101"/>
    <x v="1"/>
    <d v="2024-10-18T00:00:00"/>
    <x v="5"/>
    <s v="Explore the latest video on Myntra! Trendy styles await."/>
    <n v="4450"/>
    <n v="983"/>
    <n v="143"/>
    <n v="75650"/>
    <n v="75008"/>
    <n v="12"/>
    <x v="0"/>
    <s v="EndOfSeasonSale"/>
    <n v="7.433873720136519E-2"/>
  </r>
  <r>
    <s v="P101"/>
    <x v="1"/>
    <d v="2024-10-18T00:00:00"/>
    <x v="5"/>
    <s v="Explore the latest video on Myntra! Trendy styles await."/>
    <n v="4450"/>
    <n v="983"/>
    <n v="143"/>
    <n v="75650"/>
    <n v="75008"/>
    <n v="12"/>
    <x v="2"/>
    <s v="EndOfSeasonSale"/>
    <n v="7.433873720136519E-2"/>
  </r>
  <r>
    <s v="P102"/>
    <x v="0"/>
    <d v="2024-09-18T00:00:00"/>
    <x v="0"/>
    <s v="Explore the latest reel on Myntra! Trendy styles await."/>
    <n v="1000"/>
    <n v="978"/>
    <n v="162"/>
    <n v="6000"/>
    <n v="5221"/>
    <n v="223"/>
    <x v="3"/>
    <s v="MyntraFestiveEdit"/>
    <n v="0.40988316414479986"/>
  </r>
  <r>
    <s v="P102"/>
    <x v="0"/>
    <d v="2024-09-18T00:00:00"/>
    <x v="0"/>
    <s v="Explore the latest reel on Myntra! Trendy styles await."/>
    <n v="1000"/>
    <n v="978"/>
    <n v="162"/>
    <n v="6000"/>
    <n v="5221"/>
    <n v="223"/>
    <x v="1"/>
    <s v="MyntraFestiveEdit"/>
    <n v="0.40988316414479986"/>
  </r>
  <r>
    <s v="P103"/>
    <x v="3"/>
    <d v="2024-06-11T00:00:00"/>
    <x v="4"/>
    <s v="Explore the latest image on Myntra! Trendy styles await."/>
    <n v="3689"/>
    <n v="48"/>
    <n v="306"/>
    <n v="40579"/>
    <n v="39588"/>
    <n v="212"/>
    <x v="3"/>
    <s v="FashionUpgrade"/>
    <n v="0.10212690714357886"/>
  </r>
  <r>
    <s v="P104"/>
    <x v="1"/>
    <d v="2025-03-23T00:00:00"/>
    <x v="2"/>
    <s v="Explore the latest story on Myntra! Trendy styles await."/>
    <n v="3655"/>
    <n v="568"/>
    <n v="286"/>
    <n v="32895"/>
    <n v="32015"/>
    <n v="199"/>
    <x v="3"/>
    <s v="StyleRevolution"/>
    <n v="0.14084023114165234"/>
  </r>
  <r>
    <s v="P105"/>
    <x v="2"/>
    <d v="2024-06-14T00:00:00"/>
    <x v="3"/>
    <s v="Explore the latest carousel on Myntra! Trendy styles await."/>
    <n v="498"/>
    <n v="38"/>
    <n v="42"/>
    <n v="4482"/>
    <n v="3647"/>
    <n v="32"/>
    <x v="2"/>
    <s v="StyleRevolution"/>
    <n v="0.15848642720043871"/>
  </r>
  <r>
    <s v="P105"/>
    <x v="2"/>
    <d v="2024-06-14T00:00:00"/>
    <x v="3"/>
    <s v="Explore the latest carousel on Myntra! Trendy styles await."/>
    <n v="498"/>
    <n v="38"/>
    <n v="42"/>
    <n v="4482"/>
    <n v="3647"/>
    <n v="32"/>
    <x v="4"/>
    <s v="StyleRevolution"/>
    <n v="0.15848642720043871"/>
  </r>
  <r>
    <s v="P106"/>
    <x v="2"/>
    <d v="2025-02-04T00:00:00"/>
    <x v="4"/>
    <s v="Explore the latest image on Myntra! Trendy styles await."/>
    <n v="4619"/>
    <n v="821"/>
    <n v="499"/>
    <n v="69285"/>
    <n v="69141"/>
    <n v="298"/>
    <x v="1"/>
    <s v="FashionUpgrade"/>
    <n v="8.5896935248260795E-2"/>
  </r>
  <r>
    <s v="P107"/>
    <x v="1"/>
    <d v="2024-06-21T00:00:00"/>
    <x v="4"/>
    <s v="Explore the latest image on Myntra! Trendy styles await."/>
    <n v="4832"/>
    <n v="893"/>
    <n v="10"/>
    <n v="91808"/>
    <n v="91296"/>
    <n v="182"/>
    <x v="0"/>
    <s v="MyntraFestiveEdit"/>
    <n v="6.2817648089730102E-2"/>
  </r>
  <r>
    <s v="P107"/>
    <x v="1"/>
    <d v="2024-06-21T00:00:00"/>
    <x v="4"/>
    <s v="Explore the latest image on Myntra! Trendy styles await."/>
    <n v="4832"/>
    <n v="893"/>
    <n v="10"/>
    <n v="91808"/>
    <n v="91296"/>
    <n v="182"/>
    <x v="2"/>
    <s v="MyntraFestiveEdit"/>
    <n v="6.2817648089730102E-2"/>
  </r>
  <r>
    <s v="P108"/>
    <x v="0"/>
    <d v="2025-03-25T00:00:00"/>
    <x v="5"/>
    <s v="Explore the latest video on Myntra! Trendy styles await."/>
    <n v="4050"/>
    <n v="871"/>
    <n v="347"/>
    <n v="52650"/>
    <n v="51755"/>
    <n v="209"/>
    <x v="2"/>
    <s v="FashionUpgrade"/>
    <n v="0.10178726693073133"/>
  </r>
  <r>
    <s v="P108"/>
    <x v="0"/>
    <d v="2025-03-25T00:00:00"/>
    <x v="5"/>
    <s v="Explore the latest video on Myntra! Trendy styles await."/>
    <n v="4050"/>
    <n v="871"/>
    <n v="347"/>
    <n v="52650"/>
    <n v="51755"/>
    <n v="209"/>
    <x v="4"/>
    <s v="FashionUpgrade"/>
    <n v="0.10178726693073133"/>
  </r>
  <r>
    <s v="P109"/>
    <x v="0"/>
    <d v="2024-08-08T00:00:00"/>
    <x v="2"/>
    <s v="Explore the latest story on Myntra! Trendy styles await."/>
    <n v="3649"/>
    <n v="215"/>
    <n v="413"/>
    <n v="25543"/>
    <n v="24963"/>
    <n v="167"/>
    <x v="1"/>
    <s v="FashionUpgrade"/>
    <n v="0.1713335736890598"/>
  </r>
  <r>
    <s v="P109"/>
    <x v="0"/>
    <d v="2024-08-08T00:00:00"/>
    <x v="2"/>
    <s v="Explore the latest story on Myntra! Trendy styles await."/>
    <n v="3649"/>
    <n v="215"/>
    <n v="413"/>
    <n v="25543"/>
    <n v="24963"/>
    <n v="167"/>
    <x v="2"/>
    <s v="FashionUpgrade"/>
    <n v="0.1713335736890598"/>
  </r>
  <r>
    <s v="P110"/>
    <x v="2"/>
    <d v="2024-07-29T00:00:00"/>
    <x v="0"/>
    <s v="Explore the latest reel on Myntra! Trendy styles await."/>
    <n v="3523"/>
    <n v="753"/>
    <n v="482"/>
    <n v="38753"/>
    <n v="38579"/>
    <n v="270"/>
    <x v="4"/>
    <s v="EndOfSeasonSale"/>
    <n v="0.12333134606910495"/>
  </r>
  <r>
    <s v="P110"/>
    <x v="2"/>
    <d v="2024-07-29T00:00:00"/>
    <x v="0"/>
    <s v="Explore the latest reel on Myntra! Trendy styles await."/>
    <n v="3523"/>
    <n v="753"/>
    <n v="482"/>
    <n v="38753"/>
    <n v="38579"/>
    <n v="270"/>
    <x v="2"/>
    <s v="EndOfSeasonSale"/>
    <n v="0.12333134606910495"/>
  </r>
  <r>
    <s v="P111"/>
    <x v="1"/>
    <d v="2024-11-23T00:00:00"/>
    <x v="4"/>
    <s v="Explore the latest image on Myntra! Trendy styles await."/>
    <n v="2719"/>
    <n v="17"/>
    <n v="285"/>
    <n v="40785"/>
    <n v="40281"/>
    <n v="40"/>
    <x v="1"/>
    <s v="MyntraFestiveEdit"/>
    <n v="7.4998138079988078E-2"/>
  </r>
  <r>
    <s v="P111"/>
    <x v="1"/>
    <d v="2024-11-23T00:00:00"/>
    <x v="4"/>
    <s v="Explore the latest image on Myntra! Trendy styles await."/>
    <n v="2719"/>
    <n v="17"/>
    <n v="285"/>
    <n v="40785"/>
    <n v="40281"/>
    <n v="40"/>
    <x v="2"/>
    <s v="MyntraFestiveEdit"/>
    <n v="7.4998138079988078E-2"/>
  </r>
  <r>
    <s v="P112"/>
    <x v="0"/>
    <d v="2024-10-05T00:00:00"/>
    <x v="2"/>
    <s v="Explore the latest story on Myntra! Trendy styles await."/>
    <n v="1957"/>
    <n v="877"/>
    <n v="238"/>
    <n v="17613"/>
    <n v="16865"/>
    <n v="297"/>
    <x v="1"/>
    <s v="MyntraFestiveEdit"/>
    <n v="0.18215238659946634"/>
  </r>
  <r>
    <s v="P112"/>
    <x v="0"/>
    <d v="2024-10-05T00:00:00"/>
    <x v="2"/>
    <s v="Explore the latest story on Myntra! Trendy styles await."/>
    <n v="1957"/>
    <n v="877"/>
    <n v="238"/>
    <n v="17613"/>
    <n v="16865"/>
    <n v="297"/>
    <x v="0"/>
    <s v="MyntraFestiveEdit"/>
    <n v="0.18215238659946634"/>
  </r>
  <r>
    <s v="P113"/>
    <x v="0"/>
    <d v="2024-10-02T00:00:00"/>
    <x v="3"/>
    <s v="Explore the latest carousel on Myntra! Trendy styles await."/>
    <n v="4419"/>
    <n v="236"/>
    <n v="369"/>
    <n v="44190"/>
    <n v="43582"/>
    <n v="10"/>
    <x v="3"/>
    <s v="StyleRevolution"/>
    <n v="0.11527694919921068"/>
  </r>
  <r>
    <s v="P114"/>
    <x v="0"/>
    <d v="2024-11-14T00:00:00"/>
    <x v="2"/>
    <s v="Explore the latest story on Myntra! Trendy styles await."/>
    <n v="4000"/>
    <n v="689"/>
    <n v="488"/>
    <n v="40000"/>
    <n v="39569"/>
    <n v="44"/>
    <x v="4"/>
    <s v="MyntraFestiveEdit"/>
    <n v="0.13083474437059314"/>
  </r>
  <r>
    <s v="P114"/>
    <x v="0"/>
    <d v="2024-11-14T00:00:00"/>
    <x v="2"/>
    <s v="Explore the latest story on Myntra! Trendy styles await."/>
    <n v="4000"/>
    <n v="689"/>
    <n v="488"/>
    <n v="40000"/>
    <n v="39569"/>
    <n v="44"/>
    <x v="1"/>
    <s v="MyntraFestiveEdit"/>
    <n v="0.13083474437059314"/>
  </r>
  <r>
    <s v="P115"/>
    <x v="0"/>
    <d v="2025-05-11T00:00:00"/>
    <x v="4"/>
    <s v="Explore the latest image on Myntra! Trendy styles await."/>
    <n v="2493"/>
    <n v="97"/>
    <n v="44"/>
    <n v="42381"/>
    <n v="41991"/>
    <n v="242"/>
    <x v="0"/>
    <s v="FashionUpgrade"/>
    <n v="6.272772737015074E-2"/>
  </r>
  <r>
    <s v="P115"/>
    <x v="0"/>
    <d v="2025-05-11T00:00:00"/>
    <x v="4"/>
    <s v="Explore the latest image on Myntra! Trendy styles await."/>
    <n v="2493"/>
    <n v="97"/>
    <n v="44"/>
    <n v="42381"/>
    <n v="41991"/>
    <n v="242"/>
    <x v="2"/>
    <s v="FashionUpgrade"/>
    <n v="6.272772737015074E-2"/>
  </r>
  <r>
    <s v="P116"/>
    <x v="1"/>
    <d v="2025-03-18T00:00:00"/>
    <x v="0"/>
    <s v="Explore the latest reel on Myntra! Trendy styles await."/>
    <n v="3704"/>
    <n v="186"/>
    <n v="458"/>
    <n v="25928"/>
    <n v="25081"/>
    <n v="131"/>
    <x v="2"/>
    <s v="FashionUpgrade"/>
    <n v="0.17335831904629001"/>
  </r>
  <r>
    <s v="P117"/>
    <x v="0"/>
    <d v="2024-11-04T00:00:00"/>
    <x v="4"/>
    <s v="Explore the latest image on Myntra! Trendy styles await."/>
    <n v="1606"/>
    <n v="451"/>
    <n v="405"/>
    <n v="20878"/>
    <n v="20190"/>
    <n v="219"/>
    <x v="0"/>
    <s v="EndOfSeasonSale"/>
    <n v="0.12194155522535909"/>
  </r>
  <r>
    <s v="P117"/>
    <x v="0"/>
    <d v="2024-11-04T00:00:00"/>
    <x v="4"/>
    <s v="Explore the latest image on Myntra! Trendy styles await."/>
    <n v="1606"/>
    <n v="451"/>
    <n v="405"/>
    <n v="20878"/>
    <n v="20190"/>
    <n v="219"/>
    <x v="2"/>
    <s v="EndOfSeasonSale"/>
    <n v="0.12194155522535909"/>
  </r>
  <r>
    <s v="P118"/>
    <x v="3"/>
    <d v="2024-11-04T00:00:00"/>
    <x v="4"/>
    <s v="Explore the latest image on Myntra! Trendy styles await."/>
    <n v="4551"/>
    <n v="714"/>
    <n v="207"/>
    <n v="68265"/>
    <n v="67754"/>
    <n v="57"/>
    <x v="3"/>
    <s v="EndOfSeasonSale"/>
    <n v="8.0762759394279307E-2"/>
  </r>
  <r>
    <s v="P119"/>
    <x v="2"/>
    <d v="2025-02-07T00:00:00"/>
    <x v="0"/>
    <s v="Explore the latest reel on Myntra! Trendy styles await."/>
    <n v="1970"/>
    <n v="675"/>
    <n v="478"/>
    <n v="9850"/>
    <n v="8924"/>
    <n v="117"/>
    <x v="3"/>
    <s v="StyleRevolution"/>
    <n v="0.34995517705064993"/>
  </r>
  <r>
    <s v="P120"/>
    <x v="3"/>
    <d v="2024-10-21T00:00:00"/>
    <x v="2"/>
    <s v="Explore the latest story on Myntra! Trendy styles await."/>
    <n v="780"/>
    <n v="928"/>
    <n v="301"/>
    <n v="8580"/>
    <n v="8081"/>
    <n v="91"/>
    <x v="0"/>
    <s v="StyleRevolution"/>
    <n v="0.24860784556366786"/>
  </r>
  <r>
    <s v="P120"/>
    <x v="3"/>
    <d v="2024-10-21T00:00:00"/>
    <x v="2"/>
    <s v="Explore the latest story on Myntra! Trendy styles await."/>
    <n v="780"/>
    <n v="928"/>
    <n v="301"/>
    <n v="8580"/>
    <n v="8081"/>
    <n v="91"/>
    <x v="1"/>
    <s v="StyleRevolution"/>
    <n v="0.24860784556366786"/>
  </r>
  <r>
    <s v="P121"/>
    <x v="2"/>
    <d v="2024-07-29T00:00:00"/>
    <x v="2"/>
    <s v="Explore the latest story on Myntra! Trendy styles await."/>
    <n v="498"/>
    <n v="701"/>
    <n v="412"/>
    <n v="4980"/>
    <n v="4185"/>
    <n v="185"/>
    <x v="4"/>
    <s v="StyleRevolution"/>
    <n v="0.38494623655913979"/>
  </r>
  <r>
    <s v="P121"/>
    <x v="2"/>
    <d v="2024-07-29T00:00:00"/>
    <x v="2"/>
    <s v="Explore the latest story on Myntra! Trendy styles await."/>
    <n v="498"/>
    <n v="701"/>
    <n v="412"/>
    <n v="4980"/>
    <n v="4185"/>
    <n v="185"/>
    <x v="2"/>
    <s v="StyleRevolution"/>
    <n v="0.38494623655913979"/>
  </r>
  <r>
    <s v="P122"/>
    <x v="2"/>
    <d v="2024-10-02T00:00:00"/>
    <x v="1"/>
    <s v="Explore the latest text on Myntra! Trendy styles await."/>
    <n v="3432"/>
    <n v="869"/>
    <n v="123"/>
    <n v="54912"/>
    <n v="53916"/>
    <n v="264"/>
    <x v="1"/>
    <s v="EndOfSeasonSale"/>
    <n v="8.2053564804510717E-2"/>
  </r>
  <r>
    <s v="P122"/>
    <x v="2"/>
    <d v="2024-10-02T00:00:00"/>
    <x v="1"/>
    <s v="Explore the latest text on Myntra! Trendy styles await."/>
    <n v="3432"/>
    <n v="869"/>
    <n v="123"/>
    <n v="54912"/>
    <n v="53916"/>
    <n v="264"/>
    <x v="3"/>
    <s v="EndOfSeasonSale"/>
    <n v="8.2053564804510717E-2"/>
  </r>
  <r>
    <s v="P123"/>
    <x v="2"/>
    <d v="2024-06-14T00:00:00"/>
    <x v="2"/>
    <s v="Explore the latest story on Myntra! Trendy styles await."/>
    <n v="4363"/>
    <n v="649"/>
    <n v="140"/>
    <n v="21815"/>
    <n v="21481"/>
    <n v="157"/>
    <x v="0"/>
    <s v="EndOfSeasonSale"/>
    <n v="0.23983985847958661"/>
  </r>
  <r>
    <s v="P123"/>
    <x v="2"/>
    <d v="2024-06-14T00:00:00"/>
    <x v="2"/>
    <s v="Explore the latest story on Myntra! Trendy styles await."/>
    <n v="4363"/>
    <n v="649"/>
    <n v="140"/>
    <n v="21815"/>
    <n v="21481"/>
    <n v="157"/>
    <x v="1"/>
    <s v="EndOfSeasonSale"/>
    <n v="0.23983985847958661"/>
  </r>
  <r>
    <s v="P124"/>
    <x v="1"/>
    <d v="2025-04-06T00:00:00"/>
    <x v="3"/>
    <s v="Explore the latest carousel on Myntra! Trendy styles await."/>
    <n v="736"/>
    <n v="771"/>
    <n v="225"/>
    <n v="5152"/>
    <n v="4706"/>
    <n v="19"/>
    <x v="2"/>
    <s v="MyntraFestiveEdit"/>
    <n v="0.36804079898002551"/>
  </r>
  <r>
    <s v="P125"/>
    <x v="0"/>
    <d v="2024-09-08T00:00:00"/>
    <x v="3"/>
    <s v="Explore the latest carousel on Myntra! Trendy styles await."/>
    <n v="3811"/>
    <n v="866"/>
    <n v="216"/>
    <n v="34299"/>
    <n v="34088"/>
    <n v="233"/>
    <x v="2"/>
    <s v="MyntraFestiveEdit"/>
    <n v="0.14354024876789487"/>
  </r>
  <r>
    <s v="P126"/>
    <x v="2"/>
    <d v="2025-03-28T00:00:00"/>
    <x v="3"/>
    <s v="Explore the latest carousel on Myntra! Trendy styles await."/>
    <n v="4158"/>
    <n v="167"/>
    <n v="241"/>
    <n v="45738"/>
    <n v="45183"/>
    <n v="142"/>
    <x v="1"/>
    <s v="EndOfSeasonSale"/>
    <n v="0.10105570679237766"/>
  </r>
  <r>
    <s v="P127"/>
    <x v="3"/>
    <d v="2025-01-27T00:00:00"/>
    <x v="0"/>
    <s v="Explore the latest reel on Myntra! Trendy styles await."/>
    <n v="3452"/>
    <n v="652"/>
    <n v="442"/>
    <n v="65588"/>
    <n v="65049"/>
    <n v="158"/>
    <x v="0"/>
    <s v="FashionUpgrade"/>
    <n v="6.9885778413196209E-2"/>
  </r>
  <r>
    <s v="P127"/>
    <x v="3"/>
    <d v="2025-01-27T00:00:00"/>
    <x v="0"/>
    <s v="Explore the latest reel on Myntra! Trendy styles await."/>
    <n v="3452"/>
    <n v="652"/>
    <n v="442"/>
    <n v="65588"/>
    <n v="65049"/>
    <n v="158"/>
    <x v="2"/>
    <s v="FashionUpgrade"/>
    <n v="6.9885778413196209E-2"/>
  </r>
  <r>
    <s v="P128"/>
    <x v="0"/>
    <d v="2025-01-10T00:00:00"/>
    <x v="4"/>
    <s v="Explore the latest image on Myntra! Trendy styles await."/>
    <n v="3092"/>
    <n v="106"/>
    <n v="291"/>
    <n v="27828"/>
    <n v="27217"/>
    <n v="102"/>
    <x v="2"/>
    <s v="StyleRevolution"/>
    <n v="0.12819193886174082"/>
  </r>
  <r>
    <s v="P129"/>
    <x v="0"/>
    <d v="2024-07-21T00:00:00"/>
    <x v="1"/>
    <s v="Explore the latest text on Myntra! Trendy styles await."/>
    <n v="2147"/>
    <n v="430"/>
    <n v="393"/>
    <n v="17176"/>
    <n v="16483"/>
    <n v="170"/>
    <x v="4"/>
    <s v="StyleRevolution"/>
    <n v="0.18018564581690227"/>
  </r>
  <r>
    <s v="P130"/>
    <x v="1"/>
    <d v="2024-09-29T00:00:00"/>
    <x v="0"/>
    <s v="Explore the latest reel on Myntra! Trendy styles await."/>
    <n v="2936"/>
    <n v="439"/>
    <n v="44"/>
    <n v="38168"/>
    <n v="37571"/>
    <n v="22"/>
    <x v="0"/>
    <s v="MyntraFestiveEdit"/>
    <n v="9.1001038034654383E-2"/>
  </r>
  <r>
    <s v="P131"/>
    <x v="2"/>
    <d v="2024-10-21T00:00:00"/>
    <x v="0"/>
    <s v="Explore the latest reel on Myntra! Trendy styles await."/>
    <n v="4840"/>
    <n v="658"/>
    <n v="211"/>
    <n v="43560"/>
    <n v="43225"/>
    <n v="57"/>
    <x v="0"/>
    <s v="EndOfSeasonSale"/>
    <n v="0.13207634470792365"/>
  </r>
  <r>
    <s v="P131"/>
    <x v="2"/>
    <d v="2024-10-21T00:00:00"/>
    <x v="0"/>
    <s v="Explore the latest reel on Myntra! Trendy styles await."/>
    <n v="4840"/>
    <n v="658"/>
    <n v="211"/>
    <n v="43560"/>
    <n v="43225"/>
    <n v="57"/>
    <x v="1"/>
    <s v="EndOfSeasonSale"/>
    <n v="0.13207634470792365"/>
  </r>
  <r>
    <s v="P132"/>
    <x v="2"/>
    <d v="2025-03-04T00:00:00"/>
    <x v="2"/>
    <s v="Explore the latest story on Myntra! Trendy styles await."/>
    <n v="1947"/>
    <n v="842"/>
    <n v="101"/>
    <n v="21417"/>
    <n v="20967"/>
    <n v="186"/>
    <x v="1"/>
    <s v="EndOfSeasonSale"/>
    <n v="0.13783564649210664"/>
  </r>
  <r>
    <s v="P133"/>
    <x v="3"/>
    <d v="2025-02-06T00:00:00"/>
    <x v="4"/>
    <s v="Explore the latest image on Myntra! Trendy styles await."/>
    <n v="2072"/>
    <n v="532"/>
    <n v="71"/>
    <n v="37296"/>
    <n v="36467"/>
    <n v="25"/>
    <x v="0"/>
    <s v="MyntraFestiveEdit"/>
    <n v="7.3353991279787201E-2"/>
  </r>
  <r>
    <s v="P134"/>
    <x v="0"/>
    <d v="2025-04-24T00:00:00"/>
    <x v="0"/>
    <s v="Explore the latest reel on Myntra! Trendy styles await."/>
    <n v="3731"/>
    <n v="115"/>
    <n v="135"/>
    <n v="55965"/>
    <n v="55436"/>
    <n v="103"/>
    <x v="4"/>
    <s v="StyleRevolution"/>
    <n v="7.1812540587343959E-2"/>
  </r>
  <r>
    <s v="P135"/>
    <x v="3"/>
    <d v="2024-11-28T00:00:00"/>
    <x v="1"/>
    <s v="Explore the latest text on Myntra! Trendy styles await."/>
    <n v="4213"/>
    <n v="253"/>
    <n v="434"/>
    <n v="75834"/>
    <n v="75437"/>
    <n v="272"/>
    <x v="3"/>
    <s v="MyntraFestiveEdit"/>
    <n v="6.4954862998263446E-2"/>
  </r>
  <r>
    <s v="P136"/>
    <x v="2"/>
    <d v="2024-07-11T00:00:00"/>
    <x v="1"/>
    <s v="Explore the latest text on Myntra! Trendy styles await."/>
    <n v="3134"/>
    <n v="888"/>
    <n v="444"/>
    <n v="21938"/>
    <n v="21337"/>
    <n v="130"/>
    <x v="0"/>
    <s v="StyleRevolution"/>
    <n v="0.209307775226133"/>
  </r>
  <r>
    <s v="P136"/>
    <x v="2"/>
    <d v="2024-07-11T00:00:00"/>
    <x v="1"/>
    <s v="Explore the latest text on Myntra! Trendy styles await."/>
    <n v="3134"/>
    <n v="888"/>
    <n v="444"/>
    <n v="21938"/>
    <n v="21337"/>
    <n v="130"/>
    <x v="1"/>
    <s v="StyleRevolution"/>
    <n v="0.209307775226133"/>
  </r>
  <r>
    <s v="P137"/>
    <x v="3"/>
    <d v="2024-07-31T00:00:00"/>
    <x v="5"/>
    <s v="Explore the latest video on Myntra! Trendy styles await."/>
    <n v="3008"/>
    <n v="94"/>
    <n v="37"/>
    <n v="15040"/>
    <n v="14639"/>
    <n v="277"/>
    <x v="4"/>
    <s v="FashionUpgrade"/>
    <n v="0.2144272149737004"/>
  </r>
  <r>
    <s v="P138"/>
    <x v="0"/>
    <d v="2025-03-29T00:00:00"/>
    <x v="4"/>
    <s v="Explore the latest image on Myntra! Trendy styles await."/>
    <n v="305"/>
    <n v="187"/>
    <n v="243"/>
    <n v="4575"/>
    <n v="3704"/>
    <n v="234"/>
    <x v="1"/>
    <s v="StyleRevolution"/>
    <n v="0.19843412526997839"/>
  </r>
  <r>
    <s v="P138"/>
    <x v="0"/>
    <d v="2025-03-29T00:00:00"/>
    <x v="4"/>
    <s v="Explore the latest image on Myntra! Trendy styles await."/>
    <n v="305"/>
    <n v="187"/>
    <n v="243"/>
    <n v="4575"/>
    <n v="3704"/>
    <n v="234"/>
    <x v="3"/>
    <s v="StyleRevolution"/>
    <n v="0.19843412526997839"/>
  </r>
  <r>
    <s v="P139"/>
    <x v="1"/>
    <d v="2024-10-29T00:00:00"/>
    <x v="1"/>
    <s v="Explore the latest text on Myntra! Trendy styles await."/>
    <n v="2746"/>
    <n v="156"/>
    <n v="203"/>
    <n v="32952"/>
    <n v="32147"/>
    <n v="147"/>
    <x v="1"/>
    <s v="EndOfSeasonSale"/>
    <n v="9.6587550937879116E-2"/>
  </r>
  <r>
    <s v="P139"/>
    <x v="1"/>
    <d v="2024-10-29T00:00:00"/>
    <x v="1"/>
    <s v="Explore the latest text on Myntra! Trendy styles await."/>
    <n v="2746"/>
    <n v="156"/>
    <n v="203"/>
    <n v="32952"/>
    <n v="32147"/>
    <n v="147"/>
    <x v="2"/>
    <s v="EndOfSeasonSale"/>
    <n v="9.6587550937879116E-2"/>
  </r>
  <r>
    <s v="P140"/>
    <x v="3"/>
    <d v="2024-07-15T00:00:00"/>
    <x v="4"/>
    <s v="Explore the latest image on Myntra! Trendy styles await."/>
    <n v="2291"/>
    <n v="78"/>
    <n v="485"/>
    <n v="18328"/>
    <n v="18101"/>
    <n v="10"/>
    <x v="4"/>
    <s v="FashionUpgrade"/>
    <n v="0.15767084691453512"/>
  </r>
  <r>
    <s v="P141"/>
    <x v="0"/>
    <d v="2024-08-31T00:00:00"/>
    <x v="4"/>
    <s v="Explore the latest image on Myntra! Trendy styles await."/>
    <n v="3170"/>
    <n v="857"/>
    <n v="379"/>
    <n v="19020"/>
    <n v="18559"/>
    <n v="240"/>
    <x v="0"/>
    <s v="MyntraFestiveEdit"/>
    <n v="0.23740503259873916"/>
  </r>
  <r>
    <s v="P142"/>
    <x v="1"/>
    <d v="2025-03-25T00:00:00"/>
    <x v="2"/>
    <s v="Explore the latest story on Myntra! Trendy styles await."/>
    <n v="2070"/>
    <n v="275"/>
    <n v="386"/>
    <n v="39330"/>
    <n v="38627"/>
    <n v="114"/>
    <x v="0"/>
    <s v="StyleRevolution"/>
    <n v="7.070184068138867E-2"/>
  </r>
  <r>
    <s v="P143"/>
    <x v="1"/>
    <d v="2024-10-02T00:00:00"/>
    <x v="3"/>
    <s v="Explore the latest carousel on Myntra! Trendy styles await."/>
    <n v="80"/>
    <n v="362"/>
    <n v="80"/>
    <n v="1040"/>
    <n v="349"/>
    <n v="117"/>
    <x v="1"/>
    <s v="EndOfSeasonSale"/>
    <n v="1.4957020057306589"/>
  </r>
  <r>
    <s v="P143"/>
    <x v="1"/>
    <d v="2024-10-02T00:00:00"/>
    <x v="3"/>
    <s v="Explore the latest carousel on Myntra! Trendy styles await."/>
    <n v="80"/>
    <n v="362"/>
    <n v="80"/>
    <n v="1040"/>
    <n v="349"/>
    <n v="117"/>
    <x v="2"/>
    <s v="EndOfSeasonSale"/>
    <n v="1.4957020057306589"/>
  </r>
  <r>
    <s v="P144"/>
    <x v="1"/>
    <d v="2024-10-28T00:00:00"/>
    <x v="2"/>
    <s v="Explore the latest story on Myntra! Trendy styles await."/>
    <n v="4929"/>
    <n v="749"/>
    <n v="452"/>
    <n v="93651"/>
    <n v="92810"/>
    <n v="66"/>
    <x v="3"/>
    <s v="FashionUpgrade"/>
    <n v="6.604891714254929E-2"/>
  </r>
  <r>
    <s v="P144"/>
    <x v="1"/>
    <d v="2024-10-28T00:00:00"/>
    <x v="2"/>
    <s v="Explore the latest story on Myntra! Trendy styles await."/>
    <n v="4929"/>
    <n v="749"/>
    <n v="452"/>
    <n v="93651"/>
    <n v="92810"/>
    <n v="66"/>
    <x v="2"/>
    <s v="FashionUpgrade"/>
    <n v="6.604891714254929E-2"/>
  </r>
  <r>
    <s v="P145"/>
    <x v="2"/>
    <d v="2024-08-12T00:00:00"/>
    <x v="3"/>
    <s v="Explore the latest carousel on Myntra! Trendy styles await."/>
    <n v="1878"/>
    <n v="62"/>
    <n v="179"/>
    <n v="37560"/>
    <n v="36874"/>
    <n v="142"/>
    <x v="4"/>
    <s v="FashionUpgrade"/>
    <n v="5.7465965178716709E-2"/>
  </r>
  <r>
    <s v="P145"/>
    <x v="2"/>
    <d v="2024-08-12T00:00:00"/>
    <x v="3"/>
    <s v="Explore the latest carousel on Myntra! Trendy styles await."/>
    <n v="1878"/>
    <n v="62"/>
    <n v="179"/>
    <n v="37560"/>
    <n v="36874"/>
    <n v="142"/>
    <x v="3"/>
    <s v="FashionUpgrade"/>
    <n v="5.7465965178716709E-2"/>
  </r>
  <r>
    <s v="P146"/>
    <x v="1"/>
    <d v="2024-06-05T00:00:00"/>
    <x v="0"/>
    <s v="Explore the latest reel on Myntra! Trendy styles await."/>
    <n v="3065"/>
    <n v="772"/>
    <n v="142"/>
    <n v="18390"/>
    <n v="17875"/>
    <n v="200"/>
    <x v="2"/>
    <s v="FashionUpgrade"/>
    <n v="0.2226013986013986"/>
  </r>
  <r>
    <s v="P147"/>
    <x v="2"/>
    <d v="2024-10-21T00:00:00"/>
    <x v="0"/>
    <s v="Explore the latest reel on Myntra! Trendy styles await."/>
    <n v="3256"/>
    <n v="459"/>
    <n v="266"/>
    <n v="26048"/>
    <n v="25529"/>
    <n v="143"/>
    <x v="0"/>
    <s v="MyntraFestiveEdit"/>
    <n v="0.15594030318461358"/>
  </r>
  <r>
    <s v="P147"/>
    <x v="2"/>
    <d v="2024-10-21T00:00:00"/>
    <x v="0"/>
    <s v="Explore the latest reel on Myntra! Trendy styles await."/>
    <n v="3256"/>
    <n v="459"/>
    <n v="266"/>
    <n v="26048"/>
    <n v="25529"/>
    <n v="143"/>
    <x v="2"/>
    <s v="MyntraFestiveEdit"/>
    <n v="0.15594030318461358"/>
  </r>
  <r>
    <s v="P148"/>
    <x v="2"/>
    <d v="2025-04-15T00:00:00"/>
    <x v="5"/>
    <s v="Explore the latest video on Myntra! Trendy styles await."/>
    <n v="4133"/>
    <n v="466"/>
    <n v="327"/>
    <n v="24798"/>
    <n v="24620"/>
    <n v="176"/>
    <x v="2"/>
    <s v="EndOfSeasonSale"/>
    <n v="0.20008123476848091"/>
  </r>
  <r>
    <s v="P149"/>
    <x v="0"/>
    <d v="2024-06-16T00:00:00"/>
    <x v="5"/>
    <s v="Explore the latest video on Myntra! Trendy styles await."/>
    <n v="1702"/>
    <n v="750"/>
    <n v="179"/>
    <n v="34040"/>
    <n v="33174"/>
    <n v="76"/>
    <x v="3"/>
    <s v="MyntraFestiveEdit"/>
    <n v="7.9309097485982999E-2"/>
  </r>
  <r>
    <s v="P150"/>
    <x v="1"/>
    <d v="2024-08-22T00:00:00"/>
    <x v="3"/>
    <s v="Explore the latest carousel on Myntra! Trendy styles await."/>
    <n v="4295"/>
    <n v="853"/>
    <n v="325"/>
    <n v="85900"/>
    <n v="85788"/>
    <n v="290"/>
    <x v="3"/>
    <s v="EndOfSeasonSale"/>
    <n v="6.379680141744766E-2"/>
  </r>
  <r>
    <s v="P150"/>
    <x v="1"/>
    <d v="2024-08-22T00:00:00"/>
    <x v="3"/>
    <s v="Explore the latest carousel on Myntra! Trendy styles await."/>
    <n v="4295"/>
    <n v="853"/>
    <n v="325"/>
    <n v="85900"/>
    <n v="85788"/>
    <n v="290"/>
    <x v="0"/>
    <s v="EndOfSeasonSale"/>
    <n v="6.379680141744766E-2"/>
  </r>
  <r>
    <s v="P151"/>
    <x v="2"/>
    <d v="2024-07-26T00:00:00"/>
    <x v="4"/>
    <s v="Explore the latest image on Myntra! Trendy styles await."/>
    <n v="3559"/>
    <n v="59"/>
    <n v="289"/>
    <n v="35590"/>
    <n v="35105"/>
    <n v="122"/>
    <x v="3"/>
    <s v="MyntraFestiveEdit"/>
    <n v="0.11129468736647201"/>
  </r>
  <r>
    <s v="P151"/>
    <x v="2"/>
    <d v="2024-07-26T00:00:00"/>
    <x v="4"/>
    <s v="Explore the latest image on Myntra! Trendy styles await."/>
    <n v="3559"/>
    <n v="59"/>
    <n v="289"/>
    <n v="35590"/>
    <n v="35105"/>
    <n v="122"/>
    <x v="2"/>
    <s v="MyntraFestiveEdit"/>
    <n v="0.11129468736647201"/>
  </r>
  <r>
    <s v="P152"/>
    <x v="3"/>
    <d v="2025-04-22T00:00:00"/>
    <x v="4"/>
    <s v="Explore the latest image on Myntra! Trendy styles await."/>
    <n v="4804"/>
    <n v="550"/>
    <n v="270"/>
    <n v="28824"/>
    <n v="28370"/>
    <n v="47"/>
    <x v="0"/>
    <s v="StyleRevolution"/>
    <n v="0.19823757490306662"/>
  </r>
  <r>
    <s v="P152"/>
    <x v="3"/>
    <d v="2025-04-22T00:00:00"/>
    <x v="4"/>
    <s v="Explore the latest image on Myntra! Trendy styles await."/>
    <n v="4804"/>
    <n v="550"/>
    <n v="270"/>
    <n v="28824"/>
    <n v="28370"/>
    <n v="47"/>
    <x v="2"/>
    <s v="StyleRevolution"/>
    <n v="0.19823757490306662"/>
  </r>
  <r>
    <s v="P153"/>
    <x v="0"/>
    <d v="2025-01-01T00:00:00"/>
    <x v="5"/>
    <s v="Explore the latest video on Myntra! Trendy styles await."/>
    <n v="754"/>
    <n v="197"/>
    <n v="257"/>
    <n v="6786"/>
    <n v="6221"/>
    <n v="212"/>
    <x v="4"/>
    <s v="MyntraFestiveEdit"/>
    <n v="0.19418099983925413"/>
  </r>
  <r>
    <s v="P153"/>
    <x v="0"/>
    <d v="2025-01-01T00:00:00"/>
    <x v="5"/>
    <s v="Explore the latest video on Myntra! Trendy styles await."/>
    <n v="754"/>
    <n v="197"/>
    <n v="257"/>
    <n v="6786"/>
    <n v="6221"/>
    <n v="212"/>
    <x v="3"/>
    <s v="MyntraFestiveEdit"/>
    <n v="0.19418099983925413"/>
  </r>
  <r>
    <s v="P154"/>
    <x v="2"/>
    <d v="2024-10-09T00:00:00"/>
    <x v="3"/>
    <s v="Explore the latest carousel on Myntra! Trendy styles await."/>
    <n v="985"/>
    <n v="932"/>
    <n v="287"/>
    <n v="6895"/>
    <n v="6757"/>
    <n v="64"/>
    <x v="0"/>
    <s v="EndOfSeasonSale"/>
    <n v="0.3261802575107296"/>
  </r>
  <r>
    <s v="P154"/>
    <x v="2"/>
    <d v="2024-10-09T00:00:00"/>
    <x v="3"/>
    <s v="Explore the latest carousel on Myntra! Trendy styles await."/>
    <n v="985"/>
    <n v="932"/>
    <n v="287"/>
    <n v="6895"/>
    <n v="6757"/>
    <n v="64"/>
    <x v="1"/>
    <s v="EndOfSeasonSale"/>
    <n v="0.3261802575107296"/>
  </r>
  <r>
    <s v="P155"/>
    <x v="1"/>
    <d v="2024-12-21T00:00:00"/>
    <x v="4"/>
    <s v="Explore the latest image on Myntra! Trendy styles await."/>
    <n v="2283"/>
    <n v="210"/>
    <n v="130"/>
    <n v="22830"/>
    <n v="22617"/>
    <n v="143"/>
    <x v="1"/>
    <s v="MyntraFestiveEdit"/>
    <n v="0.11597470928947252"/>
  </r>
  <r>
    <s v="P155"/>
    <x v="1"/>
    <d v="2024-12-21T00:00:00"/>
    <x v="4"/>
    <s v="Explore the latest image on Myntra! Trendy styles await."/>
    <n v="2283"/>
    <n v="210"/>
    <n v="130"/>
    <n v="22830"/>
    <n v="22617"/>
    <n v="143"/>
    <x v="2"/>
    <s v="MyntraFestiveEdit"/>
    <n v="0.11597470928947252"/>
  </r>
  <r>
    <s v="P156"/>
    <x v="3"/>
    <d v="2024-10-22T00:00:00"/>
    <x v="3"/>
    <s v="Explore the latest carousel on Myntra! Trendy styles await."/>
    <n v="3352"/>
    <n v="941"/>
    <n v="482"/>
    <n v="43576"/>
    <n v="43338"/>
    <n v="240"/>
    <x v="3"/>
    <s v="MyntraFestiveEdit"/>
    <n v="0.11018044210623472"/>
  </r>
  <r>
    <s v="P157"/>
    <x v="1"/>
    <d v="2024-07-23T00:00:00"/>
    <x v="2"/>
    <s v="Explore the latest story on Myntra! Trendy styles await."/>
    <n v="4775"/>
    <n v="173"/>
    <n v="206"/>
    <n v="47750"/>
    <n v="47544"/>
    <n v="187"/>
    <x v="2"/>
    <s v="StyleRevolution"/>
    <n v="0.10840484603735487"/>
  </r>
  <r>
    <s v="P157"/>
    <x v="1"/>
    <d v="2024-07-23T00:00:00"/>
    <x v="2"/>
    <s v="Explore the latest story on Myntra! Trendy styles await."/>
    <n v="4775"/>
    <n v="173"/>
    <n v="206"/>
    <n v="47750"/>
    <n v="47544"/>
    <n v="187"/>
    <x v="3"/>
    <s v="StyleRevolution"/>
    <n v="0.10840484603735487"/>
  </r>
  <r>
    <s v="P158"/>
    <x v="2"/>
    <d v="2024-08-11T00:00:00"/>
    <x v="2"/>
    <s v="Explore the latest story on Myntra! Trendy styles await."/>
    <n v="1762"/>
    <n v="405"/>
    <n v="423"/>
    <n v="22906"/>
    <n v="21925"/>
    <n v="25"/>
    <x v="4"/>
    <s v="EndOfSeasonSale"/>
    <n v="0.11812998859749145"/>
  </r>
  <r>
    <s v="P159"/>
    <x v="3"/>
    <d v="2024-11-25T00:00:00"/>
    <x v="2"/>
    <s v="Explore the latest story on Myntra! Trendy styles await."/>
    <n v="2120"/>
    <n v="158"/>
    <n v="488"/>
    <n v="12720"/>
    <n v="12085"/>
    <n v="17"/>
    <x v="2"/>
    <s v="EndOfSeasonSale"/>
    <n v="0.22887877534133222"/>
  </r>
  <r>
    <s v="P159"/>
    <x v="3"/>
    <d v="2024-11-25T00:00:00"/>
    <x v="2"/>
    <s v="Explore the latest story on Myntra! Trendy styles await."/>
    <n v="2120"/>
    <n v="158"/>
    <n v="488"/>
    <n v="12720"/>
    <n v="12085"/>
    <n v="17"/>
    <x v="3"/>
    <s v="EndOfSeasonSale"/>
    <n v="0.22887877534133222"/>
  </r>
  <r>
    <s v="P160"/>
    <x v="0"/>
    <d v="2024-08-24T00:00:00"/>
    <x v="5"/>
    <s v="Explore the latest video on Myntra! Trendy styles await."/>
    <n v="1082"/>
    <n v="209"/>
    <n v="484"/>
    <n v="19476"/>
    <n v="18654"/>
    <n v="20"/>
    <x v="2"/>
    <s v="StyleRevolution"/>
    <n v="9.5153854401200819E-2"/>
  </r>
  <r>
    <s v="P161"/>
    <x v="0"/>
    <d v="2025-02-19T00:00:00"/>
    <x v="1"/>
    <s v="Explore the latest text on Myntra! Trendy styles await."/>
    <n v="4671"/>
    <n v="876"/>
    <n v="366"/>
    <n v="51381"/>
    <n v="50565"/>
    <n v="245"/>
    <x v="0"/>
    <s v="EndOfSeasonSale"/>
    <n v="0.1169385938890537"/>
  </r>
  <r>
    <s v="P162"/>
    <x v="3"/>
    <d v="2025-04-01T00:00:00"/>
    <x v="2"/>
    <s v="Explore the latest story on Myntra! Trendy styles await."/>
    <n v="3430"/>
    <n v="566"/>
    <n v="164"/>
    <n v="48020"/>
    <n v="47305"/>
    <n v="120"/>
    <x v="3"/>
    <s v="EndOfSeasonSale"/>
    <n v="8.7939964062995452E-2"/>
  </r>
  <r>
    <s v="P163"/>
    <x v="2"/>
    <d v="2025-04-08T00:00:00"/>
    <x v="4"/>
    <s v="Explore the latest image on Myntra! Trendy styles await."/>
    <n v="4501"/>
    <n v="375"/>
    <n v="323"/>
    <n v="22505"/>
    <n v="21836"/>
    <n v="132"/>
    <x v="1"/>
    <s v="StyleRevolution"/>
    <n v="0.23809305733650851"/>
  </r>
  <r>
    <s v="P164"/>
    <x v="1"/>
    <d v="2025-02-27T00:00:00"/>
    <x v="1"/>
    <s v="Explore the latest text on Myntra! Trendy styles await."/>
    <n v="4934"/>
    <n v="971"/>
    <n v="156"/>
    <n v="39472"/>
    <n v="39025"/>
    <n v="169"/>
    <x v="4"/>
    <s v="EndOfSeasonSale"/>
    <n v="0.15531069827033953"/>
  </r>
  <r>
    <s v="P164"/>
    <x v="1"/>
    <d v="2025-02-27T00:00:00"/>
    <x v="1"/>
    <s v="Explore the latest text on Myntra! Trendy styles await."/>
    <n v="4934"/>
    <n v="971"/>
    <n v="156"/>
    <n v="39472"/>
    <n v="39025"/>
    <n v="169"/>
    <x v="2"/>
    <s v="EndOfSeasonSale"/>
    <n v="0.15531069827033953"/>
  </r>
  <r>
    <s v="P165"/>
    <x v="0"/>
    <d v="2024-12-11T00:00:00"/>
    <x v="1"/>
    <s v="Explore the latest text on Myntra! Trendy styles await."/>
    <n v="3239"/>
    <n v="43"/>
    <n v="211"/>
    <n v="22673"/>
    <n v="22171"/>
    <n v="230"/>
    <x v="3"/>
    <s v="EndOfSeasonSale"/>
    <n v="0.1575481484822516"/>
  </r>
  <r>
    <s v="P165"/>
    <x v="0"/>
    <d v="2024-12-11T00:00:00"/>
    <x v="1"/>
    <s v="Explore the latest text on Myntra! Trendy styles await."/>
    <n v="3239"/>
    <n v="43"/>
    <n v="211"/>
    <n v="22673"/>
    <n v="22171"/>
    <n v="230"/>
    <x v="2"/>
    <s v="EndOfSeasonSale"/>
    <n v="0.1575481484822516"/>
  </r>
  <r>
    <s v="P166"/>
    <x v="0"/>
    <d v="2025-02-16T00:00:00"/>
    <x v="0"/>
    <s v="Explore the latest reel on Myntra! Trendy styles await."/>
    <n v="1076"/>
    <n v="313"/>
    <n v="306"/>
    <n v="11836"/>
    <n v="11596"/>
    <n v="104"/>
    <x v="4"/>
    <s v="EndOfSeasonSale"/>
    <n v="0.14617109348051052"/>
  </r>
  <r>
    <s v="P167"/>
    <x v="2"/>
    <d v="2024-11-28T00:00:00"/>
    <x v="1"/>
    <s v="Explore the latest text on Myntra! Trendy styles await."/>
    <n v="4771"/>
    <n v="818"/>
    <n v="56"/>
    <n v="57252"/>
    <n v="56378"/>
    <n v="150"/>
    <x v="0"/>
    <s v="EndOfSeasonSale"/>
    <n v="0.10012770939018766"/>
  </r>
  <r>
    <s v="P168"/>
    <x v="3"/>
    <d v="2024-11-12T00:00:00"/>
    <x v="1"/>
    <s v="Explore the latest text on Myntra! Trendy styles await."/>
    <n v="2418"/>
    <n v="754"/>
    <n v="54"/>
    <n v="43524"/>
    <n v="42743"/>
    <n v="182"/>
    <x v="1"/>
    <s v="StyleRevolution"/>
    <n v="7.5474346676648804E-2"/>
  </r>
  <r>
    <s v="P168"/>
    <x v="3"/>
    <d v="2024-11-12T00:00:00"/>
    <x v="1"/>
    <s v="Explore the latest text on Myntra! Trendy styles await."/>
    <n v="2418"/>
    <n v="754"/>
    <n v="54"/>
    <n v="43524"/>
    <n v="42743"/>
    <n v="182"/>
    <x v="3"/>
    <s v="StyleRevolution"/>
    <n v="7.5474346676648804E-2"/>
  </r>
  <r>
    <s v="P169"/>
    <x v="1"/>
    <d v="2024-12-03T00:00:00"/>
    <x v="5"/>
    <s v="Explore the latest video on Myntra! Trendy styles await."/>
    <n v="3809"/>
    <n v="273"/>
    <n v="200"/>
    <n v="34281"/>
    <n v="33534"/>
    <n v="83"/>
    <x v="3"/>
    <s v="MyntraFestiveEdit"/>
    <n v="0.12769129838372995"/>
  </r>
  <r>
    <s v="P170"/>
    <x v="0"/>
    <d v="2025-04-28T00:00:00"/>
    <x v="1"/>
    <s v="Explore the latest text on Myntra! Trendy styles await."/>
    <n v="3577"/>
    <n v="596"/>
    <n v="493"/>
    <n v="67963"/>
    <n v="67839"/>
    <n v="53"/>
    <x v="2"/>
    <s v="StyleRevolution"/>
    <n v="6.8780494995504066E-2"/>
  </r>
  <r>
    <s v="P170"/>
    <x v="0"/>
    <d v="2025-04-28T00:00:00"/>
    <x v="1"/>
    <s v="Explore the latest text on Myntra! Trendy styles await."/>
    <n v="3577"/>
    <n v="596"/>
    <n v="493"/>
    <n v="67963"/>
    <n v="67839"/>
    <n v="53"/>
    <x v="3"/>
    <s v="StyleRevolution"/>
    <n v="6.8780494995504066E-2"/>
  </r>
  <r>
    <s v="P171"/>
    <x v="1"/>
    <d v="2024-12-31T00:00:00"/>
    <x v="5"/>
    <s v="Explore the latest video on Myntra! Trendy styles await."/>
    <n v="1018"/>
    <n v="447"/>
    <n v="332"/>
    <n v="18324"/>
    <n v="18164"/>
    <n v="38"/>
    <x v="0"/>
    <s v="StyleRevolution"/>
    <n v="9.8931953314247964E-2"/>
  </r>
  <r>
    <s v="P171"/>
    <x v="1"/>
    <d v="2024-12-31T00:00:00"/>
    <x v="5"/>
    <s v="Explore the latest video on Myntra! Trendy styles await."/>
    <n v="1018"/>
    <n v="447"/>
    <n v="332"/>
    <n v="18324"/>
    <n v="18164"/>
    <n v="38"/>
    <x v="1"/>
    <s v="StyleRevolution"/>
    <n v="9.8931953314247964E-2"/>
  </r>
  <r>
    <s v="P172"/>
    <x v="3"/>
    <d v="2024-08-14T00:00:00"/>
    <x v="3"/>
    <s v="Explore the latest carousel on Myntra! Trendy styles await."/>
    <n v="3073"/>
    <n v="553"/>
    <n v="174"/>
    <n v="52241"/>
    <n v="51605"/>
    <n v="246"/>
    <x v="1"/>
    <s v="StyleRevolution"/>
    <n v="7.3636275554694319E-2"/>
  </r>
  <r>
    <s v="P172"/>
    <x v="3"/>
    <d v="2024-08-14T00:00:00"/>
    <x v="3"/>
    <s v="Explore the latest carousel on Myntra! Trendy styles await."/>
    <n v="3073"/>
    <n v="553"/>
    <n v="174"/>
    <n v="52241"/>
    <n v="51605"/>
    <n v="246"/>
    <x v="2"/>
    <s v="StyleRevolution"/>
    <n v="7.3636275554694319E-2"/>
  </r>
  <r>
    <s v="P173"/>
    <x v="0"/>
    <d v="2024-12-05T00:00:00"/>
    <x v="5"/>
    <s v="Explore the latest video on Myntra! Trendy styles await."/>
    <n v="1330"/>
    <n v="925"/>
    <n v="35"/>
    <n v="15960"/>
    <n v="15379"/>
    <n v="229"/>
    <x v="4"/>
    <s v="StyleRevolution"/>
    <n v="0.14890435008778205"/>
  </r>
  <r>
    <s v="P173"/>
    <x v="0"/>
    <d v="2024-12-05T00:00:00"/>
    <x v="5"/>
    <s v="Explore the latest video on Myntra! Trendy styles await."/>
    <n v="1330"/>
    <n v="925"/>
    <n v="35"/>
    <n v="15960"/>
    <n v="15379"/>
    <n v="229"/>
    <x v="3"/>
    <s v="StyleRevolution"/>
    <n v="0.14890435008778205"/>
  </r>
  <r>
    <s v="P174"/>
    <x v="3"/>
    <d v="2024-06-22T00:00:00"/>
    <x v="1"/>
    <s v="Explore the latest text on Myntra! Trendy styles await."/>
    <n v="3828"/>
    <n v="148"/>
    <n v="253"/>
    <n v="30624"/>
    <n v="30229"/>
    <n v="235"/>
    <x v="0"/>
    <s v="StyleRevolution"/>
    <n v="0.13989877270171028"/>
  </r>
  <r>
    <s v="P174"/>
    <x v="3"/>
    <d v="2024-06-22T00:00:00"/>
    <x v="1"/>
    <s v="Explore the latest text on Myntra! Trendy styles await."/>
    <n v="3828"/>
    <n v="148"/>
    <n v="253"/>
    <n v="30624"/>
    <n v="30229"/>
    <n v="235"/>
    <x v="2"/>
    <s v="StyleRevolution"/>
    <n v="0.13989877270171028"/>
  </r>
  <r>
    <s v="P175"/>
    <x v="2"/>
    <d v="2025-01-17T00:00:00"/>
    <x v="0"/>
    <s v="Explore the latest reel on Myntra! Trendy styles await."/>
    <n v="142"/>
    <n v="784"/>
    <n v="183"/>
    <n v="1704"/>
    <n v="995"/>
    <n v="154"/>
    <x v="0"/>
    <s v="FashionUpgrade"/>
    <n v="1.114572864321608"/>
  </r>
  <r>
    <s v="P176"/>
    <x v="3"/>
    <d v="2024-06-20T00:00:00"/>
    <x v="5"/>
    <s v="Explore the latest video on Myntra! Trendy styles await."/>
    <n v="3798"/>
    <n v="31"/>
    <n v="279"/>
    <n v="75960"/>
    <n v="75813"/>
    <n v="266"/>
    <x v="1"/>
    <s v="EndOfSeasonSale"/>
    <n v="5.4185957553453894E-2"/>
  </r>
  <r>
    <s v="P177"/>
    <x v="2"/>
    <d v="2024-07-10T00:00:00"/>
    <x v="3"/>
    <s v="Explore the latest carousel on Myntra! Trendy styles await."/>
    <n v="3099"/>
    <n v="694"/>
    <n v="171"/>
    <n v="43386"/>
    <n v="42921"/>
    <n v="52"/>
    <x v="4"/>
    <s v="StyleRevolution"/>
    <n v="9.2355723305607984E-2"/>
  </r>
  <r>
    <s v="P178"/>
    <x v="2"/>
    <d v="2024-11-07T00:00:00"/>
    <x v="5"/>
    <s v="Explore the latest video on Myntra! Trendy styles await."/>
    <n v="129"/>
    <n v="643"/>
    <n v="136"/>
    <n v="1290"/>
    <n v="839"/>
    <n v="238"/>
    <x v="2"/>
    <s v="StyleRevolution"/>
    <n v="1.0822407628128725"/>
  </r>
  <r>
    <s v="P178"/>
    <x v="2"/>
    <d v="2024-11-07T00:00:00"/>
    <x v="5"/>
    <s v="Explore the latest video on Myntra! Trendy styles await."/>
    <n v="129"/>
    <n v="643"/>
    <n v="136"/>
    <n v="1290"/>
    <n v="839"/>
    <n v="238"/>
    <x v="4"/>
    <s v="StyleRevolution"/>
    <n v="1.0822407628128725"/>
  </r>
  <r>
    <s v="P179"/>
    <x v="3"/>
    <d v="2024-07-15T00:00:00"/>
    <x v="3"/>
    <s v="Explore the latest carousel on Myntra! Trendy styles await."/>
    <n v="3796"/>
    <n v="667"/>
    <n v="395"/>
    <n v="64532"/>
    <n v="63550"/>
    <n v="292"/>
    <x v="2"/>
    <s v="FashionUpgrade"/>
    <n v="7.6443745082612119E-2"/>
  </r>
  <r>
    <s v="P180"/>
    <x v="1"/>
    <d v="2024-12-03T00:00:00"/>
    <x v="1"/>
    <s v="Explore the latest text on Myntra! Trendy styles await."/>
    <n v="3711"/>
    <n v="352"/>
    <n v="290"/>
    <n v="48243"/>
    <n v="47579"/>
    <n v="11"/>
    <x v="2"/>
    <s v="StyleRevolution"/>
    <n v="9.1489943042098398E-2"/>
  </r>
  <r>
    <s v="P180"/>
    <x v="1"/>
    <d v="2024-12-03T00:00:00"/>
    <x v="1"/>
    <s v="Explore the latest text on Myntra! Trendy styles await."/>
    <n v="3711"/>
    <n v="352"/>
    <n v="290"/>
    <n v="48243"/>
    <n v="47579"/>
    <n v="11"/>
    <x v="4"/>
    <s v="StyleRevolution"/>
    <n v="9.1489943042098398E-2"/>
  </r>
  <r>
    <s v="P181"/>
    <x v="1"/>
    <d v="2025-03-21T00:00:00"/>
    <x v="4"/>
    <s v="Explore the latest image on Myntra! Trendy styles await."/>
    <n v="606"/>
    <n v="789"/>
    <n v="470"/>
    <n v="7878"/>
    <n v="7389"/>
    <n v="239"/>
    <x v="0"/>
    <s v="EndOfSeasonSale"/>
    <n v="0.25240221951549602"/>
  </r>
  <r>
    <s v="P182"/>
    <x v="3"/>
    <d v="2024-07-31T00:00:00"/>
    <x v="4"/>
    <s v="Explore the latest image on Myntra! Trendy styles await."/>
    <n v="4689"/>
    <n v="134"/>
    <n v="403"/>
    <n v="51579"/>
    <n v="50924"/>
    <n v="173"/>
    <x v="4"/>
    <s v="FashionUpgrade"/>
    <n v="0.10262351739847617"/>
  </r>
  <r>
    <s v="P183"/>
    <x v="2"/>
    <d v="2024-12-17T00:00:00"/>
    <x v="2"/>
    <s v="Explore the latest story on Myntra! Trendy styles await."/>
    <n v="360"/>
    <n v="590"/>
    <n v="393"/>
    <n v="4680"/>
    <n v="4322"/>
    <n v="208"/>
    <x v="2"/>
    <s v="EndOfSeasonSale"/>
    <n v="0.3107357704766312"/>
  </r>
  <r>
    <s v="P183"/>
    <x v="2"/>
    <d v="2024-12-17T00:00:00"/>
    <x v="2"/>
    <s v="Explore the latest story on Myntra! Trendy styles await."/>
    <n v="360"/>
    <n v="590"/>
    <n v="393"/>
    <n v="4680"/>
    <n v="4322"/>
    <n v="208"/>
    <x v="4"/>
    <s v="EndOfSeasonSale"/>
    <n v="0.3107357704766312"/>
  </r>
  <r>
    <s v="P184"/>
    <x v="0"/>
    <d v="2024-07-28T00:00:00"/>
    <x v="4"/>
    <s v="Explore the latest image on Myntra! Trendy styles await."/>
    <n v="3215"/>
    <n v="960"/>
    <n v="202"/>
    <n v="32150"/>
    <n v="31404"/>
    <n v="251"/>
    <x v="2"/>
    <s v="MyntraFestiveEdit"/>
    <n v="0.13937714940771875"/>
  </r>
  <r>
    <s v="P185"/>
    <x v="2"/>
    <d v="2025-01-11T00:00:00"/>
    <x v="3"/>
    <s v="Explore the latest carousel on Myntra! Trendy styles await."/>
    <n v="4523"/>
    <n v="61"/>
    <n v="157"/>
    <n v="49753"/>
    <n v="49329"/>
    <n v="71"/>
    <x v="0"/>
    <s v="StyleRevolution"/>
    <n v="9.6109793427801085E-2"/>
  </r>
  <r>
    <s v="P185"/>
    <x v="2"/>
    <d v="2025-01-11T00:00:00"/>
    <x v="3"/>
    <s v="Explore the latest carousel on Myntra! Trendy styles await."/>
    <n v="4523"/>
    <n v="61"/>
    <n v="157"/>
    <n v="49753"/>
    <n v="49329"/>
    <n v="71"/>
    <x v="3"/>
    <s v="StyleRevolution"/>
    <n v="9.6109793427801085E-2"/>
  </r>
  <r>
    <s v="P186"/>
    <x v="3"/>
    <d v="2024-08-24T00:00:00"/>
    <x v="3"/>
    <s v="Explore the latest carousel on Myntra! Trendy styles await."/>
    <n v="4292"/>
    <n v="51"/>
    <n v="392"/>
    <n v="55796"/>
    <n v="54826"/>
    <n v="264"/>
    <x v="3"/>
    <s v="FashionUpgrade"/>
    <n v="8.6364133805128959E-2"/>
  </r>
  <r>
    <s v="P186"/>
    <x v="3"/>
    <d v="2024-08-24T00:00:00"/>
    <x v="3"/>
    <s v="Explore the latest carousel on Myntra! Trendy styles await."/>
    <n v="4292"/>
    <n v="51"/>
    <n v="392"/>
    <n v="55796"/>
    <n v="54826"/>
    <n v="264"/>
    <x v="2"/>
    <s v="FashionUpgrade"/>
    <n v="8.6364133805128959E-2"/>
  </r>
  <r>
    <s v="P187"/>
    <x v="0"/>
    <d v="2024-12-22T00:00:00"/>
    <x v="0"/>
    <s v="Explore the latest reel on Myntra! Trendy styles await."/>
    <n v="1644"/>
    <n v="546"/>
    <n v="150"/>
    <n v="27948"/>
    <n v="27184"/>
    <n v="300"/>
    <x v="0"/>
    <s v="FashionUpgrade"/>
    <n v="8.6080047086521477E-2"/>
  </r>
  <r>
    <s v="P187"/>
    <x v="0"/>
    <d v="2024-12-22T00:00:00"/>
    <x v="0"/>
    <s v="Explore the latest reel on Myntra! Trendy styles await."/>
    <n v="1644"/>
    <n v="546"/>
    <n v="150"/>
    <n v="27948"/>
    <n v="27184"/>
    <n v="300"/>
    <x v="3"/>
    <s v="FashionUpgrade"/>
    <n v="8.6080047086521477E-2"/>
  </r>
  <r>
    <s v="P188"/>
    <x v="1"/>
    <d v="2024-06-06T00:00:00"/>
    <x v="0"/>
    <s v="Explore the latest reel on Myntra! Trendy styles await."/>
    <n v="2728"/>
    <n v="533"/>
    <n v="215"/>
    <n v="40920"/>
    <n v="40816"/>
    <n v="137"/>
    <x v="0"/>
    <s v="EndOfSeasonSale"/>
    <n v="8.516268130145041E-2"/>
  </r>
  <r>
    <s v="P189"/>
    <x v="3"/>
    <d v="2025-03-24T00:00:00"/>
    <x v="0"/>
    <s v="Explore the latest reel on Myntra! Trendy styles await."/>
    <n v="3360"/>
    <n v="525"/>
    <n v="500"/>
    <n v="60480"/>
    <n v="59610"/>
    <n v="192"/>
    <x v="0"/>
    <s v="FashionUpgrade"/>
    <n v="7.3561482972655592E-2"/>
  </r>
  <r>
    <s v="P189"/>
    <x v="3"/>
    <d v="2025-03-24T00:00:00"/>
    <x v="0"/>
    <s v="Explore the latest reel on Myntra! Trendy styles await."/>
    <n v="3360"/>
    <n v="525"/>
    <n v="500"/>
    <n v="60480"/>
    <n v="59610"/>
    <n v="192"/>
    <x v="2"/>
    <s v="FashionUpgrade"/>
    <n v="7.3561482972655592E-2"/>
  </r>
  <r>
    <s v="P190"/>
    <x v="1"/>
    <d v="2024-10-04T00:00:00"/>
    <x v="1"/>
    <s v="Explore the latest text on Myntra! Trendy styles await."/>
    <n v="1963"/>
    <n v="213"/>
    <n v="19"/>
    <n v="39260"/>
    <n v="38771"/>
    <n v="145"/>
    <x v="2"/>
    <s v="FashionUpgrade"/>
    <n v="5.6614479894766707E-2"/>
  </r>
  <r>
    <s v="P191"/>
    <x v="1"/>
    <d v="2024-12-03T00:00:00"/>
    <x v="2"/>
    <s v="Explore the latest story on Myntra! Trendy styles await."/>
    <n v="4285"/>
    <n v="886"/>
    <n v="376"/>
    <n v="55705"/>
    <n v="55556"/>
    <n v="51"/>
    <x v="1"/>
    <s v="StyleRevolution"/>
    <n v="9.9845201238390094E-2"/>
  </r>
  <r>
    <s v="P191"/>
    <x v="1"/>
    <d v="2024-12-03T00:00:00"/>
    <x v="2"/>
    <s v="Explore the latest story on Myntra! Trendy styles await."/>
    <n v="4285"/>
    <n v="886"/>
    <n v="376"/>
    <n v="55705"/>
    <n v="55556"/>
    <n v="51"/>
    <x v="4"/>
    <s v="StyleRevolution"/>
    <n v="9.9845201238390094E-2"/>
  </r>
  <r>
    <s v="P192"/>
    <x v="2"/>
    <d v="2024-11-29T00:00:00"/>
    <x v="5"/>
    <s v="Explore the latest video on Myntra! Trendy styles await."/>
    <n v="1176"/>
    <n v="464"/>
    <n v="394"/>
    <n v="14112"/>
    <n v="13588"/>
    <n v="272"/>
    <x v="4"/>
    <s v="FashionUpgrade"/>
    <n v="0.14969090373859287"/>
  </r>
  <r>
    <s v="P193"/>
    <x v="0"/>
    <d v="2024-09-11T00:00:00"/>
    <x v="4"/>
    <s v="Explore the latest image on Myntra! Trendy styles await."/>
    <n v="4858"/>
    <n v="317"/>
    <n v="129"/>
    <n v="53438"/>
    <n v="52687"/>
    <n v="223"/>
    <x v="4"/>
    <s v="FashionUpgrade"/>
    <n v="0.10066999449579593"/>
  </r>
  <r>
    <s v="P193"/>
    <x v="0"/>
    <d v="2024-09-11T00:00:00"/>
    <x v="4"/>
    <s v="Explore the latest image on Myntra! Trendy styles await."/>
    <n v="4858"/>
    <n v="317"/>
    <n v="129"/>
    <n v="53438"/>
    <n v="52687"/>
    <n v="223"/>
    <x v="3"/>
    <s v="FashionUpgrade"/>
    <n v="0.10066999449579593"/>
  </r>
  <r>
    <s v="P194"/>
    <x v="1"/>
    <d v="2024-10-02T00:00:00"/>
    <x v="2"/>
    <s v="Explore the latest story on Myntra! Trendy styles await."/>
    <n v="4350"/>
    <n v="771"/>
    <n v="7"/>
    <n v="60900"/>
    <n v="60592"/>
    <n v="195"/>
    <x v="4"/>
    <s v="EndOfSeasonSale"/>
    <n v="8.4631634539213102E-2"/>
  </r>
  <r>
    <s v="P194"/>
    <x v="1"/>
    <d v="2024-10-02T00:00:00"/>
    <x v="2"/>
    <s v="Explore the latest story on Myntra! Trendy styles await."/>
    <n v="4350"/>
    <n v="771"/>
    <n v="7"/>
    <n v="60900"/>
    <n v="60592"/>
    <n v="195"/>
    <x v="2"/>
    <s v="EndOfSeasonSale"/>
    <n v="8.4631634539213102E-2"/>
  </r>
  <r>
    <s v="P195"/>
    <x v="2"/>
    <d v="2024-08-15T00:00:00"/>
    <x v="3"/>
    <s v="Explore the latest carousel on Myntra! Trendy styles await."/>
    <n v="914"/>
    <n v="464"/>
    <n v="246"/>
    <n v="11882"/>
    <n v="11500"/>
    <n v="282"/>
    <x v="1"/>
    <s v="MyntraFestiveEdit"/>
    <n v="0.14121739130434782"/>
  </r>
  <r>
    <s v="P195"/>
    <x v="2"/>
    <d v="2024-08-15T00:00:00"/>
    <x v="3"/>
    <s v="Explore the latest carousel on Myntra! Trendy styles await."/>
    <n v="914"/>
    <n v="464"/>
    <n v="246"/>
    <n v="11882"/>
    <n v="11500"/>
    <n v="282"/>
    <x v="3"/>
    <s v="MyntraFestiveEdit"/>
    <n v="0.14121739130434782"/>
  </r>
  <r>
    <s v="P196"/>
    <x v="2"/>
    <d v="2024-12-19T00:00:00"/>
    <x v="1"/>
    <s v="Explore the latest text on Myntra! Trendy styles await."/>
    <n v="1813"/>
    <n v="623"/>
    <n v="72"/>
    <n v="19943"/>
    <n v="18959"/>
    <n v="85"/>
    <x v="3"/>
    <s v="MyntraFestiveEdit"/>
    <n v="0.13228545809378131"/>
  </r>
  <r>
    <s v="P196"/>
    <x v="2"/>
    <d v="2024-12-19T00:00:00"/>
    <x v="1"/>
    <s v="Explore the latest text on Myntra! Trendy styles await."/>
    <n v="1813"/>
    <n v="623"/>
    <n v="72"/>
    <n v="19943"/>
    <n v="18959"/>
    <n v="85"/>
    <x v="1"/>
    <s v="MyntraFestiveEdit"/>
    <n v="0.13228545809378131"/>
  </r>
  <r>
    <s v="P197"/>
    <x v="0"/>
    <d v="2024-10-22T00:00:00"/>
    <x v="0"/>
    <s v="Explore the latest reel on Myntra! Trendy styles await."/>
    <n v="4782"/>
    <n v="721"/>
    <n v="82"/>
    <n v="86076"/>
    <n v="85339"/>
    <n v="19"/>
    <x v="4"/>
    <s v="EndOfSeasonSale"/>
    <n v="6.5444872801415532E-2"/>
  </r>
  <r>
    <s v="P198"/>
    <x v="0"/>
    <d v="2024-09-14T00:00:00"/>
    <x v="4"/>
    <s v="Explore the latest image on Myntra! Trendy styles await."/>
    <n v="1048"/>
    <n v="374"/>
    <n v="450"/>
    <n v="9432"/>
    <n v="8882"/>
    <n v="158"/>
    <x v="3"/>
    <s v="EndOfSeasonSale"/>
    <n v="0.21076334158973203"/>
  </r>
  <r>
    <s v="P198"/>
    <x v="0"/>
    <d v="2024-09-14T00:00:00"/>
    <x v="4"/>
    <s v="Explore the latest image on Myntra! Trendy styles await."/>
    <n v="1048"/>
    <n v="374"/>
    <n v="450"/>
    <n v="9432"/>
    <n v="8882"/>
    <n v="158"/>
    <x v="0"/>
    <s v="EndOfSeasonSale"/>
    <n v="0.21076334158973203"/>
  </r>
  <r>
    <s v="P199"/>
    <x v="1"/>
    <d v="2024-11-30T00:00:00"/>
    <x v="3"/>
    <s v="Explore the latest carousel on Myntra! Trendy styles await."/>
    <n v="2509"/>
    <n v="324"/>
    <n v="171"/>
    <n v="35126"/>
    <n v="34685"/>
    <n v="277"/>
    <x v="4"/>
    <s v="EndOfSeasonSale"/>
    <n v="8.6608043822978237E-2"/>
  </r>
  <r>
    <s v="P200"/>
    <x v="3"/>
    <d v="2025-04-07T00:00:00"/>
    <x v="0"/>
    <s v="Explore the latest reel on Myntra! Trendy styles await."/>
    <n v="3718"/>
    <n v="385"/>
    <n v="310"/>
    <n v="70642"/>
    <n v="69749"/>
    <n v="233"/>
    <x v="3"/>
    <s v="FashionUpgrade"/>
    <n v="6.3269724297122534E-2"/>
  </r>
  <r>
    <s v="P201"/>
    <x v="0"/>
    <d v="2025-01-15T00:00:00"/>
    <x v="0"/>
    <s v="Explore the latest reel on Myntra! Trendy styles await."/>
    <n v="802"/>
    <n v="262"/>
    <n v="244"/>
    <n v="14436"/>
    <n v="14280"/>
    <n v="49"/>
    <x v="0"/>
    <s v="StyleRevolution"/>
    <n v="9.1596638655462179E-2"/>
  </r>
  <r>
    <s v="P201"/>
    <x v="0"/>
    <d v="2025-01-15T00:00:00"/>
    <x v="0"/>
    <s v="Explore the latest reel on Myntra! Trendy styles await."/>
    <n v="802"/>
    <n v="262"/>
    <n v="244"/>
    <n v="14436"/>
    <n v="14280"/>
    <n v="49"/>
    <x v="4"/>
    <s v="StyleRevolution"/>
    <n v="9.1596638655462179E-2"/>
  </r>
  <r>
    <s v="P202"/>
    <x v="3"/>
    <d v="2024-06-02T00:00:00"/>
    <x v="4"/>
    <s v="Explore the latest image on Myntra! Trendy styles await."/>
    <n v="1871"/>
    <n v="252"/>
    <n v="335"/>
    <n v="29936"/>
    <n v="29576"/>
    <n v="288"/>
    <x v="3"/>
    <s v="EndOfSeasonSale"/>
    <n v="8.3107925344874226E-2"/>
  </r>
  <r>
    <s v="P203"/>
    <x v="2"/>
    <d v="2024-11-21T00:00:00"/>
    <x v="3"/>
    <s v="Explore the latest carousel on Myntra! Trendy styles await."/>
    <n v="3773"/>
    <n v="299"/>
    <n v="38"/>
    <n v="71687"/>
    <n v="71447"/>
    <n v="286"/>
    <x v="3"/>
    <s v="StyleRevolution"/>
    <n v="5.7525158509104654E-2"/>
  </r>
  <r>
    <s v="P204"/>
    <x v="2"/>
    <d v="2025-01-01T00:00:00"/>
    <x v="3"/>
    <s v="Explore the latest carousel on Myntra! Trendy styles await."/>
    <n v="2234"/>
    <n v="653"/>
    <n v="432"/>
    <n v="11170"/>
    <n v="10569"/>
    <n v="198"/>
    <x v="4"/>
    <s v="StyleRevolution"/>
    <n v="0.31403160185448009"/>
  </r>
  <r>
    <s v="P204"/>
    <x v="2"/>
    <d v="2025-01-01T00:00:00"/>
    <x v="3"/>
    <s v="Explore the latest carousel on Myntra! Trendy styles await."/>
    <n v="2234"/>
    <n v="653"/>
    <n v="432"/>
    <n v="11170"/>
    <n v="10569"/>
    <n v="198"/>
    <x v="2"/>
    <s v="StyleRevolution"/>
    <n v="0.31403160185448009"/>
  </r>
  <r>
    <s v="P205"/>
    <x v="0"/>
    <d v="2025-04-24T00:00:00"/>
    <x v="5"/>
    <s v="Explore the latest video on Myntra! Trendy styles await."/>
    <n v="3820"/>
    <n v="697"/>
    <n v="268"/>
    <n v="45840"/>
    <n v="45631"/>
    <n v="171"/>
    <x v="2"/>
    <s v="FashionUpgrade"/>
    <n v="0.10486292213626701"/>
  </r>
  <r>
    <s v="P205"/>
    <x v="0"/>
    <d v="2025-04-24T00:00:00"/>
    <x v="5"/>
    <s v="Explore the latest video on Myntra! Trendy styles await."/>
    <n v="3820"/>
    <n v="697"/>
    <n v="268"/>
    <n v="45840"/>
    <n v="45631"/>
    <n v="171"/>
    <x v="4"/>
    <s v="FashionUpgrade"/>
    <n v="0.10486292213626701"/>
  </r>
  <r>
    <s v="P206"/>
    <x v="0"/>
    <d v="2024-06-24T00:00:00"/>
    <x v="1"/>
    <s v="Explore the latest text on Myntra! Trendy styles await."/>
    <n v="941"/>
    <n v="121"/>
    <n v="458"/>
    <n v="14115"/>
    <n v="13838"/>
    <n v="87"/>
    <x v="1"/>
    <s v="EndOfSeasonSale"/>
    <n v="0.10984246278363925"/>
  </r>
  <r>
    <s v="P206"/>
    <x v="0"/>
    <d v="2024-06-24T00:00:00"/>
    <x v="1"/>
    <s v="Explore the latest text on Myntra! Trendy styles await."/>
    <n v="941"/>
    <n v="121"/>
    <n v="458"/>
    <n v="14115"/>
    <n v="13838"/>
    <n v="87"/>
    <x v="0"/>
    <s v="EndOfSeasonSale"/>
    <n v="0.10984246278363925"/>
  </r>
  <r>
    <s v="P207"/>
    <x v="0"/>
    <d v="2024-12-29T00:00:00"/>
    <x v="3"/>
    <s v="Explore the latest carousel on Myntra! Trendy styles await."/>
    <n v="4274"/>
    <n v="340"/>
    <n v="281"/>
    <n v="34192"/>
    <n v="33446"/>
    <n v="129"/>
    <x v="2"/>
    <s v="MyntraFestiveEdit"/>
    <n v="0.14635531902170662"/>
  </r>
  <r>
    <s v="P207"/>
    <x v="0"/>
    <d v="2024-12-29T00:00:00"/>
    <x v="3"/>
    <s v="Explore the latest carousel on Myntra! Trendy styles await."/>
    <n v="4274"/>
    <n v="340"/>
    <n v="281"/>
    <n v="34192"/>
    <n v="33446"/>
    <n v="129"/>
    <x v="4"/>
    <s v="MyntraFestiveEdit"/>
    <n v="0.14635531902170662"/>
  </r>
  <r>
    <s v="P208"/>
    <x v="1"/>
    <d v="2024-06-24T00:00:00"/>
    <x v="5"/>
    <s v="Explore the latest video on Myntra! Trendy styles await."/>
    <n v="2949"/>
    <n v="476"/>
    <n v="403"/>
    <n v="44235"/>
    <n v="43705"/>
    <n v="135"/>
    <x v="3"/>
    <s v="FashionUpgrade"/>
    <n v="8.7587232582084423E-2"/>
  </r>
  <r>
    <s v="P208"/>
    <x v="1"/>
    <d v="2024-06-24T00:00:00"/>
    <x v="5"/>
    <s v="Explore the latest video on Myntra! Trendy styles await."/>
    <n v="2949"/>
    <n v="476"/>
    <n v="403"/>
    <n v="44235"/>
    <n v="43705"/>
    <n v="135"/>
    <x v="4"/>
    <s v="FashionUpgrade"/>
    <n v="8.7587232582084423E-2"/>
  </r>
  <r>
    <s v="P209"/>
    <x v="0"/>
    <d v="2025-03-19T00:00:00"/>
    <x v="5"/>
    <s v="Explore the latest video on Myntra! Trendy styles await."/>
    <n v="3160"/>
    <n v="204"/>
    <n v="297"/>
    <n v="44240"/>
    <n v="43666"/>
    <n v="49"/>
    <x v="2"/>
    <s v="FashionUpgrade"/>
    <n v="8.3840974671369028E-2"/>
  </r>
  <r>
    <s v="P209"/>
    <x v="0"/>
    <d v="2025-03-19T00:00:00"/>
    <x v="5"/>
    <s v="Explore the latest video on Myntra! Trendy styles await."/>
    <n v="3160"/>
    <n v="204"/>
    <n v="297"/>
    <n v="44240"/>
    <n v="43666"/>
    <n v="49"/>
    <x v="3"/>
    <s v="FashionUpgrade"/>
    <n v="8.3840974671369028E-2"/>
  </r>
  <r>
    <s v="P210"/>
    <x v="1"/>
    <d v="2025-02-19T00:00:00"/>
    <x v="4"/>
    <s v="Explore the latest image on Myntra! Trendy styles await."/>
    <n v="257"/>
    <n v="966"/>
    <n v="398"/>
    <n v="3341"/>
    <n v="2753"/>
    <n v="287"/>
    <x v="3"/>
    <s v="FashionUpgrade"/>
    <n v="0.58881220486741737"/>
  </r>
  <r>
    <s v="P210"/>
    <x v="1"/>
    <d v="2025-02-19T00:00:00"/>
    <x v="4"/>
    <s v="Explore the latest image on Myntra! Trendy styles await."/>
    <n v="257"/>
    <n v="966"/>
    <n v="398"/>
    <n v="3341"/>
    <n v="2753"/>
    <n v="287"/>
    <x v="0"/>
    <s v="FashionUpgrade"/>
    <n v="0.58881220486741737"/>
  </r>
  <r>
    <s v="P211"/>
    <x v="0"/>
    <d v="2024-07-18T00:00:00"/>
    <x v="3"/>
    <s v="Explore the latest carousel on Myntra! Trendy styles await."/>
    <n v="2120"/>
    <n v="38"/>
    <n v="212"/>
    <n v="12720"/>
    <n v="12564"/>
    <n v="21"/>
    <x v="3"/>
    <s v="FashionUpgrade"/>
    <n v="0.18863419293218719"/>
  </r>
  <r>
    <s v="P211"/>
    <x v="0"/>
    <d v="2024-07-18T00:00:00"/>
    <x v="3"/>
    <s v="Explore the latest carousel on Myntra! Trendy styles await."/>
    <n v="2120"/>
    <n v="38"/>
    <n v="212"/>
    <n v="12720"/>
    <n v="12564"/>
    <n v="21"/>
    <x v="0"/>
    <s v="FashionUpgrade"/>
    <n v="0.18863419293218719"/>
  </r>
  <r>
    <s v="P212"/>
    <x v="1"/>
    <d v="2025-03-03T00:00:00"/>
    <x v="5"/>
    <s v="Explore the latest video on Myntra! Trendy styles await."/>
    <n v="3874"/>
    <n v="884"/>
    <n v="19"/>
    <n v="38740"/>
    <n v="38552"/>
    <n v="219"/>
    <x v="2"/>
    <s v="StyleRevolution"/>
    <n v="0.12391056235733555"/>
  </r>
  <r>
    <s v="P213"/>
    <x v="3"/>
    <d v="2025-05-01T00:00:00"/>
    <x v="3"/>
    <s v="Explore the latest carousel on Myntra! Trendy styles await."/>
    <n v="2696"/>
    <n v="628"/>
    <n v="443"/>
    <n v="45832"/>
    <n v="45632"/>
    <n v="248"/>
    <x v="0"/>
    <s v="MyntraFestiveEdit"/>
    <n v="8.2551718092566617E-2"/>
  </r>
  <r>
    <s v="P214"/>
    <x v="2"/>
    <d v="2024-12-23T00:00:00"/>
    <x v="4"/>
    <s v="Explore the latest image on Myntra! Trendy styles await."/>
    <n v="521"/>
    <n v="746"/>
    <n v="315"/>
    <n v="4168"/>
    <n v="3399"/>
    <n v="282"/>
    <x v="0"/>
    <s v="FashionUpgrade"/>
    <n v="0.46543100912032953"/>
  </r>
  <r>
    <s v="P215"/>
    <x v="3"/>
    <d v="2025-05-06T00:00:00"/>
    <x v="4"/>
    <s v="Explore the latest image on Myntra! Trendy styles await."/>
    <n v="4872"/>
    <n v="925"/>
    <n v="176"/>
    <n v="82824"/>
    <n v="82543"/>
    <n v="89"/>
    <x v="0"/>
    <s v="FashionUpgrade"/>
    <n v="7.2362283900512456E-2"/>
  </r>
  <r>
    <s v="P215"/>
    <x v="3"/>
    <d v="2025-05-06T00:00:00"/>
    <x v="4"/>
    <s v="Explore the latest image on Myntra! Trendy styles await."/>
    <n v="4872"/>
    <n v="925"/>
    <n v="176"/>
    <n v="82824"/>
    <n v="82543"/>
    <n v="89"/>
    <x v="3"/>
    <s v="FashionUpgrade"/>
    <n v="7.2362283900512456E-2"/>
  </r>
  <r>
    <s v="P216"/>
    <x v="1"/>
    <d v="2024-07-29T00:00:00"/>
    <x v="2"/>
    <s v="Explore the latest story on Myntra! Trendy styles await."/>
    <n v="1509"/>
    <n v="88"/>
    <n v="163"/>
    <n v="30180"/>
    <n v="29689"/>
    <n v="119"/>
    <x v="3"/>
    <s v="FashionUpgrade"/>
    <n v="5.928121526491293E-2"/>
  </r>
  <r>
    <s v="P217"/>
    <x v="3"/>
    <d v="2024-12-03T00:00:00"/>
    <x v="4"/>
    <s v="Explore the latest image on Myntra! Trendy styles await."/>
    <n v="4606"/>
    <n v="931"/>
    <n v="230"/>
    <n v="92120"/>
    <n v="91440"/>
    <n v="56"/>
    <x v="4"/>
    <s v="MyntraFestiveEdit"/>
    <n v="6.3068678915135609E-2"/>
  </r>
  <r>
    <s v="P217"/>
    <x v="3"/>
    <d v="2024-12-03T00:00:00"/>
    <x v="4"/>
    <s v="Explore the latest image on Myntra! Trendy styles await."/>
    <n v="4606"/>
    <n v="931"/>
    <n v="230"/>
    <n v="92120"/>
    <n v="91440"/>
    <n v="56"/>
    <x v="1"/>
    <s v="MyntraFestiveEdit"/>
    <n v="6.3068678915135609E-2"/>
  </r>
  <r>
    <s v="P218"/>
    <x v="3"/>
    <d v="2024-06-11T00:00:00"/>
    <x v="3"/>
    <s v="Explore the latest carousel on Myntra! Trendy styles await."/>
    <n v="1869"/>
    <n v="453"/>
    <n v="490"/>
    <n v="14952"/>
    <n v="14309"/>
    <n v="275"/>
    <x v="4"/>
    <s v="FashionUpgrade"/>
    <n v="0.19651967293311901"/>
  </r>
  <r>
    <s v="P218"/>
    <x v="3"/>
    <d v="2024-06-11T00:00:00"/>
    <x v="3"/>
    <s v="Explore the latest carousel on Myntra! Trendy styles await."/>
    <n v="1869"/>
    <n v="453"/>
    <n v="490"/>
    <n v="14952"/>
    <n v="14309"/>
    <n v="275"/>
    <x v="2"/>
    <s v="FashionUpgrade"/>
    <n v="0.19651967293311901"/>
  </r>
  <r>
    <s v="P219"/>
    <x v="0"/>
    <d v="2025-01-28T00:00:00"/>
    <x v="0"/>
    <s v="Explore the latest reel on Myntra! Trendy styles await."/>
    <n v="1188"/>
    <n v="470"/>
    <n v="174"/>
    <n v="7128"/>
    <n v="6145"/>
    <n v="270"/>
    <x v="2"/>
    <s v="EndOfSeasonSale"/>
    <n v="0.29812855980471931"/>
  </r>
  <r>
    <s v="P219"/>
    <x v="0"/>
    <d v="2025-01-28T00:00:00"/>
    <x v="0"/>
    <s v="Explore the latest reel on Myntra! Trendy styles await."/>
    <n v="1188"/>
    <n v="470"/>
    <n v="174"/>
    <n v="7128"/>
    <n v="6145"/>
    <n v="270"/>
    <x v="1"/>
    <s v="EndOfSeasonSale"/>
    <n v="0.29812855980471931"/>
  </r>
  <r>
    <s v="P220"/>
    <x v="2"/>
    <d v="2024-06-02T00:00:00"/>
    <x v="2"/>
    <s v="Explore the latest story on Myntra! Trendy styles await."/>
    <n v="84"/>
    <n v="897"/>
    <n v="85"/>
    <n v="588"/>
    <n v="8"/>
    <n v="12"/>
    <x v="2"/>
    <s v="EndOfSeasonSale"/>
    <n v="133.25"/>
  </r>
  <r>
    <s v="P221"/>
    <x v="3"/>
    <d v="2025-03-23T00:00:00"/>
    <x v="5"/>
    <s v="Explore the latest video on Myntra! Trendy styles await."/>
    <n v="4453"/>
    <n v="111"/>
    <n v="420"/>
    <n v="31171"/>
    <n v="30565"/>
    <n v="23"/>
    <x v="3"/>
    <s v="StyleRevolution"/>
    <n v="0.1630623261900867"/>
  </r>
  <r>
    <s v="P221"/>
    <x v="3"/>
    <d v="2025-03-23T00:00:00"/>
    <x v="5"/>
    <s v="Explore the latest video on Myntra! Trendy styles await."/>
    <n v="4453"/>
    <n v="111"/>
    <n v="420"/>
    <n v="31171"/>
    <n v="30565"/>
    <n v="23"/>
    <x v="1"/>
    <s v="StyleRevolution"/>
    <n v="0.1630623261900867"/>
  </r>
  <r>
    <s v="P222"/>
    <x v="3"/>
    <d v="2024-10-08T00:00:00"/>
    <x v="0"/>
    <s v="Explore the latest reel on Myntra! Trendy styles await."/>
    <n v="1814"/>
    <n v="653"/>
    <n v="363"/>
    <n v="25396"/>
    <n v="25286"/>
    <n v="39"/>
    <x v="2"/>
    <s v="FashionUpgrade"/>
    <n v="0.11191963932610931"/>
  </r>
  <r>
    <s v="P223"/>
    <x v="0"/>
    <d v="2024-11-12T00:00:00"/>
    <x v="4"/>
    <s v="Explore the latest image on Myntra! Trendy styles await."/>
    <n v="3338"/>
    <n v="277"/>
    <n v="118"/>
    <n v="60084"/>
    <n v="59842"/>
    <n v="252"/>
    <x v="2"/>
    <s v="FashionUpgrade"/>
    <n v="6.2380936466027208E-2"/>
  </r>
  <r>
    <s v="P224"/>
    <x v="3"/>
    <d v="2025-05-13T00:00:00"/>
    <x v="4"/>
    <s v="Explore the latest image on Myntra! Trendy styles await."/>
    <n v="602"/>
    <n v="594"/>
    <n v="156"/>
    <n v="4214"/>
    <n v="3363"/>
    <n v="164"/>
    <x v="0"/>
    <s v="MyntraFestiveEdit"/>
    <n v="0.40202200416294975"/>
  </r>
  <r>
    <s v="P225"/>
    <x v="0"/>
    <d v="2024-06-20T00:00:00"/>
    <x v="3"/>
    <s v="Explore the latest carousel on Myntra! Trendy styles await."/>
    <n v="4672"/>
    <n v="325"/>
    <n v="32"/>
    <n v="88768"/>
    <n v="87833"/>
    <n v="118"/>
    <x v="4"/>
    <s v="MyntraFestiveEdit"/>
    <n v="5.7256384274703129E-2"/>
  </r>
  <r>
    <s v="P225"/>
    <x v="0"/>
    <d v="2024-06-20T00:00:00"/>
    <x v="3"/>
    <s v="Explore the latest carousel on Myntra! Trendy styles await."/>
    <n v="4672"/>
    <n v="325"/>
    <n v="32"/>
    <n v="88768"/>
    <n v="87833"/>
    <n v="118"/>
    <x v="0"/>
    <s v="MyntraFestiveEdit"/>
    <n v="5.7256384274703129E-2"/>
  </r>
  <r>
    <s v="P226"/>
    <x v="2"/>
    <d v="2024-08-07T00:00:00"/>
    <x v="3"/>
    <s v="Explore the latest carousel on Myntra! Trendy styles await."/>
    <n v="1741"/>
    <n v="164"/>
    <n v="318"/>
    <n v="8705"/>
    <n v="8272"/>
    <n v="121"/>
    <x v="0"/>
    <s v="EndOfSeasonSale"/>
    <n v="0.26873791102514505"/>
  </r>
  <r>
    <s v="P227"/>
    <x v="2"/>
    <d v="2024-06-12T00:00:00"/>
    <x v="1"/>
    <s v="Explore the latest text on Myntra! Trendy styles await."/>
    <n v="246"/>
    <n v="149"/>
    <n v="130"/>
    <n v="4674"/>
    <n v="4390"/>
    <n v="217"/>
    <x v="3"/>
    <s v="EndOfSeasonSale"/>
    <n v="0.11958997722095673"/>
  </r>
  <r>
    <s v="P227"/>
    <x v="2"/>
    <d v="2024-06-12T00:00:00"/>
    <x v="1"/>
    <s v="Explore the latest text on Myntra! Trendy styles await."/>
    <n v="246"/>
    <n v="149"/>
    <n v="130"/>
    <n v="4674"/>
    <n v="4390"/>
    <n v="217"/>
    <x v="4"/>
    <s v="EndOfSeasonSale"/>
    <n v="0.11958997722095673"/>
  </r>
  <r>
    <s v="P228"/>
    <x v="2"/>
    <d v="2024-07-01T00:00:00"/>
    <x v="2"/>
    <s v="Explore the latest story on Myntra! Trendy styles await."/>
    <n v="4808"/>
    <n v="772"/>
    <n v="320"/>
    <n v="72120"/>
    <n v="71696"/>
    <n v="195"/>
    <x v="3"/>
    <s v="StyleRevolution"/>
    <n v="8.2291899129658563E-2"/>
  </r>
  <r>
    <s v="P228"/>
    <x v="2"/>
    <d v="2024-07-01T00:00:00"/>
    <x v="2"/>
    <s v="Explore the latest story on Myntra! Trendy styles await."/>
    <n v="4808"/>
    <n v="772"/>
    <n v="320"/>
    <n v="72120"/>
    <n v="71696"/>
    <n v="195"/>
    <x v="0"/>
    <s v="StyleRevolution"/>
    <n v="8.2291899129658563E-2"/>
  </r>
  <r>
    <s v="P229"/>
    <x v="2"/>
    <d v="2024-07-03T00:00:00"/>
    <x v="3"/>
    <s v="Explore the latest carousel on Myntra! Trendy styles await."/>
    <n v="4799"/>
    <n v="694"/>
    <n v="289"/>
    <n v="43191"/>
    <n v="42228"/>
    <n v="118"/>
    <x v="3"/>
    <s v="EndOfSeasonSale"/>
    <n v="0.13692336838116889"/>
  </r>
  <r>
    <s v="P230"/>
    <x v="3"/>
    <d v="2024-07-15T00:00:00"/>
    <x v="0"/>
    <s v="Explore the latest reel on Myntra! Trendy styles await."/>
    <n v="3663"/>
    <n v="17"/>
    <n v="295"/>
    <n v="51282"/>
    <n v="50567"/>
    <n v="84"/>
    <x v="0"/>
    <s v="FashionUpgrade"/>
    <n v="7.8608578717345307E-2"/>
  </r>
  <r>
    <s v="P231"/>
    <x v="2"/>
    <d v="2025-05-01T00:00:00"/>
    <x v="1"/>
    <s v="Explore the latest text on Myntra! Trendy styles await."/>
    <n v="1430"/>
    <n v="376"/>
    <n v="33"/>
    <n v="21450"/>
    <n v="20509"/>
    <n v="251"/>
    <x v="4"/>
    <s v="MyntraFestiveEdit"/>
    <n v="8.9667950655809639E-2"/>
  </r>
  <r>
    <s v="P232"/>
    <x v="0"/>
    <d v="2025-04-29T00:00:00"/>
    <x v="2"/>
    <s v="Explore the latest story on Myntra! Trendy styles await."/>
    <n v="249"/>
    <n v="592"/>
    <n v="230"/>
    <n v="1494"/>
    <n v="1044"/>
    <n v="201"/>
    <x v="1"/>
    <s v="StyleRevolution"/>
    <n v="1.0258620689655173"/>
  </r>
  <r>
    <s v="P232"/>
    <x v="0"/>
    <d v="2025-04-29T00:00:00"/>
    <x v="2"/>
    <s v="Explore the latest story on Myntra! Trendy styles await."/>
    <n v="249"/>
    <n v="592"/>
    <n v="230"/>
    <n v="1494"/>
    <n v="1044"/>
    <n v="201"/>
    <x v="3"/>
    <s v="StyleRevolution"/>
    <n v="1.0258620689655173"/>
  </r>
  <r>
    <s v="P233"/>
    <x v="3"/>
    <d v="2025-03-08T00:00:00"/>
    <x v="4"/>
    <s v="Explore the latest image on Myntra! Trendy styles await."/>
    <n v="2382"/>
    <n v="265"/>
    <n v="134"/>
    <n v="38112"/>
    <n v="37437"/>
    <n v="249"/>
    <x v="4"/>
    <s v="EndOfSeasonSale"/>
    <n v="7.4284798461415183E-2"/>
  </r>
  <r>
    <s v="P233"/>
    <x v="3"/>
    <d v="2025-03-08T00:00:00"/>
    <x v="4"/>
    <s v="Explore the latest image on Myntra! Trendy styles await."/>
    <n v="2382"/>
    <n v="265"/>
    <n v="134"/>
    <n v="38112"/>
    <n v="37437"/>
    <n v="249"/>
    <x v="3"/>
    <s v="EndOfSeasonSale"/>
    <n v="7.4284798461415183E-2"/>
  </r>
  <r>
    <s v="P234"/>
    <x v="3"/>
    <d v="2024-06-01T00:00:00"/>
    <x v="1"/>
    <s v="Explore the latest text on Myntra! Trendy styles await."/>
    <n v="1272"/>
    <n v="465"/>
    <n v="99"/>
    <n v="24168"/>
    <n v="23719"/>
    <n v="42"/>
    <x v="1"/>
    <s v="EndOfSeasonSale"/>
    <n v="7.7406298747839289E-2"/>
  </r>
  <r>
    <s v="P234"/>
    <x v="3"/>
    <d v="2024-06-01T00:00:00"/>
    <x v="1"/>
    <s v="Explore the latest text on Myntra! Trendy styles await."/>
    <n v="1272"/>
    <n v="465"/>
    <n v="99"/>
    <n v="24168"/>
    <n v="23719"/>
    <n v="42"/>
    <x v="4"/>
    <s v="EndOfSeasonSale"/>
    <n v="7.7406298747839289E-2"/>
  </r>
  <r>
    <s v="P235"/>
    <x v="3"/>
    <d v="2024-12-22T00:00:00"/>
    <x v="4"/>
    <s v="Explore the latest image on Myntra! Trendy styles await."/>
    <n v="3196"/>
    <n v="941"/>
    <n v="376"/>
    <n v="35156"/>
    <n v="34444"/>
    <n v="241"/>
    <x v="2"/>
    <s v="StyleRevolution"/>
    <n v="0.13102427128091976"/>
  </r>
  <r>
    <s v="P235"/>
    <x v="3"/>
    <d v="2024-12-22T00:00:00"/>
    <x v="4"/>
    <s v="Explore the latest image on Myntra! Trendy styles await."/>
    <n v="3196"/>
    <n v="941"/>
    <n v="376"/>
    <n v="35156"/>
    <n v="34444"/>
    <n v="241"/>
    <x v="3"/>
    <s v="StyleRevolution"/>
    <n v="0.13102427128091976"/>
  </r>
  <r>
    <s v="P236"/>
    <x v="3"/>
    <d v="2024-08-19T00:00:00"/>
    <x v="1"/>
    <s v="Explore the latest text on Myntra! Trendy styles await."/>
    <n v="1257"/>
    <n v="19"/>
    <n v="351"/>
    <n v="12570"/>
    <n v="11660"/>
    <n v="194"/>
    <x v="2"/>
    <s v="FashionUpgrade"/>
    <n v="0.13953687821612351"/>
  </r>
  <r>
    <s v="P237"/>
    <x v="2"/>
    <d v="2024-10-22T00:00:00"/>
    <x v="2"/>
    <s v="Explore the latest story on Myntra! Trendy styles await."/>
    <n v="3770"/>
    <n v="917"/>
    <n v="129"/>
    <n v="71630"/>
    <n v="71322"/>
    <n v="76"/>
    <x v="0"/>
    <s v="StyleRevolution"/>
    <n v="6.752474692240823E-2"/>
  </r>
  <r>
    <s v="P237"/>
    <x v="2"/>
    <d v="2024-10-22T00:00:00"/>
    <x v="2"/>
    <s v="Explore the latest story on Myntra! Trendy styles await."/>
    <n v="3770"/>
    <n v="917"/>
    <n v="129"/>
    <n v="71630"/>
    <n v="71322"/>
    <n v="76"/>
    <x v="3"/>
    <s v="StyleRevolution"/>
    <n v="6.752474692240823E-2"/>
  </r>
  <r>
    <s v="P238"/>
    <x v="0"/>
    <d v="2024-07-16T00:00:00"/>
    <x v="1"/>
    <s v="Explore the latest text on Myntra! Trendy styles await."/>
    <n v="4725"/>
    <n v="400"/>
    <n v="362"/>
    <n v="75600"/>
    <n v="74927"/>
    <n v="43"/>
    <x v="3"/>
    <s v="FashionUpgrade"/>
    <n v="7.323127844435251E-2"/>
  </r>
  <r>
    <s v="P238"/>
    <x v="0"/>
    <d v="2024-07-16T00:00:00"/>
    <x v="1"/>
    <s v="Explore the latest text on Myntra! Trendy styles await."/>
    <n v="4725"/>
    <n v="400"/>
    <n v="362"/>
    <n v="75600"/>
    <n v="74927"/>
    <n v="43"/>
    <x v="1"/>
    <s v="FashionUpgrade"/>
    <n v="7.323127844435251E-2"/>
  </r>
  <r>
    <s v="P239"/>
    <x v="1"/>
    <d v="2025-02-24T00:00:00"/>
    <x v="1"/>
    <s v="Explore the latest text on Myntra! Trendy styles await."/>
    <n v="4188"/>
    <n v="942"/>
    <n v="118"/>
    <n v="20940"/>
    <n v="20471"/>
    <n v="102"/>
    <x v="2"/>
    <s v="EndOfSeasonSale"/>
    <n v="0.25636265937179425"/>
  </r>
  <r>
    <s v="P240"/>
    <x v="0"/>
    <d v="2024-08-26T00:00:00"/>
    <x v="3"/>
    <s v="Explore the latest carousel on Myntra! Trendy styles await."/>
    <n v="929"/>
    <n v="192"/>
    <n v="322"/>
    <n v="16722"/>
    <n v="15996"/>
    <n v="145"/>
    <x v="1"/>
    <s v="MyntraFestiveEdit"/>
    <n v="9.0210052513128289E-2"/>
  </r>
  <r>
    <s v="P241"/>
    <x v="3"/>
    <d v="2025-01-18T00:00:00"/>
    <x v="2"/>
    <s v="Explore the latest story on Myntra! Trendy styles await."/>
    <n v="4321"/>
    <n v="874"/>
    <n v="172"/>
    <n v="30247"/>
    <n v="29254"/>
    <n v="122"/>
    <x v="0"/>
    <s v="MyntraFestiveEdit"/>
    <n v="0.18346209065426949"/>
  </r>
  <r>
    <s v="P241"/>
    <x v="3"/>
    <d v="2025-01-18T00:00:00"/>
    <x v="2"/>
    <s v="Explore the latest story on Myntra! Trendy styles await."/>
    <n v="4321"/>
    <n v="874"/>
    <n v="172"/>
    <n v="30247"/>
    <n v="29254"/>
    <n v="122"/>
    <x v="1"/>
    <s v="MyntraFestiveEdit"/>
    <n v="0.18346209065426949"/>
  </r>
  <r>
    <s v="P242"/>
    <x v="3"/>
    <d v="2024-07-07T00:00:00"/>
    <x v="0"/>
    <s v="Explore the latest reel on Myntra! Trendy styles await."/>
    <n v="4767"/>
    <n v="190"/>
    <n v="340"/>
    <n v="28602"/>
    <n v="28044"/>
    <n v="210"/>
    <x v="4"/>
    <s v="StyleRevolution"/>
    <n v="0.18888175723862502"/>
  </r>
  <r>
    <s v="P243"/>
    <x v="0"/>
    <d v="2025-03-06T00:00:00"/>
    <x v="4"/>
    <s v="Explore the latest image on Myntra! Trendy styles await."/>
    <n v="3592"/>
    <n v="911"/>
    <n v="375"/>
    <n v="50288"/>
    <n v="49490"/>
    <n v="32"/>
    <x v="2"/>
    <s v="EndOfSeasonSale"/>
    <n v="9.8565366740755708E-2"/>
  </r>
  <r>
    <s v="P244"/>
    <x v="1"/>
    <d v="2024-10-25T00:00:00"/>
    <x v="5"/>
    <s v="Explore the latest video on Myntra! Trendy styles await."/>
    <n v="4661"/>
    <n v="935"/>
    <n v="433"/>
    <n v="23305"/>
    <n v="22583"/>
    <n v="63"/>
    <x v="2"/>
    <s v="FashionUpgrade"/>
    <n v="0.26697073019527962"/>
  </r>
  <r>
    <s v="P244"/>
    <x v="1"/>
    <d v="2024-10-25T00:00:00"/>
    <x v="5"/>
    <s v="Explore the latest video on Myntra! Trendy styles await."/>
    <n v="4661"/>
    <n v="935"/>
    <n v="433"/>
    <n v="23305"/>
    <n v="22583"/>
    <n v="63"/>
    <x v="4"/>
    <s v="FashionUpgrade"/>
    <n v="0.26697073019527962"/>
  </r>
  <r>
    <s v="P245"/>
    <x v="3"/>
    <d v="2025-01-12T00:00:00"/>
    <x v="0"/>
    <s v="Explore the latest reel on Myntra! Trendy styles await."/>
    <n v="4134"/>
    <n v="824"/>
    <n v="99"/>
    <n v="41340"/>
    <n v="41050"/>
    <n v="177"/>
    <x v="1"/>
    <s v="EndOfSeasonSale"/>
    <n v="0.12319123020706456"/>
  </r>
  <r>
    <s v="P246"/>
    <x v="3"/>
    <d v="2024-10-11T00:00:00"/>
    <x v="4"/>
    <s v="Explore the latest image on Myntra! Trendy styles await."/>
    <n v="400"/>
    <n v="680"/>
    <n v="434"/>
    <n v="6400"/>
    <n v="5472"/>
    <n v="160"/>
    <x v="0"/>
    <s v="EndOfSeasonSale"/>
    <n v="0.27668128654970758"/>
  </r>
  <r>
    <s v="P246"/>
    <x v="3"/>
    <d v="2024-10-11T00:00:00"/>
    <x v="4"/>
    <s v="Explore the latest image on Myntra! Trendy styles await."/>
    <n v="400"/>
    <n v="680"/>
    <n v="434"/>
    <n v="6400"/>
    <n v="5472"/>
    <n v="160"/>
    <x v="3"/>
    <s v="EndOfSeasonSale"/>
    <n v="0.27668128654970758"/>
  </r>
  <r>
    <s v="P247"/>
    <x v="3"/>
    <d v="2024-08-27T00:00:00"/>
    <x v="0"/>
    <s v="Explore the latest reel on Myntra! Trendy styles await."/>
    <n v="3960"/>
    <n v="266"/>
    <n v="8"/>
    <n v="35640"/>
    <n v="34850"/>
    <n v="208"/>
    <x v="3"/>
    <s v="StyleRevolution"/>
    <n v="0.12149210903873744"/>
  </r>
  <r>
    <s v="P247"/>
    <x v="3"/>
    <d v="2024-08-27T00:00:00"/>
    <x v="0"/>
    <s v="Explore the latest reel on Myntra! Trendy styles await."/>
    <n v="3960"/>
    <n v="266"/>
    <n v="8"/>
    <n v="35640"/>
    <n v="34850"/>
    <n v="208"/>
    <x v="1"/>
    <s v="StyleRevolution"/>
    <n v="0.12149210903873744"/>
  </r>
  <r>
    <s v="P248"/>
    <x v="3"/>
    <d v="2025-02-02T00:00:00"/>
    <x v="2"/>
    <s v="Explore the latest story on Myntra! Trendy styles await."/>
    <n v="886"/>
    <n v="126"/>
    <n v="153"/>
    <n v="4430"/>
    <n v="4037"/>
    <n v="212"/>
    <x v="0"/>
    <s v="MyntraFestiveEdit"/>
    <n v="0.2885806291800842"/>
  </r>
  <r>
    <s v="P249"/>
    <x v="0"/>
    <d v="2024-07-18T00:00:00"/>
    <x v="4"/>
    <s v="Explore the latest image on Myntra! Trendy styles await."/>
    <n v="827"/>
    <n v="77"/>
    <n v="402"/>
    <n v="14886"/>
    <n v="14129"/>
    <n v="254"/>
    <x v="2"/>
    <s v="EndOfSeasonSale"/>
    <n v="9.2434000990869847E-2"/>
  </r>
  <r>
    <s v="P250"/>
    <x v="3"/>
    <d v="2024-06-22T00:00:00"/>
    <x v="0"/>
    <s v="Explore the latest reel on Myntra! Trendy styles await."/>
    <n v="3813"/>
    <n v="935"/>
    <n v="274"/>
    <n v="68634"/>
    <n v="68488"/>
    <n v="251"/>
    <x v="4"/>
    <s v="FashionUpgrade"/>
    <n v="7.3326714168905502E-2"/>
  </r>
  <r>
    <s v="P250"/>
    <x v="3"/>
    <d v="2024-06-22T00:00:00"/>
    <x v="0"/>
    <s v="Explore the latest reel on Myntra! Trendy styles await."/>
    <n v="3813"/>
    <n v="935"/>
    <n v="274"/>
    <n v="68634"/>
    <n v="68488"/>
    <n v="251"/>
    <x v="3"/>
    <s v="FashionUpgrade"/>
    <n v="7.3326714168905502E-2"/>
  </r>
  <r>
    <s v="P251"/>
    <x v="2"/>
    <d v="2025-03-27T00:00:00"/>
    <x v="3"/>
    <s v="Explore the latest carousel on Myntra! Trendy styles await."/>
    <n v="1377"/>
    <n v="796"/>
    <n v="387"/>
    <n v="22032"/>
    <n v="21869"/>
    <n v="189"/>
    <x v="4"/>
    <s v="MyntraFestiveEdit"/>
    <n v="0.11706067950066304"/>
  </r>
  <r>
    <s v="P251"/>
    <x v="2"/>
    <d v="2025-03-27T00:00:00"/>
    <x v="3"/>
    <s v="Explore the latest carousel on Myntra! Trendy styles await."/>
    <n v="1377"/>
    <n v="796"/>
    <n v="387"/>
    <n v="22032"/>
    <n v="21869"/>
    <n v="189"/>
    <x v="1"/>
    <s v="MyntraFestiveEdit"/>
    <n v="0.11706067950066304"/>
  </r>
  <r>
    <s v="P252"/>
    <x v="3"/>
    <d v="2025-04-28T00:00:00"/>
    <x v="3"/>
    <s v="Explore the latest carousel on Myntra! Trendy styles await."/>
    <n v="2089"/>
    <n v="476"/>
    <n v="69"/>
    <n v="16712"/>
    <n v="16309"/>
    <n v="64"/>
    <x v="2"/>
    <s v="FashionUpgrade"/>
    <n v="0.16150591697835551"/>
  </r>
  <r>
    <s v="P252"/>
    <x v="3"/>
    <d v="2025-04-28T00:00:00"/>
    <x v="3"/>
    <s v="Explore the latest carousel on Myntra! Trendy styles await."/>
    <n v="2089"/>
    <n v="476"/>
    <n v="69"/>
    <n v="16712"/>
    <n v="16309"/>
    <n v="64"/>
    <x v="0"/>
    <s v="FashionUpgrade"/>
    <n v="0.16150591697835551"/>
  </r>
  <r>
    <s v="P253"/>
    <x v="0"/>
    <d v="2024-08-03T00:00:00"/>
    <x v="0"/>
    <s v="Explore the latest reel on Myntra! Trendy styles await."/>
    <n v="3791"/>
    <n v="593"/>
    <n v="228"/>
    <n v="53074"/>
    <n v="52613"/>
    <n v="205"/>
    <x v="2"/>
    <s v="FashionUpgrade"/>
    <n v="8.7658943607093309E-2"/>
  </r>
  <r>
    <s v="P253"/>
    <x v="0"/>
    <d v="2024-08-03T00:00:00"/>
    <x v="0"/>
    <s v="Explore the latest reel on Myntra! Trendy styles await."/>
    <n v="3791"/>
    <n v="593"/>
    <n v="228"/>
    <n v="53074"/>
    <n v="52613"/>
    <n v="205"/>
    <x v="4"/>
    <s v="FashionUpgrade"/>
    <n v="8.7658943607093309E-2"/>
  </r>
  <r>
    <s v="P254"/>
    <x v="0"/>
    <d v="2025-01-14T00:00:00"/>
    <x v="4"/>
    <s v="Explore the latest image on Myntra! Trendy styles await."/>
    <n v="2692"/>
    <n v="115"/>
    <n v="64"/>
    <n v="21536"/>
    <n v="21120"/>
    <n v="224"/>
    <x v="4"/>
    <s v="StyleRevolution"/>
    <n v="0.13593749999999999"/>
  </r>
  <r>
    <s v="P254"/>
    <x v="0"/>
    <d v="2025-01-14T00:00:00"/>
    <x v="4"/>
    <s v="Explore the latest image on Myntra! Trendy styles await."/>
    <n v="2692"/>
    <n v="115"/>
    <n v="64"/>
    <n v="21536"/>
    <n v="21120"/>
    <n v="224"/>
    <x v="3"/>
    <s v="StyleRevolution"/>
    <n v="0.13593749999999999"/>
  </r>
  <r>
    <s v="P255"/>
    <x v="3"/>
    <d v="2025-04-03T00:00:00"/>
    <x v="2"/>
    <s v="Explore the latest story on Myntra! Trendy styles await."/>
    <n v="3767"/>
    <n v="514"/>
    <n v="238"/>
    <n v="37670"/>
    <n v="36807"/>
    <n v="226"/>
    <x v="2"/>
    <s v="FashionUpgrade"/>
    <n v="0.12277555899692993"/>
  </r>
  <r>
    <s v="P255"/>
    <x v="3"/>
    <d v="2025-04-03T00:00:00"/>
    <x v="2"/>
    <s v="Explore the latest story on Myntra! Trendy styles await."/>
    <n v="3767"/>
    <n v="514"/>
    <n v="238"/>
    <n v="37670"/>
    <n v="36807"/>
    <n v="226"/>
    <x v="4"/>
    <s v="FashionUpgrade"/>
    <n v="0.12277555899692993"/>
  </r>
  <r>
    <s v="P256"/>
    <x v="1"/>
    <d v="2024-09-18T00:00:00"/>
    <x v="3"/>
    <s v="Explore the latest carousel on Myntra! Trendy styles await."/>
    <n v="2143"/>
    <n v="12"/>
    <n v="204"/>
    <n v="40717"/>
    <n v="40125"/>
    <n v="248"/>
    <x v="4"/>
    <s v="StyleRevolution"/>
    <n v="5.8791277258566976E-2"/>
  </r>
  <r>
    <s v="P256"/>
    <x v="1"/>
    <d v="2024-09-18T00:00:00"/>
    <x v="3"/>
    <s v="Explore the latest carousel on Myntra! Trendy styles await."/>
    <n v="2143"/>
    <n v="12"/>
    <n v="204"/>
    <n v="40717"/>
    <n v="40125"/>
    <n v="248"/>
    <x v="0"/>
    <s v="StyleRevolution"/>
    <n v="5.8791277258566976E-2"/>
  </r>
  <r>
    <s v="P257"/>
    <x v="3"/>
    <d v="2025-04-06T00:00:00"/>
    <x v="4"/>
    <s v="Explore the latest image on Myntra! Trendy styles await."/>
    <n v="3090"/>
    <n v="697"/>
    <n v="164"/>
    <n v="49440"/>
    <n v="48524"/>
    <n v="25"/>
    <x v="4"/>
    <s v="StyleRevolution"/>
    <n v="8.1423625422471349E-2"/>
  </r>
  <r>
    <s v="P257"/>
    <x v="3"/>
    <d v="2025-04-06T00:00:00"/>
    <x v="4"/>
    <s v="Explore the latest image on Myntra! Trendy styles await."/>
    <n v="3090"/>
    <n v="697"/>
    <n v="164"/>
    <n v="49440"/>
    <n v="48524"/>
    <n v="25"/>
    <x v="2"/>
    <s v="StyleRevolution"/>
    <n v="8.1423625422471349E-2"/>
  </r>
  <r>
    <s v="P258"/>
    <x v="2"/>
    <d v="2024-08-05T00:00:00"/>
    <x v="2"/>
    <s v="Explore the latest story on Myntra! Trendy styles await."/>
    <n v="3601"/>
    <n v="695"/>
    <n v="75"/>
    <n v="21606"/>
    <n v="21454"/>
    <n v="172"/>
    <x v="2"/>
    <s v="EndOfSeasonSale"/>
    <n v="0.20373823063298219"/>
  </r>
  <r>
    <s v="P259"/>
    <x v="3"/>
    <d v="2025-02-10T00:00:00"/>
    <x v="1"/>
    <s v="Explore the latest text on Myntra! Trendy styles await."/>
    <n v="562"/>
    <n v="158"/>
    <n v="149"/>
    <n v="3372"/>
    <n v="2940"/>
    <n v="93"/>
    <x v="4"/>
    <s v="StyleRevolution"/>
    <n v="0.29557823129251698"/>
  </r>
  <r>
    <s v="P259"/>
    <x v="3"/>
    <d v="2025-02-10T00:00:00"/>
    <x v="1"/>
    <s v="Explore the latest text on Myntra! Trendy styles await."/>
    <n v="562"/>
    <n v="158"/>
    <n v="149"/>
    <n v="3372"/>
    <n v="2940"/>
    <n v="93"/>
    <x v="0"/>
    <s v="StyleRevolution"/>
    <n v="0.29557823129251698"/>
  </r>
  <r>
    <s v="P260"/>
    <x v="2"/>
    <d v="2025-02-12T00:00:00"/>
    <x v="2"/>
    <s v="Explore the latest story on Myntra! Trendy styles await."/>
    <n v="4332"/>
    <n v="771"/>
    <n v="219"/>
    <n v="60648"/>
    <n v="60397"/>
    <n v="10"/>
    <x v="1"/>
    <s v="MyntraFestiveEdit"/>
    <n v="8.8116959451628396E-2"/>
  </r>
  <r>
    <s v="P261"/>
    <x v="2"/>
    <d v="2024-10-27T00:00:00"/>
    <x v="4"/>
    <s v="Explore the latest image on Myntra! Trendy styles await."/>
    <n v="4853"/>
    <n v="837"/>
    <n v="340"/>
    <n v="72795"/>
    <n v="72237"/>
    <n v="170"/>
    <x v="0"/>
    <s v="EndOfSeasonSale"/>
    <n v="8.3475227376552177E-2"/>
  </r>
  <r>
    <s v="P262"/>
    <x v="1"/>
    <d v="2025-01-18T00:00:00"/>
    <x v="4"/>
    <s v="Explore the latest image on Myntra! Trendy styles await."/>
    <n v="1206"/>
    <n v="238"/>
    <n v="36"/>
    <n v="9648"/>
    <n v="9417"/>
    <n v="237"/>
    <x v="0"/>
    <s v="MyntraFestiveEdit"/>
    <n v="0.15716257831581182"/>
  </r>
  <r>
    <s v="P262"/>
    <x v="1"/>
    <d v="2025-01-18T00:00:00"/>
    <x v="4"/>
    <s v="Explore the latest image on Myntra! Trendy styles await."/>
    <n v="1206"/>
    <n v="238"/>
    <n v="36"/>
    <n v="9648"/>
    <n v="9417"/>
    <n v="237"/>
    <x v="2"/>
    <s v="MyntraFestiveEdit"/>
    <n v="0.15716257831581182"/>
  </r>
  <r>
    <s v="P263"/>
    <x v="2"/>
    <d v="2024-08-20T00:00:00"/>
    <x v="0"/>
    <s v="Explore the latest reel on Myntra! Trendy styles await."/>
    <n v="2603"/>
    <n v="690"/>
    <n v="205"/>
    <n v="13015"/>
    <n v="12130"/>
    <n v="20"/>
    <x v="3"/>
    <s v="FashionUpgrade"/>
    <n v="0.28837592745259688"/>
  </r>
  <r>
    <s v="P264"/>
    <x v="0"/>
    <d v="2025-01-30T00:00:00"/>
    <x v="4"/>
    <s v="Explore the latest image on Myntra! Trendy styles await."/>
    <n v="59"/>
    <n v="163"/>
    <n v="93"/>
    <n v="590"/>
    <n v="475"/>
    <n v="293"/>
    <x v="3"/>
    <s v="StyleRevolution"/>
    <n v="0.66315789473684206"/>
  </r>
  <r>
    <s v="P265"/>
    <x v="0"/>
    <d v="2025-02-20T00:00:00"/>
    <x v="3"/>
    <s v="Explore the latest carousel on Myntra! Trendy styles await."/>
    <n v="1877"/>
    <n v="745"/>
    <n v="225"/>
    <n v="11262"/>
    <n v="10967"/>
    <n v="41"/>
    <x v="2"/>
    <s v="FashionUpgrade"/>
    <n v="0.25959697273639099"/>
  </r>
  <r>
    <s v="P265"/>
    <x v="0"/>
    <d v="2025-02-20T00:00:00"/>
    <x v="3"/>
    <s v="Explore the latest carousel on Myntra! Trendy styles await."/>
    <n v="1877"/>
    <n v="745"/>
    <n v="225"/>
    <n v="11262"/>
    <n v="10967"/>
    <n v="41"/>
    <x v="0"/>
    <s v="FashionUpgrade"/>
    <n v="0.25959697273639099"/>
  </r>
  <r>
    <s v="P266"/>
    <x v="3"/>
    <d v="2024-11-25T00:00:00"/>
    <x v="2"/>
    <s v="Explore the latest story on Myntra! Trendy styles await."/>
    <n v="4182"/>
    <n v="640"/>
    <n v="240"/>
    <n v="50184"/>
    <n v="49351"/>
    <n v="10"/>
    <x v="0"/>
    <s v="MyntraFestiveEdit"/>
    <n v="0.10257137646653564"/>
  </r>
  <r>
    <s v="P266"/>
    <x v="3"/>
    <d v="2024-11-25T00:00:00"/>
    <x v="2"/>
    <s v="Explore the latest story on Myntra! Trendy styles await."/>
    <n v="4182"/>
    <n v="640"/>
    <n v="240"/>
    <n v="50184"/>
    <n v="49351"/>
    <n v="10"/>
    <x v="2"/>
    <s v="MyntraFestiveEdit"/>
    <n v="0.10257137646653564"/>
  </r>
  <r>
    <s v="P267"/>
    <x v="0"/>
    <d v="2024-10-04T00:00:00"/>
    <x v="0"/>
    <s v="Explore the latest reel on Myntra! Trendy styles await."/>
    <n v="4187"/>
    <n v="66"/>
    <n v="31"/>
    <n v="66992"/>
    <n v="66614"/>
    <n v="62"/>
    <x v="2"/>
    <s v="StyleRevolution"/>
    <n v="6.4310805536373736E-2"/>
  </r>
  <r>
    <s v="P268"/>
    <x v="2"/>
    <d v="2025-04-13T00:00:00"/>
    <x v="0"/>
    <s v="Explore the latest reel on Myntra! Trendy styles await."/>
    <n v="4579"/>
    <n v="125"/>
    <n v="300"/>
    <n v="59527"/>
    <n v="59400"/>
    <n v="269"/>
    <x v="2"/>
    <s v="FashionUpgrade"/>
    <n v="8.4242424242424244E-2"/>
  </r>
  <r>
    <s v="P268"/>
    <x v="2"/>
    <d v="2025-04-13T00:00:00"/>
    <x v="0"/>
    <s v="Explore the latest reel on Myntra! Trendy styles await."/>
    <n v="4579"/>
    <n v="125"/>
    <n v="300"/>
    <n v="59527"/>
    <n v="59400"/>
    <n v="269"/>
    <x v="1"/>
    <s v="FashionUpgrade"/>
    <n v="8.4242424242424244E-2"/>
  </r>
  <r>
    <s v="P269"/>
    <x v="2"/>
    <d v="2024-11-05T00:00:00"/>
    <x v="5"/>
    <s v="Explore the latest video on Myntra! Trendy styles await."/>
    <n v="4561"/>
    <n v="51"/>
    <n v="441"/>
    <n v="22805"/>
    <n v="21890"/>
    <n v="45"/>
    <x v="2"/>
    <s v="EndOfSeasonSale"/>
    <n v="0.23083599817268158"/>
  </r>
  <r>
    <s v="P270"/>
    <x v="1"/>
    <d v="2025-01-15T00:00:00"/>
    <x v="0"/>
    <s v="Explore the latest reel on Myntra! Trendy styles await."/>
    <n v="3774"/>
    <n v="239"/>
    <n v="39"/>
    <n v="60384"/>
    <n v="59490"/>
    <n v="241"/>
    <x v="4"/>
    <s v="MyntraFestiveEdit"/>
    <n v="6.8112287779458727E-2"/>
  </r>
  <r>
    <s v="P271"/>
    <x v="2"/>
    <d v="2024-10-17T00:00:00"/>
    <x v="5"/>
    <s v="Explore the latest video on Myntra! Trendy styles await."/>
    <n v="3575"/>
    <n v="749"/>
    <n v="111"/>
    <n v="21450"/>
    <n v="20785"/>
    <n v="195"/>
    <x v="4"/>
    <s v="MyntraFestiveEdit"/>
    <n v="0.21337503006976186"/>
  </r>
  <r>
    <s v="P272"/>
    <x v="2"/>
    <d v="2025-03-27T00:00:00"/>
    <x v="1"/>
    <s v="Explore the latest text on Myntra! Trendy styles await."/>
    <n v="4941"/>
    <n v="414"/>
    <n v="266"/>
    <n v="39528"/>
    <n v="39154"/>
    <n v="217"/>
    <x v="0"/>
    <s v="EndOfSeasonSale"/>
    <n v="0.14356132195944221"/>
  </r>
  <r>
    <s v="P273"/>
    <x v="1"/>
    <d v="2024-10-12T00:00:00"/>
    <x v="2"/>
    <s v="Explore the latest story on Myntra! Trendy styles await."/>
    <n v="3641"/>
    <n v="226"/>
    <n v="46"/>
    <n v="40051"/>
    <n v="39319"/>
    <n v="296"/>
    <x v="3"/>
    <s v="EndOfSeasonSale"/>
    <n v="9.9519316361046828E-2"/>
  </r>
  <r>
    <s v="P274"/>
    <x v="0"/>
    <d v="2025-01-01T00:00:00"/>
    <x v="3"/>
    <s v="Explore the latest carousel on Myntra! Trendy styles await."/>
    <n v="3535"/>
    <n v="494"/>
    <n v="152"/>
    <n v="53025"/>
    <n v="52791"/>
    <n v="44"/>
    <x v="3"/>
    <s v="EndOfSeasonSale"/>
    <n v="7.9199105908204046E-2"/>
  </r>
  <r>
    <s v="P274"/>
    <x v="0"/>
    <d v="2025-01-01T00:00:00"/>
    <x v="3"/>
    <s v="Explore the latest carousel on Myntra! Trendy styles await."/>
    <n v="3535"/>
    <n v="494"/>
    <n v="152"/>
    <n v="53025"/>
    <n v="52791"/>
    <n v="44"/>
    <x v="2"/>
    <s v="EndOfSeasonSale"/>
    <n v="7.9199105908204046E-2"/>
  </r>
  <r>
    <s v="P275"/>
    <x v="3"/>
    <d v="2024-08-05T00:00:00"/>
    <x v="0"/>
    <s v="Explore the latest reel on Myntra! Trendy styles await."/>
    <n v="1741"/>
    <n v="831"/>
    <n v="345"/>
    <n v="17410"/>
    <n v="16844"/>
    <n v="58"/>
    <x v="1"/>
    <s v="StyleRevolution"/>
    <n v="0.17317739254333889"/>
  </r>
  <r>
    <s v="P275"/>
    <x v="3"/>
    <d v="2024-08-05T00:00:00"/>
    <x v="0"/>
    <s v="Explore the latest reel on Myntra! Trendy styles await."/>
    <n v="1741"/>
    <n v="831"/>
    <n v="345"/>
    <n v="17410"/>
    <n v="16844"/>
    <n v="58"/>
    <x v="4"/>
    <s v="StyleRevolution"/>
    <n v="0.17317739254333889"/>
  </r>
  <r>
    <s v="P276"/>
    <x v="0"/>
    <d v="2024-06-07T00:00:00"/>
    <x v="3"/>
    <s v="Explore the latest carousel on Myntra! Trendy styles await."/>
    <n v="1556"/>
    <n v="195"/>
    <n v="131"/>
    <n v="9336"/>
    <n v="8875"/>
    <n v="137"/>
    <x v="1"/>
    <s v="EndOfSeasonSale"/>
    <n v="0.21205633802816901"/>
  </r>
  <r>
    <s v="P277"/>
    <x v="3"/>
    <d v="2025-04-06T00:00:00"/>
    <x v="4"/>
    <s v="Explore the latest image on Myntra! Trendy styles await."/>
    <n v="4236"/>
    <n v="711"/>
    <n v="298"/>
    <n v="21180"/>
    <n v="20516"/>
    <n v="238"/>
    <x v="3"/>
    <s v="StyleRevolution"/>
    <n v="0.25565412361084033"/>
  </r>
  <r>
    <s v="P277"/>
    <x v="3"/>
    <d v="2025-04-06T00:00:00"/>
    <x v="4"/>
    <s v="Explore the latest image on Myntra! Trendy styles await."/>
    <n v="4236"/>
    <n v="711"/>
    <n v="298"/>
    <n v="21180"/>
    <n v="20516"/>
    <n v="238"/>
    <x v="0"/>
    <s v="StyleRevolution"/>
    <n v="0.25565412361084033"/>
  </r>
  <r>
    <s v="P278"/>
    <x v="0"/>
    <d v="2024-11-26T00:00:00"/>
    <x v="1"/>
    <s v="Explore the latest text on Myntra! Trendy styles await."/>
    <n v="4516"/>
    <n v="836"/>
    <n v="169"/>
    <n v="49676"/>
    <n v="49257"/>
    <n v="282"/>
    <x v="3"/>
    <s v="FashionUpgrade"/>
    <n v="0.11208559189556815"/>
  </r>
  <r>
    <s v="P279"/>
    <x v="1"/>
    <d v="2024-09-02T00:00:00"/>
    <x v="4"/>
    <s v="Explore the latest image on Myntra! Trendy styles await."/>
    <n v="4905"/>
    <n v="845"/>
    <n v="129"/>
    <n v="98100"/>
    <n v="97772"/>
    <n v="279"/>
    <x v="3"/>
    <s v="StyleRevolution"/>
    <n v="6.0129689481651191E-2"/>
  </r>
  <r>
    <s v="P280"/>
    <x v="1"/>
    <d v="2024-10-21T00:00:00"/>
    <x v="5"/>
    <s v="Explore the latest video on Myntra! Trendy styles await."/>
    <n v="4275"/>
    <n v="680"/>
    <n v="385"/>
    <n v="64125"/>
    <n v="63650"/>
    <n v="104"/>
    <x v="2"/>
    <s v="StyleRevolution"/>
    <n v="8.3896307934014133E-2"/>
  </r>
  <r>
    <s v="P281"/>
    <x v="1"/>
    <d v="2025-03-22T00:00:00"/>
    <x v="4"/>
    <s v="Explore the latest image on Myntra! Trendy styles await."/>
    <n v="3166"/>
    <n v="90"/>
    <n v="341"/>
    <n v="56988"/>
    <n v="56125"/>
    <n v="135"/>
    <x v="1"/>
    <s v="EndOfSeasonSale"/>
    <n v="6.4089086859688199E-2"/>
  </r>
  <r>
    <s v="P281"/>
    <x v="1"/>
    <d v="2025-03-22T00:00:00"/>
    <x v="4"/>
    <s v="Explore the latest image on Myntra! Trendy styles await."/>
    <n v="3166"/>
    <n v="90"/>
    <n v="341"/>
    <n v="56988"/>
    <n v="56125"/>
    <n v="135"/>
    <x v="2"/>
    <s v="EndOfSeasonSale"/>
    <n v="6.4089086859688199E-2"/>
  </r>
  <r>
    <s v="P282"/>
    <x v="2"/>
    <d v="2024-10-03T00:00:00"/>
    <x v="5"/>
    <s v="Explore the latest video on Myntra! Trendy styles await."/>
    <n v="1488"/>
    <n v="417"/>
    <n v="168"/>
    <n v="19344"/>
    <n v="18395"/>
    <n v="30"/>
    <x v="0"/>
    <s v="FashionUpgrade"/>
    <n v="0.11269366675727099"/>
  </r>
  <r>
    <s v="P283"/>
    <x v="0"/>
    <d v="2025-05-09T00:00:00"/>
    <x v="0"/>
    <s v="Explore the latest reel on Myntra! Trendy styles await."/>
    <n v="3367"/>
    <n v="302"/>
    <n v="57"/>
    <n v="63973"/>
    <n v="63789"/>
    <n v="157"/>
    <x v="3"/>
    <s v="MyntraFestiveEdit"/>
    <n v="5.841132483657057E-2"/>
  </r>
  <r>
    <s v="P283"/>
    <x v="0"/>
    <d v="2025-05-09T00:00:00"/>
    <x v="0"/>
    <s v="Explore the latest reel on Myntra! Trendy styles await."/>
    <n v="3367"/>
    <n v="302"/>
    <n v="57"/>
    <n v="63973"/>
    <n v="63789"/>
    <n v="157"/>
    <x v="1"/>
    <s v="MyntraFestiveEdit"/>
    <n v="5.841132483657057E-2"/>
  </r>
  <r>
    <s v="P284"/>
    <x v="0"/>
    <d v="2024-09-17T00:00:00"/>
    <x v="1"/>
    <s v="Explore the latest text on Myntra! Trendy styles await."/>
    <n v="571"/>
    <n v="190"/>
    <n v="352"/>
    <n v="9707"/>
    <n v="9418"/>
    <n v="231"/>
    <x v="4"/>
    <s v="EndOfSeasonSale"/>
    <n v="0.11817795710341898"/>
  </r>
  <r>
    <s v="P285"/>
    <x v="1"/>
    <d v="2024-07-18T00:00:00"/>
    <x v="1"/>
    <s v="Explore the latest text on Myntra! Trendy styles await."/>
    <n v="4021"/>
    <n v="794"/>
    <n v="77"/>
    <n v="36189"/>
    <n v="35505"/>
    <n v="174"/>
    <x v="4"/>
    <s v="FashionUpgrade"/>
    <n v="0.13778341078721307"/>
  </r>
  <r>
    <s v="P285"/>
    <x v="1"/>
    <d v="2024-07-18T00:00:00"/>
    <x v="1"/>
    <s v="Explore the latest text on Myntra! Trendy styles await."/>
    <n v="4021"/>
    <n v="794"/>
    <n v="77"/>
    <n v="36189"/>
    <n v="35505"/>
    <n v="174"/>
    <x v="2"/>
    <s v="FashionUpgrade"/>
    <n v="0.13778341078721307"/>
  </r>
  <r>
    <s v="P286"/>
    <x v="1"/>
    <d v="2024-09-25T00:00:00"/>
    <x v="5"/>
    <s v="Explore the latest video on Myntra! Trendy styles await."/>
    <n v="3389"/>
    <n v="344"/>
    <n v="229"/>
    <n v="20334"/>
    <n v="19443"/>
    <n v="228"/>
    <x v="1"/>
    <s v="EndOfSeasonSale"/>
    <n v="0.20377513758164892"/>
  </r>
  <r>
    <s v="P286"/>
    <x v="1"/>
    <d v="2024-09-25T00:00:00"/>
    <x v="5"/>
    <s v="Explore the latest video on Myntra! Trendy styles await."/>
    <n v="3389"/>
    <n v="344"/>
    <n v="229"/>
    <n v="20334"/>
    <n v="19443"/>
    <n v="228"/>
    <x v="0"/>
    <s v="EndOfSeasonSale"/>
    <n v="0.20377513758164892"/>
  </r>
  <r>
    <s v="P287"/>
    <x v="2"/>
    <d v="2024-08-15T00:00:00"/>
    <x v="0"/>
    <s v="Explore the latest reel on Myntra! Trendy styles await."/>
    <n v="1164"/>
    <n v="616"/>
    <n v="324"/>
    <n v="6984"/>
    <n v="6636"/>
    <n v="82"/>
    <x v="1"/>
    <s v="MyntraFestiveEdit"/>
    <n v="0.31705846895720313"/>
  </r>
  <r>
    <s v="P287"/>
    <x v="2"/>
    <d v="2024-08-15T00:00:00"/>
    <x v="0"/>
    <s v="Explore the latest reel on Myntra! Trendy styles await."/>
    <n v="1164"/>
    <n v="616"/>
    <n v="324"/>
    <n v="6984"/>
    <n v="6636"/>
    <n v="82"/>
    <x v="3"/>
    <s v="MyntraFestiveEdit"/>
    <n v="0.31705846895720313"/>
  </r>
  <r>
    <s v="P288"/>
    <x v="1"/>
    <d v="2025-04-17T00:00:00"/>
    <x v="3"/>
    <s v="Explore the latest carousel on Myntra! Trendy styles await."/>
    <n v="4780"/>
    <n v="691"/>
    <n v="380"/>
    <n v="86040"/>
    <n v="85743"/>
    <n v="262"/>
    <x v="1"/>
    <s v="MyntraFestiveEdit"/>
    <n v="6.8238806666433408E-2"/>
  </r>
  <r>
    <s v="P288"/>
    <x v="1"/>
    <d v="2025-04-17T00:00:00"/>
    <x v="3"/>
    <s v="Explore the latest carousel on Myntra! Trendy styles await."/>
    <n v="4780"/>
    <n v="691"/>
    <n v="380"/>
    <n v="86040"/>
    <n v="85743"/>
    <n v="262"/>
    <x v="4"/>
    <s v="MyntraFestiveEdit"/>
    <n v="6.8238806666433408E-2"/>
  </r>
  <r>
    <s v="P289"/>
    <x v="3"/>
    <d v="2024-11-28T00:00:00"/>
    <x v="3"/>
    <s v="Explore the latest carousel on Myntra! Trendy styles await."/>
    <n v="2751"/>
    <n v="33"/>
    <n v="430"/>
    <n v="44016"/>
    <n v="43415"/>
    <n v="129"/>
    <x v="3"/>
    <s v="EndOfSeasonSale"/>
    <n v="7.4029713232753661E-2"/>
  </r>
  <r>
    <s v="P289"/>
    <x v="3"/>
    <d v="2024-11-28T00:00:00"/>
    <x v="3"/>
    <s v="Explore the latest carousel on Myntra! Trendy styles await."/>
    <n v="2751"/>
    <n v="33"/>
    <n v="430"/>
    <n v="44016"/>
    <n v="43415"/>
    <n v="129"/>
    <x v="2"/>
    <s v="EndOfSeasonSale"/>
    <n v="7.4029713232753661E-2"/>
  </r>
  <r>
    <s v="P290"/>
    <x v="2"/>
    <d v="2024-12-20T00:00:00"/>
    <x v="3"/>
    <s v="Explore the latest carousel on Myntra! Trendy styles await."/>
    <n v="2107"/>
    <n v="550"/>
    <n v="349"/>
    <n v="35819"/>
    <n v="35340"/>
    <n v="191"/>
    <x v="3"/>
    <s v="MyntraFestiveEdit"/>
    <n v="8.5059422750424454E-2"/>
  </r>
  <r>
    <s v="P291"/>
    <x v="3"/>
    <d v="2024-11-06T00:00:00"/>
    <x v="5"/>
    <s v="Explore the latest video on Myntra! Trendy styles await."/>
    <n v="4663"/>
    <n v="145"/>
    <n v="225"/>
    <n v="69945"/>
    <n v="69596"/>
    <n v="35"/>
    <x v="1"/>
    <s v="EndOfSeasonSale"/>
    <n v="7.2317374561756423E-2"/>
  </r>
  <r>
    <s v="P292"/>
    <x v="3"/>
    <d v="2024-11-17T00:00:00"/>
    <x v="1"/>
    <s v="Explore the latest text on Myntra! Trendy styles await."/>
    <n v="880"/>
    <n v="297"/>
    <n v="345"/>
    <n v="12320"/>
    <n v="11978"/>
    <n v="238"/>
    <x v="0"/>
    <s v="EndOfSeasonSale"/>
    <n v="0.12706628819502422"/>
  </r>
  <r>
    <s v="P293"/>
    <x v="3"/>
    <d v="2025-05-14T00:00:00"/>
    <x v="1"/>
    <s v="Explore the latest text on Myntra! Trendy styles await."/>
    <n v="2634"/>
    <n v="726"/>
    <n v="241"/>
    <n v="28974"/>
    <n v="28102"/>
    <n v="277"/>
    <x v="2"/>
    <s v="MyntraFestiveEdit"/>
    <n v="0.12814034588285531"/>
  </r>
  <r>
    <s v="P294"/>
    <x v="3"/>
    <d v="2024-06-19T00:00:00"/>
    <x v="3"/>
    <s v="Explore the latest carousel on Myntra! Trendy styles await."/>
    <n v="4731"/>
    <n v="173"/>
    <n v="276"/>
    <n v="28386"/>
    <n v="28185"/>
    <n v="89"/>
    <x v="3"/>
    <s v="StyleRevolution"/>
    <n v="0.18378570161433386"/>
  </r>
  <r>
    <s v="P294"/>
    <x v="3"/>
    <d v="2024-06-19T00:00:00"/>
    <x v="3"/>
    <s v="Explore the latest carousel on Myntra! Trendy styles await."/>
    <n v="4731"/>
    <n v="173"/>
    <n v="276"/>
    <n v="28386"/>
    <n v="28185"/>
    <n v="89"/>
    <x v="1"/>
    <s v="StyleRevolution"/>
    <n v="0.18378570161433386"/>
  </r>
  <r>
    <s v="P295"/>
    <x v="0"/>
    <d v="2025-05-06T00:00:00"/>
    <x v="4"/>
    <s v="Explore the latest image on Myntra! Trendy styles await."/>
    <n v="1952"/>
    <n v="344"/>
    <n v="287"/>
    <n v="15616"/>
    <n v="15403"/>
    <n v="235"/>
    <x v="0"/>
    <s v="MyntraFestiveEdit"/>
    <n v="0.16769460494708824"/>
  </r>
  <r>
    <s v="P295"/>
    <x v="0"/>
    <d v="2025-05-06T00:00:00"/>
    <x v="4"/>
    <s v="Explore the latest image on Myntra! Trendy styles await."/>
    <n v="1952"/>
    <n v="344"/>
    <n v="287"/>
    <n v="15616"/>
    <n v="15403"/>
    <n v="235"/>
    <x v="1"/>
    <s v="MyntraFestiveEdit"/>
    <n v="0.16769460494708824"/>
  </r>
  <r>
    <s v="P296"/>
    <x v="0"/>
    <d v="2025-02-11T00:00:00"/>
    <x v="5"/>
    <s v="Explore the latest video on Myntra! Trendy styles await."/>
    <n v="3440"/>
    <n v="13"/>
    <n v="20"/>
    <n v="58480"/>
    <n v="58146"/>
    <n v="210"/>
    <x v="1"/>
    <s v="FashionUpgrade"/>
    <n v="5.9728958139854849E-2"/>
  </r>
  <r>
    <s v="P296"/>
    <x v="0"/>
    <d v="2025-02-11T00:00:00"/>
    <x v="5"/>
    <s v="Explore the latest video on Myntra! Trendy styles await."/>
    <n v="3440"/>
    <n v="13"/>
    <n v="20"/>
    <n v="58480"/>
    <n v="58146"/>
    <n v="210"/>
    <x v="4"/>
    <s v="FashionUpgrade"/>
    <n v="5.9728958139854849E-2"/>
  </r>
  <r>
    <s v="P297"/>
    <x v="0"/>
    <d v="2024-12-24T00:00:00"/>
    <x v="1"/>
    <s v="Explore the latest text on Myntra! Trendy styles await."/>
    <n v="2166"/>
    <n v="354"/>
    <n v="117"/>
    <n v="10830"/>
    <n v="10245"/>
    <n v="24"/>
    <x v="2"/>
    <s v="FashionUpgrade"/>
    <n v="0.257393850658858"/>
  </r>
  <r>
    <s v="P297"/>
    <x v="0"/>
    <d v="2024-12-24T00:00:00"/>
    <x v="1"/>
    <s v="Explore the latest text on Myntra! Trendy styles await."/>
    <n v="2166"/>
    <n v="354"/>
    <n v="117"/>
    <n v="10830"/>
    <n v="10245"/>
    <n v="24"/>
    <x v="3"/>
    <s v="FashionUpgrade"/>
    <n v="0.257393850658858"/>
  </r>
  <r>
    <s v="P298"/>
    <x v="3"/>
    <d v="2024-10-24T00:00:00"/>
    <x v="4"/>
    <s v="Explore the latest image on Myntra! Trendy styles await."/>
    <n v="4303"/>
    <n v="451"/>
    <n v="286"/>
    <n v="86060"/>
    <n v="85823"/>
    <n v="14"/>
    <x v="0"/>
    <s v="EndOfSeasonSale"/>
    <n v="5.8725516469943957E-2"/>
  </r>
  <r>
    <s v="P299"/>
    <x v="3"/>
    <d v="2024-08-26T00:00:00"/>
    <x v="4"/>
    <s v="Explore the latest image on Myntra! Trendy styles await."/>
    <n v="2581"/>
    <n v="517"/>
    <n v="117"/>
    <n v="23229"/>
    <n v="22331"/>
    <n v="70"/>
    <x v="0"/>
    <s v="EndOfSeasonSale"/>
    <n v="0.14397026555013209"/>
  </r>
  <r>
    <s v="P299"/>
    <x v="3"/>
    <d v="2024-08-26T00:00:00"/>
    <x v="4"/>
    <s v="Explore the latest image on Myntra! Trendy styles await."/>
    <n v="2581"/>
    <n v="517"/>
    <n v="117"/>
    <n v="23229"/>
    <n v="22331"/>
    <n v="70"/>
    <x v="2"/>
    <s v="EndOfSeasonSale"/>
    <n v="0.14397026555013209"/>
  </r>
  <r>
    <s v="P300"/>
    <x v="0"/>
    <d v="2024-08-31T00:00:00"/>
    <x v="3"/>
    <s v="Explore the latest carousel on Myntra! Trendy styles await."/>
    <n v="4494"/>
    <n v="717"/>
    <n v="45"/>
    <n v="62916"/>
    <n v="62688"/>
    <n v="191"/>
    <x v="1"/>
    <s v="FashionUpgrade"/>
    <n v="8.3843797856049007E-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Explore the latest reel on Myntra! Trendy styles await."/>
    <n v="1461"/>
    <n v="184"/>
    <n v="344"/>
    <n v="21915"/>
    <n v="21675"/>
    <n v="15"/>
    <s v="#MyntraSale"/>
    <x v="0"/>
  </r>
  <r>
    <s v="P002"/>
    <s v="Twitter"/>
    <d v="2025-04-03T00:00:00"/>
    <s v="Text"/>
    <s v="Explore the latest text on Myntra! Trendy styles await."/>
    <n v="4054"/>
    <n v="389"/>
    <n v="493"/>
    <n v="64864"/>
    <n v="64383"/>
    <n v="117"/>
    <s v="#MyntraFashion"/>
    <x v="1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s v="#MyntraFashion,#MyntraSale"/>
    <x v="0"/>
  </r>
  <r>
    <s v="P004"/>
    <s v="Instagram"/>
    <d v="2024-08-12T00:00:00"/>
    <s v="Story"/>
    <s v="Explore the latest story on Myntra! Trendy styles await."/>
    <n v="2404"/>
    <n v="363"/>
    <n v="138"/>
    <n v="19232"/>
    <n v="18636"/>
    <n v="128"/>
    <s v="#MyntraSale"/>
    <x v="0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s v="#StyleWithMyntra,#MyntraFashion"/>
    <x v="2"/>
  </r>
  <r>
    <s v="P006"/>
    <s v="Facebook"/>
    <d v="2024-10-31T00:00:00"/>
    <s v="Carousel"/>
    <s v="Explore the latest carousel on Myntra! Trendy styles await."/>
    <n v="2945"/>
    <n v="930"/>
    <n v="355"/>
    <n v="23560"/>
    <n v="23275"/>
    <n v="256"/>
    <s v="#MyntraTrend"/>
    <x v="1"/>
  </r>
  <r>
    <s v="P007"/>
    <s v="Twitter"/>
    <d v="2024-06-24T00:00:00"/>
    <s v="Carousel"/>
    <s v="Explore the latest carousel on Myntra! Trendy styles await."/>
    <n v="3860"/>
    <n v="201"/>
    <n v="279"/>
    <n v="61760"/>
    <n v="61660"/>
    <n v="235"/>
    <s v="#MyntraTrend"/>
    <x v="2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s v="#MyntraFashion,#MyntraSale"/>
    <x v="2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s v="#MyntraFashion,#MyntraSale"/>
    <x v="2"/>
  </r>
  <r>
    <s v="P010"/>
    <s v="Facebook"/>
    <d v="2025-03-11T00:00:00"/>
    <s v="Image"/>
    <s v="Explore the latest image on Myntra! Trendy styles await."/>
    <n v="4241"/>
    <n v="902"/>
    <n v="47"/>
    <n v="72097"/>
    <n v="71598"/>
    <n v="167"/>
    <s v="#MyntraTrend"/>
    <x v="3"/>
  </r>
  <r>
    <s v="P011"/>
    <s v="Instagram"/>
    <d v="2025-02-02T00:00:00"/>
    <s v="Story"/>
    <s v="Explore the latest story on Myntra! Trendy styles await."/>
    <n v="1792"/>
    <n v="614"/>
    <n v="497"/>
    <n v="25088"/>
    <n v="24675"/>
    <n v="65"/>
    <s v="#StyleWithMyntra"/>
    <x v="0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s v="#StyleWithMyntra,#MyntraSale"/>
    <x v="2"/>
  </r>
  <r>
    <s v="P013"/>
    <s v="Youtube"/>
    <d v="2024-11-18T00:00:00"/>
    <s v="Carousel"/>
    <s v="Explore the latest carousel on Myntra! Trendy styles await."/>
    <n v="1171"/>
    <n v="286"/>
    <n v="231"/>
    <n v="22249"/>
    <n v="21282"/>
    <n v="114"/>
    <s v="#MyntraFashion"/>
    <x v="3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s v="#MyntraSale,#MyntraFashion"/>
    <x v="2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s v="#MyntraFashion,#FashionDeals"/>
    <x v="0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s v="#MyntraSale,#FashionDeals"/>
    <x v="2"/>
  </r>
  <r>
    <s v="P017"/>
    <s v="Facebook"/>
    <d v="2025-05-05T00:00:00"/>
    <s v="Text"/>
    <s v="Explore the latest text on Myntra! Trendy styles await."/>
    <n v="4441"/>
    <n v="511"/>
    <n v="70"/>
    <n v="53292"/>
    <n v="53082"/>
    <n v="159"/>
    <s v="#FashionDeals"/>
    <x v="2"/>
  </r>
  <r>
    <s v="P018"/>
    <s v="Instagram"/>
    <d v="2024-08-19T00:00:00"/>
    <s v="Reel"/>
    <s v="Explore the latest reel on Myntra! Trendy styles await."/>
    <n v="3000"/>
    <n v="382"/>
    <n v="325"/>
    <n v="36000"/>
    <n v="35819"/>
    <n v="19"/>
    <s v="#StyleWithMyntra"/>
    <x v="1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s v="#MyntraSale,#StyleWithMyntra"/>
    <x v="2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s v="#MyntraFashion,#MyntraSale"/>
    <x v="2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s v="#StyleWithMyntra,#MyntraTrend"/>
    <x v="2"/>
  </r>
  <r>
    <s v="P022"/>
    <s v="Facebook"/>
    <d v="2025-02-27T00:00:00"/>
    <s v="Text"/>
    <s v="Explore the latest text on Myntra! Trendy styles await."/>
    <n v="1570"/>
    <n v="187"/>
    <n v="260"/>
    <n v="25120"/>
    <n v="24613"/>
    <n v="133"/>
    <s v="#MyntraSale"/>
    <x v="3"/>
  </r>
  <r>
    <s v="P023"/>
    <s v="Facebook"/>
    <d v="2024-11-06T00:00:00"/>
    <s v="Video"/>
    <s v="Explore the latest video on Myntra! Trendy styles await."/>
    <n v="1606"/>
    <n v="547"/>
    <n v="316"/>
    <n v="32120"/>
    <n v="31736"/>
    <n v="225"/>
    <s v="#MyntraSale"/>
    <x v="2"/>
  </r>
  <r>
    <s v="P024"/>
    <s v="Facebook"/>
    <d v="2025-01-23T00:00:00"/>
    <s v="Video"/>
    <s v="Explore the latest video on Myntra! Trendy styles await."/>
    <n v="3961"/>
    <n v="761"/>
    <n v="131"/>
    <n v="67337"/>
    <n v="66615"/>
    <n v="161"/>
    <s v="#MyntraTrend"/>
    <x v="1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s v="#StyleWithMyntra,#MyntraSale"/>
    <x v="0"/>
  </r>
  <r>
    <s v="P026"/>
    <s v="Youtube"/>
    <d v="2025-04-05T00:00:00"/>
    <s v="Reel"/>
    <s v="Explore the latest reel on Myntra! Trendy styles await."/>
    <n v="3009"/>
    <n v="413"/>
    <n v="358"/>
    <n v="42126"/>
    <n v="41309"/>
    <n v="211"/>
    <s v="#MyntraSale"/>
    <x v="1"/>
  </r>
  <r>
    <s v="P027"/>
    <s v="Youtube"/>
    <d v="2024-09-17T00:00:00"/>
    <s v="Text"/>
    <s v="Explore the latest text on Myntra! Trendy styles await."/>
    <n v="2076"/>
    <n v="195"/>
    <n v="104"/>
    <n v="33216"/>
    <n v="32244"/>
    <n v="51"/>
    <s v="#MyntraTrend"/>
    <x v="3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s v="#MyntraSale,#MyntraTrend"/>
    <x v="1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s v="#MyntraTrend,#MyntraFashion"/>
    <x v="2"/>
  </r>
  <r>
    <s v="P030"/>
    <s v="Instagram"/>
    <d v="2025-02-25T00:00:00"/>
    <s v="Video"/>
    <s v="Explore the latest video on Myntra! Trendy styles await."/>
    <n v="3095"/>
    <n v="39"/>
    <n v="78"/>
    <n v="55710"/>
    <n v="54808"/>
    <n v="93"/>
    <s v="#MyntraSale"/>
    <x v="3"/>
  </r>
  <r>
    <s v="P031"/>
    <s v="Instagram"/>
    <d v="2024-12-16T00:00:00"/>
    <s v="Text"/>
    <s v="Explore the latest text on Myntra! Trendy styles await."/>
    <n v="438"/>
    <n v="153"/>
    <n v="275"/>
    <n v="3066"/>
    <n v="2701"/>
    <n v="282"/>
    <s v="#MyntraTrend"/>
    <x v="3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s v="#MyntraTrend,#MyntraFashion"/>
    <x v="3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s v="#MyntraFashion,#FashionDeals"/>
    <x v="2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s v="#MyntraTrend,#FashionDeals"/>
    <x v="1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s v="#StyleWithMyntra,#MyntraSale"/>
    <x v="2"/>
  </r>
  <r>
    <s v="P036"/>
    <s v="Instagram"/>
    <d v="2025-04-19T00:00:00"/>
    <s v="Story"/>
    <s v="Explore the latest story on Myntra! Trendy styles await."/>
    <n v="4518"/>
    <n v="285"/>
    <n v="383"/>
    <n v="67770"/>
    <n v="67621"/>
    <n v="31"/>
    <s v="#FashionDeals"/>
    <x v="1"/>
  </r>
  <r>
    <s v="P037"/>
    <s v="Facebook"/>
    <d v="2025-01-06T00:00:00"/>
    <s v="Carousel"/>
    <s v="Explore the latest carousel on Myntra! Trendy styles await."/>
    <n v="3024"/>
    <n v="925"/>
    <n v="350"/>
    <n v="24192"/>
    <n v="23518"/>
    <n v="36"/>
    <s v="#MyntraSale"/>
    <x v="2"/>
  </r>
  <r>
    <s v="P038"/>
    <s v="Youtube"/>
    <d v="2025-02-17T00:00:00"/>
    <s v="Reel"/>
    <s v="Explore the latest reel on Myntra! Trendy styles await."/>
    <n v="3138"/>
    <n v="123"/>
    <n v="291"/>
    <n v="28242"/>
    <n v="27550"/>
    <n v="87"/>
    <s v="#FashionDeals"/>
    <x v="3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s v="#FashionDeals,#MyntraSale"/>
    <x v="2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s v="#StyleWithMyntra,#MyntraSale"/>
    <x v="1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s v="#MyntraSale,#FashionDeals"/>
    <x v="2"/>
  </r>
  <r>
    <s v="P042"/>
    <s v="Youtube"/>
    <d v="2025-03-05T00:00:00"/>
    <s v="Reel"/>
    <s v="Explore the latest reel on Myntra! Trendy styles await."/>
    <n v="1543"/>
    <n v="820"/>
    <n v="333"/>
    <n v="12344"/>
    <n v="11496"/>
    <n v="241"/>
    <s v="#StyleWithMyntra"/>
    <x v="2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s v="#MyntraSale,#MyntraFashion"/>
    <x v="3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s v="#MyntraSale,#StyleWithMyntra"/>
    <x v="0"/>
  </r>
  <r>
    <s v="P045"/>
    <s v="Facebook"/>
    <d v="2024-11-01T00:00:00"/>
    <s v="Video"/>
    <s v="Explore the latest video on Myntra! Trendy styles await."/>
    <n v="3371"/>
    <n v="106"/>
    <n v="327"/>
    <n v="50565"/>
    <n v="49816"/>
    <n v="176"/>
    <s v="#FashionDeals"/>
    <x v="3"/>
  </r>
  <r>
    <s v="P046"/>
    <s v="Twitter"/>
    <d v="2025-05-02T00:00:00"/>
    <s v="Video"/>
    <s v="Explore the latest video on Myntra! Trendy styles await."/>
    <n v="1108"/>
    <n v="177"/>
    <n v="212"/>
    <n v="8864"/>
    <n v="8710"/>
    <n v="97"/>
    <s v="#MyntraFashion"/>
    <x v="3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s v="#FashionDeals,#MyntraFashion"/>
    <x v="0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s v="#MyntraFashion,#StyleWithMyntra"/>
    <x v="3"/>
  </r>
  <r>
    <s v="P049"/>
    <s v="Twitter"/>
    <d v="2024-06-10T00:00:00"/>
    <s v="Story"/>
    <s v="Explore the latest story on Myntra! Trendy styles await."/>
    <n v="2164"/>
    <n v="549"/>
    <n v="274"/>
    <n v="28132"/>
    <n v="27361"/>
    <n v="177"/>
    <s v="#StyleWithMyntra"/>
    <x v="0"/>
  </r>
  <r>
    <s v="P050"/>
    <s v="Youtube"/>
    <d v="2024-07-03T00:00:00"/>
    <s v="Story"/>
    <s v="Explore the latest story on Myntra! Trendy styles await."/>
    <n v="2754"/>
    <n v="130"/>
    <n v="90"/>
    <n v="22032"/>
    <n v="21288"/>
    <n v="112"/>
    <s v="#MyntraFashion"/>
    <x v="0"/>
  </r>
  <r>
    <s v="P051"/>
    <s v="Facebook"/>
    <d v="2024-06-13T00:00:00"/>
    <s v="Carousel"/>
    <s v="Explore the latest carousel on Myntra! Trendy styles await."/>
    <n v="2200"/>
    <n v="504"/>
    <n v="239"/>
    <n v="37400"/>
    <n v="36938"/>
    <n v="225"/>
    <s v="#MyntraSale"/>
    <x v="2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s v="#MyntraFashion,#MyntraSale"/>
    <x v="2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s v="#StyleWithMyntra,#MyntraTrend"/>
    <x v="3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s v="#MyntraFashion,#FashionDeals"/>
    <x v="1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s v="#MyntraSale,#MyntraTrend"/>
    <x v="3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s v="#StyleWithMyntra,#FashionDeals"/>
    <x v="1"/>
  </r>
  <r>
    <s v="P057"/>
    <s v="Twitter"/>
    <d v="2024-10-21T00:00:00"/>
    <s v="Video"/>
    <s v="Explore the latest video on Myntra! Trendy styles await."/>
    <n v="2825"/>
    <n v="535"/>
    <n v="295"/>
    <n v="45200"/>
    <n v="44739"/>
    <n v="169"/>
    <s v="#StyleWithMyntra"/>
    <x v="1"/>
  </r>
  <r>
    <s v="P058"/>
    <s v="Instagram"/>
    <d v="2025-04-15T00:00:00"/>
    <s v="Reel"/>
    <s v="Explore the latest reel on Myntra! Trendy styles await."/>
    <n v="103"/>
    <n v="770"/>
    <n v="19"/>
    <n v="1030"/>
    <n v="410"/>
    <n v="262"/>
    <s v="#MyntraSale"/>
    <x v="2"/>
  </r>
  <r>
    <s v="P059"/>
    <s v="Instagram"/>
    <d v="2024-06-22T00:00:00"/>
    <s v="Text"/>
    <s v="Explore the latest text on Myntra! Trendy styles await."/>
    <n v="2180"/>
    <n v="263"/>
    <n v="387"/>
    <n v="30520"/>
    <n v="30059"/>
    <n v="174"/>
    <s v="#FashionDeals"/>
    <x v="0"/>
  </r>
  <r>
    <s v="P060"/>
    <s v="Instagram"/>
    <d v="2025-01-28T00:00:00"/>
    <s v="Video"/>
    <s v="Explore the latest video on Myntra! Trendy styles await."/>
    <n v="904"/>
    <n v="973"/>
    <n v="63"/>
    <n v="11752"/>
    <n v="11580"/>
    <n v="84"/>
    <s v="#StyleWithMyntra"/>
    <x v="0"/>
  </r>
  <r>
    <s v="P061"/>
    <s v="Twitter"/>
    <d v="2024-09-05T00:00:00"/>
    <s v="Video"/>
    <s v="Explore the latest video on Myntra! Trendy styles await."/>
    <n v="4886"/>
    <n v="983"/>
    <n v="409"/>
    <n v="43974"/>
    <n v="43239"/>
    <n v="65"/>
    <s v="#MyntraFashion"/>
    <x v="0"/>
  </r>
  <r>
    <s v="P062"/>
    <s v="Twitter"/>
    <d v="2024-11-22T00:00:00"/>
    <s v="Carousel"/>
    <s v="Explore the latest carousel on Myntra! Trendy styles await."/>
    <n v="53"/>
    <n v="81"/>
    <n v="379"/>
    <n v="954"/>
    <n v="7"/>
    <n v="148"/>
    <s v="#FashionDeals"/>
    <x v="2"/>
  </r>
  <r>
    <s v="P063"/>
    <s v="Twitter"/>
    <d v="2024-07-31T00:00:00"/>
    <s v="Carousel"/>
    <s v="Explore the latest carousel on Myntra! Trendy styles await."/>
    <n v="4507"/>
    <n v="217"/>
    <n v="13"/>
    <n v="90140"/>
    <n v="89591"/>
    <n v="125"/>
    <s v="#MyntraSale"/>
    <x v="0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s v="#FashionDeals,#MyntraTrend"/>
    <x v="1"/>
  </r>
  <r>
    <s v="P065"/>
    <s v="Instagram"/>
    <d v="2025-03-28T00:00:00"/>
    <s v="Story"/>
    <s v="Explore the latest story on Myntra! Trendy styles await."/>
    <n v="1881"/>
    <n v="501"/>
    <n v="99"/>
    <n v="20691"/>
    <n v="19987"/>
    <n v="289"/>
    <s v="#FashionDeals"/>
    <x v="1"/>
  </r>
  <r>
    <s v="P066"/>
    <s v="Twitter"/>
    <d v="2024-07-26T00:00:00"/>
    <s v="Carousel"/>
    <s v="Explore the latest carousel on Myntra! Trendy styles await."/>
    <n v="432"/>
    <n v="171"/>
    <n v="280"/>
    <n v="3024"/>
    <n v="2285"/>
    <n v="184"/>
    <s v="#MyntraFashion"/>
    <x v="2"/>
  </r>
  <r>
    <s v="P067"/>
    <s v="Facebook"/>
    <d v="2025-03-29T00:00:00"/>
    <s v="Carousel"/>
    <s v="Explore the latest carousel on Myntra! Trendy styles await."/>
    <n v="4712"/>
    <n v="568"/>
    <n v="127"/>
    <n v="84816"/>
    <n v="84691"/>
    <n v="100"/>
    <s v="#FashionDeals"/>
    <x v="0"/>
  </r>
  <r>
    <s v="P068"/>
    <s v="Instagram"/>
    <d v="2024-12-08T00:00:00"/>
    <s v="Story"/>
    <s v="Explore the latest story on Myntra! Trendy styles await."/>
    <n v="2610"/>
    <n v="126"/>
    <n v="288"/>
    <n v="15660"/>
    <n v="15145"/>
    <n v="73"/>
    <s v="#MyntraFashion"/>
    <x v="0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s v="#StyleWithMyntra,#MyntraTrend"/>
    <x v="3"/>
  </r>
  <r>
    <s v="P070"/>
    <s v="Facebook"/>
    <d v="2025-04-02T00:00:00"/>
    <s v="Video"/>
    <s v="Explore the latest video on Myntra! Trendy styles await."/>
    <n v="199"/>
    <n v="772"/>
    <n v="400"/>
    <n v="3582"/>
    <n v="2988"/>
    <n v="43"/>
    <s v="#MyntraTrend"/>
    <x v="0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s v="#MyntraSale,#FashionDeals"/>
    <x v="1"/>
  </r>
  <r>
    <s v="P072"/>
    <s v="Youtube"/>
    <d v="2025-03-03T00:00:00"/>
    <s v="Reel"/>
    <s v="Explore the latest reel on Myntra! Trendy styles await."/>
    <n v="296"/>
    <n v="60"/>
    <n v="141"/>
    <n v="5624"/>
    <n v="5239"/>
    <n v="88"/>
    <s v="#MyntraTrend"/>
    <x v="3"/>
  </r>
  <r>
    <s v="P073"/>
    <s v="Facebook"/>
    <d v="2024-10-18T00:00:00"/>
    <s v="Story"/>
    <s v="Explore the latest story on Myntra! Trendy styles await."/>
    <n v="4126"/>
    <n v="426"/>
    <n v="486"/>
    <n v="78394"/>
    <n v="77798"/>
    <n v="88"/>
    <s v="#MyntraFashion"/>
    <x v="0"/>
  </r>
  <r>
    <s v="P074"/>
    <s v="Youtube"/>
    <d v="2024-10-28T00:00:00"/>
    <s v="Reel"/>
    <s v="Explore the latest reel on Myntra! Trendy styles await."/>
    <n v="1855"/>
    <n v="200"/>
    <n v="174"/>
    <n v="16695"/>
    <n v="16330"/>
    <n v="123"/>
    <s v="#MyntraFashion"/>
    <x v="2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s v="#StyleWithMyntra,#FashionDeals"/>
    <x v="2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s v="#MyntraSale,#MyntraFashion"/>
    <x v="3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s v="#MyntraFashion,#FashionDeals"/>
    <x v="2"/>
  </r>
  <r>
    <s v="P078"/>
    <s v="Twitter"/>
    <d v="2024-06-17T00:00:00"/>
    <s v="Image"/>
    <s v="Explore the latest image on Myntra! Trendy styles await."/>
    <n v="954"/>
    <n v="324"/>
    <n v="288"/>
    <n v="19080"/>
    <n v="18859"/>
    <n v="21"/>
    <s v="#MyntraTrend"/>
    <x v="2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s v="#MyntraSale,#MyntraTrend"/>
    <x v="2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s v="#FashionDeals,#MyntraFashion"/>
    <x v="1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s v="#MyntraTrend,#MyntraSale"/>
    <x v="2"/>
  </r>
  <r>
    <s v="P082"/>
    <s v="Instagram"/>
    <d v="2024-07-24T00:00:00"/>
    <s v="Image"/>
    <s v="Explore the latest image on Myntra! Trendy styles await."/>
    <n v="725"/>
    <n v="88"/>
    <n v="428"/>
    <n v="14500"/>
    <n v="13637"/>
    <n v="200"/>
    <s v="#MyntraTrend"/>
    <x v="2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s v="#MyntraTrend,#StyleWithMyntra"/>
    <x v="2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s v="#MyntraFashion,#FashionDeals"/>
    <x v="0"/>
  </r>
  <r>
    <s v="P085"/>
    <s v="Instagram"/>
    <d v="2025-04-19T00:00:00"/>
    <s v="Image"/>
    <s v="Explore the latest image on Myntra! Trendy styles await."/>
    <n v="4177"/>
    <n v="569"/>
    <n v="55"/>
    <n v="25062"/>
    <n v="24847"/>
    <n v="230"/>
    <s v="#MyntraFashion"/>
    <x v="0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s v="#MyntraTrend,#StyleWithMyntra"/>
    <x v="2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s v="#MyntraTrend,#MyntraSale"/>
    <x v="1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s v="#MyntraFashion,#MyntraSale"/>
    <x v="1"/>
  </r>
  <r>
    <s v="P089"/>
    <s v="Twitter"/>
    <d v="2025-01-10T00:00:00"/>
    <s v="Image"/>
    <s v="Explore the latest image on Myntra! Trendy styles await."/>
    <n v="2214"/>
    <n v="249"/>
    <n v="152"/>
    <n v="15498"/>
    <n v="14800"/>
    <n v="180"/>
    <s v="#MyntraSale"/>
    <x v="1"/>
  </r>
  <r>
    <s v="P090"/>
    <s v="Instagram"/>
    <d v="2024-06-03T00:00:00"/>
    <s v="Image"/>
    <s v="Explore the latest image on Myntra! Trendy styles await."/>
    <n v="3861"/>
    <n v="960"/>
    <n v="101"/>
    <n v="69498"/>
    <n v="68817"/>
    <n v="297"/>
    <s v="#MyntraFashion"/>
    <x v="1"/>
  </r>
  <r>
    <s v="P091"/>
    <s v="Facebook"/>
    <d v="2025-03-24T00:00:00"/>
    <s v="Image"/>
    <s v="Explore the latest image on Myntra! Trendy styles await."/>
    <n v="1263"/>
    <n v="397"/>
    <n v="357"/>
    <n v="25260"/>
    <n v="24615"/>
    <n v="137"/>
    <s v="#MyntraSale"/>
    <x v="1"/>
  </r>
  <r>
    <s v="P092"/>
    <s v="Twitter"/>
    <d v="2024-10-21T00:00:00"/>
    <s v="Story"/>
    <s v="Explore the latest story on Myntra! Trendy styles await."/>
    <n v="3801"/>
    <n v="967"/>
    <n v="401"/>
    <n v="38010"/>
    <n v="37625"/>
    <n v="236"/>
    <s v="#StyleWithMyntra"/>
    <x v="3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s v="#MyntraTrend,#FashionDeals"/>
    <x v="0"/>
  </r>
  <r>
    <s v="P094"/>
    <s v="Instagram"/>
    <d v="2024-11-07T00:00:00"/>
    <s v="Image"/>
    <s v="Explore the latest image on Myntra! Trendy styles await."/>
    <n v="2647"/>
    <n v="304"/>
    <n v="170"/>
    <n v="18529"/>
    <n v="17841"/>
    <n v="46"/>
    <s v="#StyleWithMyntra"/>
    <x v="1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s v="#StyleWithMyntra,#MyntraTrend"/>
    <x v="1"/>
  </r>
  <r>
    <s v="P096"/>
    <s v="Twitter"/>
    <d v="2024-09-10T00:00:00"/>
    <s v="Image"/>
    <s v="Explore the latest image on Myntra! Trendy styles await."/>
    <n v="1238"/>
    <n v="366"/>
    <n v="444"/>
    <n v="19808"/>
    <n v="19334"/>
    <n v="123"/>
    <s v="#FashionDeals"/>
    <x v="2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s v="#StyleWithMyntra,#MyntraSale"/>
    <x v="1"/>
  </r>
  <r>
    <s v="P098"/>
    <s v="Twitter"/>
    <d v="2024-06-10T00:00:00"/>
    <s v="Story"/>
    <s v="Explore the latest story on Myntra! Trendy styles await."/>
    <n v="1575"/>
    <n v="771"/>
    <n v="486"/>
    <n v="25200"/>
    <n v="24826"/>
    <n v="17"/>
    <s v="#StyleWithMyntra"/>
    <x v="2"/>
  </r>
  <r>
    <s v="P099"/>
    <s v="Youtube"/>
    <d v="2024-07-02T00:00:00"/>
    <s v="Carousel"/>
    <s v="Explore the latest carousel on Myntra! Trendy styles await."/>
    <n v="4171"/>
    <n v="548"/>
    <n v="86"/>
    <n v="66736"/>
    <n v="66634"/>
    <n v="173"/>
    <s v="#StyleWithMyntra"/>
    <x v="2"/>
  </r>
  <r>
    <s v="P100"/>
    <s v="Youtube"/>
    <d v="2025-02-10T00:00:00"/>
    <s v="Video"/>
    <s v="Explore the latest video on Myntra! Trendy styles await."/>
    <n v="1766"/>
    <n v="92"/>
    <n v="424"/>
    <n v="24724"/>
    <n v="24333"/>
    <n v="52"/>
    <s v="#StyleWithMyntra"/>
    <x v="0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s v="#MyntraSale,#StyleWithMyntra"/>
    <x v="1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s v="#MyntraTrend,#MyntraFashion"/>
    <x v="2"/>
  </r>
  <r>
    <s v="P103"/>
    <s v="Facebook"/>
    <d v="2024-06-11T00:00:00"/>
    <s v="Image"/>
    <s v="Explore the latest image on Myntra! Trendy styles await."/>
    <n v="3689"/>
    <n v="48"/>
    <n v="306"/>
    <n v="40579"/>
    <n v="39588"/>
    <n v="212"/>
    <s v="#MyntraTrend"/>
    <x v="0"/>
  </r>
  <r>
    <s v="P104"/>
    <s v="Youtube"/>
    <d v="2025-03-23T00:00:00"/>
    <s v="Story"/>
    <s v="Explore the latest story on Myntra! Trendy styles await."/>
    <n v="3655"/>
    <n v="568"/>
    <n v="286"/>
    <n v="32895"/>
    <n v="32015"/>
    <n v="199"/>
    <s v="#MyntraTrend"/>
    <x v="3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s v="#StyleWithMyntra,#FashionDeals"/>
    <x v="3"/>
  </r>
  <r>
    <s v="P106"/>
    <s v="Instagram"/>
    <d v="2025-02-04T00:00:00"/>
    <s v="Image"/>
    <s v="Explore the latest image on Myntra! Trendy styles await."/>
    <n v="4619"/>
    <n v="821"/>
    <n v="499"/>
    <n v="69285"/>
    <n v="69141"/>
    <n v="298"/>
    <s v="#MyntraFashion"/>
    <x v="0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s v="#MyntraSale,#StyleWithMyntra"/>
    <x v="2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s v="#StyleWithMyntra,#FashionDeals"/>
    <x v="0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s v="#MyntraFashion,#StyleWithMyntra"/>
    <x v="0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s v="#FashionDeals,#StyleWithMyntra"/>
    <x v="1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s v="#MyntraFashion,#StyleWithMyntra"/>
    <x v="2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s v="#MyntraFashion,#MyntraSale"/>
    <x v="2"/>
  </r>
  <r>
    <s v="P113"/>
    <s v="Twitter"/>
    <d v="2024-10-02T00:00:00"/>
    <s v="Carousel"/>
    <s v="Explore the latest carousel on Myntra! Trendy styles await."/>
    <n v="4419"/>
    <n v="236"/>
    <n v="369"/>
    <n v="44190"/>
    <n v="43582"/>
    <n v="10"/>
    <s v="#MyntraTrend"/>
    <x v="3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s v="#FashionDeals,#MyntraFashion"/>
    <x v="2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s v="#MyntraSale,#StyleWithMyntra"/>
    <x v="0"/>
  </r>
  <r>
    <s v="P116"/>
    <s v="Youtube"/>
    <d v="2025-03-18T00:00:00"/>
    <s v="Reel"/>
    <s v="Explore the latest reel on Myntra! Trendy styles await."/>
    <n v="3704"/>
    <n v="186"/>
    <n v="458"/>
    <n v="25928"/>
    <n v="25081"/>
    <n v="131"/>
    <s v="#StyleWithMyntra"/>
    <x v="0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s v="#MyntraSale,#StyleWithMyntra"/>
    <x v="1"/>
  </r>
  <r>
    <s v="P118"/>
    <s v="Facebook"/>
    <d v="2024-11-04T00:00:00"/>
    <s v="Image"/>
    <s v="Explore the latest image on Myntra! Trendy styles await."/>
    <n v="4551"/>
    <n v="714"/>
    <n v="207"/>
    <n v="68265"/>
    <n v="67754"/>
    <n v="57"/>
    <s v="#MyntraTrend"/>
    <x v="1"/>
  </r>
  <r>
    <s v="P119"/>
    <s v="Instagram"/>
    <d v="2025-02-07T00:00:00"/>
    <s v="Reel"/>
    <s v="Explore the latest reel on Myntra! Trendy styles await."/>
    <n v="1970"/>
    <n v="675"/>
    <n v="478"/>
    <n v="9850"/>
    <n v="8924"/>
    <n v="117"/>
    <s v="#MyntraTrend"/>
    <x v="3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s v="#MyntraSale,#MyntraFashion"/>
    <x v="3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s v="#FashionDeals,#StyleWithMyntra"/>
    <x v="3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s v="#MyntraFashion,#MyntraTrend"/>
    <x v="1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s v="#MyntraSale,#MyntraFashion"/>
    <x v="1"/>
  </r>
  <r>
    <s v="P124"/>
    <s v="Youtube"/>
    <d v="2025-04-06T00:00:00"/>
    <s v="Carousel"/>
    <s v="Explore the latest carousel on Myntra! Trendy styles await."/>
    <n v="736"/>
    <n v="771"/>
    <n v="225"/>
    <n v="5152"/>
    <n v="4706"/>
    <n v="19"/>
    <s v="#StyleWithMyntra"/>
    <x v="2"/>
  </r>
  <r>
    <s v="P125"/>
    <s v="Twitter"/>
    <d v="2024-09-08T00:00:00"/>
    <s v="Carousel"/>
    <s v="Explore the latest carousel on Myntra! Trendy styles await."/>
    <n v="3811"/>
    <n v="866"/>
    <n v="216"/>
    <n v="34299"/>
    <n v="34088"/>
    <n v="233"/>
    <s v="#StyleWithMyntra"/>
    <x v="2"/>
  </r>
  <r>
    <s v="P126"/>
    <s v="Instagram"/>
    <d v="2025-03-28T00:00:00"/>
    <s v="Carousel"/>
    <s v="Explore the latest carousel on Myntra! Trendy styles await."/>
    <n v="4158"/>
    <n v="167"/>
    <n v="241"/>
    <n v="45738"/>
    <n v="45183"/>
    <n v="142"/>
    <s v="#MyntraFashion"/>
    <x v="1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s v="#MyntraSale,#StyleWithMyntra"/>
    <x v="0"/>
  </r>
  <r>
    <s v="P128"/>
    <s v="Twitter"/>
    <d v="2025-01-10T00:00:00"/>
    <s v="Image"/>
    <s v="Explore the latest image on Myntra! Trendy styles await."/>
    <n v="3092"/>
    <n v="106"/>
    <n v="291"/>
    <n v="27828"/>
    <n v="27217"/>
    <n v="102"/>
    <s v="#StyleWithMyntra"/>
    <x v="3"/>
  </r>
  <r>
    <s v="P129"/>
    <s v="Twitter"/>
    <d v="2024-07-21T00:00:00"/>
    <s v="Text"/>
    <s v="Explore the latest text on Myntra! Trendy styles await."/>
    <n v="2147"/>
    <n v="430"/>
    <n v="393"/>
    <n v="17176"/>
    <n v="16483"/>
    <n v="170"/>
    <s v="#FashionDeals"/>
    <x v="3"/>
  </r>
  <r>
    <s v="P130"/>
    <s v="Youtube"/>
    <d v="2024-09-29T00:00:00"/>
    <s v="Reel"/>
    <s v="Explore the latest reel on Myntra! Trendy styles await."/>
    <n v="2936"/>
    <n v="439"/>
    <n v="44"/>
    <n v="38168"/>
    <n v="37571"/>
    <n v="22"/>
    <s v="#MyntraSale"/>
    <x v="2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s v="#MyntraSale,#MyntraFashion"/>
    <x v="1"/>
  </r>
  <r>
    <s v="P132"/>
    <s v="Instagram"/>
    <d v="2025-03-04T00:00:00"/>
    <s v="Story"/>
    <s v="Explore the latest story on Myntra! Trendy styles await."/>
    <n v="1947"/>
    <n v="842"/>
    <n v="101"/>
    <n v="21417"/>
    <n v="20967"/>
    <n v="186"/>
    <s v="#MyntraFashion"/>
    <x v="1"/>
  </r>
  <r>
    <s v="P133"/>
    <s v="Facebook"/>
    <d v="2025-02-06T00:00:00"/>
    <s v="Image"/>
    <s v="Explore the latest image on Myntra! Trendy styles await."/>
    <n v="2072"/>
    <n v="532"/>
    <n v="71"/>
    <n v="37296"/>
    <n v="36467"/>
    <n v="25"/>
    <s v="#MyntraSale"/>
    <x v="2"/>
  </r>
  <r>
    <s v="P134"/>
    <s v="Twitter"/>
    <d v="2025-04-24T00:00:00"/>
    <s v="Reel"/>
    <s v="Explore the latest reel on Myntra! Trendy styles await."/>
    <n v="3731"/>
    <n v="115"/>
    <n v="135"/>
    <n v="55965"/>
    <n v="55436"/>
    <n v="103"/>
    <s v="#FashionDeals"/>
    <x v="3"/>
  </r>
  <r>
    <s v="P135"/>
    <s v="Facebook"/>
    <d v="2024-11-28T00:00:00"/>
    <s v="Text"/>
    <s v="Explore the latest text on Myntra! Trendy styles await."/>
    <n v="4213"/>
    <n v="253"/>
    <n v="434"/>
    <n v="75834"/>
    <n v="75437"/>
    <n v="272"/>
    <s v="#MyntraTrend"/>
    <x v="2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s v="#MyntraSale,#MyntraFashion"/>
    <x v="3"/>
  </r>
  <r>
    <s v="P137"/>
    <s v="Facebook"/>
    <d v="2024-07-31T00:00:00"/>
    <s v="Video"/>
    <s v="Explore the latest video on Myntra! Trendy styles await."/>
    <n v="3008"/>
    <n v="94"/>
    <n v="37"/>
    <n v="15040"/>
    <n v="14639"/>
    <n v="277"/>
    <s v="#FashionDeals"/>
    <x v="0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s v="#MyntraFashion,#MyntraTrend"/>
    <x v="3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s v="#MyntraFashion,#StyleWithMyntra"/>
    <x v="1"/>
  </r>
  <r>
    <s v="P140"/>
    <s v="Facebook"/>
    <d v="2024-07-15T00:00:00"/>
    <s v="Image"/>
    <s v="Explore the latest image on Myntra! Trendy styles await."/>
    <n v="2291"/>
    <n v="78"/>
    <n v="485"/>
    <n v="18328"/>
    <n v="18101"/>
    <n v="10"/>
    <s v="#FashionDeals"/>
    <x v="0"/>
  </r>
  <r>
    <s v="P141"/>
    <s v="Twitter"/>
    <d v="2024-08-31T00:00:00"/>
    <s v="Image"/>
    <s v="Explore the latest image on Myntra! Trendy styles await."/>
    <n v="3170"/>
    <n v="857"/>
    <n v="379"/>
    <n v="19020"/>
    <n v="18559"/>
    <n v="240"/>
    <s v="#MyntraSale"/>
    <x v="2"/>
  </r>
  <r>
    <s v="P142"/>
    <s v="Youtube"/>
    <d v="2025-03-25T00:00:00"/>
    <s v="Story"/>
    <s v="Explore the latest story on Myntra! Trendy styles await."/>
    <n v="2070"/>
    <n v="275"/>
    <n v="386"/>
    <n v="39330"/>
    <n v="38627"/>
    <n v="114"/>
    <s v="#MyntraSale"/>
    <x v="3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s v="#MyntraFashion,#StyleWithMyntra"/>
    <x v="1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s v="#MyntraTrend,#StyleWithMyntra"/>
    <x v="0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s v="#FashionDeals,#MyntraTrend"/>
    <x v="0"/>
  </r>
  <r>
    <s v="P146"/>
    <s v="Youtube"/>
    <d v="2024-06-05T00:00:00"/>
    <s v="Reel"/>
    <s v="Explore the latest reel on Myntra! Trendy styles await."/>
    <n v="3065"/>
    <n v="772"/>
    <n v="142"/>
    <n v="18390"/>
    <n v="17875"/>
    <n v="200"/>
    <s v="#StyleWithMyntra"/>
    <x v="0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s v="#MyntraSale,#StyleWithMyntra"/>
    <x v="2"/>
  </r>
  <r>
    <s v="P148"/>
    <s v="Instagram"/>
    <d v="2025-04-15T00:00:00"/>
    <s v="Video"/>
    <s v="Explore the latest video on Myntra! Trendy styles await."/>
    <n v="4133"/>
    <n v="466"/>
    <n v="327"/>
    <n v="24798"/>
    <n v="24620"/>
    <n v="176"/>
    <s v="#StyleWithMyntra"/>
    <x v="1"/>
  </r>
  <r>
    <s v="P149"/>
    <s v="Twitter"/>
    <d v="2024-06-16T00:00:00"/>
    <s v="Video"/>
    <s v="Explore the latest video on Myntra! Trendy styles await."/>
    <n v="1702"/>
    <n v="750"/>
    <n v="179"/>
    <n v="34040"/>
    <n v="33174"/>
    <n v="76"/>
    <s v="#MyntraTrend"/>
    <x v="2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s v="#MyntraTrend,#MyntraSale"/>
    <x v="1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s v="#MyntraTrend,#StyleWithMyntra"/>
    <x v="2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s v="#MyntraSale,#StyleWithMyntra"/>
    <x v="3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s v="#FashionDeals,#MyntraTrend"/>
    <x v="2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s v="#MyntraSale,#MyntraFashion"/>
    <x v="1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s v="#MyntraFashion,#StyleWithMyntra"/>
    <x v="2"/>
  </r>
  <r>
    <s v="P156"/>
    <s v="Facebook"/>
    <d v="2024-10-22T00:00:00"/>
    <s v="Carousel"/>
    <s v="Explore the latest carousel on Myntra! Trendy styles await."/>
    <n v="3352"/>
    <n v="941"/>
    <n v="482"/>
    <n v="43576"/>
    <n v="43338"/>
    <n v="240"/>
    <s v="#MyntraTrend"/>
    <x v="2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s v="#StyleWithMyntra,#MyntraTrend"/>
    <x v="3"/>
  </r>
  <r>
    <s v="P158"/>
    <s v="Instagram"/>
    <d v="2024-08-11T00:00:00"/>
    <s v="Story"/>
    <s v="Explore the latest story on Myntra! Trendy styles await."/>
    <n v="1762"/>
    <n v="405"/>
    <n v="423"/>
    <n v="22906"/>
    <n v="21925"/>
    <n v="25"/>
    <s v="#FashionDeals"/>
    <x v="1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s v="#StyleWithMyntra,#MyntraTrend"/>
    <x v="1"/>
  </r>
  <r>
    <s v="P160"/>
    <s v="Twitter"/>
    <d v="2024-08-24T00:00:00"/>
    <s v="Video"/>
    <s v="Explore the latest video on Myntra! Trendy styles await."/>
    <n v="1082"/>
    <n v="209"/>
    <n v="484"/>
    <n v="19476"/>
    <n v="18654"/>
    <n v="20"/>
    <s v="#StyleWithMyntra"/>
    <x v="3"/>
  </r>
  <r>
    <s v="P161"/>
    <s v="Twitter"/>
    <d v="2025-02-19T00:00:00"/>
    <s v="Text"/>
    <s v="Explore the latest text on Myntra! Trendy styles await."/>
    <n v="4671"/>
    <n v="876"/>
    <n v="366"/>
    <n v="51381"/>
    <n v="50565"/>
    <n v="245"/>
    <s v="#MyntraSale"/>
    <x v="1"/>
  </r>
  <r>
    <s v="P162"/>
    <s v="Facebook"/>
    <d v="2025-04-01T00:00:00"/>
    <s v="Story"/>
    <s v="Explore the latest story on Myntra! Trendy styles await."/>
    <n v="3430"/>
    <n v="566"/>
    <n v="164"/>
    <n v="48020"/>
    <n v="47305"/>
    <n v="120"/>
    <s v="#MyntraTrend"/>
    <x v="1"/>
  </r>
  <r>
    <s v="P163"/>
    <s v="Instagram"/>
    <d v="2025-04-08T00:00:00"/>
    <s v="Image"/>
    <s v="Explore the latest image on Myntra! Trendy styles await."/>
    <n v="4501"/>
    <n v="375"/>
    <n v="323"/>
    <n v="22505"/>
    <n v="21836"/>
    <n v="132"/>
    <s v="#MyntraFashion"/>
    <x v="3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s v="#FashionDeals,#StyleWithMyntra"/>
    <x v="1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s v="#MyntraTrend,#StyleWithMyntra"/>
    <x v="1"/>
  </r>
  <r>
    <s v="P166"/>
    <s v="Twitter"/>
    <d v="2025-02-16T00:00:00"/>
    <s v="Reel"/>
    <s v="Explore the latest reel on Myntra! Trendy styles await."/>
    <n v="1076"/>
    <n v="313"/>
    <n v="306"/>
    <n v="11836"/>
    <n v="11596"/>
    <n v="104"/>
    <s v="#FashionDeals"/>
    <x v="1"/>
  </r>
  <r>
    <s v="P167"/>
    <s v="Instagram"/>
    <d v="2024-11-28T00:00:00"/>
    <s v="Text"/>
    <s v="Explore the latest text on Myntra! Trendy styles await."/>
    <n v="4771"/>
    <n v="818"/>
    <n v="56"/>
    <n v="57252"/>
    <n v="56378"/>
    <n v="150"/>
    <s v="#MyntraSale"/>
    <x v="1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s v="#MyntraFashion,#MyntraTrend"/>
    <x v="3"/>
  </r>
  <r>
    <s v="P169"/>
    <s v="Youtube"/>
    <d v="2024-12-03T00:00:00"/>
    <s v="Video"/>
    <s v="Explore the latest video on Myntra! Trendy styles await."/>
    <n v="3809"/>
    <n v="273"/>
    <n v="200"/>
    <n v="34281"/>
    <n v="33534"/>
    <n v="83"/>
    <s v="#MyntraTrend"/>
    <x v="2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s v="#StyleWithMyntra,#MyntraTrend"/>
    <x v="3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s v="#MyntraSale,#MyntraFashion"/>
    <x v="3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s v="#MyntraFashion,#StyleWithMyntra"/>
    <x v="3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s v="#FashionDeals,#MyntraTrend"/>
    <x v="3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s v="#MyntraSale,#StyleWithMyntra"/>
    <x v="3"/>
  </r>
  <r>
    <s v="P175"/>
    <s v="Instagram"/>
    <d v="2025-01-17T00:00:00"/>
    <s v="Reel"/>
    <s v="Explore the latest reel on Myntra! Trendy styles await."/>
    <n v="142"/>
    <n v="784"/>
    <n v="183"/>
    <n v="1704"/>
    <n v="995"/>
    <n v="154"/>
    <s v="#MyntraSale"/>
    <x v="0"/>
  </r>
  <r>
    <s v="P176"/>
    <s v="Facebook"/>
    <d v="2024-06-20T00:00:00"/>
    <s v="Video"/>
    <s v="Explore the latest video on Myntra! Trendy styles await."/>
    <n v="3798"/>
    <n v="31"/>
    <n v="279"/>
    <n v="75960"/>
    <n v="75813"/>
    <n v="266"/>
    <s v="#MyntraFashion"/>
    <x v="1"/>
  </r>
  <r>
    <s v="P177"/>
    <s v="Instagram"/>
    <d v="2024-07-10T00:00:00"/>
    <s v="Carousel"/>
    <s v="Explore the latest carousel on Myntra! Trendy styles await."/>
    <n v="3099"/>
    <n v="694"/>
    <n v="171"/>
    <n v="43386"/>
    <n v="42921"/>
    <n v="52"/>
    <s v="#FashionDeals"/>
    <x v="3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s v="#StyleWithMyntra,#FashionDeals"/>
    <x v="3"/>
  </r>
  <r>
    <s v="P179"/>
    <s v="Facebook"/>
    <d v="2024-07-15T00:00:00"/>
    <s v="Carousel"/>
    <s v="Explore the latest carousel on Myntra! Trendy styles await."/>
    <n v="3796"/>
    <n v="667"/>
    <n v="395"/>
    <n v="64532"/>
    <n v="63550"/>
    <n v="292"/>
    <s v="#StyleWithMyntra"/>
    <x v="0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s v="#StyleWithMyntra,#FashionDeals"/>
    <x v="3"/>
  </r>
  <r>
    <s v="P181"/>
    <s v="Youtube"/>
    <d v="2025-03-21T00:00:00"/>
    <s v="Image"/>
    <s v="Explore the latest image on Myntra! Trendy styles await."/>
    <n v="606"/>
    <n v="789"/>
    <n v="470"/>
    <n v="7878"/>
    <n v="7389"/>
    <n v="239"/>
    <s v="#MyntraSale"/>
    <x v="1"/>
  </r>
  <r>
    <s v="P182"/>
    <s v="Facebook"/>
    <d v="2024-07-31T00:00:00"/>
    <s v="Image"/>
    <s v="Explore the latest image on Myntra! Trendy styles await."/>
    <n v="4689"/>
    <n v="134"/>
    <n v="403"/>
    <n v="51579"/>
    <n v="50924"/>
    <n v="173"/>
    <s v="#FashionDeals"/>
    <x v="0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s v="#StyleWithMyntra,#FashionDeals"/>
    <x v="1"/>
  </r>
  <r>
    <s v="P184"/>
    <s v="Twitter"/>
    <d v="2024-07-28T00:00:00"/>
    <s v="Image"/>
    <s v="Explore the latest image on Myntra! Trendy styles await."/>
    <n v="3215"/>
    <n v="960"/>
    <n v="202"/>
    <n v="32150"/>
    <n v="31404"/>
    <n v="251"/>
    <s v="#StyleWithMyntra"/>
    <x v="2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s v="#MyntraSale,#MyntraTrend"/>
    <x v="3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s v="#MyntraTrend,#StyleWithMyntra"/>
    <x v="0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s v="#MyntraSale,#MyntraTrend"/>
    <x v="0"/>
  </r>
  <r>
    <s v="P188"/>
    <s v="Youtube"/>
    <d v="2024-06-06T00:00:00"/>
    <s v="Reel"/>
    <s v="Explore the latest reel on Myntra! Trendy styles await."/>
    <n v="2728"/>
    <n v="533"/>
    <n v="215"/>
    <n v="40920"/>
    <n v="40816"/>
    <n v="137"/>
    <s v="#MyntraSale"/>
    <x v="1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s v="#MyntraSale,#StyleWithMyntra"/>
    <x v="0"/>
  </r>
  <r>
    <s v="P190"/>
    <s v="Youtube"/>
    <d v="2024-10-04T00:00:00"/>
    <s v="Text"/>
    <s v="Explore the latest text on Myntra! Trendy styles await."/>
    <n v="1963"/>
    <n v="213"/>
    <n v="19"/>
    <n v="39260"/>
    <n v="38771"/>
    <n v="145"/>
    <s v="#StyleWithMyntra"/>
    <x v="0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s v="#MyntraFashion,#FashionDeals"/>
    <x v="3"/>
  </r>
  <r>
    <s v="P192"/>
    <s v="Instagram"/>
    <d v="2024-11-29T00:00:00"/>
    <s v="Video"/>
    <s v="Explore the latest video on Myntra! Trendy styles await."/>
    <n v="1176"/>
    <n v="464"/>
    <n v="394"/>
    <n v="14112"/>
    <n v="13588"/>
    <n v="272"/>
    <s v="#FashionDeals"/>
    <x v="0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s v="#FashionDeals,#MyntraTrend"/>
    <x v="0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s v="#FashionDeals,#StyleWithMyntra"/>
    <x v="1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s v="#MyntraFashion,#MyntraTrend"/>
    <x v="2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s v="#MyntraTrend,#MyntraFashion"/>
    <x v="2"/>
  </r>
  <r>
    <s v="P197"/>
    <s v="Twitter"/>
    <d v="2024-10-22T00:00:00"/>
    <s v="Reel"/>
    <s v="Explore the latest reel on Myntra! Trendy styles await."/>
    <n v="4782"/>
    <n v="721"/>
    <n v="82"/>
    <n v="86076"/>
    <n v="85339"/>
    <n v="19"/>
    <s v="#FashionDeals"/>
    <x v="1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s v="#MyntraTrend,#MyntraSale"/>
    <x v="1"/>
  </r>
  <r>
    <s v="P199"/>
    <s v="Youtube"/>
    <d v="2024-11-30T00:00:00"/>
    <s v="Carousel"/>
    <s v="Explore the latest carousel on Myntra! Trendy styles await."/>
    <n v="2509"/>
    <n v="324"/>
    <n v="171"/>
    <n v="35126"/>
    <n v="34685"/>
    <n v="277"/>
    <s v="#FashionDeals"/>
    <x v="1"/>
  </r>
  <r>
    <s v="P200"/>
    <s v="Facebook"/>
    <d v="2025-04-07T00:00:00"/>
    <s v="Reel"/>
    <s v="Explore the latest reel on Myntra! Trendy styles await."/>
    <n v="3718"/>
    <n v="385"/>
    <n v="310"/>
    <n v="70642"/>
    <n v="69749"/>
    <n v="233"/>
    <s v="#MyntraTrend"/>
    <x v="0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s v="#MyntraSale,#FashionDeals"/>
    <x v="3"/>
  </r>
  <r>
    <s v="P202"/>
    <s v="Facebook"/>
    <d v="2024-06-02T00:00:00"/>
    <s v="Image"/>
    <s v="Explore the latest image on Myntra! Trendy styles await."/>
    <n v="1871"/>
    <n v="252"/>
    <n v="335"/>
    <n v="29936"/>
    <n v="29576"/>
    <n v="288"/>
    <s v="#MyntraTrend"/>
    <x v="1"/>
  </r>
  <r>
    <s v="P203"/>
    <s v="Instagram"/>
    <d v="2024-11-21T00:00:00"/>
    <s v="Carousel"/>
    <s v="Explore the latest carousel on Myntra! Trendy styles await."/>
    <n v="3773"/>
    <n v="299"/>
    <n v="38"/>
    <n v="71687"/>
    <n v="71447"/>
    <n v="286"/>
    <s v="#MyntraTrend"/>
    <x v="3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s v="#FashionDeals,#StyleWithMyntra"/>
    <x v="3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s v="#StyleWithMyntra,#FashionDeals"/>
    <x v="0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s v="#MyntraFashion,#MyntraSale"/>
    <x v="1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s v="#StyleWithMyntra,#FashionDeals"/>
    <x v="2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s v="#MyntraTrend,#FashionDeals"/>
    <x v="0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s v="#StyleWithMyntra,#MyntraTrend"/>
    <x v="0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s v="#MyntraTrend,#MyntraSale"/>
    <x v="0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s v="#MyntraTrend,#MyntraSale"/>
    <x v="0"/>
  </r>
  <r>
    <s v="P212"/>
    <s v="Youtube"/>
    <d v="2025-03-03T00:00:00"/>
    <s v="Video"/>
    <s v="Explore the latest video on Myntra! Trendy styles await."/>
    <n v="3874"/>
    <n v="884"/>
    <n v="19"/>
    <n v="38740"/>
    <n v="38552"/>
    <n v="219"/>
    <s v="#StyleWithMyntra"/>
    <x v="3"/>
  </r>
  <r>
    <s v="P213"/>
    <s v="Facebook"/>
    <d v="2025-05-01T00:00:00"/>
    <s v="Carousel"/>
    <s v="Explore the latest carousel on Myntra! Trendy styles await."/>
    <n v="2696"/>
    <n v="628"/>
    <n v="443"/>
    <n v="45832"/>
    <n v="45632"/>
    <n v="248"/>
    <s v="#MyntraSale"/>
    <x v="2"/>
  </r>
  <r>
    <s v="P214"/>
    <s v="Instagram"/>
    <d v="2024-12-23T00:00:00"/>
    <s v="Image"/>
    <s v="Explore the latest image on Myntra! Trendy styles await."/>
    <n v="521"/>
    <n v="746"/>
    <n v="315"/>
    <n v="4168"/>
    <n v="3399"/>
    <n v="282"/>
    <s v="#MyntraSale"/>
    <x v="0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s v="#MyntraSale,#MyntraTrend"/>
    <x v="0"/>
  </r>
  <r>
    <s v="P216"/>
    <s v="Youtube"/>
    <d v="2024-07-29T00:00:00"/>
    <s v="Story"/>
    <s v="Explore the latest story on Myntra! Trendy styles await."/>
    <n v="1509"/>
    <n v="88"/>
    <n v="163"/>
    <n v="30180"/>
    <n v="29689"/>
    <n v="119"/>
    <s v="#MyntraTrend"/>
    <x v="0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s v="#FashionDeals,#MyntraFashion"/>
    <x v="2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s v="#FashionDeals,#StyleWithMyntra"/>
    <x v="0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s v="#StyleWithMyntra,#MyntraFashion"/>
    <x v="1"/>
  </r>
  <r>
    <s v="P220"/>
    <s v="Instagram"/>
    <d v="2024-06-02T00:00:00"/>
    <s v="Story"/>
    <s v="Explore the latest story on Myntra! Trendy styles await."/>
    <n v="84"/>
    <n v="897"/>
    <n v="85"/>
    <n v="588"/>
    <n v="8"/>
    <n v="12"/>
    <s v="#StyleWithMyntra"/>
    <x v="1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s v="#MyntraTrend,#MyntraFashion"/>
    <x v="3"/>
  </r>
  <r>
    <s v="P222"/>
    <s v="Facebook"/>
    <d v="2024-10-08T00:00:00"/>
    <s v="Reel"/>
    <s v="Explore the latest reel on Myntra! Trendy styles await."/>
    <n v="1814"/>
    <n v="653"/>
    <n v="363"/>
    <n v="25396"/>
    <n v="25286"/>
    <n v="39"/>
    <s v="#StyleWithMyntra"/>
    <x v="0"/>
  </r>
  <r>
    <s v="P223"/>
    <s v="Twitter"/>
    <d v="2024-11-12T00:00:00"/>
    <s v="Image"/>
    <s v="Explore the latest image on Myntra! Trendy styles await."/>
    <n v="3338"/>
    <n v="277"/>
    <n v="118"/>
    <n v="60084"/>
    <n v="59842"/>
    <n v="252"/>
    <s v="#StyleWithMyntra"/>
    <x v="0"/>
  </r>
  <r>
    <s v="P224"/>
    <s v="Facebook"/>
    <d v="2025-05-13T00:00:00"/>
    <s v="Image"/>
    <s v="Explore the latest image on Myntra! Trendy styles await."/>
    <n v="602"/>
    <n v="594"/>
    <n v="156"/>
    <n v="4214"/>
    <n v="3363"/>
    <n v="164"/>
    <s v="#MyntraSale"/>
    <x v="2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s v="#FashionDeals,#MyntraSale"/>
    <x v="2"/>
  </r>
  <r>
    <s v="P226"/>
    <s v="Instagram"/>
    <d v="2024-08-07T00:00:00"/>
    <s v="Carousel"/>
    <s v="Explore the latest carousel on Myntra! Trendy styles await."/>
    <n v="1741"/>
    <n v="164"/>
    <n v="318"/>
    <n v="8705"/>
    <n v="8272"/>
    <n v="121"/>
    <s v="#MyntraSale"/>
    <x v="1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s v="#MyntraTrend,#FashionDeals"/>
    <x v="1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s v="#MyntraTrend,#MyntraSale"/>
    <x v="3"/>
  </r>
  <r>
    <s v="P229"/>
    <s v="Instagram"/>
    <d v="2024-07-03T00:00:00"/>
    <s v="Carousel"/>
    <s v="Explore the latest carousel on Myntra! Trendy styles await."/>
    <n v="4799"/>
    <n v="694"/>
    <n v="289"/>
    <n v="43191"/>
    <n v="42228"/>
    <n v="118"/>
    <s v="#MyntraTrend"/>
    <x v="1"/>
  </r>
  <r>
    <s v="P230"/>
    <s v="Facebook"/>
    <d v="2024-07-15T00:00:00"/>
    <s v="Reel"/>
    <s v="Explore the latest reel on Myntra! Trendy styles await."/>
    <n v="3663"/>
    <n v="17"/>
    <n v="295"/>
    <n v="51282"/>
    <n v="50567"/>
    <n v="84"/>
    <s v="#MyntraSale"/>
    <x v="0"/>
  </r>
  <r>
    <s v="P231"/>
    <s v="Instagram"/>
    <d v="2025-05-01T00:00:00"/>
    <s v="Text"/>
    <s v="Explore the latest text on Myntra! Trendy styles await."/>
    <n v="1430"/>
    <n v="376"/>
    <n v="33"/>
    <n v="21450"/>
    <n v="20509"/>
    <n v="251"/>
    <s v="#FashionDeals"/>
    <x v="2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s v="#MyntraFashion,#MyntraTrend"/>
    <x v="3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s v="#FashionDeals,#MyntraTrend"/>
    <x v="1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s v="#MyntraFashion,#FashionDeals"/>
    <x v="1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s v="#StyleWithMyntra,#MyntraTrend"/>
    <x v="3"/>
  </r>
  <r>
    <s v="P236"/>
    <s v="Facebook"/>
    <d v="2024-08-19T00:00:00"/>
    <s v="Text"/>
    <s v="Explore the latest text on Myntra! Trendy styles await."/>
    <n v="1257"/>
    <n v="19"/>
    <n v="351"/>
    <n v="12570"/>
    <n v="11660"/>
    <n v="194"/>
    <s v="#StyleWithMyntra"/>
    <x v="0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s v="#MyntraSale,#MyntraTrend"/>
    <x v="3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s v="#MyntraTrend,#MyntraFashion"/>
    <x v="0"/>
  </r>
  <r>
    <s v="P239"/>
    <s v="Youtube"/>
    <d v="2025-02-24T00:00:00"/>
    <s v="Text"/>
    <s v="Explore the latest text on Myntra! Trendy styles await."/>
    <n v="4188"/>
    <n v="942"/>
    <n v="118"/>
    <n v="20940"/>
    <n v="20471"/>
    <n v="102"/>
    <s v="#StyleWithMyntra"/>
    <x v="1"/>
  </r>
  <r>
    <s v="P240"/>
    <s v="Twitter"/>
    <d v="2024-08-26T00:00:00"/>
    <s v="Carousel"/>
    <s v="Explore the latest carousel on Myntra! Trendy styles await."/>
    <n v="929"/>
    <n v="192"/>
    <n v="322"/>
    <n v="16722"/>
    <n v="15996"/>
    <n v="145"/>
    <s v="#MyntraFashion"/>
    <x v="2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s v="#MyntraSale,#MyntraFashion"/>
    <x v="2"/>
  </r>
  <r>
    <s v="P242"/>
    <s v="Facebook"/>
    <d v="2024-07-07T00:00:00"/>
    <s v="Reel"/>
    <s v="Explore the latest reel on Myntra! Trendy styles await."/>
    <n v="4767"/>
    <n v="190"/>
    <n v="340"/>
    <n v="28602"/>
    <n v="28044"/>
    <n v="210"/>
    <s v="#FashionDeals"/>
    <x v="3"/>
  </r>
  <r>
    <s v="P243"/>
    <s v="Twitter"/>
    <d v="2025-03-06T00:00:00"/>
    <s v="Image"/>
    <s v="Explore the latest image on Myntra! Trendy styles await."/>
    <n v="3592"/>
    <n v="911"/>
    <n v="375"/>
    <n v="50288"/>
    <n v="49490"/>
    <n v="32"/>
    <s v="#StyleWithMyntra"/>
    <x v="1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s v="#StyleWithMyntra,#FashionDeals"/>
    <x v="0"/>
  </r>
  <r>
    <s v="P245"/>
    <s v="Facebook"/>
    <d v="2025-01-12T00:00:00"/>
    <s v="Reel"/>
    <s v="Explore the latest reel on Myntra! Trendy styles await."/>
    <n v="4134"/>
    <n v="824"/>
    <n v="99"/>
    <n v="41340"/>
    <n v="41050"/>
    <n v="177"/>
    <s v="#MyntraFashion"/>
    <x v="1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s v="#MyntraSale,#MyntraTrend"/>
    <x v="1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s v="#MyntraTrend,#MyntraFashion"/>
    <x v="3"/>
  </r>
  <r>
    <s v="P248"/>
    <s v="Facebook"/>
    <d v="2025-02-02T00:00:00"/>
    <s v="Story"/>
    <s v="Explore the latest story on Myntra! Trendy styles await."/>
    <n v="886"/>
    <n v="126"/>
    <n v="153"/>
    <n v="4430"/>
    <n v="4037"/>
    <n v="212"/>
    <s v="#MyntraSale"/>
    <x v="2"/>
  </r>
  <r>
    <s v="P249"/>
    <s v="Twitter"/>
    <d v="2024-07-18T00:00:00"/>
    <s v="Image"/>
    <s v="Explore the latest image on Myntra! Trendy styles await."/>
    <n v="827"/>
    <n v="77"/>
    <n v="402"/>
    <n v="14886"/>
    <n v="14129"/>
    <n v="254"/>
    <s v="#StyleWithMyntra"/>
    <x v="1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s v="#FashionDeals,#MyntraTrend"/>
    <x v="0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s v="#FashionDeals,#MyntraFashion"/>
    <x v="2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s v="#StyleWithMyntra,#MyntraSale"/>
    <x v="0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s v="#StyleWithMyntra,#FashionDeals"/>
    <x v="0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s v="#FashionDeals,#MyntraTrend"/>
    <x v="3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s v="#StyleWithMyntra,#FashionDeals"/>
    <x v="0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s v="#FashionDeals,#MyntraSale"/>
    <x v="3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s v="#FashionDeals,#StyleWithMyntra"/>
    <x v="3"/>
  </r>
  <r>
    <s v="P258"/>
    <s v="Instagram"/>
    <d v="2024-08-05T00:00:00"/>
    <s v="Story"/>
    <s v="Explore the latest story on Myntra! Trendy styles await."/>
    <n v="3601"/>
    <n v="695"/>
    <n v="75"/>
    <n v="21606"/>
    <n v="21454"/>
    <n v="172"/>
    <s v="#StyleWithMyntra"/>
    <x v="1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s v="#FashionDeals,#MyntraSale"/>
    <x v="3"/>
  </r>
  <r>
    <s v="P260"/>
    <s v="Instagram"/>
    <d v="2025-02-12T00:00:00"/>
    <s v="Story"/>
    <s v="Explore the latest story on Myntra! Trendy styles await."/>
    <n v="4332"/>
    <n v="771"/>
    <n v="219"/>
    <n v="60648"/>
    <n v="60397"/>
    <n v="10"/>
    <s v="#MyntraFashion"/>
    <x v="2"/>
  </r>
  <r>
    <s v="P261"/>
    <s v="Instagram"/>
    <d v="2024-10-27T00:00:00"/>
    <s v="Image"/>
    <s v="Explore the latest image on Myntra! Trendy styles await."/>
    <n v="4853"/>
    <n v="837"/>
    <n v="340"/>
    <n v="72795"/>
    <n v="72237"/>
    <n v="170"/>
    <s v="#MyntraSale"/>
    <x v="1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s v="#MyntraSale,#StyleWithMyntra"/>
    <x v="2"/>
  </r>
  <r>
    <s v="P263"/>
    <s v="Instagram"/>
    <d v="2024-08-20T00:00:00"/>
    <s v="Reel"/>
    <s v="Explore the latest reel on Myntra! Trendy styles await."/>
    <n v="2603"/>
    <n v="690"/>
    <n v="205"/>
    <n v="13015"/>
    <n v="12130"/>
    <n v="20"/>
    <s v="#MyntraTrend"/>
    <x v="0"/>
  </r>
  <r>
    <s v="P264"/>
    <s v="Twitter"/>
    <d v="2025-01-30T00:00:00"/>
    <s v="Image"/>
    <s v="Explore the latest image on Myntra! Trendy styles await."/>
    <n v="59"/>
    <n v="163"/>
    <n v="93"/>
    <n v="590"/>
    <n v="475"/>
    <n v="293"/>
    <s v="#MyntraTrend"/>
    <x v="3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s v="#StyleWithMyntra,#MyntraSale"/>
    <x v="0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s v="#MyntraSale,#StyleWithMyntra"/>
    <x v="2"/>
  </r>
  <r>
    <s v="P267"/>
    <s v="Twitter"/>
    <d v="2024-10-04T00:00:00"/>
    <s v="Reel"/>
    <s v="Explore the latest reel on Myntra! Trendy styles await."/>
    <n v="4187"/>
    <n v="66"/>
    <n v="31"/>
    <n v="66992"/>
    <n v="66614"/>
    <n v="62"/>
    <s v="#StyleWithMyntra"/>
    <x v="3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s v="#StyleWithMyntra,#MyntraFashion"/>
    <x v="0"/>
  </r>
  <r>
    <s v="P269"/>
    <s v="Instagram"/>
    <d v="2024-11-05T00:00:00"/>
    <s v="Video"/>
    <s v="Explore the latest video on Myntra! Trendy styles await."/>
    <n v="4561"/>
    <n v="51"/>
    <n v="441"/>
    <n v="22805"/>
    <n v="21890"/>
    <n v="45"/>
    <s v="#StyleWithMyntra"/>
    <x v="1"/>
  </r>
  <r>
    <s v="P270"/>
    <s v="Youtube"/>
    <d v="2025-01-15T00:00:00"/>
    <s v="Reel"/>
    <s v="Explore the latest reel on Myntra! Trendy styles await."/>
    <n v="3774"/>
    <n v="239"/>
    <n v="39"/>
    <n v="60384"/>
    <n v="59490"/>
    <n v="241"/>
    <s v="#FashionDeals"/>
    <x v="2"/>
  </r>
  <r>
    <s v="P271"/>
    <s v="Instagram"/>
    <d v="2024-10-17T00:00:00"/>
    <s v="Video"/>
    <s v="Explore the latest video on Myntra! Trendy styles await."/>
    <n v="3575"/>
    <n v="749"/>
    <n v="111"/>
    <n v="21450"/>
    <n v="20785"/>
    <n v="195"/>
    <s v="#FashionDeals"/>
    <x v="2"/>
  </r>
  <r>
    <s v="P272"/>
    <s v="Instagram"/>
    <d v="2025-03-27T00:00:00"/>
    <s v="Text"/>
    <s v="Explore the latest text on Myntra! Trendy styles await."/>
    <n v="4941"/>
    <n v="414"/>
    <n v="266"/>
    <n v="39528"/>
    <n v="39154"/>
    <n v="217"/>
    <s v="#MyntraSale"/>
    <x v="1"/>
  </r>
  <r>
    <s v="P273"/>
    <s v="Youtube"/>
    <d v="2024-10-12T00:00:00"/>
    <s v="Story"/>
    <s v="Explore the latest story on Myntra! Trendy styles await."/>
    <n v="3641"/>
    <n v="226"/>
    <n v="46"/>
    <n v="40051"/>
    <n v="39319"/>
    <n v="296"/>
    <s v="#MyntraTrend"/>
    <x v="1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s v="#MyntraTrend,#StyleWithMyntra"/>
    <x v="1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s v="#MyntraFashion,#FashionDeals"/>
    <x v="3"/>
  </r>
  <r>
    <s v="P276"/>
    <s v="Twitter"/>
    <d v="2024-06-07T00:00:00"/>
    <s v="Carousel"/>
    <s v="Explore the latest carousel on Myntra! Trendy styles await."/>
    <n v="1556"/>
    <n v="195"/>
    <n v="131"/>
    <n v="9336"/>
    <n v="8875"/>
    <n v="137"/>
    <s v="#MyntraFashion"/>
    <x v="1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s v="#MyntraTrend,#MyntraSale"/>
    <x v="3"/>
  </r>
  <r>
    <s v="P278"/>
    <s v="Twitter"/>
    <d v="2024-11-26T00:00:00"/>
    <s v="Text"/>
    <s v="Explore the latest text on Myntra! Trendy styles await."/>
    <n v="4516"/>
    <n v="836"/>
    <n v="169"/>
    <n v="49676"/>
    <n v="49257"/>
    <n v="282"/>
    <s v="#MyntraTrend"/>
    <x v="0"/>
  </r>
  <r>
    <s v="P279"/>
    <s v="Youtube"/>
    <d v="2024-09-02T00:00:00"/>
    <s v="Image"/>
    <s v="Explore the latest image on Myntra! Trendy styles await."/>
    <n v="4905"/>
    <n v="845"/>
    <n v="129"/>
    <n v="98100"/>
    <n v="97772"/>
    <n v="279"/>
    <s v="#MyntraTrend"/>
    <x v="3"/>
  </r>
  <r>
    <s v="P280"/>
    <s v="Youtube"/>
    <d v="2024-10-21T00:00:00"/>
    <s v="Video"/>
    <s v="Explore the latest video on Myntra! Trendy styles await."/>
    <n v="4275"/>
    <n v="680"/>
    <n v="385"/>
    <n v="64125"/>
    <n v="63650"/>
    <n v="104"/>
    <s v="#StyleWithMyntra"/>
    <x v="3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s v="#MyntraFashion,#StyleWithMyntra"/>
    <x v="1"/>
  </r>
  <r>
    <s v="P282"/>
    <s v="Instagram"/>
    <d v="2024-10-03T00:00:00"/>
    <s v="Video"/>
    <s v="Explore the latest video on Myntra! Trendy styles await."/>
    <n v="1488"/>
    <n v="417"/>
    <n v="168"/>
    <n v="19344"/>
    <n v="18395"/>
    <n v="30"/>
    <s v="#MyntraSale"/>
    <x v="0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s v="#MyntraTrend,#MyntraFashion"/>
    <x v="2"/>
  </r>
  <r>
    <s v="P284"/>
    <s v="Twitter"/>
    <d v="2024-09-17T00:00:00"/>
    <s v="Text"/>
    <s v="Explore the latest text on Myntra! Trendy styles await."/>
    <n v="571"/>
    <n v="190"/>
    <n v="352"/>
    <n v="9707"/>
    <n v="9418"/>
    <n v="231"/>
    <s v="#FashionDeals"/>
    <x v="1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s v="#FashionDeals,#StyleWithMyntra"/>
    <x v="0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s v="#MyntraFashion,#MyntraSale"/>
    <x v="1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s v="#MyntraFashion,#MyntraTrend"/>
    <x v="2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s v="#MyntraFashion,#FashionDeals"/>
    <x v="2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s v="#MyntraTrend,#StyleWithMyntra"/>
    <x v="1"/>
  </r>
  <r>
    <s v="P290"/>
    <s v="Instagram"/>
    <d v="2024-12-20T00:00:00"/>
    <s v="Carousel"/>
    <s v="Explore the latest carousel on Myntra! Trendy styles await."/>
    <n v="2107"/>
    <n v="550"/>
    <n v="349"/>
    <n v="35819"/>
    <n v="35340"/>
    <n v="191"/>
    <s v="#MyntraTrend"/>
    <x v="2"/>
  </r>
  <r>
    <s v="P291"/>
    <s v="Facebook"/>
    <d v="2024-11-06T00:00:00"/>
    <s v="Video"/>
    <s v="Explore the latest video on Myntra! Trendy styles await."/>
    <n v="4663"/>
    <n v="145"/>
    <n v="225"/>
    <n v="69945"/>
    <n v="69596"/>
    <n v="35"/>
    <s v="#MyntraFashion"/>
    <x v="1"/>
  </r>
  <r>
    <s v="P292"/>
    <s v="Facebook"/>
    <d v="2024-11-17T00:00:00"/>
    <s v="Text"/>
    <s v="Explore the latest text on Myntra! Trendy styles await."/>
    <n v="880"/>
    <n v="297"/>
    <n v="345"/>
    <n v="12320"/>
    <n v="11978"/>
    <n v="238"/>
    <s v="#MyntraSale"/>
    <x v="1"/>
  </r>
  <r>
    <s v="P293"/>
    <s v="Facebook"/>
    <d v="2025-05-14T00:00:00"/>
    <s v="Text"/>
    <s v="Explore the latest text on Myntra! Trendy styles await."/>
    <n v="2634"/>
    <n v="726"/>
    <n v="241"/>
    <n v="28974"/>
    <n v="28102"/>
    <n v="277"/>
    <s v="#StyleWithMyntra"/>
    <x v="2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s v="#MyntraTrend,#MyntraFashion"/>
    <x v="3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s v="#MyntraSale,#MyntraFashion"/>
    <x v="2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s v="#MyntraFashion,#FashionDeals"/>
    <x v="0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s v="#StyleWithMyntra,#MyntraTrend"/>
    <x v="0"/>
  </r>
  <r>
    <s v="P298"/>
    <s v="Facebook"/>
    <d v="2024-10-24T00:00:00"/>
    <s v="Image"/>
    <s v="Explore the latest image on Myntra! Trendy styles await."/>
    <n v="4303"/>
    <n v="451"/>
    <n v="286"/>
    <n v="86060"/>
    <n v="85823"/>
    <n v="14"/>
    <s v="#MyntraSale"/>
    <x v="1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s v="#MyntraSale,#StyleWithMyntra"/>
    <x v="1"/>
  </r>
  <r>
    <s v="P300"/>
    <s v="Twitter"/>
    <d v="2024-08-31T00:00:00"/>
    <s v="Carousel"/>
    <s v="Explore the latest carousel on Myntra! Trendy styles await."/>
    <n v="4494"/>
    <n v="717"/>
    <n v="45"/>
    <n v="62916"/>
    <n v="62688"/>
    <n v="191"/>
    <s v="#MyntraFashio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BF80C-F22F-4539-9211-F60C9F93D59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7:T43" firstHeaderRow="1" firstDataRow="1" firstDataCol="1"/>
  <pivotFields count="15">
    <pivotField showAll="0"/>
    <pivotField showAll="0"/>
    <pivotField showAll="0"/>
    <pivotField showAll="0">
      <items count="7">
        <item x="3"/>
        <item x="4"/>
        <item x="0"/>
        <item x="2"/>
        <item x="1"/>
        <item x="5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>
      <items count="7">
        <item x="3"/>
        <item x="2"/>
        <item x="1"/>
        <item x="5"/>
        <item x="4"/>
        <item x="0"/>
        <item t="default"/>
      </items>
    </pivotField>
    <pivotField showAll="0"/>
    <pivotField numFmtId="2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Clicks" fld="10" subtotal="average" baseField="11" baseItem="0" numFmtId="1"/>
  </dataFields>
  <formats count="8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1" type="button" dataOnly="0" labelOnly="1" outline="0" axis="axisRow" fieldPosition="0"/>
    </format>
    <format dxfId="37">
      <pivotArea dataOnly="0" labelOnly="1" fieldPosition="0">
        <references count="1">
          <reference field="11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dataOnly="0" labelOnly="1" outline="0" axis="axisValues" fieldPosition="0"/>
    </format>
    <format dxfId="33">
      <pivotArea field="1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0103B-1F6C-4ADB-9EC4-2CC8B526C3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5:AH34" firstHeaderRow="1" firstDataRow="3" firstDataCol="1"/>
  <pivotFields count="15"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  <pivotField numFmtId="2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 numFmtId="1"/>
    <dataField name="Sum of Shares" fld="6" baseField="0" baseItem="0" numFmtId="1"/>
    <dataField name="Sum of Comments" fld="7" baseField="0" baseItem="0" numFmtId="1"/>
  </dataFields>
  <formats count="55">
    <format dxfId="95">
      <pivotArea field="1" type="button" dataOnly="0" labelOnly="1" outline="0" axis="axisCol" fieldPosition="0"/>
    </format>
    <format dxfId="94">
      <pivotArea dataOnly="0" labelOnly="1" outline="0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93">
      <pivotArea field="3" type="button" dataOnly="0" labelOnly="1" outline="0" axis="axisRow" fieldPosition="0"/>
    </format>
    <format dxfId="92">
      <pivotArea dataOnly="0" labelOnly="1" outline="0" fieldPosition="0">
        <references count="2">
          <reference field="4294967294" count="2">
            <x v="1"/>
            <x v="2"/>
          </reference>
          <reference field="1" count="1" selected="0">
            <x v="0"/>
          </reference>
        </references>
      </pivotArea>
    </format>
    <format dxfId="9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9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8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88">
      <pivotArea field="1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87">
      <pivotArea field="1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86">
      <pivotArea field="1" dataOnly="0" labelOnly="1" grandCol="1" outline="0" offset="IV256" axis="axisCol" fieldPosition="0">
        <references count="1">
          <reference field="4294967294" count="1" selected="0">
            <x v="2"/>
          </reference>
        </references>
      </pivotArea>
    </format>
    <format dxfId="85">
      <pivotArea type="all" dataOnly="0" outline="0" fieldPosition="0"/>
    </format>
    <format dxfId="84">
      <pivotArea field="3" type="button" dataOnly="0" labelOnly="1" outline="0" axis="axisRow" fieldPosition="0"/>
    </format>
    <format dxfId="83">
      <pivotArea dataOnly="0" labelOnly="1" fieldPosition="0">
        <references count="1">
          <reference field="3" count="0"/>
        </references>
      </pivotArea>
    </format>
    <format dxfId="82">
      <pivotArea dataOnly="0" labelOnly="1" grandRow="1" outline="0" fieldPosition="0"/>
    </format>
    <format dxfId="81">
      <pivotArea outline="0" collapsedLevelsAreSubtotals="1" fieldPosition="0">
        <references count="2">
          <reference field="4294967294" count="2" selected="0">
            <x v="1"/>
            <x v="2"/>
          </reference>
          <reference field="1" count="1" selected="0">
            <x v="0"/>
          </reference>
        </references>
      </pivotArea>
    </format>
    <format dxfId="80">
      <pivotArea field="-2" type="button" dataOnly="0" labelOnly="1" outline="0" axis="axisCol" fieldPosition="1"/>
    </format>
    <format dxfId="79">
      <pivotArea type="topRight" dataOnly="0" labelOnly="1" outline="0" offset="A1" fieldPosition="0"/>
    </format>
    <format dxfId="78">
      <pivotArea dataOnly="0" labelOnly="1" offset="B256:IV256" fieldPosition="0">
        <references count="1">
          <reference field="1" count="1">
            <x v="0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1"/>
            <x v="2"/>
          </reference>
          <reference field="1" count="1" selected="0">
            <x v="0"/>
          </reference>
        </references>
      </pivotArea>
    </format>
    <format dxfId="76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1"/>
          </reference>
        </references>
      </pivotArea>
    </format>
    <format dxfId="75">
      <pivotArea type="topRight" dataOnly="0" labelOnly="1" outline="0" offset="B1:D1" fieldPosition="0"/>
    </format>
    <format dxfId="74">
      <pivotArea dataOnly="0" labelOnly="1" fieldPosition="0">
        <references count="1">
          <reference field="1" count="1">
            <x v="1"/>
          </reference>
        </references>
      </pivotArea>
    </format>
    <format dxfId="7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72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2"/>
          </reference>
        </references>
      </pivotArea>
    </format>
    <format dxfId="71">
      <pivotArea type="topRight" dataOnly="0" labelOnly="1" outline="0" offset="E1:G1" fieldPosition="0"/>
    </format>
    <format dxfId="70">
      <pivotArea dataOnly="0" labelOnly="1" fieldPosition="0">
        <references count="1">
          <reference field="1" count="1">
            <x v="2"/>
          </reference>
        </references>
      </pivotArea>
    </format>
    <format dxfId="6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68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3"/>
          </reference>
        </references>
      </pivotArea>
    </format>
    <format dxfId="67">
      <pivotArea type="topRight" dataOnly="0" labelOnly="1" outline="0" offset="H1:J1" fieldPosition="0"/>
    </format>
    <format dxfId="66">
      <pivotArea dataOnly="0" labelOnly="1" fieldPosition="0">
        <references count="1">
          <reference field="1" count="1">
            <x v="3"/>
          </reference>
        </references>
      </pivotArea>
    </format>
    <format dxfId="6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64">
      <pivotArea field="1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63">
      <pivotArea type="topRight" dataOnly="0" labelOnly="1" outline="0" offset="K1" fieldPosition="0"/>
    </format>
    <format dxfId="62">
      <pivotArea field="1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61">
      <pivotArea type="topRight" dataOnly="0" labelOnly="1" outline="0" offset="L1" fieldPosition="0"/>
    </format>
    <format dxfId="60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9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8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57">
      <pivotArea dataOnly="0" labelOnly="1" fieldPosition="0">
        <references count="1">
          <reference field="1" count="1">
            <x v="0"/>
          </reference>
        </references>
      </pivotArea>
    </format>
    <format dxfId="56">
      <pivotArea dataOnly="0" labelOnly="1" fieldPosition="0">
        <references count="1">
          <reference field="1" count="1">
            <x v="0"/>
          </reference>
        </references>
      </pivotArea>
    </format>
    <format dxfId="55">
      <pivotArea field="-2" type="button" dataOnly="0" labelOnly="1" outline="0" axis="axisCol" fieldPosition="1"/>
    </format>
    <format dxfId="54">
      <pivotArea type="topRight" dataOnly="0" labelOnly="1" outline="0" offset="A1" fieldPosition="0"/>
    </format>
    <format dxfId="53">
      <pivotArea dataOnly="0" labelOnly="1" fieldPosition="0">
        <references count="1">
          <reference field="1" count="1">
            <x v="0"/>
          </reference>
        </references>
      </pivotArea>
    </format>
    <format dxfId="52">
      <pivotArea type="topRight" dataOnly="0" labelOnly="1" outline="0" offset="B1:M1" fieldPosition="0"/>
    </format>
    <format dxfId="51">
      <pivotArea dataOnly="0" labelOnly="1" fieldPosition="0">
        <references count="1">
          <reference field="1" count="3">
            <x v="1"/>
            <x v="2"/>
            <x v="3"/>
          </reference>
        </references>
      </pivotArea>
    </format>
    <format dxfId="50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9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8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7">
      <pivotArea field="1" type="button" dataOnly="0" labelOnly="1" outline="0" axis="axisCol" fieldPosition="0"/>
    </format>
    <format dxfId="4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4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4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4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42">
      <pivotArea field="3" type="button" dataOnly="0" labelOnly="1" outline="0" axis="axisRow" fieldPosition="0"/>
    </format>
    <format dxfId="41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AF26E-739A-4F4C-BE55-006FDDC9C07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T8" firstHeaderRow="1" firstDataRow="1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of Engagement_Rate" fld="14" subtotal="average" baseField="1" baseItem="0" numFmtId="2"/>
  </dataFields>
  <formats count="12">
    <format dxfId="107">
      <pivotArea dataOnly="0" labelOnly="1" outline="0" axis="axisValues" fieldPosition="0"/>
    </format>
    <format dxfId="106">
      <pivotArea field="1" type="button" dataOnly="0" labelOnly="1" outline="0" axis="axisRow" fieldPosition="0"/>
    </format>
    <format dxfId="105">
      <pivotArea dataOnly="0" outline="0" axis="axisValues" fieldPosition="0"/>
    </format>
    <format dxfId="104">
      <pivotArea field="1" type="button" dataOnly="0" labelOnly="1" outline="0" axis="axisRow" fieldPosition="0"/>
    </format>
    <format dxfId="103">
      <pivotArea field="1" type="button" dataOnly="0" labelOnly="1" outline="0" axis="axisRow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6F665-8013-4F39-B448-852423BF0A3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6:AG35" firstHeaderRow="1" firstDataRow="3" firstDataCol="1"/>
  <pivotFields count="14">
    <pivotField showAll="0"/>
    <pivotField axis="axisCol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2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formats count="9">
    <format dxfId="26">
      <pivotArea type="all" dataOnly="0" outline="0" fieldPosition="0"/>
    </format>
    <format dxfId="25">
      <pivotArea type="origin" dataOnly="0" labelOnly="1" outline="0" fieldPosition="0"/>
    </format>
    <format dxfId="24">
      <pivotArea field="1" type="button" dataOnly="0" labelOnly="1" outline="0" axis="axisCol" fieldPosition="0"/>
    </format>
    <format dxfId="23">
      <pivotArea field="-2" type="button" dataOnly="0" labelOnly="1" outline="0" axis="axisCol" fieldPosition="1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field="1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19">
      <pivotArea field="1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18">
      <pivotArea field="1" dataOnly="0" labelOnly="1" grandCol="1" outline="0" offset="IV1" axis="axisCol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67384-180D-4E17-AD0B-F14C487A0DF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:S8" firstHeaderRow="1" firstDataRow="1" firstDataCol="1"/>
  <pivotFields count="14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Engagement_Rate" fld="13" subtotal="average" baseField="1" baseItem="0" numFmtId="2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4A5FD-A97C-4A7F-A675-5C0BCDD7DDEC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:S9" firstHeaderRow="1" firstDataRow="1" firstDataCol="1"/>
  <pivotFields count="14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numFmtId="2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icks" fld="10" subtotal="average" baseField="11" baseItem="0" numFmtId="1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1" type="button" dataOnly="0" labelOnly="1" outline="0" axis="axisRow" fieldPosition="0"/>
    </format>
    <format dxfId="14">
      <pivotArea dataOnly="0" labelOnly="1" fieldPosition="0">
        <references count="1">
          <reference field="1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D7E09-FB30-42C6-A846-87D5EA3073D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9" firstHeaderRow="1" firstDataRow="1" firstDataCol="1"/>
  <pivotFields count="7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dataField="1" numFmtId="2" showAll="0"/>
    <pivotField numFmtI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Engagement_Rate" fld="5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A40D5-1A75-4866-98AB-CC15100F8A52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13:L18" firstHeaderRow="1" firstDataRow="1" firstDataCol="1"/>
  <pivotFields count="8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numFmtId="2" showAll="0"/>
    <pivotField numFmtId="1"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Growth_Rate" fld="7" subtotal="average" baseField="1" baseItem="0" numFmtId="2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B8DFA-FE94-4933-BDC4-C28D9D7BF6B7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Q15:S21" firstHeaderRow="0" firstDataRow="1" firstDataCol="1"/>
  <pivotFields count="14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dataField="1" numFmtId="9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udience_Resonance" fld="13" subtotal="average" baseField="11" baseItem="0" numFmtId="9"/>
    <dataField name="Average of Clicks" fld="10" subtotal="average" baseField="11" baseItem="0" numFmtId="1"/>
  </dataFields>
  <formats count="1">
    <format dxfId="5">
      <pivotArea collapsedLevelsAreSubtotals="1" fieldPosition="0">
        <references count="2">
          <reference field="4294967294" count="1" selected="0">
            <x v="0"/>
          </reference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B1357-1552-4237-8393-4576274A5D3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Q4:R10" firstHeaderRow="1" firstDataRow="1" firstDataCol="1"/>
  <pivotFields count="13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dataField="1" showAll="0">
      <items count="6">
        <item x="4"/>
        <item x="1"/>
        <item x="0"/>
        <item x="3"/>
        <item x="2"/>
        <item t="default"/>
      </items>
    </pivotField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FrequencyOfHashtags" fld="11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FC19C-07A9-4891-BADC-C9C36FD7FBC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ntent Type">
  <location ref="Q26:W33" firstHeaderRow="0" firstDataRow="1" firstDataCol="1"/>
  <pivotFields count="14">
    <pivotField showAll="0"/>
    <pivotField showAll="0"/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numFmtId="9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Likes" fld="5" subtotal="average" baseField="3" baseItem="0" numFmtId="1"/>
    <dataField name="Average of Comments" fld="7" subtotal="average" baseField="3" baseItem="0" numFmtId="1"/>
    <dataField name="Average of Shares" fld="6" subtotal="average" baseField="3" baseItem="0" numFmtId="1"/>
    <dataField name="Average of Clicks" fld="10" subtotal="average" baseField="3" baseItem="0" numFmtId="1"/>
    <dataField name="Average of Reach" fld="9" subtotal="average" baseField="3" baseItem="0" numFmtId="1"/>
    <dataField name="Average of Impressions" fld="8" subtotal="average" baseField="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0604F-20AD-4A9A-8744-6DC9870A092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W9" firstHeaderRow="0" firstDataRow="1" firstDataCol="1"/>
  <pivotFields count="13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8" baseField="0" baseItem="0"/>
    <dataField name="Sum of Likes" fld="5" baseField="0" baseItem="0"/>
    <dataField name="Sum of Clicks" fld="10" baseField="0" baseItem="0"/>
    <dataField name="Average of Impressions" fld="8" subtotal="average" baseField="12" baseItem="0" numFmtId="2"/>
    <dataField name="Average of Likes" fld="5" subtotal="average" baseField="12" baseItem="0" numFmtId="2"/>
    <dataField name="Average of Clicks" fld="10" subtotal="average" baseField="12" baseItem="0" numFmtId="2"/>
  </dataFields>
  <formats count="4">
    <format dxfId="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zoomScale="91" workbookViewId="0">
      <selection sqref="A1:M301"/>
    </sheetView>
  </sheetViews>
  <sheetFormatPr defaultColWidth="14.44140625" defaultRowHeight="15" customHeight="1" x14ac:dyDescent="0.3"/>
  <cols>
    <col min="1" max="1" width="9.88671875" customWidth="1"/>
    <col min="2" max="2" width="11.88671875" customWidth="1"/>
    <col min="3" max="3" width="12" customWidth="1"/>
    <col min="4" max="4" width="11.77734375" customWidth="1"/>
    <col min="5" max="5" width="49.21875" customWidth="1"/>
    <col min="6" max="6" width="7.33203125" customWidth="1"/>
    <col min="7" max="7" width="8.21875" customWidth="1"/>
    <col min="8" max="11" width="8.6640625" customWidth="1"/>
    <col min="12" max="12" width="31.109375" customWidth="1"/>
    <col min="13" max="13" width="27.5546875" customWidth="1"/>
    <col min="14" max="26" width="8.664062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18</v>
      </c>
      <c r="M2" s="2" t="s">
        <v>19</v>
      </c>
    </row>
    <row r="3" spans="1:13" ht="14.25" customHeight="1" x14ac:dyDescent="0.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24</v>
      </c>
      <c r="M3" s="2" t="s">
        <v>25</v>
      </c>
    </row>
    <row r="4" spans="1:13" ht="14.25" customHeight="1" x14ac:dyDescent="0.3">
      <c r="A4" s="2" t="s">
        <v>26</v>
      </c>
      <c r="B4" s="2" t="s">
        <v>27</v>
      </c>
      <c r="C4" s="2" t="s">
        <v>28</v>
      </c>
      <c r="D4" s="2" t="s">
        <v>16</v>
      </c>
      <c r="E4" s="2" t="s">
        <v>17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29</v>
      </c>
      <c r="M4" s="2" t="s">
        <v>19</v>
      </c>
    </row>
    <row r="5" spans="1:13" ht="14.25" customHeight="1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18</v>
      </c>
      <c r="M5" s="2" t="s">
        <v>19</v>
      </c>
    </row>
    <row r="6" spans="1:13" ht="14.25" customHeight="1" x14ac:dyDescent="0.3">
      <c r="A6" s="2" t="s">
        <v>35</v>
      </c>
      <c r="B6" s="2" t="s">
        <v>27</v>
      </c>
      <c r="C6" s="2" t="s">
        <v>36</v>
      </c>
      <c r="D6" s="2" t="s">
        <v>16</v>
      </c>
      <c r="E6" s="2" t="s">
        <v>17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37</v>
      </c>
      <c r="M6" s="2" t="s">
        <v>38</v>
      </c>
    </row>
    <row r="7" spans="1:13" ht="14.25" customHeight="1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44</v>
      </c>
      <c r="M7" s="2" t="s">
        <v>25</v>
      </c>
    </row>
    <row r="8" spans="1:13" ht="14.25" customHeight="1" x14ac:dyDescent="0.3">
      <c r="A8" s="2" t="s">
        <v>45</v>
      </c>
      <c r="B8" s="2" t="s">
        <v>14</v>
      </c>
      <c r="C8" s="2" t="s">
        <v>46</v>
      </c>
      <c r="D8" s="2" t="s">
        <v>42</v>
      </c>
      <c r="E8" s="2" t="s">
        <v>43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44</v>
      </c>
      <c r="M8" s="2" t="s">
        <v>38</v>
      </c>
    </row>
    <row r="9" spans="1:13" ht="14.25" customHeight="1" x14ac:dyDescent="0.3">
      <c r="A9" s="2" t="s">
        <v>47</v>
      </c>
      <c r="B9" s="2" t="s">
        <v>27</v>
      </c>
      <c r="C9" s="2" t="s">
        <v>48</v>
      </c>
      <c r="D9" s="2" t="s">
        <v>49</v>
      </c>
      <c r="E9" s="2" t="s">
        <v>50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29</v>
      </c>
      <c r="M9" s="2" t="s">
        <v>38</v>
      </c>
    </row>
    <row r="10" spans="1:13" ht="14.25" customHeight="1" x14ac:dyDescent="0.3">
      <c r="A10" s="2" t="s">
        <v>51</v>
      </c>
      <c r="B10" s="2" t="s">
        <v>40</v>
      </c>
      <c r="C10" s="2" t="s">
        <v>52</v>
      </c>
      <c r="D10" s="2" t="s">
        <v>22</v>
      </c>
      <c r="E10" s="2" t="s">
        <v>23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29</v>
      </c>
      <c r="M10" s="2" t="s">
        <v>38</v>
      </c>
    </row>
    <row r="11" spans="1:13" ht="14.25" customHeight="1" x14ac:dyDescent="0.3">
      <c r="A11" s="2" t="s">
        <v>53</v>
      </c>
      <c r="B11" s="2" t="s">
        <v>40</v>
      </c>
      <c r="C11" s="2" t="s">
        <v>54</v>
      </c>
      <c r="D11" s="2" t="s">
        <v>49</v>
      </c>
      <c r="E11" s="2" t="s">
        <v>50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44</v>
      </c>
      <c r="M11" s="2" t="s">
        <v>55</v>
      </c>
    </row>
    <row r="12" spans="1:13" ht="14.25" customHeight="1" x14ac:dyDescent="0.3">
      <c r="A12" s="2" t="s">
        <v>56</v>
      </c>
      <c r="B12" s="2" t="s">
        <v>31</v>
      </c>
      <c r="C12" s="2" t="s">
        <v>57</v>
      </c>
      <c r="D12" s="2" t="s">
        <v>33</v>
      </c>
      <c r="E12" s="2" t="s">
        <v>34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58</v>
      </c>
      <c r="M12" s="2" t="s">
        <v>19</v>
      </c>
    </row>
    <row r="13" spans="1:13" ht="14.25" customHeight="1" x14ac:dyDescent="0.3">
      <c r="A13" s="2" t="s">
        <v>59</v>
      </c>
      <c r="B13" s="2" t="s">
        <v>40</v>
      </c>
      <c r="C13" s="2" t="s">
        <v>60</v>
      </c>
      <c r="D13" s="2" t="s">
        <v>16</v>
      </c>
      <c r="E13" s="2" t="s">
        <v>17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61</v>
      </c>
      <c r="M13" s="2" t="s">
        <v>38</v>
      </c>
    </row>
    <row r="14" spans="1:13" ht="14.25" customHeight="1" x14ac:dyDescent="0.3">
      <c r="A14" s="2" t="s">
        <v>62</v>
      </c>
      <c r="B14" s="2" t="s">
        <v>27</v>
      </c>
      <c r="C14" s="2" t="s">
        <v>63</v>
      </c>
      <c r="D14" s="2" t="s">
        <v>42</v>
      </c>
      <c r="E14" s="2" t="s">
        <v>43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24</v>
      </c>
      <c r="M14" s="2" t="s">
        <v>55</v>
      </c>
    </row>
    <row r="15" spans="1:13" ht="14.25" customHeight="1" x14ac:dyDescent="0.3">
      <c r="A15" s="2" t="s">
        <v>64</v>
      </c>
      <c r="B15" s="2" t="s">
        <v>40</v>
      </c>
      <c r="C15" s="2" t="s">
        <v>65</v>
      </c>
      <c r="D15" s="2" t="s">
        <v>33</v>
      </c>
      <c r="E15" s="2" t="s">
        <v>34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66</v>
      </c>
      <c r="M15" s="2" t="s">
        <v>38</v>
      </c>
    </row>
    <row r="16" spans="1:13" ht="14.25" customHeight="1" x14ac:dyDescent="0.3">
      <c r="A16" s="2" t="s">
        <v>67</v>
      </c>
      <c r="B16" s="2" t="s">
        <v>40</v>
      </c>
      <c r="C16" s="2" t="s">
        <v>68</v>
      </c>
      <c r="D16" s="2" t="s">
        <v>69</v>
      </c>
      <c r="E16" s="2" t="s">
        <v>70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71</v>
      </c>
      <c r="M16" s="2" t="s">
        <v>19</v>
      </c>
    </row>
    <row r="17" spans="1:13" ht="14.25" customHeight="1" x14ac:dyDescent="0.3">
      <c r="A17" s="2" t="s">
        <v>72</v>
      </c>
      <c r="B17" s="2" t="s">
        <v>40</v>
      </c>
      <c r="C17" s="2" t="s">
        <v>73</v>
      </c>
      <c r="D17" s="2" t="s">
        <v>22</v>
      </c>
      <c r="E17" s="2" t="s">
        <v>23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74</v>
      </c>
      <c r="M17" s="2" t="s">
        <v>38</v>
      </c>
    </row>
    <row r="18" spans="1:13" ht="14.25" customHeight="1" x14ac:dyDescent="0.3">
      <c r="A18" s="2" t="s">
        <v>75</v>
      </c>
      <c r="B18" s="2" t="s">
        <v>40</v>
      </c>
      <c r="C18" s="2" t="s">
        <v>76</v>
      </c>
      <c r="D18" s="2" t="s">
        <v>22</v>
      </c>
      <c r="E18" s="2" t="s">
        <v>23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77</v>
      </c>
      <c r="M18" s="2" t="s">
        <v>38</v>
      </c>
    </row>
    <row r="19" spans="1:13" ht="14.25" customHeight="1" x14ac:dyDescent="0.3">
      <c r="A19" s="2" t="s">
        <v>78</v>
      </c>
      <c r="B19" s="2" t="s">
        <v>31</v>
      </c>
      <c r="C19" s="2" t="s">
        <v>79</v>
      </c>
      <c r="D19" s="2" t="s">
        <v>16</v>
      </c>
      <c r="E19" s="2" t="s">
        <v>17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58</v>
      </c>
      <c r="M19" s="2" t="s">
        <v>25</v>
      </c>
    </row>
    <row r="20" spans="1:13" ht="14.25" customHeight="1" x14ac:dyDescent="0.3">
      <c r="A20" s="2" t="s">
        <v>80</v>
      </c>
      <c r="B20" s="2" t="s">
        <v>31</v>
      </c>
      <c r="C20" s="2" t="s">
        <v>81</v>
      </c>
      <c r="D20" s="2" t="s">
        <v>69</v>
      </c>
      <c r="E20" s="2" t="s">
        <v>70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82</v>
      </c>
      <c r="M20" s="2" t="s">
        <v>38</v>
      </c>
    </row>
    <row r="21" spans="1:13" ht="14.25" customHeight="1" x14ac:dyDescent="0.3">
      <c r="A21" s="2" t="s">
        <v>83</v>
      </c>
      <c r="B21" s="2" t="s">
        <v>31</v>
      </c>
      <c r="C21" s="2" t="s">
        <v>84</v>
      </c>
      <c r="D21" s="2" t="s">
        <v>42</v>
      </c>
      <c r="E21" s="2" t="s">
        <v>43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29</v>
      </c>
      <c r="M21" s="2" t="s">
        <v>38</v>
      </c>
    </row>
    <row r="22" spans="1:13" ht="14.25" customHeight="1" x14ac:dyDescent="0.3">
      <c r="A22" s="2" t="s">
        <v>85</v>
      </c>
      <c r="B22" s="2" t="s">
        <v>31</v>
      </c>
      <c r="C22" s="2" t="s">
        <v>86</v>
      </c>
      <c r="D22" s="2" t="s">
        <v>16</v>
      </c>
      <c r="E22" s="2" t="s">
        <v>17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87</v>
      </c>
      <c r="M22" s="2" t="s">
        <v>38</v>
      </c>
    </row>
    <row r="23" spans="1:13" ht="14.25" customHeight="1" x14ac:dyDescent="0.3">
      <c r="A23" s="2" t="s">
        <v>88</v>
      </c>
      <c r="B23" s="2" t="s">
        <v>40</v>
      </c>
      <c r="C23" s="2" t="s">
        <v>89</v>
      </c>
      <c r="D23" s="2" t="s">
        <v>22</v>
      </c>
      <c r="E23" s="2" t="s">
        <v>23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18</v>
      </c>
      <c r="M23" s="2" t="s">
        <v>55</v>
      </c>
    </row>
    <row r="24" spans="1:13" ht="14.25" customHeight="1" x14ac:dyDescent="0.3">
      <c r="A24" s="2" t="s">
        <v>90</v>
      </c>
      <c r="B24" s="2" t="s">
        <v>40</v>
      </c>
      <c r="C24" s="2" t="s">
        <v>91</v>
      </c>
      <c r="D24" s="2" t="s">
        <v>69</v>
      </c>
      <c r="E24" s="2" t="s">
        <v>70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18</v>
      </c>
      <c r="M24" s="2" t="s">
        <v>38</v>
      </c>
    </row>
    <row r="25" spans="1:13" ht="14.25" customHeight="1" x14ac:dyDescent="0.3">
      <c r="A25" s="2" t="s">
        <v>92</v>
      </c>
      <c r="B25" s="2" t="s">
        <v>40</v>
      </c>
      <c r="C25" s="2" t="s">
        <v>93</v>
      </c>
      <c r="D25" s="2" t="s">
        <v>69</v>
      </c>
      <c r="E25" s="2" t="s">
        <v>70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44</v>
      </c>
      <c r="M25" s="2" t="s">
        <v>25</v>
      </c>
    </row>
    <row r="26" spans="1:13" ht="14.25" customHeight="1" x14ac:dyDescent="0.3">
      <c r="A26" s="2" t="s">
        <v>94</v>
      </c>
      <c r="B26" s="2" t="s">
        <v>14</v>
      </c>
      <c r="C26" s="2" t="s">
        <v>95</v>
      </c>
      <c r="D26" s="2" t="s">
        <v>42</v>
      </c>
      <c r="E26" s="2" t="s">
        <v>43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61</v>
      </c>
      <c r="M26" s="2" t="s">
        <v>19</v>
      </c>
    </row>
    <row r="27" spans="1:13" ht="14.25" customHeight="1" x14ac:dyDescent="0.3">
      <c r="A27" s="2" t="s">
        <v>96</v>
      </c>
      <c r="B27" s="2" t="s">
        <v>27</v>
      </c>
      <c r="C27" s="2" t="s">
        <v>97</v>
      </c>
      <c r="D27" s="2" t="s">
        <v>16</v>
      </c>
      <c r="E27" s="2" t="s">
        <v>17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18</v>
      </c>
      <c r="M27" s="2" t="s">
        <v>25</v>
      </c>
    </row>
    <row r="28" spans="1:13" ht="14.25" customHeight="1" x14ac:dyDescent="0.3">
      <c r="A28" s="2" t="s">
        <v>98</v>
      </c>
      <c r="B28" s="2" t="s">
        <v>27</v>
      </c>
      <c r="C28" s="2" t="s">
        <v>99</v>
      </c>
      <c r="D28" s="2" t="s">
        <v>22</v>
      </c>
      <c r="E28" s="2" t="s">
        <v>23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44</v>
      </c>
      <c r="M28" s="2" t="s">
        <v>55</v>
      </c>
    </row>
    <row r="29" spans="1:13" ht="14.25" customHeight="1" x14ac:dyDescent="0.3">
      <c r="A29" s="2" t="s">
        <v>100</v>
      </c>
      <c r="B29" s="2" t="s">
        <v>31</v>
      </c>
      <c r="C29" s="2" t="s">
        <v>101</v>
      </c>
      <c r="D29" s="2" t="s">
        <v>69</v>
      </c>
      <c r="E29" s="2" t="s">
        <v>70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102</v>
      </c>
      <c r="M29" s="2" t="s">
        <v>25</v>
      </c>
    </row>
    <row r="30" spans="1:13" ht="14.25" customHeight="1" x14ac:dyDescent="0.3">
      <c r="A30" s="2" t="s">
        <v>103</v>
      </c>
      <c r="B30" s="2" t="s">
        <v>31</v>
      </c>
      <c r="C30" s="2" t="s">
        <v>104</v>
      </c>
      <c r="D30" s="2" t="s">
        <v>42</v>
      </c>
      <c r="E30" s="2" t="s">
        <v>43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105</v>
      </c>
      <c r="M30" s="2" t="s">
        <v>38</v>
      </c>
    </row>
    <row r="31" spans="1:13" ht="14.25" customHeight="1" x14ac:dyDescent="0.3">
      <c r="A31" s="2" t="s">
        <v>106</v>
      </c>
      <c r="B31" s="2" t="s">
        <v>31</v>
      </c>
      <c r="C31" s="2" t="s">
        <v>107</v>
      </c>
      <c r="D31" s="2" t="s">
        <v>69</v>
      </c>
      <c r="E31" s="2" t="s">
        <v>70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18</v>
      </c>
      <c r="M31" s="2" t="s">
        <v>55</v>
      </c>
    </row>
    <row r="32" spans="1:13" ht="14.25" customHeight="1" x14ac:dyDescent="0.3">
      <c r="A32" s="2" t="s">
        <v>108</v>
      </c>
      <c r="B32" s="2" t="s">
        <v>31</v>
      </c>
      <c r="C32" s="2" t="s">
        <v>109</v>
      </c>
      <c r="D32" s="2" t="s">
        <v>22</v>
      </c>
      <c r="E32" s="2" t="s">
        <v>23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44</v>
      </c>
      <c r="M32" s="2" t="s">
        <v>55</v>
      </c>
    </row>
    <row r="33" spans="1:13" ht="14.25" customHeight="1" x14ac:dyDescent="0.3">
      <c r="A33" s="2" t="s">
        <v>110</v>
      </c>
      <c r="B33" s="2" t="s">
        <v>14</v>
      </c>
      <c r="C33" s="2" t="s">
        <v>111</v>
      </c>
      <c r="D33" s="2" t="s">
        <v>42</v>
      </c>
      <c r="E33" s="2" t="s">
        <v>43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105</v>
      </c>
      <c r="M33" s="2" t="s">
        <v>55</v>
      </c>
    </row>
    <row r="34" spans="1:13" ht="14.25" customHeight="1" x14ac:dyDescent="0.3">
      <c r="A34" s="2" t="s">
        <v>112</v>
      </c>
      <c r="B34" s="2" t="s">
        <v>40</v>
      </c>
      <c r="C34" s="2" t="s">
        <v>113</v>
      </c>
      <c r="D34" s="2" t="s">
        <v>49</v>
      </c>
      <c r="E34" s="2" t="s">
        <v>50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71</v>
      </c>
      <c r="M34" s="2" t="s">
        <v>38</v>
      </c>
    </row>
    <row r="35" spans="1:13" ht="14.25" customHeight="1" x14ac:dyDescent="0.3">
      <c r="A35" s="2" t="s">
        <v>114</v>
      </c>
      <c r="B35" s="2" t="s">
        <v>40</v>
      </c>
      <c r="C35" s="2" t="s">
        <v>115</v>
      </c>
      <c r="D35" s="2" t="s">
        <v>22</v>
      </c>
      <c r="E35" s="2" t="s">
        <v>23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116</v>
      </c>
      <c r="M35" s="2" t="s">
        <v>25</v>
      </c>
    </row>
    <row r="36" spans="1:13" ht="14.25" customHeight="1" x14ac:dyDescent="0.3">
      <c r="A36" s="2" t="s">
        <v>117</v>
      </c>
      <c r="B36" s="2" t="s">
        <v>31</v>
      </c>
      <c r="C36" s="2" t="s">
        <v>118</v>
      </c>
      <c r="D36" s="2" t="s">
        <v>69</v>
      </c>
      <c r="E36" s="2" t="s">
        <v>70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61</v>
      </c>
      <c r="M36" s="2" t="s">
        <v>38</v>
      </c>
    </row>
    <row r="37" spans="1:13" ht="14.25" customHeight="1" x14ac:dyDescent="0.3">
      <c r="A37" s="2" t="s">
        <v>119</v>
      </c>
      <c r="B37" s="2" t="s">
        <v>31</v>
      </c>
      <c r="C37" s="2" t="s">
        <v>120</v>
      </c>
      <c r="D37" s="2" t="s">
        <v>33</v>
      </c>
      <c r="E37" s="2" t="s">
        <v>34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77</v>
      </c>
      <c r="M37" s="2" t="s">
        <v>25</v>
      </c>
    </row>
    <row r="38" spans="1:13" ht="14.25" customHeight="1" x14ac:dyDescent="0.3">
      <c r="A38" s="2" t="s">
        <v>121</v>
      </c>
      <c r="B38" s="2" t="s">
        <v>40</v>
      </c>
      <c r="C38" s="2" t="s">
        <v>122</v>
      </c>
      <c r="D38" s="2" t="s">
        <v>42</v>
      </c>
      <c r="E38" s="2" t="s">
        <v>43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18</v>
      </c>
      <c r="M38" s="2" t="s">
        <v>38</v>
      </c>
    </row>
    <row r="39" spans="1:13" ht="14.25" customHeight="1" x14ac:dyDescent="0.3">
      <c r="A39" s="2" t="s">
        <v>123</v>
      </c>
      <c r="B39" s="2" t="s">
        <v>27</v>
      </c>
      <c r="C39" s="2" t="s">
        <v>124</v>
      </c>
      <c r="D39" s="2" t="s">
        <v>16</v>
      </c>
      <c r="E39" s="2" t="s">
        <v>17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77</v>
      </c>
      <c r="M39" s="2" t="s">
        <v>55</v>
      </c>
    </row>
    <row r="40" spans="1:13" ht="14.25" customHeight="1" x14ac:dyDescent="0.3">
      <c r="A40" s="2" t="s">
        <v>125</v>
      </c>
      <c r="B40" s="2" t="s">
        <v>40</v>
      </c>
      <c r="C40" s="2" t="s">
        <v>126</v>
      </c>
      <c r="D40" s="2" t="s">
        <v>49</v>
      </c>
      <c r="E40" s="2" t="s">
        <v>50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127</v>
      </c>
      <c r="M40" s="2" t="s">
        <v>38</v>
      </c>
    </row>
    <row r="41" spans="1:13" ht="14.25" customHeight="1" x14ac:dyDescent="0.3">
      <c r="A41" s="2" t="s">
        <v>128</v>
      </c>
      <c r="B41" s="2" t="s">
        <v>14</v>
      </c>
      <c r="C41" s="2" t="s">
        <v>129</v>
      </c>
      <c r="D41" s="2" t="s">
        <v>49</v>
      </c>
      <c r="E41" s="2" t="s">
        <v>50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61</v>
      </c>
      <c r="M41" s="2" t="s">
        <v>25</v>
      </c>
    </row>
    <row r="42" spans="1:13" ht="14.25" customHeight="1" x14ac:dyDescent="0.3">
      <c r="A42" s="2" t="s">
        <v>130</v>
      </c>
      <c r="B42" s="2" t="s">
        <v>31</v>
      </c>
      <c r="C42" s="2" t="s">
        <v>131</v>
      </c>
      <c r="D42" s="2" t="s">
        <v>16</v>
      </c>
      <c r="E42" s="2" t="s">
        <v>17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74</v>
      </c>
      <c r="M42" s="2" t="s">
        <v>38</v>
      </c>
    </row>
    <row r="43" spans="1:13" ht="14.25" customHeight="1" x14ac:dyDescent="0.3">
      <c r="A43" s="2" t="s">
        <v>132</v>
      </c>
      <c r="B43" s="2" t="s">
        <v>27</v>
      </c>
      <c r="C43" s="2" t="s">
        <v>133</v>
      </c>
      <c r="D43" s="2" t="s">
        <v>16</v>
      </c>
      <c r="E43" s="2" t="s">
        <v>17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58</v>
      </c>
      <c r="M43" s="2" t="s">
        <v>38</v>
      </c>
    </row>
    <row r="44" spans="1:13" ht="14.25" customHeight="1" x14ac:dyDescent="0.3">
      <c r="A44" s="2" t="s">
        <v>134</v>
      </c>
      <c r="B44" s="2" t="s">
        <v>31</v>
      </c>
      <c r="C44" s="2" t="s">
        <v>135</v>
      </c>
      <c r="D44" s="2" t="s">
        <v>42</v>
      </c>
      <c r="E44" s="2" t="s">
        <v>43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66</v>
      </c>
      <c r="M44" s="2" t="s">
        <v>55</v>
      </c>
    </row>
    <row r="45" spans="1:13" ht="14.25" customHeight="1" x14ac:dyDescent="0.3">
      <c r="A45" s="2" t="s">
        <v>136</v>
      </c>
      <c r="B45" s="2" t="s">
        <v>14</v>
      </c>
      <c r="C45" s="2" t="s">
        <v>137</v>
      </c>
      <c r="D45" s="2" t="s">
        <v>49</v>
      </c>
      <c r="E45" s="2" t="s">
        <v>50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82</v>
      </c>
      <c r="M45" s="2" t="s">
        <v>19</v>
      </c>
    </row>
    <row r="46" spans="1:13" ht="14.25" customHeight="1" x14ac:dyDescent="0.3">
      <c r="A46" s="2" t="s">
        <v>138</v>
      </c>
      <c r="B46" s="2" t="s">
        <v>40</v>
      </c>
      <c r="C46" s="2" t="s">
        <v>139</v>
      </c>
      <c r="D46" s="2" t="s">
        <v>69</v>
      </c>
      <c r="E46" s="2" t="s">
        <v>70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77</v>
      </c>
      <c r="M46" s="2" t="s">
        <v>55</v>
      </c>
    </row>
    <row r="47" spans="1:13" ht="14.25" customHeight="1" x14ac:dyDescent="0.3">
      <c r="A47" s="2" t="s">
        <v>140</v>
      </c>
      <c r="B47" s="2" t="s">
        <v>14</v>
      </c>
      <c r="C47" s="2" t="s">
        <v>141</v>
      </c>
      <c r="D47" s="2" t="s">
        <v>69</v>
      </c>
      <c r="E47" s="2" t="s">
        <v>70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24</v>
      </c>
      <c r="M47" s="2" t="s">
        <v>55</v>
      </c>
    </row>
    <row r="48" spans="1:13" ht="14.25" customHeight="1" x14ac:dyDescent="0.3">
      <c r="A48" s="2" t="s">
        <v>142</v>
      </c>
      <c r="B48" s="2" t="s">
        <v>14</v>
      </c>
      <c r="C48" s="2" t="s">
        <v>143</v>
      </c>
      <c r="D48" s="2" t="s">
        <v>42</v>
      </c>
      <c r="E48" s="2" t="s">
        <v>43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144</v>
      </c>
      <c r="M48" s="2" t="s">
        <v>19</v>
      </c>
    </row>
    <row r="49" spans="1:13" ht="14.25" customHeight="1" x14ac:dyDescent="0.3">
      <c r="A49" s="2" t="s">
        <v>145</v>
      </c>
      <c r="B49" s="2" t="s">
        <v>14</v>
      </c>
      <c r="C49" s="2" t="s">
        <v>54</v>
      </c>
      <c r="D49" s="2" t="s">
        <v>33</v>
      </c>
      <c r="E49" s="2" t="s">
        <v>34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146</v>
      </c>
      <c r="M49" s="2" t="s">
        <v>55</v>
      </c>
    </row>
    <row r="50" spans="1:13" ht="14.25" customHeight="1" x14ac:dyDescent="0.3">
      <c r="A50" s="2" t="s">
        <v>147</v>
      </c>
      <c r="B50" s="2" t="s">
        <v>14</v>
      </c>
      <c r="C50" s="2" t="s">
        <v>148</v>
      </c>
      <c r="D50" s="2" t="s">
        <v>33</v>
      </c>
      <c r="E50" s="2" t="s">
        <v>34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58</v>
      </c>
      <c r="M50" s="2" t="s">
        <v>19</v>
      </c>
    </row>
    <row r="51" spans="1:13" ht="14.25" customHeight="1" x14ac:dyDescent="0.3">
      <c r="A51" s="2" t="s">
        <v>149</v>
      </c>
      <c r="B51" s="2" t="s">
        <v>27</v>
      </c>
      <c r="C51" s="2" t="s">
        <v>150</v>
      </c>
      <c r="D51" s="2" t="s">
        <v>33</v>
      </c>
      <c r="E51" s="2" t="s">
        <v>34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24</v>
      </c>
      <c r="M51" s="2" t="s">
        <v>19</v>
      </c>
    </row>
    <row r="52" spans="1:13" ht="14.25" customHeight="1" x14ac:dyDescent="0.3">
      <c r="A52" s="2" t="s">
        <v>151</v>
      </c>
      <c r="B52" s="2" t="s">
        <v>40</v>
      </c>
      <c r="C52" s="2" t="s">
        <v>152</v>
      </c>
      <c r="D52" s="2" t="s">
        <v>42</v>
      </c>
      <c r="E52" s="2" t="s">
        <v>43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18</v>
      </c>
      <c r="M52" s="2" t="s">
        <v>38</v>
      </c>
    </row>
    <row r="53" spans="1:13" ht="14.25" customHeight="1" x14ac:dyDescent="0.3">
      <c r="A53" s="2" t="s">
        <v>153</v>
      </c>
      <c r="B53" s="2" t="s">
        <v>40</v>
      </c>
      <c r="C53" s="2" t="s">
        <v>154</v>
      </c>
      <c r="D53" s="2" t="s">
        <v>49</v>
      </c>
      <c r="E53" s="2" t="s">
        <v>50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29</v>
      </c>
      <c r="M53" s="2" t="s">
        <v>38</v>
      </c>
    </row>
    <row r="54" spans="1:13" ht="14.25" customHeight="1" x14ac:dyDescent="0.3">
      <c r="A54" s="2" t="s">
        <v>155</v>
      </c>
      <c r="B54" s="2" t="s">
        <v>27</v>
      </c>
      <c r="C54" s="2" t="s">
        <v>143</v>
      </c>
      <c r="D54" s="2" t="s">
        <v>42</v>
      </c>
      <c r="E54" s="2" t="s">
        <v>43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87</v>
      </c>
      <c r="M54" s="2" t="s">
        <v>55</v>
      </c>
    </row>
    <row r="55" spans="1:13" ht="14.25" customHeight="1" x14ac:dyDescent="0.3">
      <c r="A55" s="2" t="s">
        <v>156</v>
      </c>
      <c r="B55" s="2" t="s">
        <v>27</v>
      </c>
      <c r="C55" s="2" t="s">
        <v>157</v>
      </c>
      <c r="D55" s="2" t="s">
        <v>42</v>
      </c>
      <c r="E55" s="2" t="s">
        <v>43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71</v>
      </c>
      <c r="M55" s="2" t="s">
        <v>25</v>
      </c>
    </row>
    <row r="56" spans="1:13" ht="14.25" customHeight="1" x14ac:dyDescent="0.3">
      <c r="A56" s="2" t="s">
        <v>158</v>
      </c>
      <c r="B56" s="2" t="s">
        <v>40</v>
      </c>
      <c r="C56" s="2" t="s">
        <v>159</v>
      </c>
      <c r="D56" s="2" t="s">
        <v>49</v>
      </c>
      <c r="E56" s="2" t="s">
        <v>50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102</v>
      </c>
      <c r="M56" s="2" t="s">
        <v>55</v>
      </c>
    </row>
    <row r="57" spans="1:13" ht="14.25" customHeight="1" x14ac:dyDescent="0.3">
      <c r="A57" s="2" t="s">
        <v>160</v>
      </c>
      <c r="B57" s="2" t="s">
        <v>40</v>
      </c>
      <c r="C57" s="2" t="s">
        <v>161</v>
      </c>
      <c r="D57" s="2" t="s">
        <v>42</v>
      </c>
      <c r="E57" s="2" t="s">
        <v>43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162</v>
      </c>
      <c r="M57" s="2" t="s">
        <v>25</v>
      </c>
    </row>
    <row r="58" spans="1:13" ht="14.25" customHeight="1" x14ac:dyDescent="0.3">
      <c r="A58" s="2" t="s">
        <v>163</v>
      </c>
      <c r="B58" s="2" t="s">
        <v>14</v>
      </c>
      <c r="C58" s="2" t="s">
        <v>164</v>
      </c>
      <c r="D58" s="2" t="s">
        <v>69</v>
      </c>
      <c r="E58" s="2" t="s">
        <v>70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58</v>
      </c>
      <c r="M58" s="2" t="s">
        <v>25</v>
      </c>
    </row>
    <row r="59" spans="1:13" ht="14.25" customHeight="1" x14ac:dyDescent="0.3">
      <c r="A59" s="2" t="s">
        <v>165</v>
      </c>
      <c r="B59" s="2" t="s">
        <v>31</v>
      </c>
      <c r="C59" s="2" t="s">
        <v>166</v>
      </c>
      <c r="D59" s="2" t="s">
        <v>16</v>
      </c>
      <c r="E59" s="2" t="s">
        <v>17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18</v>
      </c>
      <c r="M59" s="2" t="s">
        <v>38</v>
      </c>
    </row>
    <row r="60" spans="1:13" ht="14.25" customHeight="1" x14ac:dyDescent="0.3">
      <c r="A60" s="2" t="s">
        <v>167</v>
      </c>
      <c r="B60" s="2" t="s">
        <v>31</v>
      </c>
      <c r="C60" s="2" t="s">
        <v>168</v>
      </c>
      <c r="D60" s="2" t="s">
        <v>22</v>
      </c>
      <c r="E60" s="2" t="s">
        <v>23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77</v>
      </c>
      <c r="M60" s="2" t="s">
        <v>19</v>
      </c>
    </row>
    <row r="61" spans="1:13" ht="14.25" customHeight="1" x14ac:dyDescent="0.3">
      <c r="A61" s="2" t="s">
        <v>169</v>
      </c>
      <c r="B61" s="2" t="s">
        <v>31</v>
      </c>
      <c r="C61" s="2" t="s">
        <v>170</v>
      </c>
      <c r="D61" s="2" t="s">
        <v>69</v>
      </c>
      <c r="E61" s="2" t="s">
        <v>70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58</v>
      </c>
      <c r="M61" s="2" t="s">
        <v>19</v>
      </c>
    </row>
    <row r="62" spans="1:13" ht="14.25" customHeight="1" x14ac:dyDescent="0.3">
      <c r="A62" s="2" t="s">
        <v>171</v>
      </c>
      <c r="B62" s="2" t="s">
        <v>14</v>
      </c>
      <c r="C62" s="2" t="s">
        <v>172</v>
      </c>
      <c r="D62" s="2" t="s">
        <v>69</v>
      </c>
      <c r="E62" s="2" t="s">
        <v>70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24</v>
      </c>
      <c r="M62" s="2" t="s">
        <v>19</v>
      </c>
    </row>
    <row r="63" spans="1:13" ht="14.25" customHeight="1" x14ac:dyDescent="0.3">
      <c r="A63" s="2" t="s">
        <v>173</v>
      </c>
      <c r="B63" s="2" t="s">
        <v>14</v>
      </c>
      <c r="C63" s="2" t="s">
        <v>174</v>
      </c>
      <c r="D63" s="2" t="s">
        <v>42</v>
      </c>
      <c r="E63" s="2" t="s">
        <v>43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77</v>
      </c>
      <c r="M63" s="2" t="s">
        <v>38</v>
      </c>
    </row>
    <row r="64" spans="1:13" ht="14.25" customHeight="1" x14ac:dyDescent="0.3">
      <c r="A64" s="2" t="s">
        <v>175</v>
      </c>
      <c r="B64" s="2" t="s">
        <v>14</v>
      </c>
      <c r="C64" s="2" t="s">
        <v>111</v>
      </c>
      <c r="D64" s="2" t="s">
        <v>42</v>
      </c>
      <c r="E64" s="2" t="s">
        <v>43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18</v>
      </c>
      <c r="M64" s="2" t="s">
        <v>19</v>
      </c>
    </row>
    <row r="65" spans="1:13" ht="14.25" customHeight="1" x14ac:dyDescent="0.3">
      <c r="A65" s="2" t="s">
        <v>176</v>
      </c>
      <c r="B65" s="2" t="s">
        <v>40</v>
      </c>
      <c r="C65" s="2" t="s">
        <v>177</v>
      </c>
      <c r="D65" s="2" t="s">
        <v>49</v>
      </c>
      <c r="E65" s="2" t="s">
        <v>50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178</v>
      </c>
      <c r="M65" s="2" t="s">
        <v>25</v>
      </c>
    </row>
    <row r="66" spans="1:13" ht="14.25" customHeight="1" x14ac:dyDescent="0.3">
      <c r="A66" s="2" t="s">
        <v>179</v>
      </c>
      <c r="B66" s="2" t="s">
        <v>31</v>
      </c>
      <c r="C66" s="2" t="s">
        <v>180</v>
      </c>
      <c r="D66" s="2" t="s">
        <v>33</v>
      </c>
      <c r="E66" s="2" t="s">
        <v>34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77</v>
      </c>
      <c r="M66" s="2" t="s">
        <v>25</v>
      </c>
    </row>
    <row r="67" spans="1:13" ht="14.25" customHeight="1" x14ac:dyDescent="0.3">
      <c r="A67" s="2" t="s">
        <v>181</v>
      </c>
      <c r="B67" s="2" t="s">
        <v>14</v>
      </c>
      <c r="C67" s="2" t="s">
        <v>182</v>
      </c>
      <c r="D67" s="2" t="s">
        <v>42</v>
      </c>
      <c r="E67" s="2" t="s">
        <v>43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24</v>
      </c>
      <c r="M67" s="2" t="s">
        <v>38</v>
      </c>
    </row>
    <row r="68" spans="1:13" ht="14.25" customHeight="1" x14ac:dyDescent="0.3">
      <c r="A68" s="2" t="s">
        <v>183</v>
      </c>
      <c r="B68" s="2" t="s">
        <v>40</v>
      </c>
      <c r="C68" s="2" t="s">
        <v>184</v>
      </c>
      <c r="D68" s="2" t="s">
        <v>42</v>
      </c>
      <c r="E68" s="2" t="s">
        <v>43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77</v>
      </c>
      <c r="M68" s="2" t="s">
        <v>19</v>
      </c>
    </row>
    <row r="69" spans="1:13" ht="14.25" customHeight="1" x14ac:dyDescent="0.3">
      <c r="A69" s="2" t="s">
        <v>185</v>
      </c>
      <c r="B69" s="2" t="s">
        <v>31</v>
      </c>
      <c r="C69" s="2" t="s">
        <v>186</v>
      </c>
      <c r="D69" s="2" t="s">
        <v>33</v>
      </c>
      <c r="E69" s="2" t="s">
        <v>34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24</v>
      </c>
      <c r="M69" s="2" t="s">
        <v>19</v>
      </c>
    </row>
    <row r="70" spans="1:13" ht="14.25" customHeight="1" x14ac:dyDescent="0.3">
      <c r="A70" s="2" t="s">
        <v>187</v>
      </c>
      <c r="B70" s="2" t="s">
        <v>14</v>
      </c>
      <c r="C70" s="2" t="s">
        <v>131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87</v>
      </c>
      <c r="M70" s="2" t="s">
        <v>55</v>
      </c>
    </row>
    <row r="71" spans="1:13" ht="14.25" customHeight="1" x14ac:dyDescent="0.3">
      <c r="A71" s="2" t="s">
        <v>188</v>
      </c>
      <c r="B71" s="2" t="s">
        <v>40</v>
      </c>
      <c r="C71" s="2" t="s">
        <v>189</v>
      </c>
      <c r="D71" s="2" t="s">
        <v>69</v>
      </c>
      <c r="E71" s="2" t="s">
        <v>70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44</v>
      </c>
      <c r="M71" s="2" t="s">
        <v>19</v>
      </c>
    </row>
    <row r="72" spans="1:13" ht="14.25" customHeight="1" x14ac:dyDescent="0.3">
      <c r="A72" s="2" t="s">
        <v>190</v>
      </c>
      <c r="B72" s="2" t="s">
        <v>27</v>
      </c>
      <c r="C72" s="2" t="s">
        <v>191</v>
      </c>
      <c r="D72" s="2" t="s">
        <v>42</v>
      </c>
      <c r="E72" s="2" t="s">
        <v>43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74</v>
      </c>
      <c r="M72" s="2" t="s">
        <v>25</v>
      </c>
    </row>
    <row r="73" spans="1:13" ht="14.25" customHeight="1" x14ac:dyDescent="0.3">
      <c r="A73" s="2" t="s">
        <v>192</v>
      </c>
      <c r="B73" s="2" t="s">
        <v>27</v>
      </c>
      <c r="C73" s="2" t="s">
        <v>193</v>
      </c>
      <c r="D73" s="2" t="s">
        <v>16</v>
      </c>
      <c r="E73" s="2" t="s">
        <v>17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44</v>
      </c>
      <c r="M73" s="2" t="s">
        <v>55</v>
      </c>
    </row>
    <row r="74" spans="1:13" ht="14.25" customHeight="1" x14ac:dyDescent="0.3">
      <c r="A74" s="2" t="s">
        <v>194</v>
      </c>
      <c r="B74" s="2" t="s">
        <v>40</v>
      </c>
      <c r="C74" s="2" t="s">
        <v>195</v>
      </c>
      <c r="D74" s="2" t="s">
        <v>33</v>
      </c>
      <c r="E74" s="2" t="s">
        <v>34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24</v>
      </c>
      <c r="M74" s="2" t="s">
        <v>19</v>
      </c>
    </row>
    <row r="75" spans="1:13" ht="14.25" customHeight="1" x14ac:dyDescent="0.3">
      <c r="A75" s="2" t="s">
        <v>196</v>
      </c>
      <c r="B75" s="2" t="s">
        <v>27</v>
      </c>
      <c r="C75" s="2" t="s">
        <v>197</v>
      </c>
      <c r="D75" s="2" t="s">
        <v>16</v>
      </c>
      <c r="E75" s="2" t="s">
        <v>17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24</v>
      </c>
      <c r="M75" s="2" t="s">
        <v>38</v>
      </c>
    </row>
    <row r="76" spans="1:13" ht="14.25" customHeight="1" x14ac:dyDescent="0.3">
      <c r="A76" s="2" t="s">
        <v>198</v>
      </c>
      <c r="B76" s="2" t="s">
        <v>31</v>
      </c>
      <c r="C76" s="2" t="s">
        <v>199</v>
      </c>
      <c r="D76" s="2" t="s">
        <v>16</v>
      </c>
      <c r="E76" s="2" t="s">
        <v>17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162</v>
      </c>
      <c r="M76" s="2" t="s">
        <v>38</v>
      </c>
    </row>
    <row r="77" spans="1:13" ht="14.25" customHeight="1" x14ac:dyDescent="0.3">
      <c r="A77" s="2" t="s">
        <v>200</v>
      </c>
      <c r="B77" s="2" t="s">
        <v>14</v>
      </c>
      <c r="C77" s="2" t="s">
        <v>201</v>
      </c>
      <c r="D77" s="2" t="s">
        <v>33</v>
      </c>
      <c r="E77" s="2" t="s">
        <v>34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66</v>
      </c>
      <c r="M77" s="2" t="s">
        <v>55</v>
      </c>
    </row>
    <row r="78" spans="1:13" ht="14.25" customHeight="1" x14ac:dyDescent="0.3">
      <c r="A78" s="2" t="s">
        <v>202</v>
      </c>
      <c r="B78" s="2" t="s">
        <v>40</v>
      </c>
      <c r="C78" s="2" t="s">
        <v>101</v>
      </c>
      <c r="D78" s="2" t="s">
        <v>33</v>
      </c>
      <c r="E78" s="2" t="s">
        <v>34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71</v>
      </c>
      <c r="M78" s="2" t="s">
        <v>38</v>
      </c>
    </row>
    <row r="79" spans="1:13" ht="14.25" customHeight="1" x14ac:dyDescent="0.3">
      <c r="A79" s="2" t="s">
        <v>203</v>
      </c>
      <c r="B79" s="2" t="s">
        <v>14</v>
      </c>
      <c r="C79" s="2" t="s">
        <v>159</v>
      </c>
      <c r="D79" s="2" t="s">
        <v>49</v>
      </c>
      <c r="E79" s="2" t="s">
        <v>50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44</v>
      </c>
      <c r="M79" s="2" t="s">
        <v>38</v>
      </c>
    </row>
    <row r="80" spans="1:13" ht="14.25" customHeight="1" x14ac:dyDescent="0.3">
      <c r="A80" s="2" t="s">
        <v>204</v>
      </c>
      <c r="B80" s="2" t="s">
        <v>31</v>
      </c>
      <c r="C80" s="2" t="s">
        <v>205</v>
      </c>
      <c r="D80" s="2" t="s">
        <v>42</v>
      </c>
      <c r="E80" s="2" t="s">
        <v>43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102</v>
      </c>
      <c r="M80" s="2" t="s">
        <v>38</v>
      </c>
    </row>
    <row r="81" spans="1:13" ht="14.25" customHeight="1" x14ac:dyDescent="0.3">
      <c r="A81" s="2" t="s">
        <v>206</v>
      </c>
      <c r="B81" s="2" t="s">
        <v>31</v>
      </c>
      <c r="C81" s="2" t="s">
        <v>152</v>
      </c>
      <c r="D81" s="2" t="s">
        <v>33</v>
      </c>
      <c r="E81" s="2" t="s">
        <v>34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144</v>
      </c>
      <c r="M81" s="2" t="s">
        <v>25</v>
      </c>
    </row>
    <row r="82" spans="1:13" ht="14.25" customHeight="1" x14ac:dyDescent="0.3">
      <c r="A82" s="2" t="s">
        <v>207</v>
      </c>
      <c r="B82" s="2" t="s">
        <v>31</v>
      </c>
      <c r="C82" s="2" t="s">
        <v>208</v>
      </c>
      <c r="D82" s="2" t="s">
        <v>33</v>
      </c>
      <c r="E82" s="2" t="s">
        <v>34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209</v>
      </c>
      <c r="M82" s="2" t="s">
        <v>38</v>
      </c>
    </row>
    <row r="83" spans="1:13" ht="14.25" customHeight="1" x14ac:dyDescent="0.3">
      <c r="A83" s="2" t="s">
        <v>210</v>
      </c>
      <c r="B83" s="2" t="s">
        <v>31</v>
      </c>
      <c r="C83" s="2" t="s">
        <v>211</v>
      </c>
      <c r="D83" s="2" t="s">
        <v>49</v>
      </c>
      <c r="E83" s="2" t="s">
        <v>50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44</v>
      </c>
      <c r="M83" s="2" t="s">
        <v>38</v>
      </c>
    </row>
    <row r="84" spans="1:13" ht="14.25" customHeight="1" x14ac:dyDescent="0.3">
      <c r="A84" s="2" t="s">
        <v>212</v>
      </c>
      <c r="B84" s="2" t="s">
        <v>27</v>
      </c>
      <c r="C84" s="2" t="s">
        <v>213</v>
      </c>
      <c r="D84" s="2" t="s">
        <v>69</v>
      </c>
      <c r="E84" s="2" t="s">
        <v>70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214</v>
      </c>
      <c r="M84" s="2" t="s">
        <v>38</v>
      </c>
    </row>
    <row r="85" spans="1:13" ht="14.25" customHeight="1" x14ac:dyDescent="0.3">
      <c r="A85" s="2" t="s">
        <v>215</v>
      </c>
      <c r="B85" s="2" t="s">
        <v>40</v>
      </c>
      <c r="C85" s="2" t="s">
        <v>216</v>
      </c>
      <c r="D85" s="2" t="s">
        <v>49</v>
      </c>
      <c r="E85" s="2" t="s">
        <v>50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71</v>
      </c>
      <c r="M85" s="2" t="s">
        <v>19</v>
      </c>
    </row>
    <row r="86" spans="1:13" ht="14.25" customHeight="1" x14ac:dyDescent="0.3">
      <c r="A86" s="2" t="s">
        <v>217</v>
      </c>
      <c r="B86" s="2" t="s">
        <v>31</v>
      </c>
      <c r="C86" s="2" t="s">
        <v>120</v>
      </c>
      <c r="D86" s="2" t="s">
        <v>49</v>
      </c>
      <c r="E86" s="2" t="s">
        <v>50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24</v>
      </c>
      <c r="M86" s="2" t="s">
        <v>19</v>
      </c>
    </row>
    <row r="87" spans="1:13" ht="14.25" customHeight="1" x14ac:dyDescent="0.3">
      <c r="A87" s="2" t="s">
        <v>218</v>
      </c>
      <c r="B87" s="2" t="s">
        <v>27</v>
      </c>
      <c r="C87" s="2" t="s">
        <v>219</v>
      </c>
      <c r="D87" s="2" t="s">
        <v>22</v>
      </c>
      <c r="E87" s="2" t="s">
        <v>23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214</v>
      </c>
      <c r="M87" s="2" t="s">
        <v>38</v>
      </c>
    </row>
    <row r="88" spans="1:13" ht="14.25" customHeight="1" x14ac:dyDescent="0.3">
      <c r="A88" s="2" t="s">
        <v>220</v>
      </c>
      <c r="B88" s="2" t="s">
        <v>14</v>
      </c>
      <c r="C88" s="2" t="s">
        <v>221</v>
      </c>
      <c r="D88" s="2" t="s">
        <v>69</v>
      </c>
      <c r="E88" s="2" t="s">
        <v>70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209</v>
      </c>
      <c r="M88" s="2" t="s">
        <v>25</v>
      </c>
    </row>
    <row r="89" spans="1:13" ht="14.25" customHeight="1" x14ac:dyDescent="0.3">
      <c r="A89" s="2" t="s">
        <v>222</v>
      </c>
      <c r="B89" s="2" t="s">
        <v>40</v>
      </c>
      <c r="C89" s="2" t="s">
        <v>223</v>
      </c>
      <c r="D89" s="2" t="s">
        <v>33</v>
      </c>
      <c r="E89" s="2" t="s">
        <v>34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29</v>
      </c>
      <c r="M89" s="2" t="s">
        <v>25</v>
      </c>
    </row>
    <row r="90" spans="1:13" ht="14.25" customHeight="1" x14ac:dyDescent="0.3">
      <c r="A90" s="2" t="s">
        <v>224</v>
      </c>
      <c r="B90" s="2" t="s">
        <v>14</v>
      </c>
      <c r="C90" s="2" t="s">
        <v>225</v>
      </c>
      <c r="D90" s="2" t="s">
        <v>49</v>
      </c>
      <c r="E90" s="2" t="s">
        <v>50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18</v>
      </c>
      <c r="M90" s="2" t="s">
        <v>25</v>
      </c>
    </row>
    <row r="91" spans="1:13" ht="14.25" customHeight="1" x14ac:dyDescent="0.3">
      <c r="A91" s="2" t="s">
        <v>226</v>
      </c>
      <c r="B91" s="2" t="s">
        <v>31</v>
      </c>
      <c r="C91" s="2" t="s">
        <v>227</v>
      </c>
      <c r="D91" s="2" t="s">
        <v>49</v>
      </c>
      <c r="E91" s="2" t="s">
        <v>50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24</v>
      </c>
      <c r="M91" s="2" t="s">
        <v>25</v>
      </c>
    </row>
    <row r="92" spans="1:13" ht="14.25" customHeight="1" x14ac:dyDescent="0.3">
      <c r="A92" s="2" t="s">
        <v>228</v>
      </c>
      <c r="B92" s="2" t="s">
        <v>40</v>
      </c>
      <c r="C92" s="2" t="s">
        <v>229</v>
      </c>
      <c r="D92" s="2" t="s">
        <v>49</v>
      </c>
      <c r="E92" s="2" t="s">
        <v>50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18</v>
      </c>
      <c r="M92" s="2" t="s">
        <v>25</v>
      </c>
    </row>
    <row r="93" spans="1:13" ht="14.25" customHeight="1" x14ac:dyDescent="0.3">
      <c r="A93" s="2" t="s">
        <v>230</v>
      </c>
      <c r="B93" s="2" t="s">
        <v>14</v>
      </c>
      <c r="C93" s="2" t="s">
        <v>164</v>
      </c>
      <c r="D93" s="2" t="s">
        <v>33</v>
      </c>
      <c r="E93" s="2" t="s">
        <v>34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58</v>
      </c>
      <c r="M93" s="2" t="s">
        <v>55</v>
      </c>
    </row>
    <row r="94" spans="1:13" ht="14.25" customHeight="1" x14ac:dyDescent="0.3">
      <c r="A94" s="2" t="s">
        <v>231</v>
      </c>
      <c r="B94" s="2" t="s">
        <v>31</v>
      </c>
      <c r="C94" s="2" t="s">
        <v>232</v>
      </c>
      <c r="D94" s="2" t="s">
        <v>69</v>
      </c>
      <c r="E94" s="2" t="s">
        <v>70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116</v>
      </c>
      <c r="M94" s="2" t="s">
        <v>19</v>
      </c>
    </row>
    <row r="95" spans="1:13" ht="14.25" customHeight="1" x14ac:dyDescent="0.3">
      <c r="A95" s="2" t="s">
        <v>233</v>
      </c>
      <c r="B95" s="2" t="s">
        <v>31</v>
      </c>
      <c r="C95" s="2" t="s">
        <v>201</v>
      </c>
      <c r="D95" s="2" t="s">
        <v>49</v>
      </c>
      <c r="E95" s="2" t="s">
        <v>50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58</v>
      </c>
      <c r="M95" s="2" t="s">
        <v>25</v>
      </c>
    </row>
    <row r="96" spans="1:13" ht="14.25" customHeight="1" x14ac:dyDescent="0.3">
      <c r="A96" s="2" t="s">
        <v>234</v>
      </c>
      <c r="B96" s="2" t="s">
        <v>31</v>
      </c>
      <c r="C96" s="2" t="s">
        <v>235</v>
      </c>
      <c r="D96" s="2" t="s">
        <v>22</v>
      </c>
      <c r="E96" s="2" t="s">
        <v>23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87</v>
      </c>
      <c r="M96" s="2" t="s">
        <v>25</v>
      </c>
    </row>
    <row r="97" spans="1:13" ht="14.25" customHeight="1" x14ac:dyDescent="0.3">
      <c r="A97" s="2" t="s">
        <v>236</v>
      </c>
      <c r="B97" s="2" t="s">
        <v>14</v>
      </c>
      <c r="C97" s="2" t="s">
        <v>237</v>
      </c>
      <c r="D97" s="2" t="s">
        <v>49</v>
      </c>
      <c r="E97" s="2" t="s">
        <v>50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77</v>
      </c>
      <c r="M97" s="2" t="s">
        <v>38</v>
      </c>
    </row>
    <row r="98" spans="1:13" ht="14.25" customHeight="1" x14ac:dyDescent="0.3">
      <c r="A98" s="2" t="s">
        <v>238</v>
      </c>
      <c r="B98" s="2" t="s">
        <v>31</v>
      </c>
      <c r="C98" s="2" t="s">
        <v>239</v>
      </c>
      <c r="D98" s="2" t="s">
        <v>49</v>
      </c>
      <c r="E98" s="2" t="s">
        <v>50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61</v>
      </c>
      <c r="M98" s="2" t="s">
        <v>25</v>
      </c>
    </row>
    <row r="99" spans="1:13" ht="14.25" customHeight="1" x14ac:dyDescent="0.3">
      <c r="A99" s="2" t="s">
        <v>240</v>
      </c>
      <c r="B99" s="2" t="s">
        <v>14</v>
      </c>
      <c r="C99" s="2" t="s">
        <v>148</v>
      </c>
      <c r="D99" s="2" t="s">
        <v>33</v>
      </c>
      <c r="E99" s="2" t="s">
        <v>34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58</v>
      </c>
      <c r="M99" s="2" t="s">
        <v>38</v>
      </c>
    </row>
    <row r="100" spans="1:13" ht="14.25" customHeight="1" x14ac:dyDescent="0.3">
      <c r="A100" s="2" t="s">
        <v>241</v>
      </c>
      <c r="B100" s="2" t="s">
        <v>27</v>
      </c>
      <c r="C100" s="2" t="s">
        <v>242</v>
      </c>
      <c r="D100" s="2" t="s">
        <v>42</v>
      </c>
      <c r="E100" s="2" t="s">
        <v>43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58</v>
      </c>
      <c r="M100" s="2" t="s">
        <v>38</v>
      </c>
    </row>
    <row r="101" spans="1:13" ht="14.25" customHeight="1" x14ac:dyDescent="0.3">
      <c r="A101" s="2" t="s">
        <v>243</v>
      </c>
      <c r="B101" s="2" t="s">
        <v>27</v>
      </c>
      <c r="C101" s="2" t="s">
        <v>244</v>
      </c>
      <c r="D101" s="2" t="s">
        <v>69</v>
      </c>
      <c r="E101" s="2" t="s">
        <v>70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58</v>
      </c>
      <c r="M101" s="2" t="s">
        <v>19</v>
      </c>
    </row>
    <row r="102" spans="1:13" ht="14.25" customHeight="1" x14ac:dyDescent="0.3">
      <c r="A102" s="2" t="s">
        <v>245</v>
      </c>
      <c r="B102" s="2" t="s">
        <v>27</v>
      </c>
      <c r="C102" s="2" t="s">
        <v>195</v>
      </c>
      <c r="D102" s="2" t="s">
        <v>69</v>
      </c>
      <c r="E102" s="2" t="s">
        <v>70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82</v>
      </c>
      <c r="M102" s="2" t="s">
        <v>25</v>
      </c>
    </row>
    <row r="103" spans="1:13" ht="14.25" customHeight="1" x14ac:dyDescent="0.3">
      <c r="A103" s="2" t="s">
        <v>246</v>
      </c>
      <c r="B103" s="2" t="s">
        <v>14</v>
      </c>
      <c r="C103" s="2" t="s">
        <v>247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105</v>
      </c>
      <c r="M103" s="2" t="s">
        <v>38</v>
      </c>
    </row>
    <row r="104" spans="1:13" ht="14.25" customHeight="1" x14ac:dyDescent="0.3">
      <c r="A104" s="2" t="s">
        <v>248</v>
      </c>
      <c r="B104" s="2" t="s">
        <v>40</v>
      </c>
      <c r="C104" s="2" t="s">
        <v>249</v>
      </c>
      <c r="D104" s="2" t="s">
        <v>49</v>
      </c>
      <c r="E104" s="2" t="s">
        <v>50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44</v>
      </c>
      <c r="M104" s="2" t="s">
        <v>19</v>
      </c>
    </row>
    <row r="105" spans="1:13" ht="14.25" customHeight="1" x14ac:dyDescent="0.3">
      <c r="A105" s="2" t="s">
        <v>250</v>
      </c>
      <c r="B105" s="2" t="s">
        <v>27</v>
      </c>
      <c r="C105" s="2" t="s">
        <v>251</v>
      </c>
      <c r="D105" s="2" t="s">
        <v>33</v>
      </c>
      <c r="E105" s="2" t="s">
        <v>34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44</v>
      </c>
      <c r="M105" s="2" t="s">
        <v>55</v>
      </c>
    </row>
    <row r="106" spans="1:13" ht="14.25" customHeight="1" x14ac:dyDescent="0.3">
      <c r="A106" s="2" t="s">
        <v>252</v>
      </c>
      <c r="B106" s="2" t="s">
        <v>31</v>
      </c>
      <c r="C106" s="2" t="s">
        <v>253</v>
      </c>
      <c r="D106" s="2" t="s">
        <v>42</v>
      </c>
      <c r="E106" s="2" t="s">
        <v>43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162</v>
      </c>
      <c r="M106" s="2" t="s">
        <v>55</v>
      </c>
    </row>
    <row r="107" spans="1:13" ht="14.25" customHeight="1" x14ac:dyDescent="0.3">
      <c r="A107" s="2" t="s">
        <v>254</v>
      </c>
      <c r="B107" s="2" t="s">
        <v>31</v>
      </c>
      <c r="C107" s="2" t="s">
        <v>255</v>
      </c>
      <c r="D107" s="2" t="s">
        <v>49</v>
      </c>
      <c r="E107" s="2" t="s">
        <v>50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24</v>
      </c>
      <c r="M107" s="2" t="s">
        <v>19</v>
      </c>
    </row>
    <row r="108" spans="1:13" ht="14.25" customHeight="1" x14ac:dyDescent="0.3">
      <c r="A108" s="2" t="s">
        <v>256</v>
      </c>
      <c r="B108" s="2" t="s">
        <v>27</v>
      </c>
      <c r="C108" s="2" t="s">
        <v>257</v>
      </c>
      <c r="D108" s="2" t="s">
        <v>49</v>
      </c>
      <c r="E108" s="2" t="s">
        <v>50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82</v>
      </c>
      <c r="M108" s="2" t="s">
        <v>38</v>
      </c>
    </row>
    <row r="109" spans="1:13" ht="14.25" customHeight="1" x14ac:dyDescent="0.3">
      <c r="A109" s="2" t="s">
        <v>258</v>
      </c>
      <c r="B109" s="2" t="s">
        <v>14</v>
      </c>
      <c r="C109" s="2" t="s">
        <v>259</v>
      </c>
      <c r="D109" s="2" t="s">
        <v>69</v>
      </c>
      <c r="E109" s="2" t="s">
        <v>70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162</v>
      </c>
      <c r="M109" s="2" t="s">
        <v>19</v>
      </c>
    </row>
    <row r="110" spans="1:13" ht="14.25" customHeight="1" x14ac:dyDescent="0.3">
      <c r="A110" s="2" t="s">
        <v>260</v>
      </c>
      <c r="B110" s="2" t="s">
        <v>14</v>
      </c>
      <c r="C110" s="2" t="s">
        <v>261</v>
      </c>
      <c r="D110" s="2" t="s">
        <v>33</v>
      </c>
      <c r="E110" s="2" t="s">
        <v>34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146</v>
      </c>
      <c r="M110" s="2" t="s">
        <v>19</v>
      </c>
    </row>
    <row r="111" spans="1:13" ht="14.25" customHeight="1" x14ac:dyDescent="0.3">
      <c r="A111" s="2" t="s">
        <v>262</v>
      </c>
      <c r="B111" s="2" t="s">
        <v>31</v>
      </c>
      <c r="C111" s="2" t="s">
        <v>263</v>
      </c>
      <c r="D111" s="2" t="s">
        <v>16</v>
      </c>
      <c r="E111" s="2" t="s">
        <v>17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264</v>
      </c>
      <c r="M111" s="2" t="s">
        <v>25</v>
      </c>
    </row>
    <row r="112" spans="1:13" ht="14.25" customHeight="1" x14ac:dyDescent="0.3">
      <c r="A112" s="2" t="s">
        <v>265</v>
      </c>
      <c r="B112" s="2" t="s">
        <v>27</v>
      </c>
      <c r="C112" s="2" t="s">
        <v>266</v>
      </c>
      <c r="D112" s="2" t="s">
        <v>49</v>
      </c>
      <c r="E112" s="2" t="s">
        <v>50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146</v>
      </c>
      <c r="M112" s="2" t="s">
        <v>38</v>
      </c>
    </row>
    <row r="113" spans="1:13" ht="14.25" customHeight="1" x14ac:dyDescent="0.3">
      <c r="A113" s="2" t="s">
        <v>267</v>
      </c>
      <c r="B113" s="2" t="s">
        <v>14</v>
      </c>
      <c r="C113" s="2" t="s">
        <v>268</v>
      </c>
      <c r="D113" s="2" t="s">
        <v>33</v>
      </c>
      <c r="E113" s="2" t="s">
        <v>34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29</v>
      </c>
      <c r="M113" s="2" t="s">
        <v>38</v>
      </c>
    </row>
    <row r="114" spans="1:13" ht="14.25" customHeight="1" x14ac:dyDescent="0.3">
      <c r="A114" s="2" t="s">
        <v>269</v>
      </c>
      <c r="B114" s="2" t="s">
        <v>14</v>
      </c>
      <c r="C114" s="2" t="s">
        <v>270</v>
      </c>
      <c r="D114" s="2" t="s">
        <v>42</v>
      </c>
      <c r="E114" s="2" t="s">
        <v>43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44</v>
      </c>
      <c r="M114" s="2" t="s">
        <v>55</v>
      </c>
    </row>
    <row r="115" spans="1:13" ht="14.25" customHeight="1" x14ac:dyDescent="0.3">
      <c r="A115" s="2" t="s">
        <v>271</v>
      </c>
      <c r="B115" s="2" t="s">
        <v>14</v>
      </c>
      <c r="C115" s="2" t="s">
        <v>272</v>
      </c>
      <c r="D115" s="2" t="s">
        <v>33</v>
      </c>
      <c r="E115" s="2" t="s">
        <v>34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144</v>
      </c>
      <c r="M115" s="2" t="s">
        <v>38</v>
      </c>
    </row>
    <row r="116" spans="1:13" ht="14.25" customHeight="1" x14ac:dyDescent="0.3">
      <c r="A116" s="2" t="s">
        <v>273</v>
      </c>
      <c r="B116" s="2" t="s">
        <v>14</v>
      </c>
      <c r="C116" s="2" t="s">
        <v>274</v>
      </c>
      <c r="D116" s="2" t="s">
        <v>49</v>
      </c>
      <c r="E116" s="2" t="s">
        <v>50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82</v>
      </c>
      <c r="M116" s="2" t="s">
        <v>19</v>
      </c>
    </row>
    <row r="117" spans="1:13" ht="14.25" customHeight="1" x14ac:dyDescent="0.3">
      <c r="A117" s="2" t="s">
        <v>275</v>
      </c>
      <c r="B117" s="2" t="s">
        <v>27</v>
      </c>
      <c r="C117" s="2" t="s">
        <v>276</v>
      </c>
      <c r="D117" s="2" t="s">
        <v>16</v>
      </c>
      <c r="E117" s="2" t="s">
        <v>17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58</v>
      </c>
      <c r="M117" s="2" t="s">
        <v>19</v>
      </c>
    </row>
    <row r="118" spans="1:13" ht="14.25" customHeight="1" x14ac:dyDescent="0.3">
      <c r="A118" s="2" t="s">
        <v>277</v>
      </c>
      <c r="B118" s="2" t="s">
        <v>14</v>
      </c>
      <c r="C118" s="2" t="s">
        <v>278</v>
      </c>
      <c r="D118" s="2" t="s">
        <v>49</v>
      </c>
      <c r="E118" s="2" t="s">
        <v>50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82</v>
      </c>
      <c r="M118" s="2" t="s">
        <v>25</v>
      </c>
    </row>
    <row r="119" spans="1:13" ht="14.25" customHeight="1" x14ac:dyDescent="0.3">
      <c r="A119" s="2" t="s">
        <v>279</v>
      </c>
      <c r="B119" s="2" t="s">
        <v>40</v>
      </c>
      <c r="C119" s="2" t="s">
        <v>278</v>
      </c>
      <c r="D119" s="2" t="s">
        <v>49</v>
      </c>
      <c r="E119" s="2" t="s">
        <v>50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44</v>
      </c>
      <c r="M119" s="2" t="s">
        <v>25</v>
      </c>
    </row>
    <row r="120" spans="1:13" ht="14.25" customHeight="1" x14ac:dyDescent="0.3">
      <c r="A120" s="2" t="s">
        <v>280</v>
      </c>
      <c r="B120" s="2" t="s">
        <v>31</v>
      </c>
      <c r="C120" s="2" t="s">
        <v>281</v>
      </c>
      <c r="D120" s="2" t="s">
        <v>16</v>
      </c>
      <c r="E120" s="2" t="s">
        <v>17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44</v>
      </c>
      <c r="M120" s="2" t="s">
        <v>55</v>
      </c>
    </row>
    <row r="121" spans="1:13" ht="14.25" customHeight="1" x14ac:dyDescent="0.3">
      <c r="A121" s="2" t="s">
        <v>282</v>
      </c>
      <c r="B121" s="2" t="s">
        <v>40</v>
      </c>
      <c r="C121" s="2" t="s">
        <v>164</v>
      </c>
      <c r="D121" s="2" t="s">
        <v>33</v>
      </c>
      <c r="E121" s="2" t="s">
        <v>34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66</v>
      </c>
      <c r="M121" s="2" t="s">
        <v>55</v>
      </c>
    </row>
    <row r="122" spans="1:13" ht="14.25" customHeight="1" x14ac:dyDescent="0.3">
      <c r="A122" s="2" t="s">
        <v>283</v>
      </c>
      <c r="B122" s="2" t="s">
        <v>31</v>
      </c>
      <c r="C122" s="2" t="s">
        <v>263</v>
      </c>
      <c r="D122" s="2" t="s">
        <v>33</v>
      </c>
      <c r="E122" s="2" t="s">
        <v>34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264</v>
      </c>
      <c r="M122" s="2" t="s">
        <v>55</v>
      </c>
    </row>
    <row r="123" spans="1:13" ht="14.25" customHeight="1" x14ac:dyDescent="0.3">
      <c r="A123" s="2" t="s">
        <v>284</v>
      </c>
      <c r="B123" s="2" t="s">
        <v>31</v>
      </c>
      <c r="C123" s="2" t="s">
        <v>270</v>
      </c>
      <c r="D123" s="2" t="s">
        <v>22</v>
      </c>
      <c r="E123" s="2" t="s">
        <v>23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285</v>
      </c>
      <c r="M123" s="2" t="s">
        <v>25</v>
      </c>
    </row>
    <row r="124" spans="1:13" ht="14.25" customHeight="1" x14ac:dyDescent="0.3">
      <c r="A124" s="2" t="s">
        <v>286</v>
      </c>
      <c r="B124" s="2" t="s">
        <v>31</v>
      </c>
      <c r="C124" s="2" t="s">
        <v>253</v>
      </c>
      <c r="D124" s="2" t="s">
        <v>33</v>
      </c>
      <c r="E124" s="2" t="s">
        <v>34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66</v>
      </c>
      <c r="M124" s="2" t="s">
        <v>25</v>
      </c>
    </row>
    <row r="125" spans="1:13" ht="14.25" customHeight="1" x14ac:dyDescent="0.3">
      <c r="A125" s="2" t="s">
        <v>287</v>
      </c>
      <c r="B125" s="2" t="s">
        <v>27</v>
      </c>
      <c r="C125" s="2" t="s">
        <v>288</v>
      </c>
      <c r="D125" s="2" t="s">
        <v>42</v>
      </c>
      <c r="E125" s="2" t="s">
        <v>43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58</v>
      </c>
      <c r="M125" s="2" t="s">
        <v>38</v>
      </c>
    </row>
    <row r="126" spans="1:13" ht="14.25" customHeight="1" x14ac:dyDescent="0.3">
      <c r="A126" s="2" t="s">
        <v>289</v>
      </c>
      <c r="B126" s="2" t="s">
        <v>14</v>
      </c>
      <c r="C126" s="2" t="s">
        <v>290</v>
      </c>
      <c r="D126" s="2" t="s">
        <v>42</v>
      </c>
      <c r="E126" s="2" t="s">
        <v>43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58</v>
      </c>
      <c r="M126" s="2" t="s">
        <v>38</v>
      </c>
    </row>
    <row r="127" spans="1:13" ht="14.25" customHeight="1" x14ac:dyDescent="0.3">
      <c r="A127" s="2" t="s">
        <v>291</v>
      </c>
      <c r="B127" s="2" t="s">
        <v>31</v>
      </c>
      <c r="C127" s="2" t="s">
        <v>180</v>
      </c>
      <c r="D127" s="2" t="s">
        <v>42</v>
      </c>
      <c r="E127" s="2" t="s">
        <v>43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24</v>
      </c>
      <c r="M127" s="2" t="s">
        <v>25</v>
      </c>
    </row>
    <row r="128" spans="1:13" ht="14.25" customHeight="1" x14ac:dyDescent="0.3">
      <c r="A128" s="2" t="s">
        <v>292</v>
      </c>
      <c r="B128" s="2" t="s">
        <v>40</v>
      </c>
      <c r="C128" s="2" t="s">
        <v>219</v>
      </c>
      <c r="D128" s="2" t="s">
        <v>16</v>
      </c>
      <c r="E128" s="2" t="s">
        <v>17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82</v>
      </c>
      <c r="M128" s="2" t="s">
        <v>19</v>
      </c>
    </row>
    <row r="129" spans="1:13" ht="14.25" customHeight="1" x14ac:dyDescent="0.3">
      <c r="A129" s="2" t="s">
        <v>293</v>
      </c>
      <c r="B129" s="2" t="s">
        <v>14</v>
      </c>
      <c r="C129" s="2" t="s">
        <v>225</v>
      </c>
      <c r="D129" s="2" t="s">
        <v>49</v>
      </c>
      <c r="E129" s="2" t="s">
        <v>50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58</v>
      </c>
      <c r="M129" s="2" t="s">
        <v>55</v>
      </c>
    </row>
    <row r="130" spans="1:13" ht="14.25" customHeight="1" x14ac:dyDescent="0.3">
      <c r="A130" s="2" t="s">
        <v>294</v>
      </c>
      <c r="B130" s="2" t="s">
        <v>14</v>
      </c>
      <c r="C130" s="2" t="s">
        <v>60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77</v>
      </c>
      <c r="M130" s="2" t="s">
        <v>55</v>
      </c>
    </row>
    <row r="131" spans="1:13" ht="14.25" customHeight="1" x14ac:dyDescent="0.3">
      <c r="A131" s="2" t="s">
        <v>295</v>
      </c>
      <c r="B131" s="2" t="s">
        <v>27</v>
      </c>
      <c r="C131" s="2" t="s">
        <v>296</v>
      </c>
      <c r="D131" s="2" t="s">
        <v>16</v>
      </c>
      <c r="E131" s="2" t="s">
        <v>17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18</v>
      </c>
      <c r="M131" s="2" t="s">
        <v>38</v>
      </c>
    </row>
    <row r="132" spans="1:13" ht="14.25" customHeight="1" x14ac:dyDescent="0.3">
      <c r="A132" s="2" t="s">
        <v>297</v>
      </c>
      <c r="B132" s="2" t="s">
        <v>31</v>
      </c>
      <c r="C132" s="2" t="s">
        <v>164</v>
      </c>
      <c r="D132" s="2" t="s">
        <v>16</v>
      </c>
      <c r="E132" s="2" t="s">
        <v>17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66</v>
      </c>
      <c r="M132" s="2" t="s">
        <v>25</v>
      </c>
    </row>
    <row r="133" spans="1:13" ht="14.25" customHeight="1" x14ac:dyDescent="0.3">
      <c r="A133" s="2" t="s">
        <v>298</v>
      </c>
      <c r="B133" s="2" t="s">
        <v>31</v>
      </c>
      <c r="C133" s="2" t="s">
        <v>101</v>
      </c>
      <c r="D133" s="2" t="s">
        <v>33</v>
      </c>
      <c r="E133" s="2" t="s">
        <v>34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24</v>
      </c>
      <c r="M133" s="2" t="s">
        <v>25</v>
      </c>
    </row>
    <row r="134" spans="1:13" ht="14.25" customHeight="1" x14ac:dyDescent="0.3">
      <c r="A134" s="2" t="s">
        <v>299</v>
      </c>
      <c r="B134" s="2" t="s">
        <v>40</v>
      </c>
      <c r="C134" s="2" t="s">
        <v>300</v>
      </c>
      <c r="D134" s="2" t="s">
        <v>49</v>
      </c>
      <c r="E134" s="2" t="s">
        <v>50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18</v>
      </c>
      <c r="M134" s="2" t="s">
        <v>38</v>
      </c>
    </row>
    <row r="135" spans="1:13" ht="14.25" customHeight="1" x14ac:dyDescent="0.3">
      <c r="A135" s="2" t="s">
        <v>301</v>
      </c>
      <c r="B135" s="2" t="s">
        <v>14</v>
      </c>
      <c r="C135" s="2" t="s">
        <v>302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77</v>
      </c>
      <c r="M135" s="2" t="s">
        <v>55</v>
      </c>
    </row>
    <row r="136" spans="1:13" ht="14.25" customHeight="1" x14ac:dyDescent="0.3">
      <c r="A136" s="2" t="s">
        <v>303</v>
      </c>
      <c r="B136" s="2" t="s">
        <v>40</v>
      </c>
      <c r="C136" s="2" t="s">
        <v>304</v>
      </c>
      <c r="D136" s="2" t="s">
        <v>22</v>
      </c>
      <c r="E136" s="2" t="s">
        <v>23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44</v>
      </c>
      <c r="M136" s="2" t="s">
        <v>38</v>
      </c>
    </row>
    <row r="137" spans="1:13" ht="14.25" customHeight="1" x14ac:dyDescent="0.3">
      <c r="A137" s="2" t="s">
        <v>305</v>
      </c>
      <c r="B137" s="2" t="s">
        <v>31</v>
      </c>
      <c r="C137" s="2" t="s">
        <v>306</v>
      </c>
      <c r="D137" s="2" t="s">
        <v>22</v>
      </c>
      <c r="E137" s="2" t="s">
        <v>23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66</v>
      </c>
      <c r="M137" s="2" t="s">
        <v>55</v>
      </c>
    </row>
    <row r="138" spans="1:13" ht="14.25" customHeight="1" x14ac:dyDescent="0.3">
      <c r="A138" s="2" t="s">
        <v>307</v>
      </c>
      <c r="B138" s="2" t="s">
        <v>40</v>
      </c>
      <c r="C138" s="2" t="s">
        <v>111</v>
      </c>
      <c r="D138" s="2" t="s">
        <v>69</v>
      </c>
      <c r="E138" s="2" t="s">
        <v>70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77</v>
      </c>
      <c r="M138" s="2" t="s">
        <v>19</v>
      </c>
    </row>
    <row r="139" spans="1:13" ht="14.25" customHeight="1" x14ac:dyDescent="0.3">
      <c r="A139" s="2" t="s">
        <v>308</v>
      </c>
      <c r="B139" s="2" t="s">
        <v>14</v>
      </c>
      <c r="C139" s="2" t="s">
        <v>184</v>
      </c>
      <c r="D139" s="2" t="s">
        <v>49</v>
      </c>
      <c r="E139" s="2" t="s">
        <v>50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285</v>
      </c>
      <c r="M139" s="2" t="s">
        <v>55</v>
      </c>
    </row>
    <row r="140" spans="1:13" ht="14.25" customHeight="1" x14ac:dyDescent="0.3">
      <c r="A140" s="2" t="s">
        <v>309</v>
      </c>
      <c r="B140" s="2" t="s">
        <v>27</v>
      </c>
      <c r="C140" s="2" t="s">
        <v>310</v>
      </c>
      <c r="D140" s="2" t="s">
        <v>22</v>
      </c>
      <c r="E140" s="2" t="s">
        <v>23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146</v>
      </c>
      <c r="M140" s="2" t="s">
        <v>25</v>
      </c>
    </row>
    <row r="141" spans="1:13" ht="14.25" customHeight="1" x14ac:dyDescent="0.3">
      <c r="A141" s="2" t="s">
        <v>311</v>
      </c>
      <c r="B141" s="2" t="s">
        <v>40</v>
      </c>
      <c r="C141" s="2" t="s">
        <v>312</v>
      </c>
      <c r="D141" s="2" t="s">
        <v>49</v>
      </c>
      <c r="E141" s="2" t="s">
        <v>50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77</v>
      </c>
      <c r="M141" s="2" t="s">
        <v>19</v>
      </c>
    </row>
    <row r="142" spans="1:13" ht="14.25" customHeight="1" x14ac:dyDescent="0.3">
      <c r="A142" s="2" t="s">
        <v>313</v>
      </c>
      <c r="B142" s="2" t="s">
        <v>14</v>
      </c>
      <c r="C142" s="2" t="s">
        <v>314</v>
      </c>
      <c r="D142" s="2" t="s">
        <v>49</v>
      </c>
      <c r="E142" s="2" t="s">
        <v>50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18</v>
      </c>
      <c r="M142" s="2" t="s">
        <v>38</v>
      </c>
    </row>
    <row r="143" spans="1:13" ht="14.25" customHeight="1" x14ac:dyDescent="0.3">
      <c r="A143" s="2" t="s">
        <v>315</v>
      </c>
      <c r="B143" s="2" t="s">
        <v>27</v>
      </c>
      <c r="C143" s="2" t="s">
        <v>259</v>
      </c>
      <c r="D143" s="2" t="s">
        <v>33</v>
      </c>
      <c r="E143" s="2" t="s">
        <v>34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18</v>
      </c>
      <c r="M143" s="2" t="s">
        <v>55</v>
      </c>
    </row>
    <row r="144" spans="1:13" ht="14.25" customHeight="1" x14ac:dyDescent="0.3">
      <c r="A144" s="2" t="s">
        <v>316</v>
      </c>
      <c r="B144" s="2" t="s">
        <v>27</v>
      </c>
      <c r="C144" s="2" t="s">
        <v>270</v>
      </c>
      <c r="D144" s="2" t="s">
        <v>42</v>
      </c>
      <c r="E144" s="2" t="s">
        <v>43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146</v>
      </c>
      <c r="M144" s="2" t="s">
        <v>25</v>
      </c>
    </row>
    <row r="145" spans="1:13" ht="14.25" customHeight="1" x14ac:dyDescent="0.3">
      <c r="A145" s="2" t="s">
        <v>317</v>
      </c>
      <c r="B145" s="2" t="s">
        <v>27</v>
      </c>
      <c r="C145" s="2" t="s">
        <v>197</v>
      </c>
      <c r="D145" s="2" t="s">
        <v>33</v>
      </c>
      <c r="E145" s="2" t="s">
        <v>34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214</v>
      </c>
      <c r="M145" s="2" t="s">
        <v>19</v>
      </c>
    </row>
    <row r="146" spans="1:13" ht="14.25" customHeight="1" x14ac:dyDescent="0.3">
      <c r="A146" s="2" t="s">
        <v>318</v>
      </c>
      <c r="B146" s="2" t="s">
        <v>31</v>
      </c>
      <c r="C146" s="2" t="s">
        <v>32</v>
      </c>
      <c r="D146" s="2" t="s">
        <v>42</v>
      </c>
      <c r="E146" s="2" t="s">
        <v>43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178</v>
      </c>
      <c r="M146" s="2" t="s">
        <v>19</v>
      </c>
    </row>
    <row r="147" spans="1:13" ht="14.25" customHeight="1" x14ac:dyDescent="0.3">
      <c r="A147" s="2" t="s">
        <v>319</v>
      </c>
      <c r="B147" s="2" t="s">
        <v>27</v>
      </c>
      <c r="C147" s="2" t="s">
        <v>320</v>
      </c>
      <c r="D147" s="2" t="s">
        <v>16</v>
      </c>
      <c r="E147" s="2" t="s">
        <v>17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58</v>
      </c>
      <c r="M147" s="2" t="s">
        <v>19</v>
      </c>
    </row>
    <row r="148" spans="1:13" ht="14.25" customHeight="1" x14ac:dyDescent="0.3">
      <c r="A148" s="2" t="s">
        <v>321</v>
      </c>
      <c r="B148" s="2" t="s">
        <v>31</v>
      </c>
      <c r="C148" s="2" t="s">
        <v>164</v>
      </c>
      <c r="D148" s="2" t="s">
        <v>16</v>
      </c>
      <c r="E148" s="2" t="s">
        <v>17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82</v>
      </c>
      <c r="M148" s="2" t="s">
        <v>38</v>
      </c>
    </row>
    <row r="149" spans="1:13" ht="14.25" customHeight="1" x14ac:dyDescent="0.3">
      <c r="A149" s="2" t="s">
        <v>322</v>
      </c>
      <c r="B149" s="2" t="s">
        <v>31</v>
      </c>
      <c r="C149" s="2" t="s">
        <v>166</v>
      </c>
      <c r="D149" s="2" t="s">
        <v>69</v>
      </c>
      <c r="E149" s="2" t="s">
        <v>70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58</v>
      </c>
      <c r="M149" s="2" t="s">
        <v>25</v>
      </c>
    </row>
    <row r="150" spans="1:13" ht="14.25" customHeight="1" x14ac:dyDescent="0.3">
      <c r="A150" s="2" t="s">
        <v>323</v>
      </c>
      <c r="B150" s="2" t="s">
        <v>14</v>
      </c>
      <c r="C150" s="2" t="s">
        <v>324</v>
      </c>
      <c r="D150" s="2" t="s">
        <v>69</v>
      </c>
      <c r="E150" s="2" t="s">
        <v>70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44</v>
      </c>
      <c r="M150" s="2" t="s">
        <v>38</v>
      </c>
    </row>
    <row r="151" spans="1:13" ht="14.25" customHeight="1" x14ac:dyDescent="0.3">
      <c r="A151" s="2" t="s">
        <v>325</v>
      </c>
      <c r="B151" s="2" t="s">
        <v>27</v>
      </c>
      <c r="C151" s="2" t="s">
        <v>326</v>
      </c>
      <c r="D151" s="2" t="s">
        <v>42</v>
      </c>
      <c r="E151" s="2" t="s">
        <v>43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209</v>
      </c>
      <c r="M151" s="2" t="s">
        <v>25</v>
      </c>
    </row>
    <row r="152" spans="1:13" ht="14.25" customHeight="1" x14ac:dyDescent="0.3">
      <c r="A152" s="2" t="s">
        <v>327</v>
      </c>
      <c r="B152" s="2" t="s">
        <v>31</v>
      </c>
      <c r="C152" s="2" t="s">
        <v>182</v>
      </c>
      <c r="D152" s="2" t="s">
        <v>49</v>
      </c>
      <c r="E152" s="2" t="s">
        <v>50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214</v>
      </c>
      <c r="M152" s="2" t="s">
        <v>38</v>
      </c>
    </row>
    <row r="153" spans="1:13" ht="14.25" customHeight="1" x14ac:dyDescent="0.3">
      <c r="A153" s="2" t="s">
        <v>328</v>
      </c>
      <c r="B153" s="2" t="s">
        <v>40</v>
      </c>
      <c r="C153" s="2" t="s">
        <v>329</v>
      </c>
      <c r="D153" s="2" t="s">
        <v>49</v>
      </c>
      <c r="E153" s="2" t="s">
        <v>50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82</v>
      </c>
      <c r="M153" s="2" t="s">
        <v>55</v>
      </c>
    </row>
    <row r="154" spans="1:13" ht="14.25" customHeight="1" x14ac:dyDescent="0.3">
      <c r="A154" s="2" t="s">
        <v>330</v>
      </c>
      <c r="B154" s="2" t="s">
        <v>14</v>
      </c>
      <c r="C154" s="2" t="s">
        <v>331</v>
      </c>
      <c r="D154" s="2" t="s">
        <v>69</v>
      </c>
      <c r="E154" s="2" t="s">
        <v>70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178</v>
      </c>
      <c r="M154" s="2" t="s">
        <v>38</v>
      </c>
    </row>
    <row r="155" spans="1:13" ht="14.25" customHeight="1" x14ac:dyDescent="0.3">
      <c r="A155" s="2" t="s">
        <v>332</v>
      </c>
      <c r="B155" s="2" t="s">
        <v>31</v>
      </c>
      <c r="C155" s="2" t="s">
        <v>205</v>
      </c>
      <c r="D155" s="2" t="s">
        <v>42</v>
      </c>
      <c r="E155" s="2" t="s">
        <v>43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66</v>
      </c>
      <c r="M155" s="2" t="s">
        <v>25</v>
      </c>
    </row>
    <row r="156" spans="1:13" ht="14.25" customHeight="1" x14ac:dyDescent="0.3">
      <c r="A156" s="2" t="s">
        <v>333</v>
      </c>
      <c r="B156" s="2" t="s">
        <v>27</v>
      </c>
      <c r="C156" s="2" t="s">
        <v>334</v>
      </c>
      <c r="D156" s="2" t="s">
        <v>49</v>
      </c>
      <c r="E156" s="2" t="s">
        <v>50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146</v>
      </c>
      <c r="M156" s="2" t="s">
        <v>38</v>
      </c>
    </row>
    <row r="157" spans="1:13" ht="14.25" customHeight="1" x14ac:dyDescent="0.3">
      <c r="A157" s="2" t="s">
        <v>335</v>
      </c>
      <c r="B157" s="2" t="s">
        <v>40</v>
      </c>
      <c r="C157" s="2" t="s">
        <v>336</v>
      </c>
      <c r="D157" s="2" t="s">
        <v>42</v>
      </c>
      <c r="E157" s="2" t="s">
        <v>43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44</v>
      </c>
      <c r="M157" s="2" t="s">
        <v>38</v>
      </c>
    </row>
    <row r="158" spans="1:13" ht="14.25" customHeight="1" x14ac:dyDescent="0.3">
      <c r="A158" s="2" t="s">
        <v>337</v>
      </c>
      <c r="B158" s="2" t="s">
        <v>27</v>
      </c>
      <c r="C158" s="2" t="s">
        <v>338</v>
      </c>
      <c r="D158" s="2" t="s">
        <v>33</v>
      </c>
      <c r="E158" s="2" t="s">
        <v>34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87</v>
      </c>
      <c r="M158" s="2" t="s">
        <v>55</v>
      </c>
    </row>
    <row r="159" spans="1:13" ht="14.25" customHeight="1" x14ac:dyDescent="0.3">
      <c r="A159" s="2" t="s">
        <v>339</v>
      </c>
      <c r="B159" s="2" t="s">
        <v>31</v>
      </c>
      <c r="C159" s="2" t="s">
        <v>340</v>
      </c>
      <c r="D159" s="2" t="s">
        <v>33</v>
      </c>
      <c r="E159" s="2" t="s">
        <v>34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77</v>
      </c>
      <c r="M159" s="2" t="s">
        <v>25</v>
      </c>
    </row>
    <row r="160" spans="1:13" ht="14.25" customHeight="1" x14ac:dyDescent="0.3">
      <c r="A160" s="2" t="s">
        <v>341</v>
      </c>
      <c r="B160" s="2" t="s">
        <v>40</v>
      </c>
      <c r="C160" s="2" t="s">
        <v>126</v>
      </c>
      <c r="D160" s="2" t="s">
        <v>33</v>
      </c>
      <c r="E160" s="2" t="s">
        <v>34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87</v>
      </c>
      <c r="M160" s="2" t="s">
        <v>25</v>
      </c>
    </row>
    <row r="161" spans="1:13" ht="14.25" customHeight="1" x14ac:dyDescent="0.3">
      <c r="A161" s="2" t="s">
        <v>342</v>
      </c>
      <c r="B161" s="2" t="s">
        <v>14</v>
      </c>
      <c r="C161" s="2" t="s">
        <v>343</v>
      </c>
      <c r="D161" s="2" t="s">
        <v>69</v>
      </c>
      <c r="E161" s="2" t="s">
        <v>70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58</v>
      </c>
      <c r="M161" s="2" t="s">
        <v>55</v>
      </c>
    </row>
    <row r="162" spans="1:13" ht="14.25" customHeight="1" x14ac:dyDescent="0.3">
      <c r="A162" s="2" t="s">
        <v>344</v>
      </c>
      <c r="B162" s="2" t="s">
        <v>14</v>
      </c>
      <c r="C162" s="2" t="s">
        <v>345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18</v>
      </c>
      <c r="M162" s="2" t="s">
        <v>25</v>
      </c>
    </row>
    <row r="163" spans="1:13" ht="14.25" customHeight="1" x14ac:dyDescent="0.3">
      <c r="A163" s="2" t="s">
        <v>346</v>
      </c>
      <c r="B163" s="2" t="s">
        <v>40</v>
      </c>
      <c r="C163" s="2" t="s">
        <v>347</v>
      </c>
      <c r="D163" s="2" t="s">
        <v>33</v>
      </c>
      <c r="E163" s="2" t="s">
        <v>34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44</v>
      </c>
      <c r="M163" s="2" t="s">
        <v>25</v>
      </c>
    </row>
    <row r="164" spans="1:13" ht="14.25" customHeight="1" x14ac:dyDescent="0.3">
      <c r="A164" s="2" t="s">
        <v>348</v>
      </c>
      <c r="B164" s="2" t="s">
        <v>31</v>
      </c>
      <c r="C164" s="2" t="s">
        <v>349</v>
      </c>
      <c r="D164" s="2" t="s">
        <v>49</v>
      </c>
      <c r="E164" s="2" t="s">
        <v>50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24</v>
      </c>
      <c r="M164" s="2" t="s">
        <v>55</v>
      </c>
    </row>
    <row r="165" spans="1:13" ht="14.25" customHeight="1" x14ac:dyDescent="0.3">
      <c r="A165" s="2" t="s">
        <v>350</v>
      </c>
      <c r="B165" s="2" t="s">
        <v>27</v>
      </c>
      <c r="C165" s="2" t="s">
        <v>89</v>
      </c>
      <c r="D165" s="2" t="s">
        <v>22</v>
      </c>
      <c r="E165" s="2" t="s">
        <v>23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264</v>
      </c>
      <c r="M165" s="2" t="s">
        <v>25</v>
      </c>
    </row>
    <row r="166" spans="1:13" ht="14.25" customHeight="1" x14ac:dyDescent="0.3">
      <c r="A166" s="2" t="s">
        <v>351</v>
      </c>
      <c r="B166" s="2" t="s">
        <v>14</v>
      </c>
      <c r="C166" s="2" t="s">
        <v>232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214</v>
      </c>
      <c r="M166" s="2" t="s">
        <v>25</v>
      </c>
    </row>
    <row r="167" spans="1:13" ht="14.25" customHeight="1" x14ac:dyDescent="0.3">
      <c r="A167" s="2" t="s">
        <v>352</v>
      </c>
      <c r="B167" s="2" t="s">
        <v>14</v>
      </c>
      <c r="C167" s="2" t="s">
        <v>65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77</v>
      </c>
      <c r="M167" s="2" t="s">
        <v>25</v>
      </c>
    </row>
    <row r="168" spans="1:13" ht="14.25" customHeight="1" x14ac:dyDescent="0.3">
      <c r="A168" s="2" t="s">
        <v>353</v>
      </c>
      <c r="B168" s="2" t="s">
        <v>31</v>
      </c>
      <c r="C168" s="2" t="s">
        <v>304</v>
      </c>
      <c r="D168" s="2" t="s">
        <v>22</v>
      </c>
      <c r="E168" s="2" t="s">
        <v>23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18</v>
      </c>
      <c r="M168" s="2" t="s">
        <v>25</v>
      </c>
    </row>
    <row r="169" spans="1:13" ht="14.25" customHeight="1" x14ac:dyDescent="0.3">
      <c r="A169" s="2" t="s">
        <v>354</v>
      </c>
      <c r="B169" s="2" t="s">
        <v>40</v>
      </c>
      <c r="C169" s="2" t="s">
        <v>355</v>
      </c>
      <c r="D169" s="2" t="s">
        <v>22</v>
      </c>
      <c r="E169" s="2" t="s">
        <v>23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285</v>
      </c>
      <c r="M169" s="2" t="s">
        <v>55</v>
      </c>
    </row>
    <row r="170" spans="1:13" ht="14.25" customHeight="1" x14ac:dyDescent="0.3">
      <c r="A170" s="2" t="s">
        <v>356</v>
      </c>
      <c r="B170" s="2" t="s">
        <v>27</v>
      </c>
      <c r="C170" s="2" t="s">
        <v>357</v>
      </c>
      <c r="D170" s="2" t="s">
        <v>69</v>
      </c>
      <c r="E170" s="2" t="s">
        <v>70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44</v>
      </c>
      <c r="M170" s="2" t="s">
        <v>38</v>
      </c>
    </row>
    <row r="171" spans="1:13" ht="14.25" customHeight="1" x14ac:dyDescent="0.3">
      <c r="A171" s="2" t="s">
        <v>358</v>
      </c>
      <c r="B171" s="2" t="s">
        <v>14</v>
      </c>
      <c r="C171" s="2" t="s">
        <v>359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87</v>
      </c>
      <c r="M171" s="2" t="s">
        <v>55</v>
      </c>
    </row>
    <row r="172" spans="1:13" ht="14.25" customHeight="1" x14ac:dyDescent="0.3">
      <c r="A172" s="2" t="s">
        <v>360</v>
      </c>
      <c r="B172" s="2" t="s">
        <v>27</v>
      </c>
      <c r="C172" s="2" t="s">
        <v>361</v>
      </c>
      <c r="D172" s="2" t="s">
        <v>69</v>
      </c>
      <c r="E172" s="2" t="s">
        <v>70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66</v>
      </c>
      <c r="M172" s="2" t="s">
        <v>55</v>
      </c>
    </row>
    <row r="173" spans="1:13" ht="14.25" customHeight="1" x14ac:dyDescent="0.3">
      <c r="A173" s="2" t="s">
        <v>362</v>
      </c>
      <c r="B173" s="2" t="s">
        <v>40</v>
      </c>
      <c r="C173" s="2" t="s">
        <v>363</v>
      </c>
      <c r="D173" s="2" t="s">
        <v>42</v>
      </c>
      <c r="E173" s="2" t="s">
        <v>43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146</v>
      </c>
      <c r="M173" s="2" t="s">
        <v>55</v>
      </c>
    </row>
    <row r="174" spans="1:13" ht="14.25" customHeight="1" x14ac:dyDescent="0.3">
      <c r="A174" s="2" t="s">
        <v>364</v>
      </c>
      <c r="B174" s="2" t="s">
        <v>14</v>
      </c>
      <c r="C174" s="2" t="s">
        <v>365</v>
      </c>
      <c r="D174" s="2" t="s">
        <v>69</v>
      </c>
      <c r="E174" s="2" t="s">
        <v>70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178</v>
      </c>
      <c r="M174" s="2" t="s">
        <v>55</v>
      </c>
    </row>
    <row r="175" spans="1:13" ht="14.25" customHeight="1" x14ac:dyDescent="0.3">
      <c r="A175" s="2" t="s">
        <v>366</v>
      </c>
      <c r="B175" s="2" t="s">
        <v>40</v>
      </c>
      <c r="C175" s="2" t="s">
        <v>168</v>
      </c>
      <c r="D175" s="2" t="s">
        <v>22</v>
      </c>
      <c r="E175" s="2" t="s">
        <v>23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82</v>
      </c>
      <c r="M175" s="2" t="s">
        <v>55</v>
      </c>
    </row>
    <row r="176" spans="1:13" ht="14.25" customHeight="1" x14ac:dyDescent="0.3">
      <c r="A176" s="2" t="s">
        <v>367</v>
      </c>
      <c r="B176" s="2" t="s">
        <v>31</v>
      </c>
      <c r="C176" s="2" t="s">
        <v>368</v>
      </c>
      <c r="D176" s="2" t="s">
        <v>16</v>
      </c>
      <c r="E176" s="2" t="s">
        <v>17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18</v>
      </c>
      <c r="M176" s="2" t="s">
        <v>19</v>
      </c>
    </row>
    <row r="177" spans="1:13" ht="14.25" customHeight="1" x14ac:dyDescent="0.3">
      <c r="A177" s="2" t="s">
        <v>369</v>
      </c>
      <c r="B177" s="2" t="s">
        <v>40</v>
      </c>
      <c r="C177" s="2" t="s">
        <v>370</v>
      </c>
      <c r="D177" s="2" t="s">
        <v>69</v>
      </c>
      <c r="E177" s="2" t="s">
        <v>70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24</v>
      </c>
      <c r="M177" s="2" t="s">
        <v>25</v>
      </c>
    </row>
    <row r="178" spans="1:13" ht="14.25" customHeight="1" x14ac:dyDescent="0.3">
      <c r="A178" s="2" t="s">
        <v>371</v>
      </c>
      <c r="B178" s="2" t="s">
        <v>31</v>
      </c>
      <c r="C178" s="2" t="s">
        <v>372</v>
      </c>
      <c r="D178" s="2" t="s">
        <v>42</v>
      </c>
      <c r="E178" s="2" t="s">
        <v>43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77</v>
      </c>
      <c r="M178" s="2" t="s">
        <v>55</v>
      </c>
    </row>
    <row r="179" spans="1:13" ht="14.25" customHeight="1" x14ac:dyDescent="0.3">
      <c r="A179" s="2" t="s">
        <v>373</v>
      </c>
      <c r="B179" s="2" t="s">
        <v>31</v>
      </c>
      <c r="C179" s="2" t="s">
        <v>201</v>
      </c>
      <c r="D179" s="2" t="s">
        <v>69</v>
      </c>
      <c r="E179" s="2" t="s">
        <v>70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162</v>
      </c>
      <c r="M179" s="2" t="s">
        <v>55</v>
      </c>
    </row>
    <row r="180" spans="1:13" ht="14.25" customHeight="1" x14ac:dyDescent="0.3">
      <c r="A180" s="2" t="s">
        <v>374</v>
      </c>
      <c r="B180" s="2" t="s">
        <v>40</v>
      </c>
      <c r="C180" s="2" t="s">
        <v>312</v>
      </c>
      <c r="D180" s="2" t="s">
        <v>42</v>
      </c>
      <c r="E180" s="2" t="s">
        <v>43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58</v>
      </c>
      <c r="M180" s="2" t="s">
        <v>19</v>
      </c>
    </row>
    <row r="181" spans="1:13" ht="14.25" customHeight="1" x14ac:dyDescent="0.3">
      <c r="A181" s="2" t="s">
        <v>375</v>
      </c>
      <c r="B181" s="2" t="s">
        <v>27</v>
      </c>
      <c r="C181" s="2" t="s">
        <v>357</v>
      </c>
      <c r="D181" s="2" t="s">
        <v>22</v>
      </c>
      <c r="E181" s="2" t="s">
        <v>23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162</v>
      </c>
      <c r="M181" s="2" t="s">
        <v>55</v>
      </c>
    </row>
    <row r="182" spans="1:13" ht="14.25" customHeight="1" x14ac:dyDescent="0.3">
      <c r="A182" s="2" t="s">
        <v>376</v>
      </c>
      <c r="B182" s="2" t="s">
        <v>27</v>
      </c>
      <c r="C182" s="2" t="s">
        <v>377</v>
      </c>
      <c r="D182" s="2" t="s">
        <v>49</v>
      </c>
      <c r="E182" s="2" t="s">
        <v>50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18</v>
      </c>
      <c r="M182" s="2" t="s">
        <v>25</v>
      </c>
    </row>
    <row r="183" spans="1:13" ht="14.25" customHeight="1" x14ac:dyDescent="0.3">
      <c r="A183" s="2" t="s">
        <v>378</v>
      </c>
      <c r="B183" s="2" t="s">
        <v>40</v>
      </c>
      <c r="C183" s="2" t="s">
        <v>111</v>
      </c>
      <c r="D183" s="2" t="s">
        <v>49</v>
      </c>
      <c r="E183" s="2" t="s">
        <v>50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77</v>
      </c>
      <c r="M183" s="2" t="s">
        <v>19</v>
      </c>
    </row>
    <row r="184" spans="1:13" ht="14.25" customHeight="1" x14ac:dyDescent="0.3">
      <c r="A184" s="2" t="s">
        <v>379</v>
      </c>
      <c r="B184" s="2" t="s">
        <v>31</v>
      </c>
      <c r="C184" s="2" t="s">
        <v>380</v>
      </c>
      <c r="D184" s="2" t="s">
        <v>33</v>
      </c>
      <c r="E184" s="2" t="s">
        <v>34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162</v>
      </c>
      <c r="M184" s="2" t="s">
        <v>25</v>
      </c>
    </row>
    <row r="185" spans="1:13" ht="14.25" customHeight="1" x14ac:dyDescent="0.3">
      <c r="A185" s="2" t="s">
        <v>381</v>
      </c>
      <c r="B185" s="2" t="s">
        <v>14</v>
      </c>
      <c r="C185" s="2" t="s">
        <v>382</v>
      </c>
      <c r="D185" s="2" t="s">
        <v>49</v>
      </c>
      <c r="E185" s="2" t="s">
        <v>50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58</v>
      </c>
      <c r="M185" s="2" t="s">
        <v>38</v>
      </c>
    </row>
    <row r="186" spans="1:13" ht="14.25" customHeight="1" x14ac:dyDescent="0.3">
      <c r="A186" s="2" t="s">
        <v>383</v>
      </c>
      <c r="B186" s="2" t="s">
        <v>31</v>
      </c>
      <c r="C186" s="2" t="s">
        <v>384</v>
      </c>
      <c r="D186" s="2" t="s">
        <v>42</v>
      </c>
      <c r="E186" s="2" t="s">
        <v>43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102</v>
      </c>
      <c r="M186" s="2" t="s">
        <v>55</v>
      </c>
    </row>
    <row r="187" spans="1:13" ht="14.25" customHeight="1" x14ac:dyDescent="0.3">
      <c r="A187" s="2" t="s">
        <v>385</v>
      </c>
      <c r="B187" s="2" t="s">
        <v>40</v>
      </c>
      <c r="C187" s="2" t="s">
        <v>343</v>
      </c>
      <c r="D187" s="2" t="s">
        <v>42</v>
      </c>
      <c r="E187" s="2" t="s">
        <v>43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214</v>
      </c>
      <c r="M187" s="2" t="s">
        <v>19</v>
      </c>
    </row>
    <row r="188" spans="1:13" ht="14.25" customHeight="1" x14ac:dyDescent="0.3">
      <c r="A188" s="2" t="s">
        <v>386</v>
      </c>
      <c r="B188" s="2" t="s">
        <v>14</v>
      </c>
      <c r="C188" s="2" t="s">
        <v>387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102</v>
      </c>
      <c r="M188" s="2" t="s">
        <v>19</v>
      </c>
    </row>
    <row r="189" spans="1:13" ht="14.25" customHeight="1" x14ac:dyDescent="0.3">
      <c r="A189" s="2" t="s">
        <v>388</v>
      </c>
      <c r="B189" s="2" t="s">
        <v>27</v>
      </c>
      <c r="C189" s="2" t="s">
        <v>221</v>
      </c>
      <c r="D189" s="2" t="s">
        <v>16</v>
      </c>
      <c r="E189" s="2" t="s">
        <v>17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18</v>
      </c>
      <c r="M189" s="2" t="s">
        <v>25</v>
      </c>
    </row>
    <row r="190" spans="1:13" ht="14.25" customHeight="1" x14ac:dyDescent="0.3">
      <c r="A190" s="2" t="s">
        <v>389</v>
      </c>
      <c r="B190" s="2" t="s">
        <v>40</v>
      </c>
      <c r="C190" s="2" t="s">
        <v>229</v>
      </c>
      <c r="D190" s="2" t="s">
        <v>16</v>
      </c>
      <c r="E190" s="2" t="s">
        <v>17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82</v>
      </c>
      <c r="M190" s="2" t="s">
        <v>19</v>
      </c>
    </row>
    <row r="191" spans="1:13" ht="14.25" customHeight="1" x14ac:dyDescent="0.3">
      <c r="A191" s="2" t="s">
        <v>390</v>
      </c>
      <c r="B191" s="2" t="s">
        <v>27</v>
      </c>
      <c r="C191" s="2" t="s">
        <v>391</v>
      </c>
      <c r="D191" s="2" t="s">
        <v>22</v>
      </c>
      <c r="E191" s="2" t="s">
        <v>23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58</v>
      </c>
      <c r="M191" s="2" t="s">
        <v>19</v>
      </c>
    </row>
    <row r="192" spans="1:13" ht="14.25" customHeight="1" x14ac:dyDescent="0.3">
      <c r="A192" s="2" t="s">
        <v>392</v>
      </c>
      <c r="B192" s="2" t="s">
        <v>27</v>
      </c>
      <c r="C192" s="2" t="s">
        <v>357</v>
      </c>
      <c r="D192" s="2" t="s">
        <v>33</v>
      </c>
      <c r="E192" s="2" t="s">
        <v>34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71</v>
      </c>
      <c r="M192" s="2" t="s">
        <v>55</v>
      </c>
    </row>
    <row r="193" spans="1:13" ht="14.25" customHeight="1" x14ac:dyDescent="0.3">
      <c r="A193" s="2" t="s">
        <v>393</v>
      </c>
      <c r="B193" s="2" t="s">
        <v>31</v>
      </c>
      <c r="C193" s="2" t="s">
        <v>394</v>
      </c>
      <c r="D193" s="2" t="s">
        <v>69</v>
      </c>
      <c r="E193" s="2" t="s">
        <v>70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77</v>
      </c>
      <c r="M193" s="2" t="s">
        <v>19</v>
      </c>
    </row>
    <row r="194" spans="1:13" ht="14.25" customHeight="1" x14ac:dyDescent="0.3">
      <c r="A194" s="2" t="s">
        <v>395</v>
      </c>
      <c r="B194" s="2" t="s">
        <v>14</v>
      </c>
      <c r="C194" s="2" t="s">
        <v>396</v>
      </c>
      <c r="D194" s="2" t="s">
        <v>49</v>
      </c>
      <c r="E194" s="2" t="s">
        <v>50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178</v>
      </c>
      <c r="M194" s="2" t="s">
        <v>19</v>
      </c>
    </row>
    <row r="195" spans="1:13" ht="14.25" customHeight="1" x14ac:dyDescent="0.3">
      <c r="A195" s="2" t="s">
        <v>397</v>
      </c>
      <c r="B195" s="2" t="s">
        <v>27</v>
      </c>
      <c r="C195" s="2" t="s">
        <v>270</v>
      </c>
      <c r="D195" s="2" t="s">
        <v>33</v>
      </c>
      <c r="E195" s="2" t="s">
        <v>34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264</v>
      </c>
      <c r="M195" s="2" t="s">
        <v>25</v>
      </c>
    </row>
    <row r="196" spans="1:13" ht="14.25" customHeight="1" x14ac:dyDescent="0.3">
      <c r="A196" s="2" t="s">
        <v>398</v>
      </c>
      <c r="B196" s="2" t="s">
        <v>31</v>
      </c>
      <c r="C196" s="2" t="s">
        <v>399</v>
      </c>
      <c r="D196" s="2" t="s">
        <v>42</v>
      </c>
      <c r="E196" s="2" t="s">
        <v>43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285</v>
      </c>
      <c r="M196" s="2" t="s">
        <v>38</v>
      </c>
    </row>
    <row r="197" spans="1:13" ht="14.25" customHeight="1" x14ac:dyDescent="0.3">
      <c r="A197" s="2" t="s">
        <v>400</v>
      </c>
      <c r="B197" s="2" t="s">
        <v>31</v>
      </c>
      <c r="C197" s="2" t="s">
        <v>401</v>
      </c>
      <c r="D197" s="2" t="s">
        <v>22</v>
      </c>
      <c r="E197" s="2" t="s">
        <v>23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105</v>
      </c>
      <c r="M197" s="2" t="s">
        <v>38</v>
      </c>
    </row>
    <row r="198" spans="1:13" ht="14.25" customHeight="1" x14ac:dyDescent="0.3">
      <c r="A198" s="2" t="s">
        <v>402</v>
      </c>
      <c r="B198" s="2" t="s">
        <v>14</v>
      </c>
      <c r="C198" s="2" t="s">
        <v>336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77</v>
      </c>
      <c r="M198" s="2" t="s">
        <v>25</v>
      </c>
    </row>
    <row r="199" spans="1:13" ht="14.25" customHeight="1" x14ac:dyDescent="0.3">
      <c r="A199" s="2" t="s">
        <v>403</v>
      </c>
      <c r="B199" s="2" t="s">
        <v>14</v>
      </c>
      <c r="C199" s="2" t="s">
        <v>404</v>
      </c>
      <c r="D199" s="2" t="s">
        <v>49</v>
      </c>
      <c r="E199" s="2" t="s">
        <v>50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209</v>
      </c>
      <c r="M199" s="2" t="s">
        <v>25</v>
      </c>
    </row>
    <row r="200" spans="1:13" ht="14.25" customHeight="1" x14ac:dyDescent="0.3">
      <c r="A200" s="2" t="s">
        <v>405</v>
      </c>
      <c r="B200" s="2" t="s">
        <v>27</v>
      </c>
      <c r="C200" s="2" t="s">
        <v>118</v>
      </c>
      <c r="D200" s="2" t="s">
        <v>42</v>
      </c>
      <c r="E200" s="2" t="s">
        <v>43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77</v>
      </c>
      <c r="M200" s="2" t="s">
        <v>25</v>
      </c>
    </row>
    <row r="201" spans="1:13" ht="14.25" customHeight="1" x14ac:dyDescent="0.3">
      <c r="A201" s="2" t="s">
        <v>406</v>
      </c>
      <c r="B201" s="2" t="s">
        <v>40</v>
      </c>
      <c r="C201" s="2" t="s">
        <v>407</v>
      </c>
      <c r="D201" s="2" t="s">
        <v>16</v>
      </c>
      <c r="E201" s="2" t="s">
        <v>17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44</v>
      </c>
      <c r="M201" s="2" t="s">
        <v>19</v>
      </c>
    </row>
    <row r="202" spans="1:13" ht="14.25" customHeight="1" x14ac:dyDescent="0.3">
      <c r="A202" s="2" t="s">
        <v>408</v>
      </c>
      <c r="B202" s="2" t="s">
        <v>14</v>
      </c>
      <c r="C202" s="2" t="s">
        <v>409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74</v>
      </c>
      <c r="M202" s="2" t="s">
        <v>55</v>
      </c>
    </row>
    <row r="203" spans="1:13" ht="14.25" customHeight="1" x14ac:dyDescent="0.3">
      <c r="A203" s="2" t="s">
        <v>410</v>
      </c>
      <c r="B203" s="2" t="s">
        <v>40</v>
      </c>
      <c r="C203" s="2" t="s">
        <v>411</v>
      </c>
      <c r="D203" s="2" t="s">
        <v>49</v>
      </c>
      <c r="E203" s="2" t="s">
        <v>50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44</v>
      </c>
      <c r="M203" s="2" t="s">
        <v>25</v>
      </c>
    </row>
    <row r="204" spans="1:13" ht="14.25" customHeight="1" x14ac:dyDescent="0.3">
      <c r="A204" s="2" t="s">
        <v>412</v>
      </c>
      <c r="B204" s="2" t="s">
        <v>31</v>
      </c>
      <c r="C204" s="2" t="s">
        <v>413</v>
      </c>
      <c r="D204" s="2" t="s">
        <v>42</v>
      </c>
      <c r="E204" s="2" t="s">
        <v>43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44</v>
      </c>
      <c r="M204" s="2" t="s">
        <v>55</v>
      </c>
    </row>
    <row r="205" spans="1:13" ht="14.25" customHeight="1" x14ac:dyDescent="0.3">
      <c r="A205" s="2" t="s">
        <v>414</v>
      </c>
      <c r="B205" s="2" t="s">
        <v>31</v>
      </c>
      <c r="C205" s="2" t="s">
        <v>331</v>
      </c>
      <c r="D205" s="2" t="s">
        <v>42</v>
      </c>
      <c r="E205" s="2" t="s">
        <v>43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264</v>
      </c>
      <c r="M205" s="2" t="s">
        <v>55</v>
      </c>
    </row>
    <row r="206" spans="1:13" ht="14.25" customHeight="1" x14ac:dyDescent="0.3">
      <c r="A206" s="2" t="s">
        <v>415</v>
      </c>
      <c r="B206" s="2" t="s">
        <v>14</v>
      </c>
      <c r="C206" s="2" t="s">
        <v>302</v>
      </c>
      <c r="D206" s="2" t="s">
        <v>69</v>
      </c>
      <c r="E206" s="2" t="s">
        <v>70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162</v>
      </c>
      <c r="M206" s="2" t="s">
        <v>19</v>
      </c>
    </row>
    <row r="207" spans="1:13" ht="14.25" customHeight="1" x14ac:dyDescent="0.3">
      <c r="A207" s="2" t="s">
        <v>416</v>
      </c>
      <c r="B207" s="2" t="s">
        <v>14</v>
      </c>
      <c r="C207" s="2" t="s">
        <v>46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29</v>
      </c>
      <c r="M207" s="2" t="s">
        <v>25</v>
      </c>
    </row>
    <row r="208" spans="1:13" ht="14.25" customHeight="1" x14ac:dyDescent="0.3">
      <c r="A208" s="2" t="s">
        <v>417</v>
      </c>
      <c r="B208" s="2" t="s">
        <v>14</v>
      </c>
      <c r="C208" s="2" t="s">
        <v>418</v>
      </c>
      <c r="D208" s="2" t="s">
        <v>42</v>
      </c>
      <c r="E208" s="2" t="s">
        <v>43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162</v>
      </c>
      <c r="M208" s="2" t="s">
        <v>38</v>
      </c>
    </row>
    <row r="209" spans="1:13" ht="14.25" customHeight="1" x14ac:dyDescent="0.3">
      <c r="A209" s="2" t="s">
        <v>419</v>
      </c>
      <c r="B209" s="2" t="s">
        <v>27</v>
      </c>
      <c r="C209" s="2" t="s">
        <v>46</v>
      </c>
      <c r="D209" s="2" t="s">
        <v>69</v>
      </c>
      <c r="E209" s="2" t="s">
        <v>70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116</v>
      </c>
      <c r="M209" s="2" t="s">
        <v>19</v>
      </c>
    </row>
    <row r="210" spans="1:13" ht="14.25" customHeight="1" x14ac:dyDescent="0.3">
      <c r="A210" s="2" t="s">
        <v>420</v>
      </c>
      <c r="B210" s="2" t="s">
        <v>14</v>
      </c>
      <c r="C210" s="2" t="s">
        <v>421</v>
      </c>
      <c r="D210" s="2" t="s">
        <v>69</v>
      </c>
      <c r="E210" s="2" t="s">
        <v>70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87</v>
      </c>
      <c r="M210" s="2" t="s">
        <v>19</v>
      </c>
    </row>
    <row r="211" spans="1:13" ht="14.25" customHeight="1" x14ac:dyDescent="0.3">
      <c r="A211" s="2" t="s">
        <v>422</v>
      </c>
      <c r="B211" s="2" t="s">
        <v>27</v>
      </c>
      <c r="C211" s="2" t="s">
        <v>345</v>
      </c>
      <c r="D211" s="2" t="s">
        <v>49</v>
      </c>
      <c r="E211" s="2" t="s">
        <v>50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209</v>
      </c>
      <c r="M211" s="2" t="s">
        <v>19</v>
      </c>
    </row>
    <row r="212" spans="1:13" ht="14.25" customHeight="1" x14ac:dyDescent="0.3">
      <c r="A212" s="2" t="s">
        <v>423</v>
      </c>
      <c r="B212" s="2" t="s">
        <v>14</v>
      </c>
      <c r="C212" s="2" t="s">
        <v>424</v>
      </c>
      <c r="D212" s="2" t="s">
        <v>42</v>
      </c>
      <c r="E212" s="2" t="s">
        <v>43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209</v>
      </c>
      <c r="M212" s="2" t="s">
        <v>19</v>
      </c>
    </row>
    <row r="213" spans="1:13" ht="14.25" customHeight="1" x14ac:dyDescent="0.3">
      <c r="A213" s="2" t="s">
        <v>425</v>
      </c>
      <c r="B213" s="2" t="s">
        <v>27</v>
      </c>
      <c r="C213" s="2" t="s">
        <v>193</v>
      </c>
      <c r="D213" s="2" t="s">
        <v>69</v>
      </c>
      <c r="E213" s="2" t="s">
        <v>70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58</v>
      </c>
      <c r="M213" s="2" t="s">
        <v>55</v>
      </c>
    </row>
    <row r="214" spans="1:13" ht="14.25" customHeight="1" x14ac:dyDescent="0.3">
      <c r="A214" s="2" t="s">
        <v>426</v>
      </c>
      <c r="B214" s="2" t="s">
        <v>40</v>
      </c>
      <c r="C214" s="2" t="s">
        <v>427</v>
      </c>
      <c r="D214" s="2" t="s">
        <v>42</v>
      </c>
      <c r="E214" s="2" t="s">
        <v>43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18</v>
      </c>
      <c r="M214" s="2" t="s">
        <v>38</v>
      </c>
    </row>
    <row r="215" spans="1:13" ht="14.25" customHeight="1" x14ac:dyDescent="0.3">
      <c r="A215" s="2" t="s">
        <v>428</v>
      </c>
      <c r="B215" s="2" t="s">
        <v>31</v>
      </c>
      <c r="C215" s="2" t="s">
        <v>15</v>
      </c>
      <c r="D215" s="2" t="s">
        <v>49</v>
      </c>
      <c r="E215" s="2" t="s">
        <v>50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18</v>
      </c>
      <c r="M215" s="2" t="s">
        <v>19</v>
      </c>
    </row>
    <row r="216" spans="1:13" ht="14.25" customHeight="1" x14ac:dyDescent="0.3">
      <c r="A216" s="2" t="s">
        <v>429</v>
      </c>
      <c r="B216" s="2" t="s">
        <v>40</v>
      </c>
      <c r="C216" s="2" t="s">
        <v>430</v>
      </c>
      <c r="D216" s="2" t="s">
        <v>49</v>
      </c>
      <c r="E216" s="2" t="s">
        <v>50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102</v>
      </c>
      <c r="M216" s="2" t="s">
        <v>19</v>
      </c>
    </row>
    <row r="217" spans="1:13" ht="14.25" customHeight="1" x14ac:dyDescent="0.3">
      <c r="A217" s="2" t="s">
        <v>431</v>
      </c>
      <c r="B217" s="2" t="s">
        <v>27</v>
      </c>
      <c r="C217" s="2" t="s">
        <v>263</v>
      </c>
      <c r="D217" s="2" t="s">
        <v>33</v>
      </c>
      <c r="E217" s="2" t="s">
        <v>34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44</v>
      </c>
      <c r="M217" s="2" t="s">
        <v>19</v>
      </c>
    </row>
    <row r="218" spans="1:13" ht="14.25" customHeight="1" x14ac:dyDescent="0.3">
      <c r="A218" s="2" t="s">
        <v>432</v>
      </c>
      <c r="B218" s="2" t="s">
        <v>40</v>
      </c>
      <c r="C218" s="2" t="s">
        <v>357</v>
      </c>
      <c r="D218" s="2" t="s">
        <v>49</v>
      </c>
      <c r="E218" s="2" t="s">
        <v>50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144</v>
      </c>
      <c r="M218" s="2" t="s">
        <v>38</v>
      </c>
    </row>
    <row r="219" spans="1:13" ht="14.25" customHeight="1" x14ac:dyDescent="0.3">
      <c r="A219" s="2" t="s">
        <v>433</v>
      </c>
      <c r="B219" s="2" t="s">
        <v>40</v>
      </c>
      <c r="C219" s="2" t="s">
        <v>249</v>
      </c>
      <c r="D219" s="2" t="s">
        <v>42</v>
      </c>
      <c r="E219" s="2" t="s">
        <v>43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264</v>
      </c>
      <c r="M219" s="2" t="s">
        <v>19</v>
      </c>
    </row>
    <row r="220" spans="1:13" ht="14.25" customHeight="1" x14ac:dyDescent="0.3">
      <c r="A220" s="2" t="s">
        <v>434</v>
      </c>
      <c r="B220" s="2" t="s">
        <v>14</v>
      </c>
      <c r="C220" s="2" t="s">
        <v>170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37</v>
      </c>
      <c r="M220" s="2" t="s">
        <v>25</v>
      </c>
    </row>
    <row r="221" spans="1:13" ht="14.25" customHeight="1" x14ac:dyDescent="0.3">
      <c r="A221" s="2" t="s">
        <v>435</v>
      </c>
      <c r="B221" s="2" t="s">
        <v>31</v>
      </c>
      <c r="C221" s="2" t="s">
        <v>411</v>
      </c>
      <c r="D221" s="2" t="s">
        <v>33</v>
      </c>
      <c r="E221" s="2" t="s">
        <v>34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58</v>
      </c>
      <c r="M221" s="2" t="s">
        <v>25</v>
      </c>
    </row>
    <row r="222" spans="1:13" ht="14.25" customHeight="1" x14ac:dyDescent="0.3">
      <c r="A222" s="2" t="s">
        <v>436</v>
      </c>
      <c r="B222" s="2" t="s">
        <v>40</v>
      </c>
      <c r="C222" s="2" t="s">
        <v>251</v>
      </c>
      <c r="D222" s="2" t="s">
        <v>69</v>
      </c>
      <c r="E222" s="2" t="s">
        <v>70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105</v>
      </c>
      <c r="M222" s="2" t="s">
        <v>55</v>
      </c>
    </row>
    <row r="223" spans="1:13" ht="14.25" customHeight="1" x14ac:dyDescent="0.3">
      <c r="A223" s="2" t="s">
        <v>437</v>
      </c>
      <c r="B223" s="2" t="s">
        <v>40</v>
      </c>
      <c r="C223" s="2" t="s">
        <v>438</v>
      </c>
      <c r="D223" s="2" t="s">
        <v>16</v>
      </c>
      <c r="E223" s="2" t="s">
        <v>17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58</v>
      </c>
      <c r="M223" s="2" t="s">
        <v>19</v>
      </c>
    </row>
    <row r="224" spans="1:13" ht="14.25" customHeight="1" x14ac:dyDescent="0.3">
      <c r="A224" s="2" t="s">
        <v>439</v>
      </c>
      <c r="B224" s="2" t="s">
        <v>14</v>
      </c>
      <c r="C224" s="2" t="s">
        <v>355</v>
      </c>
      <c r="D224" s="2" t="s">
        <v>49</v>
      </c>
      <c r="E224" s="2" t="s">
        <v>50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58</v>
      </c>
      <c r="M224" s="2" t="s">
        <v>19</v>
      </c>
    </row>
    <row r="225" spans="1:13" ht="14.25" customHeight="1" x14ac:dyDescent="0.3">
      <c r="A225" s="2" t="s">
        <v>440</v>
      </c>
      <c r="B225" s="2" t="s">
        <v>40</v>
      </c>
      <c r="C225" s="2" t="s">
        <v>441</v>
      </c>
      <c r="D225" s="2" t="s">
        <v>49</v>
      </c>
      <c r="E225" s="2" t="s">
        <v>50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18</v>
      </c>
      <c r="M225" s="2" t="s">
        <v>38</v>
      </c>
    </row>
    <row r="226" spans="1:13" ht="14.25" customHeight="1" x14ac:dyDescent="0.3">
      <c r="A226" s="2" t="s">
        <v>442</v>
      </c>
      <c r="B226" s="2" t="s">
        <v>14</v>
      </c>
      <c r="C226" s="2" t="s">
        <v>370</v>
      </c>
      <c r="D226" s="2" t="s">
        <v>42</v>
      </c>
      <c r="E226" s="2" t="s">
        <v>43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127</v>
      </c>
      <c r="M226" s="2" t="s">
        <v>38</v>
      </c>
    </row>
    <row r="227" spans="1:13" ht="14.25" customHeight="1" x14ac:dyDescent="0.3">
      <c r="A227" s="2" t="s">
        <v>443</v>
      </c>
      <c r="B227" s="2" t="s">
        <v>31</v>
      </c>
      <c r="C227" s="2" t="s">
        <v>444</v>
      </c>
      <c r="D227" s="2" t="s">
        <v>42</v>
      </c>
      <c r="E227" s="2" t="s">
        <v>43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18</v>
      </c>
      <c r="M227" s="2" t="s">
        <v>25</v>
      </c>
    </row>
    <row r="228" spans="1:13" ht="14.25" customHeight="1" x14ac:dyDescent="0.3">
      <c r="A228" s="2" t="s">
        <v>445</v>
      </c>
      <c r="B228" s="2" t="s">
        <v>31</v>
      </c>
      <c r="C228" s="2" t="s">
        <v>446</v>
      </c>
      <c r="D228" s="2" t="s">
        <v>22</v>
      </c>
      <c r="E228" s="2" t="s">
        <v>23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116</v>
      </c>
      <c r="M228" s="2" t="s">
        <v>25</v>
      </c>
    </row>
    <row r="229" spans="1:13" ht="14.25" customHeight="1" x14ac:dyDescent="0.3">
      <c r="A229" s="2" t="s">
        <v>447</v>
      </c>
      <c r="B229" s="2" t="s">
        <v>31</v>
      </c>
      <c r="C229" s="2" t="s">
        <v>448</v>
      </c>
      <c r="D229" s="2" t="s">
        <v>33</v>
      </c>
      <c r="E229" s="2" t="s">
        <v>34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209</v>
      </c>
      <c r="M229" s="2" t="s">
        <v>55</v>
      </c>
    </row>
    <row r="230" spans="1:13" ht="14.25" customHeight="1" x14ac:dyDescent="0.3">
      <c r="A230" s="2" t="s">
        <v>449</v>
      </c>
      <c r="B230" s="2" t="s">
        <v>31</v>
      </c>
      <c r="C230" s="2" t="s">
        <v>150</v>
      </c>
      <c r="D230" s="2" t="s">
        <v>42</v>
      </c>
      <c r="E230" s="2" t="s">
        <v>43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44</v>
      </c>
      <c r="M230" s="2" t="s">
        <v>25</v>
      </c>
    </row>
    <row r="231" spans="1:13" ht="14.25" customHeight="1" x14ac:dyDescent="0.3">
      <c r="A231" s="2" t="s">
        <v>450</v>
      </c>
      <c r="B231" s="2" t="s">
        <v>40</v>
      </c>
      <c r="C231" s="2" t="s">
        <v>312</v>
      </c>
      <c r="D231" s="2" t="s">
        <v>16</v>
      </c>
      <c r="E231" s="2" t="s">
        <v>17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18</v>
      </c>
      <c r="M231" s="2" t="s">
        <v>19</v>
      </c>
    </row>
    <row r="232" spans="1:13" ht="14.25" customHeight="1" x14ac:dyDescent="0.3">
      <c r="A232" s="2" t="s">
        <v>451</v>
      </c>
      <c r="B232" s="2" t="s">
        <v>31</v>
      </c>
      <c r="C232" s="2" t="s">
        <v>427</v>
      </c>
      <c r="D232" s="2" t="s">
        <v>22</v>
      </c>
      <c r="E232" s="2" t="s">
        <v>23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77</v>
      </c>
      <c r="M232" s="2" t="s">
        <v>38</v>
      </c>
    </row>
    <row r="233" spans="1:13" ht="14.25" customHeight="1" x14ac:dyDescent="0.3">
      <c r="A233" s="2" t="s">
        <v>452</v>
      </c>
      <c r="B233" s="2" t="s">
        <v>14</v>
      </c>
      <c r="C233" s="2" t="s">
        <v>453</v>
      </c>
      <c r="D233" s="2" t="s">
        <v>33</v>
      </c>
      <c r="E233" s="2" t="s">
        <v>34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285</v>
      </c>
      <c r="M233" s="2" t="s">
        <v>55</v>
      </c>
    </row>
    <row r="234" spans="1:13" ht="14.25" customHeight="1" x14ac:dyDescent="0.3">
      <c r="A234" s="2" t="s">
        <v>454</v>
      </c>
      <c r="B234" s="2" t="s">
        <v>40</v>
      </c>
      <c r="C234" s="2" t="s">
        <v>131</v>
      </c>
      <c r="D234" s="2" t="s">
        <v>49</v>
      </c>
      <c r="E234" s="2" t="s">
        <v>50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178</v>
      </c>
      <c r="M234" s="2" t="s">
        <v>25</v>
      </c>
    </row>
    <row r="235" spans="1:13" ht="14.25" customHeight="1" x14ac:dyDescent="0.3">
      <c r="A235" s="2" t="s">
        <v>455</v>
      </c>
      <c r="B235" s="2" t="s">
        <v>40</v>
      </c>
      <c r="C235" s="2" t="s">
        <v>456</v>
      </c>
      <c r="D235" s="2" t="s">
        <v>22</v>
      </c>
      <c r="E235" s="2" t="s">
        <v>23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71</v>
      </c>
      <c r="M235" s="2" t="s">
        <v>25</v>
      </c>
    </row>
    <row r="236" spans="1:13" ht="14.25" customHeight="1" x14ac:dyDescent="0.3">
      <c r="A236" s="2" t="s">
        <v>457</v>
      </c>
      <c r="B236" s="2" t="s">
        <v>40</v>
      </c>
      <c r="C236" s="2" t="s">
        <v>387</v>
      </c>
      <c r="D236" s="2" t="s">
        <v>49</v>
      </c>
      <c r="E236" s="2" t="s">
        <v>50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87</v>
      </c>
      <c r="M236" s="2" t="s">
        <v>55</v>
      </c>
    </row>
    <row r="237" spans="1:13" ht="14.25" customHeight="1" x14ac:dyDescent="0.3">
      <c r="A237" s="2" t="s">
        <v>458</v>
      </c>
      <c r="B237" s="2" t="s">
        <v>40</v>
      </c>
      <c r="C237" s="2" t="s">
        <v>79</v>
      </c>
      <c r="D237" s="2" t="s">
        <v>22</v>
      </c>
      <c r="E237" s="2" t="s">
        <v>23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58</v>
      </c>
      <c r="M237" s="2" t="s">
        <v>19</v>
      </c>
    </row>
    <row r="238" spans="1:13" ht="14.25" customHeight="1" x14ac:dyDescent="0.3">
      <c r="A238" s="2" t="s">
        <v>459</v>
      </c>
      <c r="B238" s="2" t="s">
        <v>31</v>
      </c>
      <c r="C238" s="2" t="s">
        <v>336</v>
      </c>
      <c r="D238" s="2" t="s">
        <v>33</v>
      </c>
      <c r="E238" s="2" t="s">
        <v>34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102</v>
      </c>
      <c r="M238" s="2" t="s">
        <v>55</v>
      </c>
    </row>
    <row r="239" spans="1:13" ht="14.25" customHeight="1" x14ac:dyDescent="0.3">
      <c r="A239" s="2" t="s">
        <v>460</v>
      </c>
      <c r="B239" s="2" t="s">
        <v>14</v>
      </c>
      <c r="C239" s="2" t="s">
        <v>461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105</v>
      </c>
      <c r="M239" s="2" t="s">
        <v>19</v>
      </c>
    </row>
    <row r="240" spans="1:13" ht="14.25" customHeight="1" x14ac:dyDescent="0.3">
      <c r="A240" s="2" t="s">
        <v>462</v>
      </c>
      <c r="B240" s="2" t="s">
        <v>27</v>
      </c>
      <c r="C240" s="2" t="s">
        <v>143</v>
      </c>
      <c r="D240" s="2" t="s">
        <v>22</v>
      </c>
      <c r="E240" s="2" t="s">
        <v>23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58</v>
      </c>
      <c r="M240" s="2" t="s">
        <v>25</v>
      </c>
    </row>
    <row r="241" spans="1:13" ht="14.25" customHeight="1" x14ac:dyDescent="0.3">
      <c r="A241" s="2" t="s">
        <v>463</v>
      </c>
      <c r="B241" s="2" t="s">
        <v>14</v>
      </c>
      <c r="C241" s="2" t="s">
        <v>73</v>
      </c>
      <c r="D241" s="2" t="s">
        <v>42</v>
      </c>
      <c r="E241" s="2" t="s">
        <v>43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24</v>
      </c>
      <c r="M241" s="2" t="s">
        <v>38</v>
      </c>
    </row>
    <row r="242" spans="1:13" ht="14.25" customHeight="1" x14ac:dyDescent="0.3">
      <c r="A242" s="2" t="s">
        <v>464</v>
      </c>
      <c r="B242" s="2" t="s">
        <v>40</v>
      </c>
      <c r="C242" s="2" t="s">
        <v>465</v>
      </c>
      <c r="D242" s="2" t="s">
        <v>33</v>
      </c>
      <c r="E242" s="2" t="s">
        <v>34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66</v>
      </c>
      <c r="M242" s="2" t="s">
        <v>38</v>
      </c>
    </row>
    <row r="243" spans="1:13" ht="14.25" customHeight="1" x14ac:dyDescent="0.3">
      <c r="A243" s="2" t="s">
        <v>466</v>
      </c>
      <c r="B243" s="2" t="s">
        <v>40</v>
      </c>
      <c r="C243" s="2" t="s">
        <v>223</v>
      </c>
      <c r="D243" s="2" t="s">
        <v>16</v>
      </c>
      <c r="E243" s="2" t="s">
        <v>17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77</v>
      </c>
      <c r="M243" s="2" t="s">
        <v>55</v>
      </c>
    </row>
    <row r="244" spans="1:13" ht="14.25" customHeight="1" x14ac:dyDescent="0.3">
      <c r="A244" s="2" t="s">
        <v>467</v>
      </c>
      <c r="B244" s="2" t="s">
        <v>14</v>
      </c>
      <c r="C244" s="2" t="s">
        <v>468</v>
      </c>
      <c r="D244" s="2" t="s">
        <v>49</v>
      </c>
      <c r="E244" s="2" t="s">
        <v>50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58</v>
      </c>
      <c r="M244" s="2" t="s">
        <v>25</v>
      </c>
    </row>
    <row r="245" spans="1:13" ht="14.25" customHeight="1" x14ac:dyDescent="0.3">
      <c r="A245" s="2" t="s">
        <v>469</v>
      </c>
      <c r="B245" s="2" t="s">
        <v>27</v>
      </c>
      <c r="C245" s="2" t="s">
        <v>470</v>
      </c>
      <c r="D245" s="2" t="s">
        <v>69</v>
      </c>
      <c r="E245" s="2" t="s">
        <v>70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162</v>
      </c>
      <c r="M245" s="2" t="s">
        <v>19</v>
      </c>
    </row>
    <row r="246" spans="1:13" ht="14.25" customHeight="1" x14ac:dyDescent="0.3">
      <c r="A246" s="2" t="s">
        <v>471</v>
      </c>
      <c r="B246" s="2" t="s">
        <v>40</v>
      </c>
      <c r="C246" s="2" t="s">
        <v>472</v>
      </c>
      <c r="D246" s="2" t="s">
        <v>16</v>
      </c>
      <c r="E246" s="2" t="s">
        <v>17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24</v>
      </c>
      <c r="M246" s="2" t="s">
        <v>25</v>
      </c>
    </row>
    <row r="247" spans="1:13" ht="14.25" customHeight="1" x14ac:dyDescent="0.3">
      <c r="A247" s="2" t="s">
        <v>473</v>
      </c>
      <c r="B247" s="2" t="s">
        <v>40</v>
      </c>
      <c r="C247" s="2" t="s">
        <v>474</v>
      </c>
      <c r="D247" s="2" t="s">
        <v>49</v>
      </c>
      <c r="E247" s="2" t="s">
        <v>50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102</v>
      </c>
      <c r="M247" s="2" t="s">
        <v>25</v>
      </c>
    </row>
    <row r="248" spans="1:13" ht="14.25" customHeight="1" x14ac:dyDescent="0.3">
      <c r="A248" s="2" t="s">
        <v>475</v>
      </c>
      <c r="B248" s="2" t="s">
        <v>40</v>
      </c>
      <c r="C248" s="2" t="s">
        <v>476</v>
      </c>
      <c r="D248" s="2" t="s">
        <v>16</v>
      </c>
      <c r="E248" s="2" t="s">
        <v>17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105</v>
      </c>
      <c r="M248" s="2" t="s">
        <v>55</v>
      </c>
    </row>
    <row r="249" spans="1:13" ht="14.25" customHeight="1" x14ac:dyDescent="0.3">
      <c r="A249" s="2" t="s">
        <v>477</v>
      </c>
      <c r="B249" s="2" t="s">
        <v>40</v>
      </c>
      <c r="C249" s="2" t="s">
        <v>57</v>
      </c>
      <c r="D249" s="2" t="s">
        <v>33</v>
      </c>
      <c r="E249" s="2" t="s">
        <v>34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18</v>
      </c>
      <c r="M249" s="2" t="s">
        <v>38</v>
      </c>
    </row>
    <row r="250" spans="1:13" ht="14.25" customHeight="1" x14ac:dyDescent="0.3">
      <c r="A250" s="2" t="s">
        <v>478</v>
      </c>
      <c r="B250" s="2" t="s">
        <v>14</v>
      </c>
      <c r="C250" s="2" t="s">
        <v>424</v>
      </c>
      <c r="D250" s="2" t="s">
        <v>49</v>
      </c>
      <c r="E250" s="2" t="s">
        <v>50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58</v>
      </c>
      <c r="M250" s="2" t="s">
        <v>25</v>
      </c>
    </row>
    <row r="251" spans="1:13" ht="14.25" customHeight="1" x14ac:dyDescent="0.3">
      <c r="A251" s="2" t="s">
        <v>479</v>
      </c>
      <c r="B251" s="2" t="s">
        <v>40</v>
      </c>
      <c r="C251" s="2" t="s">
        <v>168</v>
      </c>
      <c r="D251" s="2" t="s">
        <v>16</v>
      </c>
      <c r="E251" s="2" t="s">
        <v>17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178</v>
      </c>
      <c r="M251" s="2" t="s">
        <v>19</v>
      </c>
    </row>
    <row r="252" spans="1:13" ht="14.25" customHeight="1" x14ac:dyDescent="0.3">
      <c r="A252" s="2" t="s">
        <v>480</v>
      </c>
      <c r="B252" s="2" t="s">
        <v>31</v>
      </c>
      <c r="C252" s="2" t="s">
        <v>481</v>
      </c>
      <c r="D252" s="2" t="s">
        <v>42</v>
      </c>
      <c r="E252" s="2" t="s">
        <v>43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144</v>
      </c>
      <c r="M252" s="2" t="s">
        <v>38</v>
      </c>
    </row>
    <row r="253" spans="1:13" ht="14.25" customHeight="1" x14ac:dyDescent="0.3">
      <c r="A253" s="2" t="s">
        <v>482</v>
      </c>
      <c r="B253" s="2" t="s">
        <v>40</v>
      </c>
      <c r="C253" s="2" t="s">
        <v>359</v>
      </c>
      <c r="D253" s="2" t="s">
        <v>42</v>
      </c>
      <c r="E253" s="2" t="s">
        <v>43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61</v>
      </c>
      <c r="M253" s="2" t="s">
        <v>19</v>
      </c>
    </row>
    <row r="254" spans="1:13" ht="14.25" customHeight="1" x14ac:dyDescent="0.3">
      <c r="A254" s="2" t="s">
        <v>483</v>
      </c>
      <c r="B254" s="2" t="s">
        <v>14</v>
      </c>
      <c r="C254" s="2" t="s">
        <v>484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162</v>
      </c>
      <c r="M254" s="2" t="s">
        <v>19</v>
      </c>
    </row>
    <row r="255" spans="1:13" ht="14.25" customHeight="1" x14ac:dyDescent="0.3">
      <c r="A255" s="2" t="s">
        <v>485</v>
      </c>
      <c r="B255" s="2" t="s">
        <v>14</v>
      </c>
      <c r="C255" s="2" t="s">
        <v>486</v>
      </c>
      <c r="D255" s="2" t="s">
        <v>49</v>
      </c>
      <c r="E255" s="2" t="s">
        <v>50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178</v>
      </c>
      <c r="M255" s="2" t="s">
        <v>55</v>
      </c>
    </row>
    <row r="256" spans="1:13" ht="14.25" customHeight="1" x14ac:dyDescent="0.3">
      <c r="A256" s="2" t="s">
        <v>487</v>
      </c>
      <c r="B256" s="2" t="s">
        <v>40</v>
      </c>
      <c r="C256" s="2" t="s">
        <v>21</v>
      </c>
      <c r="D256" s="2" t="s">
        <v>33</v>
      </c>
      <c r="E256" s="2" t="s">
        <v>34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162</v>
      </c>
      <c r="M256" s="2" t="s">
        <v>19</v>
      </c>
    </row>
    <row r="257" spans="1:13" ht="14.25" customHeight="1" x14ac:dyDescent="0.3">
      <c r="A257" s="2" t="s">
        <v>488</v>
      </c>
      <c r="B257" s="2" t="s">
        <v>27</v>
      </c>
      <c r="C257" s="2" t="s">
        <v>247</v>
      </c>
      <c r="D257" s="2" t="s">
        <v>42</v>
      </c>
      <c r="E257" s="2" t="s">
        <v>43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127</v>
      </c>
      <c r="M257" s="2" t="s">
        <v>55</v>
      </c>
    </row>
    <row r="258" spans="1:13" ht="14.25" customHeight="1" x14ac:dyDescent="0.3">
      <c r="A258" s="2" t="s">
        <v>489</v>
      </c>
      <c r="B258" s="2" t="s">
        <v>40</v>
      </c>
      <c r="C258" s="2" t="s">
        <v>288</v>
      </c>
      <c r="D258" s="2" t="s">
        <v>49</v>
      </c>
      <c r="E258" s="2" t="s">
        <v>50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264</v>
      </c>
      <c r="M258" s="2" t="s">
        <v>55</v>
      </c>
    </row>
    <row r="259" spans="1:13" ht="14.25" customHeight="1" x14ac:dyDescent="0.3">
      <c r="A259" s="2" t="s">
        <v>490</v>
      </c>
      <c r="B259" s="2" t="s">
        <v>31</v>
      </c>
      <c r="C259" s="2" t="s">
        <v>491</v>
      </c>
      <c r="D259" s="2" t="s">
        <v>33</v>
      </c>
      <c r="E259" s="2" t="s">
        <v>34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58</v>
      </c>
      <c r="M259" s="2" t="s">
        <v>25</v>
      </c>
    </row>
    <row r="260" spans="1:13" ht="14.25" customHeight="1" x14ac:dyDescent="0.3">
      <c r="A260" s="2" t="s">
        <v>492</v>
      </c>
      <c r="B260" s="2" t="s">
        <v>40</v>
      </c>
      <c r="C260" s="2" t="s">
        <v>244</v>
      </c>
      <c r="D260" s="2" t="s">
        <v>22</v>
      </c>
      <c r="E260" s="2" t="s">
        <v>23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127</v>
      </c>
      <c r="M260" s="2" t="s">
        <v>55</v>
      </c>
    </row>
    <row r="261" spans="1:13" ht="14.25" customHeight="1" x14ac:dyDescent="0.3">
      <c r="A261" s="2" t="s">
        <v>493</v>
      </c>
      <c r="B261" s="2" t="s">
        <v>31</v>
      </c>
      <c r="C261" s="2" t="s">
        <v>494</v>
      </c>
      <c r="D261" s="2" t="s">
        <v>33</v>
      </c>
      <c r="E261" s="2" t="s">
        <v>34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24</v>
      </c>
      <c r="M261" s="2" t="s">
        <v>38</v>
      </c>
    </row>
    <row r="262" spans="1:13" ht="14.25" customHeight="1" x14ac:dyDescent="0.3">
      <c r="A262" s="2" t="s">
        <v>495</v>
      </c>
      <c r="B262" s="2" t="s">
        <v>31</v>
      </c>
      <c r="C262" s="2" t="s">
        <v>496</v>
      </c>
      <c r="D262" s="2" t="s">
        <v>49</v>
      </c>
      <c r="E262" s="2" t="s">
        <v>50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18</v>
      </c>
      <c r="M262" s="2" t="s">
        <v>25</v>
      </c>
    </row>
    <row r="263" spans="1:13" ht="14.25" customHeight="1" x14ac:dyDescent="0.3">
      <c r="A263" s="2" t="s">
        <v>497</v>
      </c>
      <c r="B263" s="2" t="s">
        <v>27</v>
      </c>
      <c r="C263" s="2" t="s">
        <v>465</v>
      </c>
      <c r="D263" s="2" t="s">
        <v>49</v>
      </c>
      <c r="E263" s="2" t="s">
        <v>50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82</v>
      </c>
      <c r="M263" s="2" t="s">
        <v>38</v>
      </c>
    </row>
    <row r="264" spans="1:13" ht="14.25" customHeight="1" x14ac:dyDescent="0.3">
      <c r="A264" s="2" t="s">
        <v>498</v>
      </c>
      <c r="B264" s="2" t="s">
        <v>31</v>
      </c>
      <c r="C264" s="2" t="s">
        <v>499</v>
      </c>
      <c r="D264" s="2" t="s">
        <v>16</v>
      </c>
      <c r="E264" s="2" t="s">
        <v>17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44</v>
      </c>
      <c r="M264" s="2" t="s">
        <v>19</v>
      </c>
    </row>
    <row r="265" spans="1:13" ht="14.25" customHeight="1" x14ac:dyDescent="0.3">
      <c r="A265" s="2" t="s">
        <v>500</v>
      </c>
      <c r="B265" s="2" t="s">
        <v>14</v>
      </c>
      <c r="C265" s="2" t="s">
        <v>501</v>
      </c>
      <c r="D265" s="2" t="s">
        <v>49</v>
      </c>
      <c r="E265" s="2" t="s">
        <v>50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44</v>
      </c>
      <c r="M265" s="2" t="s">
        <v>55</v>
      </c>
    </row>
    <row r="266" spans="1:13" ht="14.25" customHeight="1" x14ac:dyDescent="0.3">
      <c r="A266" s="2" t="s">
        <v>502</v>
      </c>
      <c r="B266" s="2" t="s">
        <v>14</v>
      </c>
      <c r="C266" s="2" t="s">
        <v>503</v>
      </c>
      <c r="D266" s="2" t="s">
        <v>42</v>
      </c>
      <c r="E266" s="2" t="s">
        <v>43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61</v>
      </c>
      <c r="M266" s="2" t="s">
        <v>19</v>
      </c>
    </row>
    <row r="267" spans="1:13" ht="14.25" customHeight="1" x14ac:dyDescent="0.3">
      <c r="A267" s="2" t="s">
        <v>504</v>
      </c>
      <c r="B267" s="2" t="s">
        <v>40</v>
      </c>
      <c r="C267" s="2" t="s">
        <v>126</v>
      </c>
      <c r="D267" s="2" t="s">
        <v>33</v>
      </c>
      <c r="E267" s="2" t="s">
        <v>34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82</v>
      </c>
      <c r="M267" s="2" t="s">
        <v>38</v>
      </c>
    </row>
    <row r="268" spans="1:13" ht="14.25" customHeight="1" x14ac:dyDescent="0.3">
      <c r="A268" s="2" t="s">
        <v>505</v>
      </c>
      <c r="B268" s="2" t="s">
        <v>14</v>
      </c>
      <c r="C268" s="2" t="s">
        <v>391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58</v>
      </c>
      <c r="M268" s="2" t="s">
        <v>55</v>
      </c>
    </row>
    <row r="269" spans="1:13" ht="14.25" customHeight="1" x14ac:dyDescent="0.3">
      <c r="A269" s="2" t="s">
        <v>506</v>
      </c>
      <c r="B269" s="2" t="s">
        <v>31</v>
      </c>
      <c r="C269" s="2" t="s">
        <v>507</v>
      </c>
      <c r="D269" s="2" t="s">
        <v>16</v>
      </c>
      <c r="E269" s="2" t="s">
        <v>17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37</v>
      </c>
      <c r="M269" s="2" t="s">
        <v>19</v>
      </c>
    </row>
    <row r="270" spans="1:13" ht="14.25" customHeight="1" x14ac:dyDescent="0.3">
      <c r="A270" s="2" t="s">
        <v>508</v>
      </c>
      <c r="B270" s="2" t="s">
        <v>31</v>
      </c>
      <c r="C270" s="2" t="s">
        <v>509</v>
      </c>
      <c r="D270" s="2" t="s">
        <v>69</v>
      </c>
      <c r="E270" s="2" t="s">
        <v>70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58</v>
      </c>
      <c r="M270" s="2" t="s">
        <v>25</v>
      </c>
    </row>
    <row r="271" spans="1:13" ht="14.25" customHeight="1" x14ac:dyDescent="0.3">
      <c r="A271" s="2" t="s">
        <v>510</v>
      </c>
      <c r="B271" s="2" t="s">
        <v>27</v>
      </c>
      <c r="C271" s="2" t="s">
        <v>409</v>
      </c>
      <c r="D271" s="2" t="s">
        <v>16</v>
      </c>
      <c r="E271" s="2" t="s">
        <v>17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77</v>
      </c>
      <c r="M271" s="2" t="s">
        <v>38</v>
      </c>
    </row>
    <row r="272" spans="1:13" ht="14.25" customHeight="1" x14ac:dyDescent="0.3">
      <c r="A272" s="2" t="s">
        <v>511</v>
      </c>
      <c r="B272" s="2" t="s">
        <v>31</v>
      </c>
      <c r="C272" s="2" t="s">
        <v>512</v>
      </c>
      <c r="D272" s="2" t="s">
        <v>69</v>
      </c>
      <c r="E272" s="2" t="s">
        <v>70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77</v>
      </c>
      <c r="M272" s="2" t="s">
        <v>38</v>
      </c>
    </row>
    <row r="273" spans="1:13" ht="14.25" customHeight="1" x14ac:dyDescent="0.3">
      <c r="A273" s="2" t="s">
        <v>513</v>
      </c>
      <c r="B273" s="2" t="s">
        <v>31</v>
      </c>
      <c r="C273" s="2" t="s">
        <v>481</v>
      </c>
      <c r="D273" s="2" t="s">
        <v>22</v>
      </c>
      <c r="E273" s="2" t="s">
        <v>23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18</v>
      </c>
      <c r="M273" s="2" t="s">
        <v>25</v>
      </c>
    </row>
    <row r="274" spans="1:13" ht="14.25" customHeight="1" x14ac:dyDescent="0.3">
      <c r="A274" s="2" t="s">
        <v>514</v>
      </c>
      <c r="B274" s="2" t="s">
        <v>27</v>
      </c>
      <c r="C274" s="2" t="s">
        <v>515</v>
      </c>
      <c r="D274" s="2" t="s">
        <v>33</v>
      </c>
      <c r="E274" s="2" t="s">
        <v>34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44</v>
      </c>
      <c r="M274" s="2" t="s">
        <v>25</v>
      </c>
    </row>
    <row r="275" spans="1:13" ht="14.25" customHeight="1" x14ac:dyDescent="0.3">
      <c r="A275" s="2" t="s">
        <v>516</v>
      </c>
      <c r="B275" s="2" t="s">
        <v>14</v>
      </c>
      <c r="C275" s="2" t="s">
        <v>331</v>
      </c>
      <c r="D275" s="2" t="s">
        <v>42</v>
      </c>
      <c r="E275" s="2" t="s">
        <v>43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214</v>
      </c>
      <c r="M275" s="2" t="s">
        <v>25</v>
      </c>
    </row>
    <row r="276" spans="1:13" ht="14.25" customHeight="1" x14ac:dyDescent="0.3">
      <c r="A276" s="2" t="s">
        <v>517</v>
      </c>
      <c r="B276" s="2" t="s">
        <v>40</v>
      </c>
      <c r="C276" s="2" t="s">
        <v>491</v>
      </c>
      <c r="D276" s="2" t="s">
        <v>16</v>
      </c>
      <c r="E276" s="2" t="s">
        <v>17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71</v>
      </c>
      <c r="M276" s="2" t="s">
        <v>55</v>
      </c>
    </row>
    <row r="277" spans="1:13" ht="14.25" customHeight="1" x14ac:dyDescent="0.3">
      <c r="A277" s="2" t="s">
        <v>518</v>
      </c>
      <c r="B277" s="2" t="s">
        <v>14</v>
      </c>
      <c r="C277" s="2" t="s">
        <v>519</v>
      </c>
      <c r="D277" s="2" t="s">
        <v>42</v>
      </c>
      <c r="E277" s="2" t="s">
        <v>43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24</v>
      </c>
      <c r="M277" s="2" t="s">
        <v>25</v>
      </c>
    </row>
    <row r="278" spans="1:13" ht="14.25" customHeight="1" x14ac:dyDescent="0.3">
      <c r="A278" s="2" t="s">
        <v>520</v>
      </c>
      <c r="B278" s="2" t="s">
        <v>40</v>
      </c>
      <c r="C278" s="2" t="s">
        <v>288</v>
      </c>
      <c r="D278" s="2" t="s">
        <v>49</v>
      </c>
      <c r="E278" s="2" t="s">
        <v>50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209</v>
      </c>
      <c r="M278" s="2" t="s">
        <v>55</v>
      </c>
    </row>
    <row r="279" spans="1:13" ht="14.25" customHeight="1" x14ac:dyDescent="0.3">
      <c r="A279" s="2" t="s">
        <v>521</v>
      </c>
      <c r="B279" s="2" t="s">
        <v>14</v>
      </c>
      <c r="C279" s="2" t="s">
        <v>522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44</v>
      </c>
      <c r="M279" s="2" t="s">
        <v>19</v>
      </c>
    </row>
    <row r="280" spans="1:13" ht="14.25" customHeight="1" x14ac:dyDescent="0.3">
      <c r="A280" s="2" t="s">
        <v>523</v>
      </c>
      <c r="B280" s="2" t="s">
        <v>27</v>
      </c>
      <c r="C280" s="2" t="s">
        <v>191</v>
      </c>
      <c r="D280" s="2" t="s">
        <v>49</v>
      </c>
      <c r="E280" s="2" t="s">
        <v>50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44</v>
      </c>
      <c r="M280" s="2" t="s">
        <v>55</v>
      </c>
    </row>
    <row r="281" spans="1:13" ht="14.25" customHeight="1" x14ac:dyDescent="0.3">
      <c r="A281" s="2" t="s">
        <v>524</v>
      </c>
      <c r="B281" s="2" t="s">
        <v>27</v>
      </c>
      <c r="C281" s="2" t="s">
        <v>164</v>
      </c>
      <c r="D281" s="2" t="s">
        <v>69</v>
      </c>
      <c r="E281" s="2" t="s">
        <v>70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58</v>
      </c>
      <c r="M281" s="2" t="s">
        <v>55</v>
      </c>
    </row>
    <row r="282" spans="1:13" ht="14.25" customHeight="1" x14ac:dyDescent="0.3">
      <c r="A282" s="2" t="s">
        <v>525</v>
      </c>
      <c r="B282" s="2" t="s">
        <v>27</v>
      </c>
      <c r="C282" s="2" t="s">
        <v>526</v>
      </c>
      <c r="D282" s="2" t="s">
        <v>49</v>
      </c>
      <c r="E282" s="2" t="s">
        <v>50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146</v>
      </c>
      <c r="M282" s="2" t="s">
        <v>25</v>
      </c>
    </row>
    <row r="283" spans="1:13" ht="14.25" customHeight="1" x14ac:dyDescent="0.3">
      <c r="A283" s="2" t="s">
        <v>527</v>
      </c>
      <c r="B283" s="2" t="s">
        <v>31</v>
      </c>
      <c r="C283" s="2" t="s">
        <v>528</v>
      </c>
      <c r="D283" s="2" t="s">
        <v>69</v>
      </c>
      <c r="E283" s="2" t="s">
        <v>70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18</v>
      </c>
      <c r="M283" s="2" t="s">
        <v>19</v>
      </c>
    </row>
    <row r="284" spans="1:13" ht="14.25" customHeight="1" x14ac:dyDescent="0.3">
      <c r="A284" s="2" t="s">
        <v>529</v>
      </c>
      <c r="B284" s="2" t="s">
        <v>14</v>
      </c>
      <c r="C284" s="2" t="s">
        <v>530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105</v>
      </c>
      <c r="M284" s="2" t="s">
        <v>38</v>
      </c>
    </row>
    <row r="285" spans="1:13" ht="14.25" customHeight="1" x14ac:dyDescent="0.3">
      <c r="A285" s="2" t="s">
        <v>531</v>
      </c>
      <c r="B285" s="2" t="s">
        <v>14</v>
      </c>
      <c r="C285" s="2" t="s">
        <v>99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77</v>
      </c>
      <c r="M285" s="2" t="s">
        <v>25</v>
      </c>
    </row>
    <row r="286" spans="1:13" ht="14.25" customHeight="1" x14ac:dyDescent="0.3">
      <c r="A286" s="2" t="s">
        <v>532</v>
      </c>
      <c r="B286" s="2" t="s">
        <v>27</v>
      </c>
      <c r="C286" s="2" t="s">
        <v>424</v>
      </c>
      <c r="D286" s="2" t="s">
        <v>22</v>
      </c>
      <c r="E286" s="2" t="s">
        <v>23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264</v>
      </c>
      <c r="M286" s="2" t="s">
        <v>19</v>
      </c>
    </row>
    <row r="287" spans="1:13" ht="14.25" customHeight="1" x14ac:dyDescent="0.3">
      <c r="A287" s="2" t="s">
        <v>533</v>
      </c>
      <c r="B287" s="2" t="s">
        <v>27</v>
      </c>
      <c r="C287" s="2" t="s">
        <v>534</v>
      </c>
      <c r="D287" s="2" t="s">
        <v>69</v>
      </c>
      <c r="E287" s="2" t="s">
        <v>70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29</v>
      </c>
      <c r="M287" s="2" t="s">
        <v>25</v>
      </c>
    </row>
    <row r="288" spans="1:13" ht="14.25" customHeight="1" x14ac:dyDescent="0.3">
      <c r="A288" s="2" t="s">
        <v>535</v>
      </c>
      <c r="B288" s="2" t="s">
        <v>31</v>
      </c>
      <c r="C288" s="2" t="s">
        <v>399</v>
      </c>
      <c r="D288" s="2" t="s">
        <v>16</v>
      </c>
      <c r="E288" s="2" t="s">
        <v>17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285</v>
      </c>
      <c r="M288" s="2" t="s">
        <v>38</v>
      </c>
    </row>
    <row r="289" spans="1:13" ht="14.25" customHeight="1" x14ac:dyDescent="0.3">
      <c r="A289" s="2" t="s">
        <v>536</v>
      </c>
      <c r="B289" s="2" t="s">
        <v>27</v>
      </c>
      <c r="C289" s="2" t="s">
        <v>537</v>
      </c>
      <c r="D289" s="2" t="s">
        <v>42</v>
      </c>
      <c r="E289" s="2" t="s">
        <v>43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71</v>
      </c>
      <c r="M289" s="2" t="s">
        <v>38</v>
      </c>
    </row>
    <row r="290" spans="1:13" ht="14.25" customHeight="1" x14ac:dyDescent="0.3">
      <c r="A290" s="2" t="s">
        <v>538</v>
      </c>
      <c r="B290" s="2" t="s">
        <v>40</v>
      </c>
      <c r="C290" s="2" t="s">
        <v>304</v>
      </c>
      <c r="D290" s="2" t="s">
        <v>42</v>
      </c>
      <c r="E290" s="2" t="s">
        <v>43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214</v>
      </c>
      <c r="M290" s="2" t="s">
        <v>25</v>
      </c>
    </row>
    <row r="291" spans="1:13" ht="14.25" customHeight="1" x14ac:dyDescent="0.3">
      <c r="A291" s="2" t="s">
        <v>539</v>
      </c>
      <c r="B291" s="2" t="s">
        <v>31</v>
      </c>
      <c r="C291" s="2" t="s">
        <v>540</v>
      </c>
      <c r="D291" s="2" t="s">
        <v>42</v>
      </c>
      <c r="E291" s="2" t="s">
        <v>43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44</v>
      </c>
      <c r="M291" s="2" t="s">
        <v>38</v>
      </c>
    </row>
    <row r="292" spans="1:13" ht="14.25" customHeight="1" x14ac:dyDescent="0.3">
      <c r="A292" s="2" t="s">
        <v>541</v>
      </c>
      <c r="B292" s="2" t="s">
        <v>40</v>
      </c>
      <c r="C292" s="2" t="s">
        <v>91</v>
      </c>
      <c r="D292" s="2" t="s">
        <v>69</v>
      </c>
      <c r="E292" s="2" t="s">
        <v>70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24</v>
      </c>
      <c r="M292" s="2" t="s">
        <v>25</v>
      </c>
    </row>
    <row r="293" spans="1:13" ht="14.25" customHeight="1" x14ac:dyDescent="0.3">
      <c r="A293" s="2" t="s">
        <v>542</v>
      </c>
      <c r="B293" s="2" t="s">
        <v>40</v>
      </c>
      <c r="C293" s="2" t="s">
        <v>543</v>
      </c>
      <c r="D293" s="2" t="s">
        <v>22</v>
      </c>
      <c r="E293" s="2" t="s">
        <v>23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18</v>
      </c>
      <c r="M293" s="2" t="s">
        <v>25</v>
      </c>
    </row>
    <row r="294" spans="1:13" ht="14.25" customHeight="1" x14ac:dyDescent="0.3">
      <c r="A294" s="2" t="s">
        <v>544</v>
      </c>
      <c r="B294" s="2" t="s">
        <v>40</v>
      </c>
      <c r="C294" s="2" t="s">
        <v>545</v>
      </c>
      <c r="D294" s="2" t="s">
        <v>22</v>
      </c>
      <c r="E294" s="2" t="s">
        <v>23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58</v>
      </c>
      <c r="M294" s="2" t="s">
        <v>38</v>
      </c>
    </row>
    <row r="295" spans="1:13" ht="14.25" customHeight="1" x14ac:dyDescent="0.3">
      <c r="A295" s="2" t="s">
        <v>546</v>
      </c>
      <c r="B295" s="2" t="s">
        <v>40</v>
      </c>
      <c r="C295" s="2" t="s">
        <v>547</v>
      </c>
      <c r="D295" s="2" t="s">
        <v>42</v>
      </c>
      <c r="E295" s="2" t="s">
        <v>43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105</v>
      </c>
      <c r="M295" s="2" t="s">
        <v>55</v>
      </c>
    </row>
    <row r="296" spans="1:13" ht="14.25" customHeight="1" x14ac:dyDescent="0.3">
      <c r="A296" s="2" t="s">
        <v>548</v>
      </c>
      <c r="B296" s="2" t="s">
        <v>14</v>
      </c>
      <c r="C296" s="2" t="s">
        <v>430</v>
      </c>
      <c r="D296" s="2" t="s">
        <v>49</v>
      </c>
      <c r="E296" s="2" t="s">
        <v>50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66</v>
      </c>
      <c r="M296" s="2" t="s">
        <v>38</v>
      </c>
    </row>
    <row r="297" spans="1:13" ht="14.25" customHeight="1" x14ac:dyDescent="0.3">
      <c r="A297" s="2" t="s">
        <v>549</v>
      </c>
      <c r="B297" s="2" t="s">
        <v>14</v>
      </c>
      <c r="C297" s="2" t="s">
        <v>550</v>
      </c>
      <c r="D297" s="2" t="s">
        <v>69</v>
      </c>
      <c r="E297" s="2" t="s">
        <v>70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71</v>
      </c>
      <c r="M297" s="2" t="s">
        <v>19</v>
      </c>
    </row>
    <row r="298" spans="1:13" ht="14.25" customHeight="1" x14ac:dyDescent="0.3">
      <c r="A298" s="2" t="s">
        <v>551</v>
      </c>
      <c r="B298" s="2" t="s">
        <v>14</v>
      </c>
      <c r="C298" s="2" t="s">
        <v>552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87</v>
      </c>
      <c r="M298" s="2" t="s">
        <v>19</v>
      </c>
    </row>
    <row r="299" spans="1:13" ht="14.25" customHeight="1" x14ac:dyDescent="0.3">
      <c r="A299" s="2" t="s">
        <v>553</v>
      </c>
      <c r="B299" s="2" t="s">
        <v>40</v>
      </c>
      <c r="C299" s="2" t="s">
        <v>68</v>
      </c>
      <c r="D299" s="2" t="s">
        <v>49</v>
      </c>
      <c r="E299" s="2" t="s">
        <v>50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18</v>
      </c>
      <c r="M299" s="2" t="s">
        <v>25</v>
      </c>
    </row>
    <row r="300" spans="1:13" ht="14.25" customHeight="1" x14ac:dyDescent="0.3">
      <c r="A300" s="2" t="s">
        <v>554</v>
      </c>
      <c r="B300" s="2" t="s">
        <v>40</v>
      </c>
      <c r="C300" s="2" t="s">
        <v>73</v>
      </c>
      <c r="D300" s="2" t="s">
        <v>49</v>
      </c>
      <c r="E300" s="2" t="s">
        <v>50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82</v>
      </c>
      <c r="M300" s="2" t="s">
        <v>25</v>
      </c>
    </row>
    <row r="301" spans="1:13" ht="14.25" customHeight="1" x14ac:dyDescent="0.3">
      <c r="A301" s="2" t="s">
        <v>555</v>
      </c>
      <c r="B301" s="2" t="s">
        <v>14</v>
      </c>
      <c r="C301" s="2" t="s">
        <v>314</v>
      </c>
      <c r="D301" s="2" t="s">
        <v>42</v>
      </c>
      <c r="E301" s="2" t="s">
        <v>43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24</v>
      </c>
      <c r="M301" s="2" t="s">
        <v>19</v>
      </c>
    </row>
    <row r="302" spans="1:13" ht="14.25" customHeight="1" x14ac:dyDescent="0.3"/>
    <row r="303" spans="1:13" ht="14.25" customHeight="1" x14ac:dyDescent="0.3"/>
    <row r="304" spans="1:13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F23" sqref="F23"/>
    </sheetView>
  </sheetViews>
  <sheetFormatPr defaultColWidth="14.44140625" defaultRowHeight="15" customHeight="1" x14ac:dyDescent="0.3"/>
  <cols>
    <col min="1" max="1" width="19.88671875" customWidth="1"/>
    <col min="2" max="2" width="13.44140625" customWidth="1"/>
    <col min="3" max="3" width="10.88671875" customWidth="1"/>
    <col min="4" max="4" width="13.21875" customWidth="1"/>
    <col min="5" max="5" width="15.44140625" customWidth="1"/>
    <col min="6" max="6" width="17.33203125" customWidth="1"/>
    <col min="7" max="7" width="12.44140625" customWidth="1"/>
    <col min="8" max="26" width="8.6640625" customWidth="1"/>
  </cols>
  <sheetData>
    <row r="1" spans="1:7" ht="14.25" customHeight="1" x14ac:dyDescent="0.3">
      <c r="A1" s="2" t="s">
        <v>556</v>
      </c>
      <c r="B1" s="2" t="s">
        <v>1</v>
      </c>
      <c r="C1" s="2" t="s">
        <v>557</v>
      </c>
      <c r="D1" s="2" t="s">
        <v>558</v>
      </c>
      <c r="E1" s="2" t="s">
        <v>559</v>
      </c>
      <c r="F1" s="2" t="s">
        <v>560</v>
      </c>
      <c r="G1" s="2" t="s">
        <v>561</v>
      </c>
    </row>
    <row r="2" spans="1:7" ht="14.25" customHeight="1" x14ac:dyDescent="0.3">
      <c r="A2" s="3">
        <v>45446</v>
      </c>
      <c r="B2" s="2" t="s">
        <v>31</v>
      </c>
      <c r="C2" s="2">
        <v>1135</v>
      </c>
      <c r="D2" s="2">
        <v>88</v>
      </c>
      <c r="E2" s="2">
        <v>344084</v>
      </c>
      <c r="F2" s="2">
        <v>8.06</v>
      </c>
      <c r="G2" s="2">
        <v>5904</v>
      </c>
    </row>
    <row r="3" spans="1:7" ht="14.25" customHeight="1" x14ac:dyDescent="0.3">
      <c r="A3" s="3">
        <v>45446</v>
      </c>
      <c r="B3" s="2" t="s">
        <v>40</v>
      </c>
      <c r="C3" s="2">
        <v>1312</v>
      </c>
      <c r="D3" s="2">
        <v>310</v>
      </c>
      <c r="E3" s="2">
        <v>42654</v>
      </c>
      <c r="F3" s="2">
        <v>4.9800000000000004</v>
      </c>
      <c r="G3" s="2">
        <v>9566</v>
      </c>
    </row>
    <row r="4" spans="1:7" ht="14.25" customHeight="1" x14ac:dyDescent="0.3">
      <c r="A4" s="3">
        <v>45446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2">
        <v>26752</v>
      </c>
    </row>
    <row r="5" spans="1:7" ht="14.25" customHeight="1" x14ac:dyDescent="0.3">
      <c r="A5" s="3">
        <v>45446</v>
      </c>
      <c r="B5" s="2" t="s">
        <v>27</v>
      </c>
      <c r="C5" s="2">
        <v>1535</v>
      </c>
      <c r="D5" s="2">
        <v>445</v>
      </c>
      <c r="E5" s="2">
        <v>395536</v>
      </c>
      <c r="F5" s="2">
        <v>4.1100000000000003</v>
      </c>
      <c r="G5" s="2">
        <v>30671</v>
      </c>
    </row>
    <row r="6" spans="1:7" ht="14.25" customHeight="1" x14ac:dyDescent="0.3">
      <c r="A6" s="3">
        <v>45453</v>
      </c>
      <c r="B6" s="2" t="s">
        <v>31</v>
      </c>
      <c r="C6" s="2">
        <v>656</v>
      </c>
      <c r="D6" s="2">
        <v>139</v>
      </c>
      <c r="E6" s="2">
        <v>49157</v>
      </c>
      <c r="F6" s="2">
        <v>9.0500000000000007</v>
      </c>
      <c r="G6" s="2">
        <v>9920</v>
      </c>
    </row>
    <row r="7" spans="1:7" ht="14.25" customHeight="1" x14ac:dyDescent="0.3">
      <c r="A7" s="3">
        <v>45453</v>
      </c>
      <c r="B7" s="2" t="s">
        <v>40</v>
      </c>
      <c r="C7" s="2">
        <v>1697</v>
      </c>
      <c r="D7" s="2">
        <v>414</v>
      </c>
      <c r="E7" s="2">
        <v>316555</v>
      </c>
      <c r="F7" s="2">
        <v>2.37</v>
      </c>
      <c r="G7" s="2">
        <v>7924</v>
      </c>
    </row>
    <row r="8" spans="1:7" ht="14.25" customHeight="1" x14ac:dyDescent="0.3">
      <c r="A8" s="3">
        <v>45453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2">
        <v>8912</v>
      </c>
    </row>
    <row r="9" spans="1:7" ht="14.25" customHeight="1" x14ac:dyDescent="0.3">
      <c r="A9" s="3">
        <v>45453</v>
      </c>
      <c r="B9" s="2" t="s">
        <v>27</v>
      </c>
      <c r="C9" s="2">
        <v>1197</v>
      </c>
      <c r="D9" s="2">
        <v>203</v>
      </c>
      <c r="E9" s="2">
        <v>413878</v>
      </c>
      <c r="F9" s="2">
        <v>3.16</v>
      </c>
      <c r="G9" s="2">
        <v>21205</v>
      </c>
    </row>
    <row r="10" spans="1:7" ht="14.25" customHeight="1" x14ac:dyDescent="0.3">
      <c r="A10" s="3">
        <v>45460</v>
      </c>
      <c r="B10" s="2" t="s">
        <v>31</v>
      </c>
      <c r="C10" s="2">
        <v>1048</v>
      </c>
      <c r="D10" s="2">
        <v>155</v>
      </c>
      <c r="E10" s="2">
        <v>456946</v>
      </c>
      <c r="F10" s="2">
        <v>2.46</v>
      </c>
      <c r="G10" s="2">
        <v>11329</v>
      </c>
    </row>
    <row r="11" spans="1:7" ht="14.25" customHeight="1" x14ac:dyDescent="0.3">
      <c r="A11" s="3">
        <v>45460</v>
      </c>
      <c r="B11" s="2" t="s">
        <v>40</v>
      </c>
      <c r="C11" s="2">
        <v>1753</v>
      </c>
      <c r="D11" s="2">
        <v>371</v>
      </c>
      <c r="E11" s="2">
        <v>169496</v>
      </c>
      <c r="F11" s="2">
        <v>8.11</v>
      </c>
      <c r="G11" s="2">
        <v>46670</v>
      </c>
    </row>
    <row r="12" spans="1:7" ht="14.25" customHeight="1" x14ac:dyDescent="0.3">
      <c r="A12" s="3">
        <v>45460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2">
        <v>22482</v>
      </c>
    </row>
    <row r="13" spans="1:7" ht="14.25" customHeight="1" x14ac:dyDescent="0.3">
      <c r="A13" s="3">
        <v>45460</v>
      </c>
      <c r="B13" s="2" t="s">
        <v>27</v>
      </c>
      <c r="C13" s="2">
        <v>403</v>
      </c>
      <c r="D13" s="2">
        <v>66</v>
      </c>
      <c r="E13" s="2">
        <v>382851</v>
      </c>
      <c r="F13" s="2">
        <v>3.49</v>
      </c>
      <c r="G13" s="2">
        <v>24313</v>
      </c>
    </row>
    <row r="14" spans="1:7" ht="14.25" customHeight="1" x14ac:dyDescent="0.3">
      <c r="A14" s="3">
        <v>45467</v>
      </c>
      <c r="B14" s="2" t="s">
        <v>31</v>
      </c>
      <c r="C14" s="2">
        <v>911</v>
      </c>
      <c r="D14" s="2">
        <v>282</v>
      </c>
      <c r="E14" s="2">
        <v>35664</v>
      </c>
      <c r="F14" s="2">
        <v>6.92</v>
      </c>
      <c r="G14" s="2">
        <v>18050</v>
      </c>
    </row>
    <row r="15" spans="1:7" ht="14.25" customHeight="1" x14ac:dyDescent="0.3">
      <c r="A15" s="3">
        <v>45467</v>
      </c>
      <c r="B15" s="2" t="s">
        <v>40</v>
      </c>
      <c r="C15" s="2">
        <v>1779</v>
      </c>
      <c r="D15" s="2">
        <v>109</v>
      </c>
      <c r="E15" s="2">
        <v>26295</v>
      </c>
      <c r="F15" s="2">
        <v>9.1199999999999992</v>
      </c>
      <c r="G15" s="2">
        <v>30635</v>
      </c>
    </row>
    <row r="16" spans="1:7" ht="14.25" customHeight="1" x14ac:dyDescent="0.3">
      <c r="A16" s="3">
        <v>45467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2">
        <v>31280</v>
      </c>
    </row>
    <row r="17" spans="1:7" ht="14.25" customHeight="1" x14ac:dyDescent="0.3">
      <c r="A17" s="3">
        <v>45467</v>
      </c>
      <c r="B17" s="2" t="s">
        <v>27</v>
      </c>
      <c r="C17" s="2">
        <v>308</v>
      </c>
      <c r="D17" s="2">
        <v>431</v>
      </c>
      <c r="E17" s="2">
        <v>426184</v>
      </c>
      <c r="F17" s="2">
        <v>2.62</v>
      </c>
      <c r="G17" s="2">
        <v>1783</v>
      </c>
    </row>
    <row r="18" spans="1:7" ht="14.25" customHeight="1" x14ac:dyDescent="0.3">
      <c r="A18" s="3">
        <v>45474</v>
      </c>
      <c r="B18" s="2" t="s">
        <v>31</v>
      </c>
      <c r="C18" s="2">
        <v>226</v>
      </c>
      <c r="D18" s="2">
        <v>445</v>
      </c>
      <c r="E18" s="2">
        <v>419447</v>
      </c>
      <c r="F18" s="2">
        <v>9.36</v>
      </c>
      <c r="G18" s="2">
        <v>9566</v>
      </c>
    </row>
    <row r="19" spans="1:7" ht="14.25" customHeight="1" x14ac:dyDescent="0.3">
      <c r="A19" s="3">
        <v>45474</v>
      </c>
      <c r="B19" s="2" t="s">
        <v>40</v>
      </c>
      <c r="C19" s="2">
        <v>505</v>
      </c>
      <c r="D19" s="2">
        <v>441</v>
      </c>
      <c r="E19" s="2">
        <v>220020</v>
      </c>
      <c r="F19" s="2">
        <v>4.4800000000000004</v>
      </c>
      <c r="G19" s="2">
        <v>42307</v>
      </c>
    </row>
    <row r="20" spans="1:7" ht="14.25" customHeight="1" x14ac:dyDescent="0.3">
      <c r="A20" s="3">
        <v>45474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2">
        <v>5914</v>
      </c>
    </row>
    <row r="21" spans="1:7" ht="14.25" customHeight="1" x14ac:dyDescent="0.3">
      <c r="A21" s="3">
        <v>45474</v>
      </c>
      <c r="B21" s="2" t="s">
        <v>27</v>
      </c>
      <c r="C21" s="2">
        <v>144</v>
      </c>
      <c r="D21" s="2">
        <v>53</v>
      </c>
      <c r="E21" s="2">
        <v>113678</v>
      </c>
      <c r="F21" s="2">
        <v>8.7200000000000006</v>
      </c>
      <c r="G21" s="2">
        <v>30060</v>
      </c>
    </row>
    <row r="22" spans="1:7" ht="14.25" customHeight="1" x14ac:dyDescent="0.3">
      <c r="A22" s="3">
        <v>45481</v>
      </c>
      <c r="B22" s="2" t="s">
        <v>31</v>
      </c>
      <c r="C22" s="2">
        <v>1757</v>
      </c>
      <c r="D22" s="2">
        <v>85</v>
      </c>
      <c r="E22" s="2">
        <v>58223</v>
      </c>
      <c r="F22" s="2">
        <v>8.74</v>
      </c>
      <c r="G22" s="2">
        <v>22728</v>
      </c>
    </row>
    <row r="23" spans="1:7" ht="14.25" customHeight="1" x14ac:dyDescent="0.3">
      <c r="A23" s="3">
        <v>45481</v>
      </c>
      <c r="B23" s="2" t="s">
        <v>40</v>
      </c>
      <c r="C23" s="2">
        <v>350</v>
      </c>
      <c r="D23" s="2">
        <v>41</v>
      </c>
      <c r="E23" s="2">
        <v>251694</v>
      </c>
      <c r="F23" s="2">
        <v>1.91</v>
      </c>
      <c r="G23" s="2">
        <v>38610</v>
      </c>
    </row>
    <row r="24" spans="1:7" ht="14.25" customHeight="1" x14ac:dyDescent="0.3">
      <c r="A24" s="3">
        <v>45481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2">
        <v>2932</v>
      </c>
    </row>
    <row r="25" spans="1:7" ht="14.25" customHeight="1" x14ac:dyDescent="0.3">
      <c r="A25" s="3">
        <v>45481</v>
      </c>
      <c r="B25" s="2" t="s">
        <v>27</v>
      </c>
      <c r="C25" s="2">
        <v>883</v>
      </c>
      <c r="D25" s="2">
        <v>369</v>
      </c>
      <c r="E25" s="2">
        <v>233694</v>
      </c>
      <c r="F25" s="2">
        <v>2.88</v>
      </c>
      <c r="G25" s="2">
        <v>15071</v>
      </c>
    </row>
    <row r="26" spans="1:7" ht="14.25" customHeight="1" x14ac:dyDescent="0.3">
      <c r="A26" s="3">
        <v>45488</v>
      </c>
      <c r="B26" s="2" t="s">
        <v>31</v>
      </c>
      <c r="C26" s="2">
        <v>1960</v>
      </c>
      <c r="D26" s="2">
        <v>115</v>
      </c>
      <c r="E26" s="2">
        <v>154169</v>
      </c>
      <c r="F26" s="2">
        <v>3.74</v>
      </c>
      <c r="G26" s="2">
        <v>10740</v>
      </c>
    </row>
    <row r="27" spans="1:7" ht="14.25" customHeight="1" x14ac:dyDescent="0.3">
      <c r="A27" s="3">
        <v>45488</v>
      </c>
      <c r="B27" s="2" t="s">
        <v>40</v>
      </c>
      <c r="C27" s="2">
        <v>170</v>
      </c>
      <c r="D27" s="2">
        <v>334</v>
      </c>
      <c r="E27" s="2">
        <v>334626</v>
      </c>
      <c r="F27" s="2">
        <v>6.44</v>
      </c>
      <c r="G27" s="2">
        <v>43420</v>
      </c>
    </row>
    <row r="28" spans="1:7" ht="14.25" customHeight="1" x14ac:dyDescent="0.3">
      <c r="A28" s="3">
        <v>45488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2">
        <v>32393</v>
      </c>
    </row>
    <row r="29" spans="1:7" ht="14.25" customHeight="1" x14ac:dyDescent="0.3">
      <c r="A29" s="3">
        <v>45488</v>
      </c>
      <c r="B29" s="2" t="s">
        <v>27</v>
      </c>
      <c r="C29" s="2">
        <v>224</v>
      </c>
      <c r="D29" s="2">
        <v>64</v>
      </c>
      <c r="E29" s="2">
        <v>156683</v>
      </c>
      <c r="F29" s="2">
        <v>4.5599999999999996</v>
      </c>
      <c r="G29" s="2">
        <v>28474</v>
      </c>
    </row>
    <row r="30" spans="1:7" ht="14.25" customHeight="1" x14ac:dyDescent="0.3">
      <c r="A30" s="3">
        <v>45495</v>
      </c>
      <c r="B30" s="2" t="s">
        <v>31</v>
      </c>
      <c r="C30" s="2">
        <v>508</v>
      </c>
      <c r="D30" s="2">
        <v>349</v>
      </c>
      <c r="E30" s="2">
        <v>473812</v>
      </c>
      <c r="F30" s="2">
        <v>7.88</v>
      </c>
      <c r="G30" s="2">
        <v>17328</v>
      </c>
    </row>
    <row r="31" spans="1:7" ht="14.25" customHeight="1" x14ac:dyDescent="0.3">
      <c r="A31" s="3">
        <v>45495</v>
      </c>
      <c r="B31" s="2" t="s">
        <v>40</v>
      </c>
      <c r="C31" s="2">
        <v>1391</v>
      </c>
      <c r="D31" s="2">
        <v>430</v>
      </c>
      <c r="E31" s="2">
        <v>295032</v>
      </c>
      <c r="F31" s="2">
        <v>7.86</v>
      </c>
      <c r="G31" s="2">
        <v>26067</v>
      </c>
    </row>
    <row r="32" spans="1:7" ht="14.25" customHeight="1" x14ac:dyDescent="0.3">
      <c r="A32" s="3">
        <v>45495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2">
        <v>32763</v>
      </c>
    </row>
    <row r="33" spans="1:7" ht="14.25" customHeight="1" x14ac:dyDescent="0.3">
      <c r="A33" s="3">
        <v>45495</v>
      </c>
      <c r="B33" s="2" t="s">
        <v>27</v>
      </c>
      <c r="C33" s="2">
        <v>804</v>
      </c>
      <c r="D33" s="2">
        <v>487</v>
      </c>
      <c r="E33" s="2">
        <v>306564</v>
      </c>
      <c r="F33" s="2">
        <v>5.52</v>
      </c>
      <c r="G33" s="2">
        <v>26452</v>
      </c>
    </row>
    <row r="34" spans="1:7" ht="14.25" customHeight="1" x14ac:dyDescent="0.3">
      <c r="A34" s="3">
        <v>45502</v>
      </c>
      <c r="B34" s="2" t="s">
        <v>31</v>
      </c>
      <c r="C34" s="2">
        <v>653</v>
      </c>
      <c r="D34" s="2">
        <v>112</v>
      </c>
      <c r="E34" s="2">
        <v>23664</v>
      </c>
      <c r="F34" s="2">
        <v>4.05</v>
      </c>
      <c r="G34" s="2">
        <v>15353</v>
      </c>
    </row>
    <row r="35" spans="1:7" ht="14.25" customHeight="1" x14ac:dyDescent="0.3">
      <c r="A35" s="3">
        <v>45502</v>
      </c>
      <c r="B35" s="2" t="s">
        <v>40</v>
      </c>
      <c r="C35" s="2">
        <v>160</v>
      </c>
      <c r="D35" s="2">
        <v>478</v>
      </c>
      <c r="E35" s="2">
        <v>435034</v>
      </c>
      <c r="F35" s="2">
        <v>7.73</v>
      </c>
      <c r="G35" s="2">
        <v>4839</v>
      </c>
    </row>
    <row r="36" spans="1:7" ht="14.25" customHeight="1" x14ac:dyDescent="0.3">
      <c r="A36" s="3">
        <v>45502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2">
        <v>39272</v>
      </c>
    </row>
    <row r="37" spans="1:7" ht="14.25" customHeight="1" x14ac:dyDescent="0.3">
      <c r="A37" s="3">
        <v>45502</v>
      </c>
      <c r="B37" s="2" t="s">
        <v>27</v>
      </c>
      <c r="C37" s="2">
        <v>576</v>
      </c>
      <c r="D37" s="2">
        <v>101</v>
      </c>
      <c r="E37" s="2">
        <v>62499</v>
      </c>
      <c r="F37" s="2">
        <v>3.48</v>
      </c>
      <c r="G37" s="2">
        <v>16804</v>
      </c>
    </row>
    <row r="38" spans="1:7" ht="14.25" customHeight="1" x14ac:dyDescent="0.3">
      <c r="A38" s="3">
        <v>45509</v>
      </c>
      <c r="B38" s="2" t="s">
        <v>31</v>
      </c>
      <c r="C38" s="2">
        <v>645</v>
      </c>
      <c r="D38" s="2">
        <v>293</v>
      </c>
      <c r="E38" s="2">
        <v>437968</v>
      </c>
      <c r="F38" s="2">
        <v>7.83</v>
      </c>
      <c r="G38" s="2">
        <v>49303</v>
      </c>
    </row>
    <row r="39" spans="1:7" ht="14.25" customHeight="1" x14ac:dyDescent="0.3">
      <c r="A39" s="3">
        <v>45509</v>
      </c>
      <c r="B39" s="2" t="s">
        <v>40</v>
      </c>
      <c r="C39" s="2">
        <v>214</v>
      </c>
      <c r="D39" s="2">
        <v>411</v>
      </c>
      <c r="E39" s="2">
        <v>125034</v>
      </c>
      <c r="F39" s="2">
        <v>6.11</v>
      </c>
      <c r="G39" s="2">
        <v>26455</v>
      </c>
    </row>
    <row r="40" spans="1:7" ht="14.25" customHeight="1" x14ac:dyDescent="0.3">
      <c r="A40" s="3">
        <v>45509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2">
        <v>12384</v>
      </c>
    </row>
    <row r="41" spans="1:7" ht="14.25" customHeight="1" x14ac:dyDescent="0.3">
      <c r="A41" s="3">
        <v>45509</v>
      </c>
      <c r="B41" s="2" t="s">
        <v>27</v>
      </c>
      <c r="C41" s="2">
        <v>460</v>
      </c>
      <c r="D41" s="2">
        <v>141</v>
      </c>
      <c r="E41" s="2">
        <v>320650</v>
      </c>
      <c r="F41" s="2">
        <v>4.04</v>
      </c>
      <c r="G41" s="2">
        <v>49372</v>
      </c>
    </row>
    <row r="42" spans="1:7" ht="14.25" customHeight="1" x14ac:dyDescent="0.3">
      <c r="A42" s="3">
        <v>45516</v>
      </c>
      <c r="B42" s="2" t="s">
        <v>31</v>
      </c>
      <c r="C42" s="2">
        <v>1528</v>
      </c>
      <c r="D42" s="2">
        <v>203</v>
      </c>
      <c r="E42" s="2">
        <v>489188</v>
      </c>
      <c r="F42" s="2">
        <v>6.23</v>
      </c>
      <c r="G42" s="2">
        <v>47101</v>
      </c>
    </row>
    <row r="43" spans="1:7" ht="14.25" customHeight="1" x14ac:dyDescent="0.3">
      <c r="A43" s="3">
        <v>45516</v>
      </c>
      <c r="B43" s="2" t="s">
        <v>40</v>
      </c>
      <c r="C43" s="2">
        <v>1534</v>
      </c>
      <c r="D43" s="2">
        <v>200</v>
      </c>
      <c r="E43" s="2">
        <v>307612</v>
      </c>
      <c r="F43" s="2">
        <v>6.01</v>
      </c>
      <c r="G43" s="2">
        <v>37903</v>
      </c>
    </row>
    <row r="44" spans="1:7" ht="14.25" customHeight="1" x14ac:dyDescent="0.3">
      <c r="A44" s="3">
        <v>45516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2">
        <v>33258</v>
      </c>
    </row>
    <row r="45" spans="1:7" ht="14.25" customHeight="1" x14ac:dyDescent="0.3">
      <c r="A45" s="3">
        <v>45516</v>
      </c>
      <c r="B45" s="2" t="s">
        <v>27</v>
      </c>
      <c r="C45" s="2">
        <v>1210</v>
      </c>
      <c r="D45" s="2">
        <v>178</v>
      </c>
      <c r="E45" s="2">
        <v>102042</v>
      </c>
      <c r="F45" s="2">
        <v>5.42</v>
      </c>
      <c r="G45" s="2">
        <v>6915</v>
      </c>
    </row>
    <row r="46" spans="1:7" ht="14.25" customHeight="1" x14ac:dyDescent="0.3">
      <c r="A46" s="3">
        <v>45523</v>
      </c>
      <c r="B46" s="2" t="s">
        <v>31</v>
      </c>
      <c r="C46" s="2">
        <v>215</v>
      </c>
      <c r="D46" s="2">
        <v>139</v>
      </c>
      <c r="E46" s="2">
        <v>325444</v>
      </c>
      <c r="F46" s="2">
        <v>3.25</v>
      </c>
      <c r="G46" s="2">
        <v>35501</v>
      </c>
    </row>
    <row r="47" spans="1:7" ht="14.25" customHeight="1" x14ac:dyDescent="0.3">
      <c r="A47" s="3">
        <v>45523</v>
      </c>
      <c r="B47" s="2" t="s">
        <v>40</v>
      </c>
      <c r="C47" s="2">
        <v>1078</v>
      </c>
      <c r="D47" s="2">
        <v>20</v>
      </c>
      <c r="E47" s="2">
        <v>183924</v>
      </c>
      <c r="F47" s="2">
        <v>8.84</v>
      </c>
      <c r="G47" s="2">
        <v>14203</v>
      </c>
    </row>
    <row r="48" spans="1:7" ht="14.25" customHeight="1" x14ac:dyDescent="0.3">
      <c r="A48" s="3">
        <v>45523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2">
        <v>22206</v>
      </c>
    </row>
    <row r="49" spans="1:7" ht="14.25" customHeight="1" x14ac:dyDescent="0.3">
      <c r="A49" s="3">
        <v>45523</v>
      </c>
      <c r="B49" s="2" t="s">
        <v>27</v>
      </c>
      <c r="C49" s="2">
        <v>221</v>
      </c>
      <c r="D49" s="2">
        <v>31</v>
      </c>
      <c r="E49" s="2">
        <v>87443</v>
      </c>
      <c r="F49" s="2">
        <v>6.19</v>
      </c>
      <c r="G49" s="2">
        <v>10283</v>
      </c>
    </row>
    <row r="50" spans="1:7" ht="14.25" customHeight="1" x14ac:dyDescent="0.3">
      <c r="A50" s="3">
        <v>45530</v>
      </c>
      <c r="B50" s="2" t="s">
        <v>31</v>
      </c>
      <c r="C50" s="2">
        <v>1685</v>
      </c>
      <c r="D50" s="2">
        <v>76</v>
      </c>
      <c r="E50" s="2">
        <v>453799</v>
      </c>
      <c r="F50" s="2">
        <v>5.71</v>
      </c>
      <c r="G50" s="2">
        <v>24913</v>
      </c>
    </row>
    <row r="51" spans="1:7" ht="14.25" customHeight="1" x14ac:dyDescent="0.3">
      <c r="A51" s="3">
        <v>45530</v>
      </c>
      <c r="B51" s="2" t="s">
        <v>40</v>
      </c>
      <c r="C51" s="2">
        <v>248</v>
      </c>
      <c r="D51" s="2">
        <v>211</v>
      </c>
      <c r="E51" s="2">
        <v>379380</v>
      </c>
      <c r="F51" s="2">
        <v>9.0399999999999991</v>
      </c>
      <c r="G51" s="2">
        <v>26925</v>
      </c>
    </row>
    <row r="52" spans="1:7" ht="14.25" customHeight="1" x14ac:dyDescent="0.3">
      <c r="A52" s="3">
        <v>45530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2">
        <v>9942</v>
      </c>
    </row>
    <row r="53" spans="1:7" ht="14.25" customHeight="1" x14ac:dyDescent="0.3">
      <c r="A53" s="3">
        <v>45530</v>
      </c>
      <c r="B53" s="2" t="s">
        <v>27</v>
      </c>
      <c r="C53" s="2">
        <v>422</v>
      </c>
      <c r="D53" s="2">
        <v>394</v>
      </c>
      <c r="E53" s="2">
        <v>239044</v>
      </c>
      <c r="F53" s="2">
        <v>7.83</v>
      </c>
      <c r="G53" s="2">
        <v>32929</v>
      </c>
    </row>
    <row r="54" spans="1:7" ht="14.25" customHeight="1" x14ac:dyDescent="0.3">
      <c r="A54" s="3">
        <v>45537</v>
      </c>
      <c r="B54" s="2" t="s">
        <v>31</v>
      </c>
      <c r="C54" s="2">
        <v>1429</v>
      </c>
      <c r="D54" s="2">
        <v>182</v>
      </c>
      <c r="E54" s="2">
        <v>101332</v>
      </c>
      <c r="F54" s="2">
        <v>7.16</v>
      </c>
      <c r="G54" s="2">
        <v>37829</v>
      </c>
    </row>
    <row r="55" spans="1:7" ht="14.25" customHeight="1" x14ac:dyDescent="0.3">
      <c r="A55" s="3">
        <v>45537</v>
      </c>
      <c r="B55" s="2" t="s">
        <v>40</v>
      </c>
      <c r="C55" s="2">
        <v>1520</v>
      </c>
      <c r="D55" s="2">
        <v>475</v>
      </c>
      <c r="E55" s="2">
        <v>496982</v>
      </c>
      <c r="F55" s="2">
        <v>6.41</v>
      </c>
      <c r="G55" s="2">
        <v>24384</v>
      </c>
    </row>
    <row r="56" spans="1:7" ht="14.25" customHeight="1" x14ac:dyDescent="0.3">
      <c r="A56" s="3">
        <v>45537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2">
        <v>25797</v>
      </c>
    </row>
    <row r="57" spans="1:7" ht="14.25" customHeight="1" x14ac:dyDescent="0.3">
      <c r="A57" s="3">
        <v>45537</v>
      </c>
      <c r="B57" s="2" t="s">
        <v>27</v>
      </c>
      <c r="C57" s="2">
        <v>728</v>
      </c>
      <c r="D57" s="2">
        <v>395</v>
      </c>
      <c r="E57" s="2">
        <v>370971</v>
      </c>
      <c r="F57" s="2">
        <v>3.86</v>
      </c>
      <c r="G57" s="2">
        <v>12646</v>
      </c>
    </row>
    <row r="58" spans="1:7" ht="14.25" customHeight="1" x14ac:dyDescent="0.3">
      <c r="A58" s="3">
        <v>45544</v>
      </c>
      <c r="B58" s="2" t="s">
        <v>31</v>
      </c>
      <c r="C58" s="2">
        <v>1592</v>
      </c>
      <c r="D58" s="2">
        <v>20</v>
      </c>
      <c r="E58" s="2">
        <v>378054</v>
      </c>
      <c r="F58" s="2">
        <v>9.09</v>
      </c>
      <c r="G58" s="2">
        <v>26663</v>
      </c>
    </row>
    <row r="59" spans="1:7" ht="14.25" customHeight="1" x14ac:dyDescent="0.3">
      <c r="A59" s="3">
        <v>45544</v>
      </c>
      <c r="B59" s="2" t="s">
        <v>40</v>
      </c>
      <c r="C59" s="2">
        <v>1842</v>
      </c>
      <c r="D59" s="2">
        <v>414</v>
      </c>
      <c r="E59" s="2">
        <v>307524</v>
      </c>
      <c r="F59" s="2">
        <v>1.76</v>
      </c>
      <c r="G59" s="2">
        <v>40478</v>
      </c>
    </row>
    <row r="60" spans="1:7" ht="14.25" customHeight="1" x14ac:dyDescent="0.3">
      <c r="A60" s="3">
        <v>45544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2">
        <v>15476</v>
      </c>
    </row>
    <row r="61" spans="1:7" ht="14.25" customHeight="1" x14ac:dyDescent="0.3">
      <c r="A61" s="3">
        <v>45544</v>
      </c>
      <c r="B61" s="2" t="s">
        <v>27</v>
      </c>
      <c r="C61" s="2">
        <v>1409</v>
      </c>
      <c r="D61" s="2">
        <v>309</v>
      </c>
      <c r="E61" s="2">
        <v>64583</v>
      </c>
      <c r="F61" s="2">
        <v>8.99</v>
      </c>
      <c r="G61" s="2">
        <v>10217</v>
      </c>
    </row>
    <row r="62" spans="1:7" ht="14.25" customHeight="1" x14ac:dyDescent="0.3">
      <c r="A62" s="3">
        <v>45551</v>
      </c>
      <c r="B62" s="2" t="s">
        <v>31</v>
      </c>
      <c r="C62" s="2">
        <v>778</v>
      </c>
      <c r="D62" s="2">
        <v>401</v>
      </c>
      <c r="E62" s="2">
        <v>50793</v>
      </c>
      <c r="F62" s="2">
        <v>3.4</v>
      </c>
      <c r="G62" s="2">
        <v>21939</v>
      </c>
    </row>
    <row r="63" spans="1:7" ht="14.25" customHeight="1" x14ac:dyDescent="0.3">
      <c r="A63" s="3">
        <v>45551</v>
      </c>
      <c r="B63" s="2" t="s">
        <v>40</v>
      </c>
      <c r="C63" s="2">
        <v>443</v>
      </c>
      <c r="D63" s="2">
        <v>345</v>
      </c>
      <c r="E63" s="2">
        <v>474162</v>
      </c>
      <c r="F63" s="2">
        <v>9.1999999999999993</v>
      </c>
      <c r="G63" s="2">
        <v>47462</v>
      </c>
    </row>
    <row r="64" spans="1:7" ht="14.25" customHeight="1" x14ac:dyDescent="0.3">
      <c r="A64" s="3">
        <v>45551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2">
        <v>30270</v>
      </c>
    </row>
    <row r="65" spans="1:7" ht="14.25" customHeight="1" x14ac:dyDescent="0.3">
      <c r="A65" s="3">
        <v>45551</v>
      </c>
      <c r="B65" s="2" t="s">
        <v>27</v>
      </c>
      <c r="C65" s="2">
        <v>123</v>
      </c>
      <c r="D65" s="2">
        <v>155</v>
      </c>
      <c r="E65" s="2">
        <v>119934</v>
      </c>
      <c r="F65" s="2">
        <v>3.5</v>
      </c>
      <c r="G65" s="2">
        <v>5442</v>
      </c>
    </row>
    <row r="66" spans="1:7" ht="14.25" customHeight="1" x14ac:dyDescent="0.3">
      <c r="A66" s="3">
        <v>45558</v>
      </c>
      <c r="B66" s="2" t="s">
        <v>31</v>
      </c>
      <c r="C66" s="2">
        <v>817</v>
      </c>
      <c r="D66" s="2">
        <v>151</v>
      </c>
      <c r="E66" s="2">
        <v>422625</v>
      </c>
      <c r="F66" s="2">
        <v>2.36</v>
      </c>
      <c r="G66" s="2">
        <v>1083</v>
      </c>
    </row>
    <row r="67" spans="1:7" ht="14.25" customHeight="1" x14ac:dyDescent="0.3">
      <c r="A67" s="3">
        <v>45558</v>
      </c>
      <c r="B67" s="2" t="s">
        <v>40</v>
      </c>
      <c r="C67" s="2">
        <v>198</v>
      </c>
      <c r="D67" s="2">
        <v>217</v>
      </c>
      <c r="E67" s="2">
        <v>239753</v>
      </c>
      <c r="F67" s="2">
        <v>7.36</v>
      </c>
      <c r="G67" s="2">
        <v>11901</v>
      </c>
    </row>
    <row r="68" spans="1:7" ht="14.25" customHeight="1" x14ac:dyDescent="0.3">
      <c r="A68" s="3">
        <v>45558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2">
        <v>24018</v>
      </c>
    </row>
    <row r="69" spans="1:7" ht="14.25" customHeight="1" x14ac:dyDescent="0.3">
      <c r="A69" s="3">
        <v>45558</v>
      </c>
      <c r="B69" s="2" t="s">
        <v>27</v>
      </c>
      <c r="C69" s="2">
        <v>1218</v>
      </c>
      <c r="D69" s="2">
        <v>212</v>
      </c>
      <c r="E69" s="2">
        <v>63177</v>
      </c>
      <c r="F69" s="2">
        <v>8.1300000000000008</v>
      </c>
      <c r="G69" s="2">
        <v>38883</v>
      </c>
    </row>
    <row r="70" spans="1:7" ht="14.25" customHeight="1" x14ac:dyDescent="0.3">
      <c r="A70" s="3">
        <v>45565</v>
      </c>
      <c r="B70" s="2" t="s">
        <v>31</v>
      </c>
      <c r="C70" s="2">
        <v>1433</v>
      </c>
      <c r="D70" s="2">
        <v>408</v>
      </c>
      <c r="E70" s="2">
        <v>370269</v>
      </c>
      <c r="F70" s="2">
        <v>3.3</v>
      </c>
      <c r="G70" s="2">
        <v>30575</v>
      </c>
    </row>
    <row r="71" spans="1:7" ht="14.25" customHeight="1" x14ac:dyDescent="0.3">
      <c r="A71" s="3">
        <v>45565</v>
      </c>
      <c r="B71" s="2" t="s">
        <v>40</v>
      </c>
      <c r="C71" s="2">
        <v>250</v>
      </c>
      <c r="D71" s="2">
        <v>429</v>
      </c>
      <c r="E71" s="2">
        <v>453423</v>
      </c>
      <c r="F71" s="2">
        <v>1.77</v>
      </c>
      <c r="G71" s="2">
        <v>2315</v>
      </c>
    </row>
    <row r="72" spans="1:7" ht="14.25" customHeight="1" x14ac:dyDescent="0.3">
      <c r="A72" s="3">
        <v>45565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2">
        <v>12148</v>
      </c>
    </row>
    <row r="73" spans="1:7" ht="14.25" customHeight="1" x14ac:dyDescent="0.3">
      <c r="A73" s="3">
        <v>45565</v>
      </c>
      <c r="B73" s="2" t="s">
        <v>27</v>
      </c>
      <c r="C73" s="2">
        <v>1918</v>
      </c>
      <c r="D73" s="2">
        <v>212</v>
      </c>
      <c r="E73" s="2">
        <v>94360</v>
      </c>
      <c r="F73" s="2">
        <v>7.36</v>
      </c>
      <c r="G73" s="2">
        <v>36851</v>
      </c>
    </row>
    <row r="74" spans="1:7" ht="14.25" customHeight="1" x14ac:dyDescent="0.3">
      <c r="A74" s="3">
        <v>45572</v>
      </c>
      <c r="B74" s="2" t="s">
        <v>31</v>
      </c>
      <c r="C74" s="2">
        <v>1939</v>
      </c>
      <c r="D74" s="2">
        <v>67</v>
      </c>
      <c r="E74" s="2">
        <v>187183</v>
      </c>
      <c r="F74" s="2">
        <v>6.25</v>
      </c>
      <c r="G74" s="2">
        <v>41215</v>
      </c>
    </row>
    <row r="75" spans="1:7" ht="14.25" customHeight="1" x14ac:dyDescent="0.3">
      <c r="A75" s="3">
        <v>45572</v>
      </c>
      <c r="B75" s="2" t="s">
        <v>40</v>
      </c>
      <c r="C75" s="2">
        <v>1929</v>
      </c>
      <c r="D75" s="2">
        <v>267</v>
      </c>
      <c r="E75" s="2">
        <v>379363</v>
      </c>
      <c r="F75" s="2">
        <v>1.75</v>
      </c>
      <c r="G75" s="2">
        <v>43836</v>
      </c>
    </row>
    <row r="76" spans="1:7" ht="14.25" customHeight="1" x14ac:dyDescent="0.3">
      <c r="A76" s="3">
        <v>45572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2">
        <v>4509</v>
      </c>
    </row>
    <row r="77" spans="1:7" ht="14.25" customHeight="1" x14ac:dyDescent="0.3">
      <c r="A77" s="3">
        <v>45572</v>
      </c>
      <c r="B77" s="2" t="s">
        <v>27</v>
      </c>
      <c r="C77" s="2">
        <v>307</v>
      </c>
      <c r="D77" s="2">
        <v>189</v>
      </c>
      <c r="E77" s="2">
        <v>117767</v>
      </c>
      <c r="F77" s="2">
        <v>9.3000000000000007</v>
      </c>
      <c r="G77" s="2">
        <v>27822</v>
      </c>
    </row>
    <row r="78" spans="1:7" ht="14.25" customHeight="1" x14ac:dyDescent="0.3">
      <c r="A78" s="3">
        <v>45579</v>
      </c>
      <c r="B78" s="2" t="s">
        <v>31</v>
      </c>
      <c r="C78" s="2">
        <v>1527</v>
      </c>
      <c r="D78" s="2">
        <v>303</v>
      </c>
      <c r="E78" s="2">
        <v>388555</v>
      </c>
      <c r="F78" s="2">
        <v>8.9</v>
      </c>
      <c r="G78" s="2">
        <v>36397</v>
      </c>
    </row>
    <row r="79" spans="1:7" ht="14.25" customHeight="1" x14ac:dyDescent="0.3">
      <c r="A79" s="3">
        <v>45579</v>
      </c>
      <c r="B79" s="2" t="s">
        <v>40</v>
      </c>
      <c r="C79" s="2">
        <v>643</v>
      </c>
      <c r="D79" s="2">
        <v>358</v>
      </c>
      <c r="E79" s="2">
        <v>157599</v>
      </c>
      <c r="F79" s="2">
        <v>3.88</v>
      </c>
      <c r="G79" s="2">
        <v>7285</v>
      </c>
    </row>
    <row r="80" spans="1:7" ht="14.25" customHeight="1" x14ac:dyDescent="0.3">
      <c r="A80" s="3">
        <v>45579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2">
        <v>33174</v>
      </c>
    </row>
    <row r="81" spans="1:7" ht="14.25" customHeight="1" x14ac:dyDescent="0.3">
      <c r="A81" s="3">
        <v>45579</v>
      </c>
      <c r="B81" s="2" t="s">
        <v>27</v>
      </c>
      <c r="C81" s="2">
        <v>414</v>
      </c>
      <c r="D81" s="2">
        <v>47</v>
      </c>
      <c r="E81" s="2">
        <v>199178</v>
      </c>
      <c r="F81" s="2">
        <v>1.53</v>
      </c>
      <c r="G81" s="2">
        <v>6742</v>
      </c>
    </row>
    <row r="82" spans="1:7" ht="14.25" customHeight="1" x14ac:dyDescent="0.3">
      <c r="A82" s="3">
        <v>45586</v>
      </c>
      <c r="B82" s="2" t="s">
        <v>31</v>
      </c>
      <c r="C82" s="2">
        <v>703</v>
      </c>
      <c r="D82" s="2">
        <v>441</v>
      </c>
      <c r="E82" s="2">
        <v>357089</v>
      </c>
      <c r="F82" s="2">
        <v>6.5</v>
      </c>
      <c r="G82" s="2">
        <v>32478</v>
      </c>
    </row>
    <row r="83" spans="1:7" ht="14.25" customHeight="1" x14ac:dyDescent="0.3">
      <c r="A83" s="3">
        <v>45586</v>
      </c>
      <c r="B83" s="2" t="s">
        <v>40</v>
      </c>
      <c r="C83" s="2">
        <v>508</v>
      </c>
      <c r="D83" s="2">
        <v>69</v>
      </c>
      <c r="E83" s="2">
        <v>23492</v>
      </c>
      <c r="F83" s="2">
        <v>3.16</v>
      </c>
      <c r="G83" s="2">
        <v>42824</v>
      </c>
    </row>
    <row r="84" spans="1:7" ht="14.25" customHeight="1" x14ac:dyDescent="0.3">
      <c r="A84" s="3">
        <v>45586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2">
        <v>21208</v>
      </c>
    </row>
    <row r="85" spans="1:7" ht="14.25" customHeight="1" x14ac:dyDescent="0.3">
      <c r="A85" s="3">
        <v>45586</v>
      </c>
      <c r="B85" s="2" t="s">
        <v>27</v>
      </c>
      <c r="C85" s="2">
        <v>1707</v>
      </c>
      <c r="D85" s="2">
        <v>223</v>
      </c>
      <c r="E85" s="2">
        <v>256910</v>
      </c>
      <c r="F85" s="2">
        <v>5.41</v>
      </c>
      <c r="G85" s="2">
        <v>44321</v>
      </c>
    </row>
    <row r="86" spans="1:7" ht="14.25" customHeight="1" x14ac:dyDescent="0.3">
      <c r="A86" s="3">
        <v>45593</v>
      </c>
      <c r="B86" s="2" t="s">
        <v>31</v>
      </c>
      <c r="C86" s="2">
        <v>642</v>
      </c>
      <c r="D86" s="2">
        <v>66</v>
      </c>
      <c r="E86" s="2">
        <v>346522</v>
      </c>
      <c r="F86" s="2">
        <v>5.85</v>
      </c>
      <c r="G86" s="2">
        <v>13116</v>
      </c>
    </row>
    <row r="87" spans="1:7" ht="14.25" customHeight="1" x14ac:dyDescent="0.3">
      <c r="A87" s="3">
        <v>45593</v>
      </c>
      <c r="B87" s="2" t="s">
        <v>40</v>
      </c>
      <c r="C87" s="2">
        <v>859</v>
      </c>
      <c r="D87" s="2">
        <v>473</v>
      </c>
      <c r="E87" s="2">
        <v>209987</v>
      </c>
      <c r="F87" s="2">
        <v>4.46</v>
      </c>
      <c r="G87" s="2">
        <v>30214</v>
      </c>
    </row>
    <row r="88" spans="1:7" ht="14.25" customHeight="1" x14ac:dyDescent="0.3">
      <c r="A88" s="3">
        <v>45593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2">
        <v>15827</v>
      </c>
    </row>
    <row r="89" spans="1:7" ht="14.25" customHeight="1" x14ac:dyDescent="0.3">
      <c r="A89" s="3">
        <v>45593</v>
      </c>
      <c r="B89" s="2" t="s">
        <v>27</v>
      </c>
      <c r="C89" s="2">
        <v>1814</v>
      </c>
      <c r="D89" s="2">
        <v>157</v>
      </c>
      <c r="E89" s="2">
        <v>305827</v>
      </c>
      <c r="F89" s="2">
        <v>1.99</v>
      </c>
      <c r="G89" s="2">
        <v>46643</v>
      </c>
    </row>
    <row r="90" spans="1:7" ht="14.25" customHeight="1" x14ac:dyDescent="0.3">
      <c r="A90" s="3">
        <v>45600</v>
      </c>
      <c r="B90" s="2" t="s">
        <v>31</v>
      </c>
      <c r="C90" s="2">
        <v>1466</v>
      </c>
      <c r="D90" s="2">
        <v>69</v>
      </c>
      <c r="E90" s="2">
        <v>54935</v>
      </c>
      <c r="F90" s="2">
        <v>6.85</v>
      </c>
      <c r="G90" s="2">
        <v>36484</v>
      </c>
    </row>
    <row r="91" spans="1:7" ht="14.25" customHeight="1" x14ac:dyDescent="0.3">
      <c r="A91" s="3">
        <v>45600</v>
      </c>
      <c r="B91" s="2" t="s">
        <v>40</v>
      </c>
      <c r="C91" s="2">
        <v>947</v>
      </c>
      <c r="D91" s="2">
        <v>407</v>
      </c>
      <c r="E91" s="2">
        <v>319186</v>
      </c>
      <c r="F91" s="2">
        <v>3.32</v>
      </c>
      <c r="G91" s="2">
        <v>4996</v>
      </c>
    </row>
    <row r="92" spans="1:7" ht="14.25" customHeight="1" x14ac:dyDescent="0.3">
      <c r="A92" s="3">
        <v>45600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2">
        <v>36095</v>
      </c>
    </row>
    <row r="93" spans="1:7" ht="14.25" customHeight="1" x14ac:dyDescent="0.3">
      <c r="A93" s="3">
        <v>45600</v>
      </c>
      <c r="B93" s="2" t="s">
        <v>27</v>
      </c>
      <c r="C93" s="2">
        <v>1507</v>
      </c>
      <c r="D93" s="2">
        <v>463</v>
      </c>
      <c r="E93" s="2">
        <v>258944</v>
      </c>
      <c r="F93" s="2">
        <v>6.08</v>
      </c>
      <c r="G93" s="2">
        <v>16443</v>
      </c>
    </row>
    <row r="94" spans="1:7" ht="14.25" customHeight="1" x14ac:dyDescent="0.3">
      <c r="A94" s="3">
        <v>45607</v>
      </c>
      <c r="B94" s="2" t="s">
        <v>31</v>
      </c>
      <c r="C94" s="2">
        <v>1075</v>
      </c>
      <c r="D94" s="2">
        <v>173</v>
      </c>
      <c r="E94" s="2">
        <v>51395</v>
      </c>
      <c r="F94" s="2">
        <v>4.66</v>
      </c>
      <c r="G94" s="2">
        <v>47812</v>
      </c>
    </row>
    <row r="95" spans="1:7" ht="14.25" customHeight="1" x14ac:dyDescent="0.3">
      <c r="A95" s="3">
        <v>45607</v>
      </c>
      <c r="B95" s="2" t="s">
        <v>40</v>
      </c>
      <c r="C95" s="2">
        <v>171</v>
      </c>
      <c r="D95" s="2">
        <v>277</v>
      </c>
      <c r="E95" s="2">
        <v>309483</v>
      </c>
      <c r="F95" s="2">
        <v>8.6999999999999993</v>
      </c>
      <c r="G95" s="2">
        <v>38452</v>
      </c>
    </row>
    <row r="96" spans="1:7" ht="14.25" customHeight="1" x14ac:dyDescent="0.3">
      <c r="A96" s="3">
        <v>45607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2">
        <v>30428</v>
      </c>
    </row>
    <row r="97" spans="1:7" ht="14.25" customHeight="1" x14ac:dyDescent="0.3">
      <c r="A97" s="3">
        <v>45607</v>
      </c>
      <c r="B97" s="2" t="s">
        <v>27</v>
      </c>
      <c r="C97" s="2">
        <v>454</v>
      </c>
      <c r="D97" s="2">
        <v>105</v>
      </c>
      <c r="E97" s="2">
        <v>121091</v>
      </c>
      <c r="F97" s="2">
        <v>7.97</v>
      </c>
      <c r="G97" s="2">
        <v>9269</v>
      </c>
    </row>
    <row r="98" spans="1:7" ht="14.25" customHeight="1" x14ac:dyDescent="0.3">
      <c r="A98" s="3">
        <v>45614</v>
      </c>
      <c r="B98" s="2" t="s">
        <v>31</v>
      </c>
      <c r="C98" s="2">
        <v>187</v>
      </c>
      <c r="D98" s="2">
        <v>236</v>
      </c>
      <c r="E98" s="2">
        <v>51087</v>
      </c>
      <c r="F98" s="2">
        <v>9.41</v>
      </c>
      <c r="G98" s="2">
        <v>29533</v>
      </c>
    </row>
    <row r="99" spans="1:7" ht="14.25" customHeight="1" x14ac:dyDescent="0.3">
      <c r="A99" s="3">
        <v>45614</v>
      </c>
      <c r="B99" s="2" t="s">
        <v>40</v>
      </c>
      <c r="C99" s="2">
        <v>513</v>
      </c>
      <c r="D99" s="2">
        <v>441</v>
      </c>
      <c r="E99" s="2">
        <v>338847</v>
      </c>
      <c r="F99" s="2">
        <v>2.68</v>
      </c>
      <c r="G99" s="2">
        <v>39997</v>
      </c>
    </row>
    <row r="100" spans="1:7" ht="14.25" customHeight="1" x14ac:dyDescent="0.3">
      <c r="A100" s="3">
        <v>45614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2">
        <v>5391</v>
      </c>
    </row>
    <row r="101" spans="1:7" ht="14.25" customHeight="1" x14ac:dyDescent="0.3">
      <c r="A101" s="3">
        <v>45614</v>
      </c>
      <c r="B101" s="2" t="s">
        <v>27</v>
      </c>
      <c r="C101" s="2">
        <v>278</v>
      </c>
      <c r="D101" s="2">
        <v>218</v>
      </c>
      <c r="E101" s="2">
        <v>301695</v>
      </c>
      <c r="F101" s="2">
        <v>4.68</v>
      </c>
      <c r="G101" s="2">
        <v>22373</v>
      </c>
    </row>
    <row r="102" spans="1:7" ht="14.25" customHeight="1" x14ac:dyDescent="0.3">
      <c r="A102" s="3">
        <v>45621</v>
      </c>
      <c r="B102" s="2" t="s">
        <v>31</v>
      </c>
      <c r="C102" s="2">
        <v>1854</v>
      </c>
      <c r="D102" s="2">
        <v>161</v>
      </c>
      <c r="E102" s="2">
        <v>282466</v>
      </c>
      <c r="F102" s="2">
        <v>5.17</v>
      </c>
      <c r="G102" s="2">
        <v>1810</v>
      </c>
    </row>
    <row r="103" spans="1:7" ht="14.25" customHeight="1" x14ac:dyDescent="0.3">
      <c r="A103" s="3">
        <v>45621</v>
      </c>
      <c r="B103" s="2" t="s">
        <v>40</v>
      </c>
      <c r="C103" s="2">
        <v>1710</v>
      </c>
      <c r="D103" s="2">
        <v>378</v>
      </c>
      <c r="E103" s="2">
        <v>336661</v>
      </c>
      <c r="F103" s="2">
        <v>6.2</v>
      </c>
      <c r="G103" s="2">
        <v>28498</v>
      </c>
    </row>
    <row r="104" spans="1:7" ht="14.25" customHeight="1" x14ac:dyDescent="0.3">
      <c r="A104" s="3">
        <v>45621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2">
        <v>39530</v>
      </c>
    </row>
    <row r="105" spans="1:7" ht="14.25" customHeight="1" x14ac:dyDescent="0.3">
      <c r="A105" s="3">
        <v>45621</v>
      </c>
      <c r="B105" s="2" t="s">
        <v>27</v>
      </c>
      <c r="C105" s="2">
        <v>1293</v>
      </c>
      <c r="D105" s="2">
        <v>408</v>
      </c>
      <c r="E105" s="2">
        <v>62535</v>
      </c>
      <c r="F105" s="2">
        <v>8.9</v>
      </c>
      <c r="G105" s="2">
        <v>37876</v>
      </c>
    </row>
    <row r="106" spans="1:7" ht="14.25" customHeight="1" x14ac:dyDescent="0.3">
      <c r="A106" s="3">
        <v>45628</v>
      </c>
      <c r="B106" s="2" t="s">
        <v>31</v>
      </c>
      <c r="C106" s="2">
        <v>1696</v>
      </c>
      <c r="D106" s="2">
        <v>71</v>
      </c>
      <c r="E106" s="2">
        <v>421957</v>
      </c>
      <c r="F106" s="2">
        <v>3.79</v>
      </c>
      <c r="G106" s="2">
        <v>36103</v>
      </c>
    </row>
    <row r="107" spans="1:7" ht="14.25" customHeight="1" x14ac:dyDescent="0.3">
      <c r="A107" s="3">
        <v>45628</v>
      </c>
      <c r="B107" s="2" t="s">
        <v>40</v>
      </c>
      <c r="C107" s="2">
        <v>1902</v>
      </c>
      <c r="D107" s="2">
        <v>196</v>
      </c>
      <c r="E107" s="2">
        <v>470269</v>
      </c>
      <c r="F107" s="2">
        <v>4.79</v>
      </c>
      <c r="G107" s="2">
        <v>26103</v>
      </c>
    </row>
    <row r="108" spans="1:7" ht="14.25" customHeight="1" x14ac:dyDescent="0.3">
      <c r="A108" s="3">
        <v>45628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2">
        <v>3455</v>
      </c>
    </row>
    <row r="109" spans="1:7" ht="14.25" customHeight="1" x14ac:dyDescent="0.3">
      <c r="A109" s="3">
        <v>45628</v>
      </c>
      <c r="B109" s="2" t="s">
        <v>27</v>
      </c>
      <c r="C109" s="2">
        <v>452</v>
      </c>
      <c r="D109" s="2">
        <v>161</v>
      </c>
      <c r="E109" s="2">
        <v>221274</v>
      </c>
      <c r="F109" s="2">
        <v>2.65</v>
      </c>
      <c r="G109" s="2">
        <v>40888</v>
      </c>
    </row>
    <row r="110" spans="1:7" ht="14.25" customHeight="1" x14ac:dyDescent="0.3">
      <c r="A110" s="3">
        <v>45635</v>
      </c>
      <c r="B110" s="2" t="s">
        <v>31</v>
      </c>
      <c r="C110" s="2">
        <v>1494</v>
      </c>
      <c r="D110" s="2">
        <v>375</v>
      </c>
      <c r="E110" s="2">
        <v>220616</v>
      </c>
      <c r="F110" s="2">
        <v>1.81</v>
      </c>
      <c r="G110" s="2">
        <v>22724</v>
      </c>
    </row>
    <row r="111" spans="1:7" ht="14.25" customHeight="1" x14ac:dyDescent="0.3">
      <c r="A111" s="3">
        <v>45635</v>
      </c>
      <c r="B111" s="2" t="s">
        <v>40</v>
      </c>
      <c r="C111" s="2">
        <v>1514</v>
      </c>
      <c r="D111" s="2">
        <v>141</v>
      </c>
      <c r="E111" s="2">
        <v>35842</v>
      </c>
      <c r="F111" s="2">
        <v>7.47</v>
      </c>
      <c r="G111" s="2">
        <v>18601</v>
      </c>
    </row>
    <row r="112" spans="1:7" ht="14.25" customHeight="1" x14ac:dyDescent="0.3">
      <c r="A112" s="3">
        <v>45635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2">
        <v>20861</v>
      </c>
    </row>
    <row r="113" spans="1:7" ht="14.25" customHeight="1" x14ac:dyDescent="0.3">
      <c r="A113" s="3">
        <v>45635</v>
      </c>
      <c r="B113" s="2" t="s">
        <v>27</v>
      </c>
      <c r="C113" s="2">
        <v>736</v>
      </c>
      <c r="D113" s="2">
        <v>163</v>
      </c>
      <c r="E113" s="2">
        <v>451894</v>
      </c>
      <c r="F113" s="2">
        <v>5.43</v>
      </c>
      <c r="G113" s="2">
        <v>46625</v>
      </c>
    </row>
    <row r="114" spans="1:7" ht="14.25" customHeight="1" x14ac:dyDescent="0.3">
      <c r="A114" s="3">
        <v>45642</v>
      </c>
      <c r="B114" s="2" t="s">
        <v>31</v>
      </c>
      <c r="C114" s="2">
        <v>1502</v>
      </c>
      <c r="D114" s="2">
        <v>70</v>
      </c>
      <c r="E114" s="2">
        <v>465553</v>
      </c>
      <c r="F114" s="2">
        <v>3.32</v>
      </c>
      <c r="G114" s="2">
        <v>20692</v>
      </c>
    </row>
    <row r="115" spans="1:7" ht="14.25" customHeight="1" x14ac:dyDescent="0.3">
      <c r="A115" s="3">
        <v>45642</v>
      </c>
      <c r="B115" s="2" t="s">
        <v>40</v>
      </c>
      <c r="C115" s="2">
        <v>1623</v>
      </c>
      <c r="D115" s="2">
        <v>246</v>
      </c>
      <c r="E115" s="2">
        <v>415815</v>
      </c>
      <c r="F115" s="2">
        <v>8.11</v>
      </c>
      <c r="G115" s="2">
        <v>18656</v>
      </c>
    </row>
    <row r="116" spans="1:7" ht="14.25" customHeight="1" x14ac:dyDescent="0.3">
      <c r="A116" s="3">
        <v>45642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2">
        <v>13316</v>
      </c>
    </row>
    <row r="117" spans="1:7" ht="14.25" customHeight="1" x14ac:dyDescent="0.3">
      <c r="A117" s="3">
        <v>45642</v>
      </c>
      <c r="B117" s="2" t="s">
        <v>27</v>
      </c>
      <c r="C117" s="2">
        <v>1004</v>
      </c>
      <c r="D117" s="2">
        <v>128</v>
      </c>
      <c r="E117" s="2">
        <v>488901</v>
      </c>
      <c r="F117" s="2">
        <v>8.09</v>
      </c>
      <c r="G117" s="2">
        <v>49558</v>
      </c>
    </row>
    <row r="118" spans="1:7" ht="14.25" customHeight="1" x14ac:dyDescent="0.3">
      <c r="A118" s="3">
        <v>45649</v>
      </c>
      <c r="B118" s="2" t="s">
        <v>31</v>
      </c>
      <c r="C118" s="2">
        <v>1092</v>
      </c>
      <c r="D118" s="2">
        <v>408</v>
      </c>
      <c r="E118" s="2">
        <v>280795</v>
      </c>
      <c r="F118" s="2">
        <v>8.44</v>
      </c>
      <c r="G118" s="2">
        <v>4683</v>
      </c>
    </row>
    <row r="119" spans="1:7" ht="14.25" customHeight="1" x14ac:dyDescent="0.3">
      <c r="A119" s="3">
        <v>45649</v>
      </c>
      <c r="B119" s="2" t="s">
        <v>40</v>
      </c>
      <c r="C119" s="2">
        <v>1155</v>
      </c>
      <c r="D119" s="2">
        <v>425</v>
      </c>
      <c r="E119" s="2">
        <v>93347</v>
      </c>
      <c r="F119" s="2">
        <v>2.02</v>
      </c>
      <c r="G119" s="2">
        <v>47502</v>
      </c>
    </row>
    <row r="120" spans="1:7" ht="14.25" customHeight="1" x14ac:dyDescent="0.3">
      <c r="A120" s="3">
        <v>45649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2">
        <v>35359</v>
      </c>
    </row>
    <row r="121" spans="1:7" ht="14.25" customHeight="1" x14ac:dyDescent="0.3">
      <c r="A121" s="3">
        <v>45649</v>
      </c>
      <c r="B121" s="2" t="s">
        <v>27</v>
      </c>
      <c r="C121" s="2">
        <v>1900</v>
      </c>
      <c r="D121" s="2">
        <v>311</v>
      </c>
      <c r="E121" s="2">
        <v>25177</v>
      </c>
      <c r="F121" s="2">
        <v>2.89</v>
      </c>
      <c r="G121" s="2">
        <v>14154</v>
      </c>
    </row>
    <row r="122" spans="1:7" ht="14.25" customHeight="1" x14ac:dyDescent="0.3">
      <c r="A122" s="3">
        <v>45656</v>
      </c>
      <c r="B122" s="2" t="s">
        <v>31</v>
      </c>
      <c r="C122" s="2">
        <v>1814</v>
      </c>
      <c r="D122" s="2">
        <v>49</v>
      </c>
      <c r="E122" s="2">
        <v>140804</v>
      </c>
      <c r="F122" s="2">
        <v>1.76</v>
      </c>
      <c r="G122" s="2">
        <v>4313</v>
      </c>
    </row>
    <row r="123" spans="1:7" ht="14.25" customHeight="1" x14ac:dyDescent="0.3">
      <c r="A123" s="3">
        <v>45656</v>
      </c>
      <c r="B123" s="2" t="s">
        <v>40</v>
      </c>
      <c r="C123" s="2">
        <v>1980</v>
      </c>
      <c r="D123" s="2">
        <v>204</v>
      </c>
      <c r="E123" s="2">
        <v>379431</v>
      </c>
      <c r="F123" s="2">
        <v>3.09</v>
      </c>
      <c r="G123" s="2">
        <v>25140</v>
      </c>
    </row>
    <row r="124" spans="1:7" ht="14.25" customHeight="1" x14ac:dyDescent="0.3">
      <c r="A124" s="3">
        <v>45656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2">
        <v>9118</v>
      </c>
    </row>
    <row r="125" spans="1:7" ht="14.25" customHeight="1" x14ac:dyDescent="0.3">
      <c r="A125" s="3">
        <v>45656</v>
      </c>
      <c r="B125" s="2" t="s">
        <v>27</v>
      </c>
      <c r="C125" s="2">
        <v>1495</v>
      </c>
      <c r="D125" s="2">
        <v>35</v>
      </c>
      <c r="E125" s="2">
        <v>136845</v>
      </c>
      <c r="F125" s="2">
        <v>4.4800000000000004</v>
      </c>
      <c r="G125" s="2">
        <v>39931</v>
      </c>
    </row>
    <row r="126" spans="1:7" ht="14.25" customHeight="1" x14ac:dyDescent="0.3">
      <c r="A126" s="3">
        <v>45663</v>
      </c>
      <c r="B126" s="2" t="s">
        <v>31</v>
      </c>
      <c r="C126" s="2">
        <v>1013</v>
      </c>
      <c r="D126" s="2">
        <v>110</v>
      </c>
      <c r="E126" s="2">
        <v>466382</v>
      </c>
      <c r="F126" s="2">
        <v>5.3</v>
      </c>
      <c r="G126" s="2">
        <v>37132</v>
      </c>
    </row>
    <row r="127" spans="1:7" ht="14.25" customHeight="1" x14ac:dyDescent="0.3">
      <c r="A127" s="3">
        <v>45663</v>
      </c>
      <c r="B127" s="2" t="s">
        <v>40</v>
      </c>
      <c r="C127" s="2">
        <v>816</v>
      </c>
      <c r="D127" s="2">
        <v>196</v>
      </c>
      <c r="E127" s="2">
        <v>95728</v>
      </c>
      <c r="F127" s="2">
        <v>8.1999999999999993</v>
      </c>
      <c r="G127" s="2">
        <v>17951</v>
      </c>
    </row>
    <row r="128" spans="1:7" ht="14.25" customHeight="1" x14ac:dyDescent="0.3">
      <c r="A128" s="3">
        <v>45663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2">
        <v>2798</v>
      </c>
    </row>
    <row r="129" spans="1:7" ht="14.25" customHeight="1" x14ac:dyDescent="0.3">
      <c r="A129" s="3">
        <v>45663</v>
      </c>
      <c r="B129" s="2" t="s">
        <v>27</v>
      </c>
      <c r="C129" s="2">
        <v>891</v>
      </c>
      <c r="D129" s="2">
        <v>45</v>
      </c>
      <c r="E129" s="2">
        <v>95410</v>
      </c>
      <c r="F129" s="2">
        <v>8.33</v>
      </c>
      <c r="G129" s="2">
        <v>15045</v>
      </c>
    </row>
    <row r="130" spans="1:7" ht="14.25" customHeight="1" x14ac:dyDescent="0.3">
      <c r="A130" s="3">
        <v>45670</v>
      </c>
      <c r="B130" s="2" t="s">
        <v>31</v>
      </c>
      <c r="C130" s="2">
        <v>1855</v>
      </c>
      <c r="D130" s="2">
        <v>133</v>
      </c>
      <c r="E130" s="2">
        <v>349413</v>
      </c>
      <c r="F130" s="2">
        <v>3.3</v>
      </c>
      <c r="G130" s="2">
        <v>14548</v>
      </c>
    </row>
    <row r="131" spans="1:7" ht="14.25" customHeight="1" x14ac:dyDescent="0.3">
      <c r="A131" s="3">
        <v>45670</v>
      </c>
      <c r="B131" s="2" t="s">
        <v>40</v>
      </c>
      <c r="C131" s="2">
        <v>651</v>
      </c>
      <c r="D131" s="2">
        <v>353</v>
      </c>
      <c r="E131" s="2">
        <v>224699</v>
      </c>
      <c r="F131" s="2">
        <v>5.61</v>
      </c>
      <c r="G131" s="2">
        <v>45708</v>
      </c>
    </row>
    <row r="132" spans="1:7" ht="14.25" customHeight="1" x14ac:dyDescent="0.3">
      <c r="A132" s="3">
        <v>45670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2">
        <v>12350</v>
      </c>
    </row>
    <row r="133" spans="1:7" ht="14.25" customHeight="1" x14ac:dyDescent="0.3">
      <c r="A133" s="3">
        <v>45670</v>
      </c>
      <c r="B133" s="2" t="s">
        <v>27</v>
      </c>
      <c r="C133" s="2">
        <v>1331</v>
      </c>
      <c r="D133" s="2">
        <v>430</v>
      </c>
      <c r="E133" s="2">
        <v>14437</v>
      </c>
      <c r="F133" s="2">
        <v>3.29</v>
      </c>
      <c r="G133" s="2">
        <v>40868</v>
      </c>
    </row>
    <row r="134" spans="1:7" ht="14.25" customHeight="1" x14ac:dyDescent="0.3">
      <c r="A134" s="3">
        <v>45677</v>
      </c>
      <c r="B134" s="2" t="s">
        <v>31</v>
      </c>
      <c r="C134" s="2">
        <v>1748</v>
      </c>
      <c r="D134" s="2">
        <v>176</v>
      </c>
      <c r="E134" s="2">
        <v>383681</v>
      </c>
      <c r="F134" s="2">
        <v>9.24</v>
      </c>
      <c r="G134" s="2">
        <v>43122</v>
      </c>
    </row>
    <row r="135" spans="1:7" ht="14.25" customHeight="1" x14ac:dyDescent="0.3">
      <c r="A135" s="3">
        <v>45677</v>
      </c>
      <c r="B135" s="2" t="s">
        <v>40</v>
      </c>
      <c r="C135" s="2">
        <v>663</v>
      </c>
      <c r="D135" s="2">
        <v>236</v>
      </c>
      <c r="E135" s="2">
        <v>479490</v>
      </c>
      <c r="F135" s="2">
        <v>4.51</v>
      </c>
      <c r="G135" s="2">
        <v>23853</v>
      </c>
    </row>
    <row r="136" spans="1:7" ht="14.25" customHeight="1" x14ac:dyDescent="0.3">
      <c r="A136" s="3">
        <v>45677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2">
        <v>45380</v>
      </c>
    </row>
    <row r="137" spans="1:7" ht="14.25" customHeight="1" x14ac:dyDescent="0.3">
      <c r="A137" s="3">
        <v>45677</v>
      </c>
      <c r="B137" s="2" t="s">
        <v>27</v>
      </c>
      <c r="C137" s="2">
        <v>1166</v>
      </c>
      <c r="D137" s="2">
        <v>442</v>
      </c>
      <c r="E137" s="2">
        <v>336949</v>
      </c>
      <c r="F137" s="2">
        <v>4.68</v>
      </c>
      <c r="G137" s="2">
        <v>7705</v>
      </c>
    </row>
    <row r="138" spans="1:7" ht="14.25" customHeight="1" x14ac:dyDescent="0.3">
      <c r="A138" s="3">
        <v>45684</v>
      </c>
      <c r="B138" s="2" t="s">
        <v>31</v>
      </c>
      <c r="C138" s="2">
        <v>115</v>
      </c>
      <c r="D138" s="2">
        <v>281</v>
      </c>
      <c r="E138" s="2">
        <v>357265</v>
      </c>
      <c r="F138" s="2">
        <v>9.23</v>
      </c>
      <c r="G138" s="2">
        <v>25525</v>
      </c>
    </row>
    <row r="139" spans="1:7" ht="14.25" customHeight="1" x14ac:dyDescent="0.3">
      <c r="A139" s="3">
        <v>45684</v>
      </c>
      <c r="B139" s="2" t="s">
        <v>40</v>
      </c>
      <c r="C139" s="2">
        <v>1249</v>
      </c>
      <c r="D139" s="2">
        <v>351</v>
      </c>
      <c r="E139" s="2">
        <v>321307</v>
      </c>
      <c r="F139" s="2">
        <v>6.37</v>
      </c>
      <c r="G139" s="2">
        <v>20560</v>
      </c>
    </row>
    <row r="140" spans="1:7" ht="14.25" customHeight="1" x14ac:dyDescent="0.3">
      <c r="A140" s="3">
        <v>45684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2">
        <v>19119</v>
      </c>
    </row>
    <row r="141" spans="1:7" ht="14.25" customHeight="1" x14ac:dyDescent="0.3">
      <c r="A141" s="3">
        <v>45684</v>
      </c>
      <c r="B141" s="2" t="s">
        <v>27</v>
      </c>
      <c r="C141" s="2">
        <v>1411</v>
      </c>
      <c r="D141" s="2">
        <v>186</v>
      </c>
      <c r="E141" s="2">
        <v>461669</v>
      </c>
      <c r="F141" s="2">
        <v>3.72</v>
      </c>
      <c r="G141" s="2">
        <v>43999</v>
      </c>
    </row>
    <row r="142" spans="1:7" ht="14.25" customHeight="1" x14ac:dyDescent="0.3">
      <c r="A142" s="3">
        <v>45691</v>
      </c>
      <c r="B142" s="2" t="s">
        <v>31</v>
      </c>
      <c r="C142" s="2">
        <v>1556</v>
      </c>
      <c r="D142" s="2">
        <v>476</v>
      </c>
      <c r="E142" s="2">
        <v>351556</v>
      </c>
      <c r="F142" s="2">
        <v>3.89</v>
      </c>
      <c r="G142" s="2">
        <v>10825</v>
      </c>
    </row>
    <row r="143" spans="1:7" ht="14.25" customHeight="1" x14ac:dyDescent="0.3">
      <c r="A143" s="3">
        <v>45691</v>
      </c>
      <c r="B143" s="2" t="s">
        <v>40</v>
      </c>
      <c r="C143" s="2">
        <v>1159</v>
      </c>
      <c r="D143" s="2">
        <v>411</v>
      </c>
      <c r="E143" s="2">
        <v>135987</v>
      </c>
      <c r="F143" s="2">
        <v>8.6999999999999993</v>
      </c>
      <c r="G143" s="2">
        <v>40323</v>
      </c>
    </row>
    <row r="144" spans="1:7" ht="14.25" customHeight="1" x14ac:dyDescent="0.3">
      <c r="A144" s="3">
        <v>45691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2">
        <v>48270</v>
      </c>
    </row>
    <row r="145" spans="1:7" ht="14.25" customHeight="1" x14ac:dyDescent="0.3">
      <c r="A145" s="3">
        <v>45691</v>
      </c>
      <c r="B145" s="2" t="s">
        <v>27</v>
      </c>
      <c r="C145" s="2">
        <v>152</v>
      </c>
      <c r="D145" s="2">
        <v>355</v>
      </c>
      <c r="E145" s="2">
        <v>270766</v>
      </c>
      <c r="F145" s="2">
        <v>9.48</v>
      </c>
      <c r="G145" s="2">
        <v>18001</v>
      </c>
    </row>
    <row r="146" spans="1:7" ht="14.25" customHeight="1" x14ac:dyDescent="0.3">
      <c r="A146" s="3">
        <v>45698</v>
      </c>
      <c r="B146" s="2" t="s">
        <v>31</v>
      </c>
      <c r="C146" s="2">
        <v>1957</v>
      </c>
      <c r="D146" s="2">
        <v>234</v>
      </c>
      <c r="E146" s="2">
        <v>222126</v>
      </c>
      <c r="F146" s="2">
        <v>4.6100000000000003</v>
      </c>
      <c r="G146" s="2">
        <v>3314</v>
      </c>
    </row>
    <row r="147" spans="1:7" ht="14.25" customHeight="1" x14ac:dyDescent="0.3">
      <c r="A147" s="3">
        <v>45698</v>
      </c>
      <c r="B147" s="2" t="s">
        <v>40</v>
      </c>
      <c r="C147" s="2">
        <v>1294</v>
      </c>
      <c r="D147" s="2">
        <v>382</v>
      </c>
      <c r="E147" s="2">
        <v>309914</v>
      </c>
      <c r="F147" s="2">
        <v>8.0299999999999994</v>
      </c>
      <c r="G147" s="2">
        <v>23489</v>
      </c>
    </row>
    <row r="148" spans="1:7" ht="14.25" customHeight="1" x14ac:dyDescent="0.3">
      <c r="A148" s="3">
        <v>45698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2">
        <v>42832</v>
      </c>
    </row>
    <row r="149" spans="1:7" ht="14.25" customHeight="1" x14ac:dyDescent="0.3">
      <c r="A149" s="3">
        <v>45698</v>
      </c>
      <c r="B149" s="2" t="s">
        <v>27</v>
      </c>
      <c r="C149" s="2">
        <v>1707</v>
      </c>
      <c r="D149" s="2">
        <v>263</v>
      </c>
      <c r="E149" s="2">
        <v>485280</v>
      </c>
      <c r="F149" s="2">
        <v>9.0299999999999994</v>
      </c>
      <c r="G149" s="2">
        <v>24494</v>
      </c>
    </row>
    <row r="150" spans="1:7" ht="14.25" customHeight="1" x14ac:dyDescent="0.3">
      <c r="A150" s="3">
        <v>45705</v>
      </c>
      <c r="B150" s="2" t="s">
        <v>31</v>
      </c>
      <c r="C150" s="2">
        <v>1138</v>
      </c>
      <c r="D150" s="2">
        <v>173</v>
      </c>
      <c r="E150" s="2">
        <v>453243</v>
      </c>
      <c r="F150" s="2">
        <v>2.86</v>
      </c>
      <c r="G150" s="2">
        <v>44097</v>
      </c>
    </row>
    <row r="151" spans="1:7" ht="14.25" customHeight="1" x14ac:dyDescent="0.3">
      <c r="A151" s="3">
        <v>45705</v>
      </c>
      <c r="B151" s="2" t="s">
        <v>40</v>
      </c>
      <c r="C151" s="2">
        <v>1895</v>
      </c>
      <c r="D151" s="2">
        <v>305</v>
      </c>
      <c r="E151" s="2">
        <v>104967</v>
      </c>
      <c r="F151" s="2">
        <v>3.85</v>
      </c>
      <c r="G151" s="2">
        <v>31853</v>
      </c>
    </row>
    <row r="152" spans="1:7" ht="14.25" customHeight="1" x14ac:dyDescent="0.3">
      <c r="A152" s="3">
        <v>45705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2">
        <v>37636</v>
      </c>
    </row>
    <row r="153" spans="1:7" ht="14.25" customHeight="1" x14ac:dyDescent="0.3">
      <c r="A153" s="3">
        <v>45705</v>
      </c>
      <c r="B153" s="2" t="s">
        <v>27</v>
      </c>
      <c r="C153" s="2">
        <v>1662</v>
      </c>
      <c r="D153" s="2">
        <v>487</v>
      </c>
      <c r="E153" s="2">
        <v>105980</v>
      </c>
      <c r="F153" s="2">
        <v>9.08</v>
      </c>
      <c r="G153" s="2">
        <v>22996</v>
      </c>
    </row>
    <row r="154" spans="1:7" ht="14.25" customHeight="1" x14ac:dyDescent="0.3">
      <c r="A154" s="3">
        <v>45712</v>
      </c>
      <c r="B154" s="2" t="s">
        <v>31</v>
      </c>
      <c r="C154" s="2">
        <v>1440</v>
      </c>
      <c r="D154" s="2">
        <v>65</v>
      </c>
      <c r="E154" s="2">
        <v>126524</v>
      </c>
      <c r="F154" s="2">
        <v>4.34</v>
      </c>
      <c r="G154" s="2">
        <v>49772</v>
      </c>
    </row>
    <row r="155" spans="1:7" ht="14.25" customHeight="1" x14ac:dyDescent="0.3">
      <c r="A155" s="3">
        <v>45712</v>
      </c>
      <c r="B155" s="2" t="s">
        <v>40</v>
      </c>
      <c r="C155" s="2">
        <v>1884</v>
      </c>
      <c r="D155" s="2">
        <v>177</v>
      </c>
      <c r="E155" s="2">
        <v>230448</v>
      </c>
      <c r="F155" s="2">
        <v>7.8</v>
      </c>
      <c r="G155" s="2">
        <v>22713</v>
      </c>
    </row>
    <row r="156" spans="1:7" ht="14.25" customHeight="1" x14ac:dyDescent="0.3">
      <c r="A156" s="3">
        <v>45712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2">
        <v>8718</v>
      </c>
    </row>
    <row r="157" spans="1:7" ht="14.25" customHeight="1" x14ac:dyDescent="0.3">
      <c r="A157" s="3">
        <v>45712</v>
      </c>
      <c r="B157" s="2" t="s">
        <v>27</v>
      </c>
      <c r="C157" s="2">
        <v>1063</v>
      </c>
      <c r="D157" s="2">
        <v>47</v>
      </c>
      <c r="E157" s="2">
        <v>464239</v>
      </c>
      <c r="F157" s="2">
        <v>6.58</v>
      </c>
      <c r="G157" s="2">
        <v>39031</v>
      </c>
    </row>
    <row r="158" spans="1:7" ht="14.25" customHeight="1" x14ac:dyDescent="0.3">
      <c r="A158" s="3">
        <v>45719</v>
      </c>
      <c r="B158" s="2" t="s">
        <v>31</v>
      </c>
      <c r="C158" s="2">
        <v>1371</v>
      </c>
      <c r="D158" s="2">
        <v>56</v>
      </c>
      <c r="E158" s="2">
        <v>257579</v>
      </c>
      <c r="F158" s="2">
        <v>8.6199999999999992</v>
      </c>
      <c r="G158" s="2">
        <v>33799</v>
      </c>
    </row>
    <row r="159" spans="1:7" ht="14.25" customHeight="1" x14ac:dyDescent="0.3">
      <c r="A159" s="3">
        <v>45719</v>
      </c>
      <c r="B159" s="2" t="s">
        <v>40</v>
      </c>
      <c r="C159" s="2">
        <v>345</v>
      </c>
      <c r="D159" s="2">
        <v>464</v>
      </c>
      <c r="E159" s="2">
        <v>366881</v>
      </c>
      <c r="F159" s="2">
        <v>4.55</v>
      </c>
      <c r="G159" s="2">
        <v>20553</v>
      </c>
    </row>
    <row r="160" spans="1:7" ht="14.25" customHeight="1" x14ac:dyDescent="0.3">
      <c r="A160" s="3">
        <v>45719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2">
        <v>10002</v>
      </c>
    </row>
    <row r="161" spans="1:7" ht="14.25" customHeight="1" x14ac:dyDescent="0.3">
      <c r="A161" s="3">
        <v>45719</v>
      </c>
      <c r="B161" s="2" t="s">
        <v>27</v>
      </c>
      <c r="C161" s="2">
        <v>510</v>
      </c>
      <c r="D161" s="2">
        <v>195</v>
      </c>
      <c r="E161" s="2">
        <v>224534</v>
      </c>
      <c r="F161" s="2">
        <v>9.4</v>
      </c>
      <c r="G161" s="2">
        <v>30987</v>
      </c>
    </row>
    <row r="162" spans="1:7" ht="14.25" customHeight="1" x14ac:dyDescent="0.3">
      <c r="A162" s="3">
        <v>45726</v>
      </c>
      <c r="B162" s="2" t="s">
        <v>31</v>
      </c>
      <c r="C162" s="2">
        <v>393</v>
      </c>
      <c r="D162" s="2">
        <v>181</v>
      </c>
      <c r="E162" s="2">
        <v>462142</v>
      </c>
      <c r="F162" s="2">
        <v>7.23</v>
      </c>
      <c r="G162" s="2">
        <v>6296</v>
      </c>
    </row>
    <row r="163" spans="1:7" ht="14.25" customHeight="1" x14ac:dyDescent="0.3">
      <c r="A163" s="3">
        <v>45726</v>
      </c>
      <c r="B163" s="2" t="s">
        <v>40</v>
      </c>
      <c r="C163" s="2">
        <v>1098</v>
      </c>
      <c r="D163" s="2">
        <v>190</v>
      </c>
      <c r="E163" s="2">
        <v>340842</v>
      </c>
      <c r="F163" s="2">
        <v>9.39</v>
      </c>
      <c r="G163" s="2">
        <v>21539</v>
      </c>
    </row>
    <row r="164" spans="1:7" ht="14.25" customHeight="1" x14ac:dyDescent="0.3">
      <c r="A164" s="3">
        <v>45726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2">
        <v>14722</v>
      </c>
    </row>
    <row r="165" spans="1:7" ht="14.25" customHeight="1" x14ac:dyDescent="0.3">
      <c r="A165" s="3">
        <v>45726</v>
      </c>
      <c r="B165" s="2" t="s">
        <v>27</v>
      </c>
      <c r="C165" s="2">
        <v>1658</v>
      </c>
      <c r="D165" s="2">
        <v>416</v>
      </c>
      <c r="E165" s="2">
        <v>98397</v>
      </c>
      <c r="F165" s="2">
        <v>6.11</v>
      </c>
      <c r="G165" s="2">
        <v>11383</v>
      </c>
    </row>
    <row r="166" spans="1:7" ht="14.25" customHeight="1" x14ac:dyDescent="0.3">
      <c r="A166" s="3">
        <v>45733</v>
      </c>
      <c r="B166" s="2" t="s">
        <v>31</v>
      </c>
      <c r="C166" s="2">
        <v>1102</v>
      </c>
      <c r="D166" s="2">
        <v>422</v>
      </c>
      <c r="E166" s="2">
        <v>410330</v>
      </c>
      <c r="F166" s="2">
        <v>7.74</v>
      </c>
      <c r="G166" s="2">
        <v>9480</v>
      </c>
    </row>
    <row r="167" spans="1:7" ht="14.25" customHeight="1" x14ac:dyDescent="0.3">
      <c r="A167" s="3">
        <v>45733</v>
      </c>
      <c r="B167" s="2" t="s">
        <v>40</v>
      </c>
      <c r="C167" s="2">
        <v>1358</v>
      </c>
      <c r="D167" s="2">
        <v>242</v>
      </c>
      <c r="E167" s="2">
        <v>342129</v>
      </c>
      <c r="F167" s="2">
        <v>4.9400000000000004</v>
      </c>
      <c r="G167" s="2">
        <v>29116</v>
      </c>
    </row>
    <row r="168" spans="1:7" ht="14.25" customHeight="1" x14ac:dyDescent="0.3">
      <c r="A168" s="3">
        <v>45733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2">
        <v>14068</v>
      </c>
    </row>
    <row r="169" spans="1:7" ht="14.25" customHeight="1" x14ac:dyDescent="0.3">
      <c r="A169" s="3">
        <v>45733</v>
      </c>
      <c r="B169" s="2" t="s">
        <v>27</v>
      </c>
      <c r="C169" s="2">
        <v>1596</v>
      </c>
      <c r="D169" s="2">
        <v>211</v>
      </c>
      <c r="E169" s="2">
        <v>17380</v>
      </c>
      <c r="F169" s="2">
        <v>8.64</v>
      </c>
      <c r="G169" s="2">
        <v>35801</v>
      </c>
    </row>
    <row r="170" spans="1:7" ht="14.25" customHeight="1" x14ac:dyDescent="0.3">
      <c r="A170" s="3">
        <v>45740</v>
      </c>
      <c r="B170" s="2" t="s">
        <v>31</v>
      </c>
      <c r="C170" s="2">
        <v>490</v>
      </c>
      <c r="D170" s="2">
        <v>29</v>
      </c>
      <c r="E170" s="2">
        <v>364810</v>
      </c>
      <c r="F170" s="2">
        <v>1.53</v>
      </c>
      <c r="G170" s="2">
        <v>49077</v>
      </c>
    </row>
    <row r="171" spans="1:7" ht="14.25" customHeight="1" x14ac:dyDescent="0.3">
      <c r="A171" s="3">
        <v>45740</v>
      </c>
      <c r="B171" s="2" t="s">
        <v>40</v>
      </c>
      <c r="C171" s="2">
        <v>609</v>
      </c>
      <c r="D171" s="2">
        <v>135</v>
      </c>
      <c r="E171" s="2">
        <v>373606</v>
      </c>
      <c r="F171" s="2">
        <v>8.52</v>
      </c>
      <c r="G171" s="2">
        <v>21453</v>
      </c>
    </row>
    <row r="172" spans="1:7" ht="14.25" customHeight="1" x14ac:dyDescent="0.3">
      <c r="A172" s="3">
        <v>45740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2">
        <v>21061</v>
      </c>
    </row>
    <row r="173" spans="1:7" ht="14.25" customHeight="1" x14ac:dyDescent="0.3">
      <c r="A173" s="3">
        <v>45740</v>
      </c>
      <c r="B173" s="2" t="s">
        <v>27</v>
      </c>
      <c r="C173" s="2">
        <v>442</v>
      </c>
      <c r="D173" s="2">
        <v>53</v>
      </c>
      <c r="E173" s="2">
        <v>441931</v>
      </c>
      <c r="F173" s="2">
        <v>1.87</v>
      </c>
      <c r="G173" s="2">
        <v>20059</v>
      </c>
    </row>
    <row r="174" spans="1:7" ht="14.25" customHeight="1" x14ac:dyDescent="0.3">
      <c r="A174" s="3">
        <v>45747</v>
      </c>
      <c r="B174" s="2" t="s">
        <v>31</v>
      </c>
      <c r="C174" s="2">
        <v>1033</v>
      </c>
      <c r="D174" s="2">
        <v>392</v>
      </c>
      <c r="E174" s="2">
        <v>282780</v>
      </c>
      <c r="F174" s="2">
        <v>6.27</v>
      </c>
      <c r="G174" s="2">
        <v>23140</v>
      </c>
    </row>
    <row r="175" spans="1:7" ht="14.25" customHeight="1" x14ac:dyDescent="0.3">
      <c r="A175" s="3">
        <v>45747</v>
      </c>
      <c r="B175" s="2" t="s">
        <v>40</v>
      </c>
      <c r="C175" s="2">
        <v>988</v>
      </c>
      <c r="D175" s="2">
        <v>474</v>
      </c>
      <c r="E175" s="2">
        <v>370070</v>
      </c>
      <c r="F175" s="2">
        <v>9.4600000000000009</v>
      </c>
      <c r="G175" s="2">
        <v>23461</v>
      </c>
    </row>
    <row r="176" spans="1:7" ht="14.25" customHeight="1" x14ac:dyDescent="0.3">
      <c r="A176" s="3">
        <v>45747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2">
        <v>11805</v>
      </c>
    </row>
    <row r="177" spans="1:7" ht="14.25" customHeight="1" x14ac:dyDescent="0.3">
      <c r="A177" s="3">
        <v>45747</v>
      </c>
      <c r="B177" s="2" t="s">
        <v>27</v>
      </c>
      <c r="C177" s="2">
        <v>1957</v>
      </c>
      <c r="D177" s="2">
        <v>490</v>
      </c>
      <c r="E177" s="2">
        <v>435726</v>
      </c>
      <c r="F177" s="2">
        <v>4.7300000000000004</v>
      </c>
      <c r="G177" s="2">
        <v>15969</v>
      </c>
    </row>
    <row r="178" spans="1:7" ht="14.25" customHeight="1" x14ac:dyDescent="0.3">
      <c r="A178" s="3">
        <v>45754</v>
      </c>
      <c r="B178" s="2" t="s">
        <v>31</v>
      </c>
      <c r="C178" s="2">
        <v>559</v>
      </c>
      <c r="D178" s="2">
        <v>392</v>
      </c>
      <c r="E178" s="2">
        <v>78789</v>
      </c>
      <c r="F178" s="2">
        <v>3.19</v>
      </c>
      <c r="G178" s="2">
        <v>2436</v>
      </c>
    </row>
    <row r="179" spans="1:7" ht="14.25" customHeight="1" x14ac:dyDescent="0.3">
      <c r="A179" s="3">
        <v>45754</v>
      </c>
      <c r="B179" s="2" t="s">
        <v>40</v>
      </c>
      <c r="C179" s="2">
        <v>1307</v>
      </c>
      <c r="D179" s="2">
        <v>278</v>
      </c>
      <c r="E179" s="2">
        <v>98596</v>
      </c>
      <c r="F179" s="2">
        <v>2.4900000000000002</v>
      </c>
      <c r="G179" s="2">
        <v>47603</v>
      </c>
    </row>
    <row r="180" spans="1:7" ht="14.25" customHeight="1" x14ac:dyDescent="0.3">
      <c r="A180" s="3">
        <v>45754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2">
        <v>42964</v>
      </c>
    </row>
    <row r="181" spans="1:7" ht="14.25" customHeight="1" x14ac:dyDescent="0.3">
      <c r="A181" s="3">
        <v>45754</v>
      </c>
      <c r="B181" s="2" t="s">
        <v>27</v>
      </c>
      <c r="C181" s="2">
        <v>623</v>
      </c>
      <c r="D181" s="2">
        <v>414</v>
      </c>
      <c r="E181" s="2">
        <v>290354</v>
      </c>
      <c r="F181" s="2">
        <v>6.49</v>
      </c>
      <c r="G181" s="2">
        <v>39923</v>
      </c>
    </row>
    <row r="182" spans="1:7" ht="14.25" customHeight="1" x14ac:dyDescent="0.3">
      <c r="A182" s="3">
        <v>45761</v>
      </c>
      <c r="B182" s="2" t="s">
        <v>31</v>
      </c>
      <c r="C182" s="2">
        <v>198</v>
      </c>
      <c r="D182" s="2">
        <v>358</v>
      </c>
      <c r="E182" s="2">
        <v>66682</v>
      </c>
      <c r="F182" s="2">
        <v>6.73</v>
      </c>
      <c r="G182" s="2">
        <v>2293</v>
      </c>
    </row>
    <row r="183" spans="1:7" ht="14.25" customHeight="1" x14ac:dyDescent="0.3">
      <c r="A183" s="3">
        <v>45761</v>
      </c>
      <c r="B183" s="2" t="s">
        <v>40</v>
      </c>
      <c r="C183" s="2">
        <v>198</v>
      </c>
      <c r="D183" s="2">
        <v>373</v>
      </c>
      <c r="E183" s="2">
        <v>70707</v>
      </c>
      <c r="F183" s="2">
        <v>4.83</v>
      </c>
      <c r="G183" s="2">
        <v>25920</v>
      </c>
    </row>
    <row r="184" spans="1:7" ht="14.25" customHeight="1" x14ac:dyDescent="0.3">
      <c r="A184" s="3">
        <v>45761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2">
        <v>11035</v>
      </c>
    </row>
    <row r="185" spans="1:7" ht="14.25" customHeight="1" x14ac:dyDescent="0.3">
      <c r="A185" s="3">
        <v>45761</v>
      </c>
      <c r="B185" s="2" t="s">
        <v>27</v>
      </c>
      <c r="C185" s="2">
        <v>520</v>
      </c>
      <c r="D185" s="2">
        <v>375</v>
      </c>
      <c r="E185" s="2">
        <v>369525</v>
      </c>
      <c r="F185" s="2">
        <v>6.54</v>
      </c>
      <c r="G185" s="2">
        <v>20733</v>
      </c>
    </row>
    <row r="186" spans="1:7" ht="14.25" customHeight="1" x14ac:dyDescent="0.3">
      <c r="A186" s="3">
        <v>45768</v>
      </c>
      <c r="B186" s="2" t="s">
        <v>31</v>
      </c>
      <c r="C186" s="2">
        <v>961</v>
      </c>
      <c r="D186" s="2">
        <v>358</v>
      </c>
      <c r="E186" s="2">
        <v>62942</v>
      </c>
      <c r="F186" s="2">
        <v>6.8</v>
      </c>
      <c r="G186" s="2">
        <v>18693</v>
      </c>
    </row>
    <row r="187" spans="1:7" ht="14.25" customHeight="1" x14ac:dyDescent="0.3">
      <c r="A187" s="3">
        <v>45768</v>
      </c>
      <c r="B187" s="2" t="s">
        <v>40</v>
      </c>
      <c r="C187" s="2">
        <v>1375</v>
      </c>
      <c r="D187" s="2">
        <v>330</v>
      </c>
      <c r="E187" s="2">
        <v>377382</v>
      </c>
      <c r="F187" s="2">
        <v>2.6</v>
      </c>
      <c r="G187" s="2">
        <v>7875</v>
      </c>
    </row>
    <row r="188" spans="1:7" ht="14.25" customHeight="1" x14ac:dyDescent="0.3">
      <c r="A188" s="3">
        <v>45768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2">
        <v>8471</v>
      </c>
    </row>
    <row r="189" spans="1:7" ht="14.25" customHeight="1" x14ac:dyDescent="0.3">
      <c r="A189" s="3">
        <v>45768</v>
      </c>
      <c r="B189" s="2" t="s">
        <v>27</v>
      </c>
      <c r="C189" s="2">
        <v>1707</v>
      </c>
      <c r="D189" s="2">
        <v>74</v>
      </c>
      <c r="E189" s="2">
        <v>270958</v>
      </c>
      <c r="F189" s="2">
        <v>3.09</v>
      </c>
      <c r="G189" s="2">
        <v>14090</v>
      </c>
    </row>
    <row r="190" spans="1:7" ht="14.25" customHeight="1" x14ac:dyDescent="0.3">
      <c r="A190" s="3">
        <v>45775</v>
      </c>
      <c r="B190" s="2" t="s">
        <v>31</v>
      </c>
      <c r="C190" s="2">
        <v>1693</v>
      </c>
      <c r="D190" s="2">
        <v>154</v>
      </c>
      <c r="E190" s="2">
        <v>445944</v>
      </c>
      <c r="F190" s="2">
        <v>5.69</v>
      </c>
      <c r="G190" s="2">
        <v>14216</v>
      </c>
    </row>
    <row r="191" spans="1:7" ht="14.25" customHeight="1" x14ac:dyDescent="0.3">
      <c r="A191" s="3">
        <v>45775</v>
      </c>
      <c r="B191" s="2" t="s">
        <v>40</v>
      </c>
      <c r="C191" s="2">
        <v>833</v>
      </c>
      <c r="D191" s="2">
        <v>380</v>
      </c>
      <c r="E191" s="2">
        <v>224830</v>
      </c>
      <c r="F191" s="2">
        <v>3.86</v>
      </c>
      <c r="G191" s="2">
        <v>3582</v>
      </c>
    </row>
    <row r="192" spans="1:7" ht="14.25" customHeight="1" x14ac:dyDescent="0.3">
      <c r="A192" s="3">
        <v>45775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2">
        <v>32500</v>
      </c>
    </row>
    <row r="193" spans="1:7" ht="14.25" customHeight="1" x14ac:dyDescent="0.3">
      <c r="A193" s="3">
        <v>45775</v>
      </c>
      <c r="B193" s="2" t="s">
        <v>27</v>
      </c>
      <c r="C193" s="2">
        <v>777</v>
      </c>
      <c r="D193" s="2">
        <v>140</v>
      </c>
      <c r="E193" s="2">
        <v>11435</v>
      </c>
      <c r="F193" s="2">
        <v>1.6</v>
      </c>
      <c r="G193" s="2">
        <v>6832</v>
      </c>
    </row>
    <row r="194" spans="1:7" ht="14.25" customHeight="1" x14ac:dyDescent="0.3">
      <c r="A194" s="3">
        <v>45782</v>
      </c>
      <c r="B194" s="2" t="s">
        <v>31</v>
      </c>
      <c r="C194" s="2">
        <v>1957</v>
      </c>
      <c r="D194" s="2">
        <v>76</v>
      </c>
      <c r="E194" s="2">
        <v>447902</v>
      </c>
      <c r="F194" s="2">
        <v>6.09</v>
      </c>
      <c r="G194" s="2">
        <v>33381</v>
      </c>
    </row>
    <row r="195" spans="1:7" ht="14.25" customHeight="1" x14ac:dyDescent="0.3">
      <c r="A195" s="3">
        <v>45782</v>
      </c>
      <c r="B195" s="2" t="s">
        <v>40</v>
      </c>
      <c r="C195" s="2">
        <v>405</v>
      </c>
      <c r="D195" s="2">
        <v>66</v>
      </c>
      <c r="E195" s="2">
        <v>418696</v>
      </c>
      <c r="F195" s="2">
        <v>5.59</v>
      </c>
      <c r="G195" s="2">
        <v>48419</v>
      </c>
    </row>
    <row r="196" spans="1:7" ht="14.25" customHeight="1" x14ac:dyDescent="0.3">
      <c r="A196" s="3">
        <v>45782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2">
        <v>16149</v>
      </c>
    </row>
    <row r="197" spans="1:7" ht="14.25" customHeight="1" x14ac:dyDescent="0.3">
      <c r="A197" s="3">
        <v>45782</v>
      </c>
      <c r="B197" s="2" t="s">
        <v>27</v>
      </c>
      <c r="C197" s="2">
        <v>1035</v>
      </c>
      <c r="D197" s="2">
        <v>171</v>
      </c>
      <c r="E197" s="2">
        <v>148477</v>
      </c>
      <c r="F197" s="2">
        <v>5.21</v>
      </c>
      <c r="G197" s="2">
        <v>7541</v>
      </c>
    </row>
    <row r="198" spans="1:7" ht="14.25" customHeight="1" x14ac:dyDescent="0.3">
      <c r="A198" s="3">
        <v>45789</v>
      </c>
      <c r="B198" s="2" t="s">
        <v>31</v>
      </c>
      <c r="C198" s="2">
        <v>1765</v>
      </c>
      <c r="D198" s="2">
        <v>109</v>
      </c>
      <c r="E198" s="2">
        <v>468301</v>
      </c>
      <c r="F198" s="2">
        <v>1.82</v>
      </c>
      <c r="G198" s="2">
        <v>20042</v>
      </c>
    </row>
    <row r="199" spans="1:7" ht="14.25" customHeight="1" x14ac:dyDescent="0.3">
      <c r="A199" s="3">
        <v>45789</v>
      </c>
      <c r="B199" s="2" t="s">
        <v>40</v>
      </c>
      <c r="C199" s="2">
        <v>837</v>
      </c>
      <c r="D199" s="2">
        <v>430</v>
      </c>
      <c r="E199" s="2">
        <v>364820</v>
      </c>
      <c r="F199" s="2">
        <v>4</v>
      </c>
      <c r="G199" s="2">
        <v>49400</v>
      </c>
    </row>
    <row r="200" spans="1:7" ht="14.25" customHeight="1" x14ac:dyDescent="0.3">
      <c r="A200" s="3">
        <v>45789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2">
        <v>4007</v>
      </c>
    </row>
    <row r="201" spans="1:7" ht="14.25" customHeight="1" x14ac:dyDescent="0.3">
      <c r="A201" s="3">
        <v>45789</v>
      </c>
      <c r="B201" s="2" t="s">
        <v>27</v>
      </c>
      <c r="C201" s="2">
        <v>119</v>
      </c>
      <c r="D201" s="2">
        <v>456</v>
      </c>
      <c r="E201" s="2">
        <v>82558</v>
      </c>
      <c r="F201" s="2">
        <v>6.81</v>
      </c>
      <c r="G201" s="2">
        <v>12174</v>
      </c>
    </row>
    <row r="202" spans="1:7" ht="14.25" customHeight="1" x14ac:dyDescent="0.3"/>
    <row r="203" spans="1:7" ht="14.25" customHeight="1" x14ac:dyDescent="0.3"/>
    <row r="204" spans="1:7" ht="14.25" customHeight="1" x14ac:dyDescent="0.3"/>
    <row r="205" spans="1:7" ht="14.25" customHeight="1" x14ac:dyDescent="0.3"/>
    <row r="206" spans="1:7" ht="14.25" customHeight="1" x14ac:dyDescent="0.3"/>
    <row r="207" spans="1:7" ht="14.25" customHeight="1" x14ac:dyDescent="0.3"/>
    <row r="208" spans="1:7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D10" sqref="D10"/>
    </sheetView>
  </sheetViews>
  <sheetFormatPr defaultColWidth="14.44140625" defaultRowHeight="15" customHeight="1" x14ac:dyDescent="0.3"/>
  <cols>
    <col min="1" max="1" width="19.109375" customWidth="1"/>
    <col min="2" max="2" width="15.5546875" customWidth="1"/>
    <col min="3" max="3" width="28.5546875" customWidth="1"/>
    <col min="4" max="4" width="8.6640625" customWidth="1"/>
    <col min="5" max="5" width="14.44140625" customWidth="1"/>
    <col min="6" max="6" width="18.77734375" customWidth="1"/>
    <col min="7" max="26" width="8.6640625" customWidth="1"/>
  </cols>
  <sheetData>
    <row r="1" spans="1:6" ht="14.25" customHeight="1" x14ac:dyDescent="0.3">
      <c r="A1" s="142" t="s">
        <v>12</v>
      </c>
      <c r="B1" s="143" t="s">
        <v>562</v>
      </c>
      <c r="C1" s="143" t="s">
        <v>563</v>
      </c>
      <c r="D1" s="142" t="s">
        <v>564</v>
      </c>
      <c r="E1" s="144" t="s">
        <v>565</v>
      </c>
      <c r="F1" s="142" t="s">
        <v>566</v>
      </c>
    </row>
    <row r="2" spans="1:6" ht="14.25" customHeight="1" x14ac:dyDescent="0.3">
      <c r="A2" s="4" t="s">
        <v>25</v>
      </c>
      <c r="B2" s="5">
        <v>45453</v>
      </c>
      <c r="C2" s="5">
        <v>45478</v>
      </c>
      <c r="D2" s="4" t="s">
        <v>567</v>
      </c>
      <c r="E2" s="6">
        <v>180000</v>
      </c>
      <c r="F2" s="4" t="s">
        <v>568</v>
      </c>
    </row>
    <row r="3" spans="1:6" ht="14.25" customHeight="1" x14ac:dyDescent="0.3">
      <c r="A3" s="4" t="s">
        <v>19</v>
      </c>
      <c r="B3" s="5">
        <v>45505</v>
      </c>
      <c r="C3" s="5">
        <v>45535</v>
      </c>
      <c r="D3" s="4" t="s">
        <v>569</v>
      </c>
      <c r="E3" s="6">
        <v>160000</v>
      </c>
      <c r="F3" s="4" t="s">
        <v>570</v>
      </c>
    </row>
    <row r="4" spans="1:6" ht="14.25" customHeight="1" x14ac:dyDescent="0.3">
      <c r="A4" s="4" t="s">
        <v>38</v>
      </c>
      <c r="B4" s="5">
        <v>45570</v>
      </c>
      <c r="C4" s="5">
        <v>45601</v>
      </c>
      <c r="D4" s="4" t="s">
        <v>571</v>
      </c>
      <c r="E4" s="6">
        <v>220000</v>
      </c>
      <c r="F4" s="4" t="s">
        <v>572</v>
      </c>
    </row>
    <row r="5" spans="1:6" ht="14.25" customHeight="1" x14ac:dyDescent="0.3">
      <c r="A5" s="7" t="s">
        <v>55</v>
      </c>
      <c r="B5" s="8">
        <v>45667</v>
      </c>
      <c r="C5" s="8">
        <v>45698</v>
      </c>
      <c r="D5" s="7" t="s">
        <v>573</v>
      </c>
      <c r="E5" s="9">
        <v>200000</v>
      </c>
      <c r="F5" s="10" t="s">
        <v>574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7FB3-5E22-4953-BCDA-4034BCD9F333}">
  <dimension ref="A1:AE308"/>
  <sheetViews>
    <sheetView topLeftCell="A275" workbookViewId="0">
      <selection sqref="A1:M301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49.664062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29.77734375" bestFit="1" customWidth="1"/>
    <col min="13" max="13" width="17.77734375" bestFit="1" customWidth="1"/>
  </cols>
  <sheetData>
    <row r="1" spans="1:13" x14ac:dyDescent="0.3">
      <c r="A1" s="98" t="s">
        <v>0</v>
      </c>
      <c r="B1" s="99" t="s">
        <v>1</v>
      </c>
      <c r="C1" s="99" t="s">
        <v>2</v>
      </c>
      <c r="D1" s="99" t="s">
        <v>3</v>
      </c>
      <c r="E1" s="99" t="s">
        <v>4</v>
      </c>
      <c r="F1" s="99" t="s">
        <v>5</v>
      </c>
      <c r="G1" s="99" t="s">
        <v>6</v>
      </c>
      <c r="H1" s="99" t="s">
        <v>7</v>
      </c>
      <c r="I1" s="99" t="s">
        <v>8</v>
      </c>
      <c r="J1" s="99" t="s">
        <v>9</v>
      </c>
      <c r="K1" s="99" t="s">
        <v>10</v>
      </c>
      <c r="L1" s="99" t="s">
        <v>11</v>
      </c>
      <c r="M1" s="100" t="s">
        <v>12</v>
      </c>
    </row>
    <row r="2" spans="1:13" x14ac:dyDescent="0.3">
      <c r="A2" s="101" t="s">
        <v>13</v>
      </c>
      <c r="B2" s="102" t="s">
        <v>14</v>
      </c>
      <c r="C2" s="103">
        <v>45649</v>
      </c>
      <c r="D2" s="102" t="s">
        <v>16</v>
      </c>
      <c r="E2" s="102" t="s">
        <v>17</v>
      </c>
      <c r="F2" s="102">
        <v>1461</v>
      </c>
      <c r="G2" s="102">
        <v>184</v>
      </c>
      <c r="H2" s="102">
        <v>344</v>
      </c>
      <c r="I2" s="102">
        <v>21915</v>
      </c>
      <c r="J2" s="102">
        <v>21675</v>
      </c>
      <c r="K2" s="102">
        <v>15</v>
      </c>
      <c r="L2" s="102" t="s">
        <v>18</v>
      </c>
      <c r="M2" s="104" t="s">
        <v>19</v>
      </c>
    </row>
    <row r="3" spans="1:13" x14ac:dyDescent="0.3">
      <c r="A3" s="101" t="s">
        <v>20</v>
      </c>
      <c r="B3" s="102" t="s">
        <v>14</v>
      </c>
      <c r="C3" s="103">
        <v>45750</v>
      </c>
      <c r="D3" s="102" t="s">
        <v>22</v>
      </c>
      <c r="E3" s="102" t="s">
        <v>23</v>
      </c>
      <c r="F3" s="102">
        <v>4054</v>
      </c>
      <c r="G3" s="102">
        <v>389</v>
      </c>
      <c r="H3" s="102">
        <v>493</v>
      </c>
      <c r="I3" s="102">
        <v>64864</v>
      </c>
      <c r="J3" s="102">
        <v>64383</v>
      </c>
      <c r="K3" s="102">
        <v>117</v>
      </c>
      <c r="L3" s="102" t="s">
        <v>24</v>
      </c>
      <c r="M3" s="104" t="s">
        <v>25</v>
      </c>
    </row>
    <row r="4" spans="1:13" x14ac:dyDescent="0.3">
      <c r="A4" s="101" t="s">
        <v>26</v>
      </c>
      <c r="B4" s="102" t="s">
        <v>577</v>
      </c>
      <c r="C4" s="103">
        <v>45789</v>
      </c>
      <c r="D4" s="102" t="s">
        <v>16</v>
      </c>
      <c r="E4" s="102" t="s">
        <v>17</v>
      </c>
      <c r="F4" s="102">
        <v>2795</v>
      </c>
      <c r="G4" s="102">
        <v>105</v>
      </c>
      <c r="H4" s="102">
        <v>49</v>
      </c>
      <c r="I4" s="102">
        <v>53105</v>
      </c>
      <c r="J4" s="102">
        <v>52307</v>
      </c>
      <c r="K4" s="102">
        <v>204</v>
      </c>
      <c r="L4" s="102" t="s">
        <v>29</v>
      </c>
      <c r="M4" s="104" t="s">
        <v>19</v>
      </c>
    </row>
    <row r="5" spans="1:13" x14ac:dyDescent="0.3">
      <c r="A5" s="101" t="s">
        <v>30</v>
      </c>
      <c r="B5" s="102" t="s">
        <v>31</v>
      </c>
      <c r="C5" s="103">
        <v>45516</v>
      </c>
      <c r="D5" s="102" t="s">
        <v>33</v>
      </c>
      <c r="E5" s="102" t="s">
        <v>34</v>
      </c>
      <c r="F5" s="102">
        <v>2404</v>
      </c>
      <c r="G5" s="102">
        <v>363</v>
      </c>
      <c r="H5" s="102">
        <v>138</v>
      </c>
      <c r="I5" s="102">
        <v>19232</v>
      </c>
      <c r="J5" s="102">
        <v>18636</v>
      </c>
      <c r="K5" s="102">
        <v>128</v>
      </c>
      <c r="L5" s="102" t="s">
        <v>18</v>
      </c>
      <c r="M5" s="104" t="s">
        <v>19</v>
      </c>
    </row>
    <row r="6" spans="1:13" x14ac:dyDescent="0.3">
      <c r="A6" s="101" t="s">
        <v>35</v>
      </c>
      <c r="B6" s="102" t="s">
        <v>577</v>
      </c>
      <c r="C6" s="103">
        <v>45469</v>
      </c>
      <c r="D6" s="102" t="s">
        <v>16</v>
      </c>
      <c r="E6" s="102" t="s">
        <v>17</v>
      </c>
      <c r="F6" s="102">
        <v>3557</v>
      </c>
      <c r="G6" s="102">
        <v>687</v>
      </c>
      <c r="H6" s="102">
        <v>424</v>
      </c>
      <c r="I6" s="102">
        <v>71140</v>
      </c>
      <c r="J6" s="102">
        <v>70701</v>
      </c>
      <c r="K6" s="102">
        <v>224</v>
      </c>
      <c r="L6" s="102" t="s">
        <v>37</v>
      </c>
      <c r="M6" s="104" t="s">
        <v>38</v>
      </c>
    </row>
    <row r="7" spans="1:13" x14ac:dyDescent="0.3">
      <c r="A7" s="101" t="s">
        <v>39</v>
      </c>
      <c r="B7" s="102" t="s">
        <v>40</v>
      </c>
      <c r="C7" s="103">
        <v>45596</v>
      </c>
      <c r="D7" s="102" t="s">
        <v>42</v>
      </c>
      <c r="E7" s="102" t="s">
        <v>43</v>
      </c>
      <c r="F7" s="102">
        <v>2945</v>
      </c>
      <c r="G7" s="102">
        <v>930</v>
      </c>
      <c r="H7" s="102">
        <v>355</v>
      </c>
      <c r="I7" s="102">
        <v>23560</v>
      </c>
      <c r="J7" s="102">
        <v>23275</v>
      </c>
      <c r="K7" s="102">
        <v>256</v>
      </c>
      <c r="L7" s="102" t="s">
        <v>44</v>
      </c>
      <c r="M7" s="104" t="s">
        <v>25</v>
      </c>
    </row>
    <row r="8" spans="1:13" x14ac:dyDescent="0.3">
      <c r="A8" s="101" t="s">
        <v>45</v>
      </c>
      <c r="B8" s="102" t="s">
        <v>14</v>
      </c>
      <c r="C8" s="103">
        <v>45467</v>
      </c>
      <c r="D8" s="102" t="s">
        <v>42</v>
      </c>
      <c r="E8" s="102" t="s">
        <v>43</v>
      </c>
      <c r="F8" s="102">
        <v>3860</v>
      </c>
      <c r="G8" s="102">
        <v>201</v>
      </c>
      <c r="H8" s="102">
        <v>279</v>
      </c>
      <c r="I8" s="102">
        <v>61760</v>
      </c>
      <c r="J8" s="102">
        <v>61660</v>
      </c>
      <c r="K8" s="102">
        <v>235</v>
      </c>
      <c r="L8" s="102" t="s">
        <v>44</v>
      </c>
      <c r="M8" s="104" t="s">
        <v>38</v>
      </c>
    </row>
    <row r="9" spans="1:13" x14ac:dyDescent="0.3">
      <c r="A9" s="101" t="s">
        <v>47</v>
      </c>
      <c r="B9" s="102" t="s">
        <v>577</v>
      </c>
      <c r="C9" s="103">
        <v>45486</v>
      </c>
      <c r="D9" s="102" t="s">
        <v>49</v>
      </c>
      <c r="E9" s="102" t="s">
        <v>50</v>
      </c>
      <c r="F9" s="102">
        <v>3929</v>
      </c>
      <c r="G9" s="102">
        <v>262</v>
      </c>
      <c r="H9" s="102">
        <v>278</v>
      </c>
      <c r="I9" s="102">
        <v>43219</v>
      </c>
      <c r="J9" s="102">
        <v>42841</v>
      </c>
      <c r="K9" s="102">
        <v>39</v>
      </c>
      <c r="L9" s="102" t="s">
        <v>29</v>
      </c>
      <c r="M9" s="104" t="s">
        <v>38</v>
      </c>
    </row>
    <row r="10" spans="1:13" x14ac:dyDescent="0.3">
      <c r="A10" s="101" t="s">
        <v>51</v>
      </c>
      <c r="B10" s="102" t="s">
        <v>40</v>
      </c>
      <c r="C10" s="103">
        <v>45534</v>
      </c>
      <c r="D10" s="102" t="s">
        <v>22</v>
      </c>
      <c r="E10" s="102" t="s">
        <v>23</v>
      </c>
      <c r="F10" s="102">
        <v>3784</v>
      </c>
      <c r="G10" s="102">
        <v>808</v>
      </c>
      <c r="H10" s="102">
        <v>404</v>
      </c>
      <c r="I10" s="102">
        <v>56760</v>
      </c>
      <c r="J10" s="102">
        <v>56343</v>
      </c>
      <c r="K10" s="102">
        <v>131</v>
      </c>
      <c r="L10" s="102" t="s">
        <v>29</v>
      </c>
      <c r="M10" s="104" t="s">
        <v>38</v>
      </c>
    </row>
    <row r="11" spans="1:13" x14ac:dyDescent="0.3">
      <c r="A11" s="101" t="s">
        <v>53</v>
      </c>
      <c r="B11" s="102" t="s">
        <v>40</v>
      </c>
      <c r="C11" s="103">
        <v>45727</v>
      </c>
      <c r="D11" s="102" t="s">
        <v>49</v>
      </c>
      <c r="E11" s="102" t="s">
        <v>50</v>
      </c>
      <c r="F11" s="102">
        <v>4241</v>
      </c>
      <c r="G11" s="102">
        <v>902</v>
      </c>
      <c r="H11" s="102">
        <v>47</v>
      </c>
      <c r="I11" s="102">
        <v>72097</v>
      </c>
      <c r="J11" s="102">
        <v>71598</v>
      </c>
      <c r="K11" s="102">
        <v>167</v>
      </c>
      <c r="L11" s="102" t="s">
        <v>44</v>
      </c>
      <c r="M11" s="104" t="s">
        <v>55</v>
      </c>
    </row>
    <row r="12" spans="1:13" x14ac:dyDescent="0.3">
      <c r="A12" s="101" t="s">
        <v>56</v>
      </c>
      <c r="B12" s="102" t="s">
        <v>31</v>
      </c>
      <c r="C12" s="103">
        <v>45690</v>
      </c>
      <c r="D12" s="102" t="s">
        <v>33</v>
      </c>
      <c r="E12" s="102" t="s">
        <v>34</v>
      </c>
      <c r="F12" s="102">
        <v>1792</v>
      </c>
      <c r="G12" s="102">
        <v>614</v>
      </c>
      <c r="H12" s="102">
        <v>497</v>
      </c>
      <c r="I12" s="102">
        <v>25088</v>
      </c>
      <c r="J12" s="102">
        <v>24675</v>
      </c>
      <c r="K12" s="102">
        <v>65</v>
      </c>
      <c r="L12" s="102" t="s">
        <v>58</v>
      </c>
      <c r="M12" s="104" t="s">
        <v>19</v>
      </c>
    </row>
    <row r="13" spans="1:13" x14ac:dyDescent="0.3">
      <c r="A13" s="101" t="s">
        <v>59</v>
      </c>
      <c r="B13" s="102" t="s">
        <v>40</v>
      </c>
      <c r="C13" s="103">
        <v>45494</v>
      </c>
      <c r="D13" s="102" t="s">
        <v>16</v>
      </c>
      <c r="E13" s="102" t="s">
        <v>17</v>
      </c>
      <c r="F13" s="102">
        <v>1946</v>
      </c>
      <c r="G13" s="102">
        <v>686</v>
      </c>
      <c r="H13" s="102">
        <v>377</v>
      </c>
      <c r="I13" s="102">
        <v>23352</v>
      </c>
      <c r="J13" s="102">
        <v>22982</v>
      </c>
      <c r="K13" s="102">
        <v>213</v>
      </c>
      <c r="L13" s="102" t="s">
        <v>61</v>
      </c>
      <c r="M13" s="104" t="s">
        <v>38</v>
      </c>
    </row>
    <row r="14" spans="1:13" x14ac:dyDescent="0.3">
      <c r="A14" s="101" t="s">
        <v>62</v>
      </c>
      <c r="B14" s="102" t="s">
        <v>577</v>
      </c>
      <c r="C14" s="103">
        <v>45614</v>
      </c>
      <c r="D14" s="102" t="s">
        <v>42</v>
      </c>
      <c r="E14" s="102" t="s">
        <v>43</v>
      </c>
      <c r="F14" s="102">
        <v>1171</v>
      </c>
      <c r="G14" s="102">
        <v>286</v>
      </c>
      <c r="H14" s="102">
        <v>231</v>
      </c>
      <c r="I14" s="102">
        <v>22249</v>
      </c>
      <c r="J14" s="102">
        <v>21282</v>
      </c>
      <c r="K14" s="102">
        <v>114</v>
      </c>
      <c r="L14" s="102" t="s">
        <v>24</v>
      </c>
      <c r="M14" s="104" t="s">
        <v>55</v>
      </c>
    </row>
    <row r="15" spans="1:13" x14ac:dyDescent="0.3">
      <c r="A15" s="101" t="s">
        <v>64</v>
      </c>
      <c r="B15" s="102" t="s">
        <v>40</v>
      </c>
      <c r="C15" s="103">
        <v>45704</v>
      </c>
      <c r="D15" s="102" t="s">
        <v>33</v>
      </c>
      <c r="E15" s="102" t="s">
        <v>34</v>
      </c>
      <c r="F15" s="102">
        <v>4242</v>
      </c>
      <c r="G15" s="102">
        <v>555</v>
      </c>
      <c r="H15" s="102">
        <v>131</v>
      </c>
      <c r="I15" s="102">
        <v>33936</v>
      </c>
      <c r="J15" s="102">
        <v>33802</v>
      </c>
      <c r="K15" s="102">
        <v>265</v>
      </c>
      <c r="L15" s="102" t="s">
        <v>66</v>
      </c>
      <c r="M15" s="104" t="s">
        <v>38</v>
      </c>
    </row>
    <row r="16" spans="1:13" x14ac:dyDescent="0.3">
      <c r="A16" s="101" t="s">
        <v>67</v>
      </c>
      <c r="B16" s="102" t="s">
        <v>40</v>
      </c>
      <c r="C16" s="103">
        <v>45589</v>
      </c>
      <c r="D16" s="102" t="s">
        <v>69</v>
      </c>
      <c r="E16" s="102" t="s">
        <v>70</v>
      </c>
      <c r="F16" s="102">
        <v>3888</v>
      </c>
      <c r="G16" s="102">
        <v>604</v>
      </c>
      <c r="H16" s="102">
        <v>128</v>
      </c>
      <c r="I16" s="102">
        <v>77760</v>
      </c>
      <c r="J16" s="102">
        <v>77167</v>
      </c>
      <c r="K16" s="102">
        <v>20</v>
      </c>
      <c r="L16" s="102" t="s">
        <v>71</v>
      </c>
      <c r="M16" s="104" t="s">
        <v>19</v>
      </c>
    </row>
    <row r="17" spans="1:13" x14ac:dyDescent="0.3">
      <c r="A17" s="101" t="s">
        <v>72</v>
      </c>
      <c r="B17" s="102" t="s">
        <v>40</v>
      </c>
      <c r="C17" s="103">
        <v>45530</v>
      </c>
      <c r="D17" s="102" t="s">
        <v>22</v>
      </c>
      <c r="E17" s="102" t="s">
        <v>23</v>
      </c>
      <c r="F17" s="102">
        <v>3452</v>
      </c>
      <c r="G17" s="102">
        <v>377</v>
      </c>
      <c r="H17" s="102">
        <v>360</v>
      </c>
      <c r="I17" s="102">
        <v>55232</v>
      </c>
      <c r="J17" s="102">
        <v>55075</v>
      </c>
      <c r="K17" s="102">
        <v>87</v>
      </c>
      <c r="L17" s="102" t="s">
        <v>74</v>
      </c>
      <c r="M17" s="104" t="s">
        <v>38</v>
      </c>
    </row>
    <row r="18" spans="1:13" x14ac:dyDescent="0.3">
      <c r="A18" s="101" t="s">
        <v>75</v>
      </c>
      <c r="B18" s="102" t="s">
        <v>40</v>
      </c>
      <c r="C18" s="103">
        <v>45782</v>
      </c>
      <c r="D18" s="102" t="s">
        <v>22</v>
      </c>
      <c r="E18" s="102" t="s">
        <v>23</v>
      </c>
      <c r="F18" s="102">
        <v>4441</v>
      </c>
      <c r="G18" s="102">
        <v>511</v>
      </c>
      <c r="H18" s="102">
        <v>70</v>
      </c>
      <c r="I18" s="102">
        <v>53292</v>
      </c>
      <c r="J18" s="102">
        <v>53082</v>
      </c>
      <c r="K18" s="102">
        <v>159</v>
      </c>
      <c r="L18" s="102" t="s">
        <v>77</v>
      </c>
      <c r="M18" s="104" t="s">
        <v>38</v>
      </c>
    </row>
    <row r="19" spans="1:13" x14ac:dyDescent="0.3">
      <c r="A19" s="101" t="s">
        <v>78</v>
      </c>
      <c r="B19" s="102" t="s">
        <v>31</v>
      </c>
      <c r="C19" s="103">
        <v>45523</v>
      </c>
      <c r="D19" s="102" t="s">
        <v>16</v>
      </c>
      <c r="E19" s="102" t="s">
        <v>17</v>
      </c>
      <c r="F19" s="102">
        <v>3000</v>
      </c>
      <c r="G19" s="102">
        <v>382</v>
      </c>
      <c r="H19" s="102">
        <v>325</v>
      </c>
      <c r="I19" s="102">
        <v>36000</v>
      </c>
      <c r="J19" s="102">
        <v>35819</v>
      </c>
      <c r="K19" s="102">
        <v>19</v>
      </c>
      <c r="L19" s="102" t="s">
        <v>58</v>
      </c>
      <c r="M19" s="104" t="s">
        <v>25</v>
      </c>
    </row>
    <row r="20" spans="1:13" x14ac:dyDescent="0.3">
      <c r="A20" s="101" t="s">
        <v>80</v>
      </c>
      <c r="B20" s="102" t="s">
        <v>31</v>
      </c>
      <c r="C20" s="103">
        <v>45466</v>
      </c>
      <c r="D20" s="102" t="s">
        <v>69</v>
      </c>
      <c r="E20" s="102" t="s">
        <v>70</v>
      </c>
      <c r="F20" s="102">
        <v>1071</v>
      </c>
      <c r="G20" s="102">
        <v>519</v>
      </c>
      <c r="H20" s="102">
        <v>22</v>
      </c>
      <c r="I20" s="102">
        <v>16065</v>
      </c>
      <c r="J20" s="102">
        <v>15865</v>
      </c>
      <c r="K20" s="102">
        <v>103</v>
      </c>
      <c r="L20" s="102" t="s">
        <v>82</v>
      </c>
      <c r="M20" s="104" t="s">
        <v>38</v>
      </c>
    </row>
    <row r="21" spans="1:13" x14ac:dyDescent="0.3">
      <c r="A21" s="101" t="s">
        <v>83</v>
      </c>
      <c r="B21" s="102" t="s">
        <v>31</v>
      </c>
      <c r="C21" s="103">
        <v>45544</v>
      </c>
      <c r="D21" s="102" t="s">
        <v>42</v>
      </c>
      <c r="E21" s="102" t="s">
        <v>43</v>
      </c>
      <c r="F21" s="102">
        <v>4054</v>
      </c>
      <c r="G21" s="102">
        <v>488</v>
      </c>
      <c r="H21" s="102">
        <v>373</v>
      </c>
      <c r="I21" s="102">
        <v>77026</v>
      </c>
      <c r="J21" s="102">
        <v>76881</v>
      </c>
      <c r="K21" s="102">
        <v>25</v>
      </c>
      <c r="L21" s="102" t="s">
        <v>29</v>
      </c>
      <c r="M21" s="104" t="s">
        <v>38</v>
      </c>
    </row>
    <row r="22" spans="1:13" x14ac:dyDescent="0.3">
      <c r="A22" s="101" t="s">
        <v>85</v>
      </c>
      <c r="B22" s="102" t="s">
        <v>31</v>
      </c>
      <c r="C22" s="103">
        <v>45661</v>
      </c>
      <c r="D22" s="102" t="s">
        <v>16</v>
      </c>
      <c r="E22" s="102" t="s">
        <v>17</v>
      </c>
      <c r="F22" s="102">
        <v>4838</v>
      </c>
      <c r="G22" s="102">
        <v>640</v>
      </c>
      <c r="H22" s="102">
        <v>128</v>
      </c>
      <c r="I22" s="102">
        <v>72570</v>
      </c>
      <c r="J22" s="102">
        <v>72396</v>
      </c>
      <c r="K22" s="102">
        <v>83</v>
      </c>
      <c r="L22" s="102" t="s">
        <v>87</v>
      </c>
      <c r="M22" s="104" t="s">
        <v>38</v>
      </c>
    </row>
    <row r="23" spans="1:13" x14ac:dyDescent="0.3">
      <c r="A23" s="101" t="s">
        <v>88</v>
      </c>
      <c r="B23" s="102" t="s">
        <v>40</v>
      </c>
      <c r="C23" s="103">
        <v>45715</v>
      </c>
      <c r="D23" s="102" t="s">
        <v>22</v>
      </c>
      <c r="E23" s="102" t="s">
        <v>23</v>
      </c>
      <c r="F23" s="102">
        <v>1570</v>
      </c>
      <c r="G23" s="102">
        <v>187</v>
      </c>
      <c r="H23" s="102">
        <v>260</v>
      </c>
      <c r="I23" s="102">
        <v>25120</v>
      </c>
      <c r="J23" s="102">
        <v>24613</v>
      </c>
      <c r="K23" s="102">
        <v>133</v>
      </c>
      <c r="L23" s="102" t="s">
        <v>18</v>
      </c>
      <c r="M23" s="104" t="s">
        <v>55</v>
      </c>
    </row>
    <row r="24" spans="1:13" x14ac:dyDescent="0.3">
      <c r="A24" s="101" t="s">
        <v>90</v>
      </c>
      <c r="B24" s="102" t="s">
        <v>40</v>
      </c>
      <c r="C24" s="103">
        <v>45602</v>
      </c>
      <c r="D24" s="102" t="s">
        <v>69</v>
      </c>
      <c r="E24" s="102" t="s">
        <v>70</v>
      </c>
      <c r="F24" s="102">
        <v>1606</v>
      </c>
      <c r="G24" s="102">
        <v>547</v>
      </c>
      <c r="H24" s="102">
        <v>316</v>
      </c>
      <c r="I24" s="102">
        <v>32120</v>
      </c>
      <c r="J24" s="102">
        <v>31736</v>
      </c>
      <c r="K24" s="102">
        <v>225</v>
      </c>
      <c r="L24" s="102" t="s">
        <v>18</v>
      </c>
      <c r="M24" s="104" t="s">
        <v>38</v>
      </c>
    </row>
    <row r="25" spans="1:13" x14ac:dyDescent="0.3">
      <c r="A25" s="101" t="s">
        <v>92</v>
      </c>
      <c r="B25" s="102" t="s">
        <v>40</v>
      </c>
      <c r="C25" s="103">
        <v>45680</v>
      </c>
      <c r="D25" s="102" t="s">
        <v>69</v>
      </c>
      <c r="E25" s="102" t="s">
        <v>70</v>
      </c>
      <c r="F25" s="102">
        <v>3961</v>
      </c>
      <c r="G25" s="102">
        <v>761</v>
      </c>
      <c r="H25" s="102">
        <v>131</v>
      </c>
      <c r="I25" s="102">
        <v>67337</v>
      </c>
      <c r="J25" s="102">
        <v>66615</v>
      </c>
      <c r="K25" s="102">
        <v>161</v>
      </c>
      <c r="L25" s="102" t="s">
        <v>44</v>
      </c>
      <c r="M25" s="104" t="s">
        <v>25</v>
      </c>
    </row>
    <row r="26" spans="1:13" x14ac:dyDescent="0.3">
      <c r="A26" s="101" t="s">
        <v>94</v>
      </c>
      <c r="B26" s="102" t="s">
        <v>14</v>
      </c>
      <c r="C26" s="103">
        <v>45757</v>
      </c>
      <c r="D26" s="102" t="s">
        <v>42</v>
      </c>
      <c r="E26" s="102" t="s">
        <v>43</v>
      </c>
      <c r="F26" s="102">
        <v>3128</v>
      </c>
      <c r="G26" s="102">
        <v>211</v>
      </c>
      <c r="H26" s="102">
        <v>197</v>
      </c>
      <c r="I26" s="102">
        <v>59432</v>
      </c>
      <c r="J26" s="102">
        <v>59182</v>
      </c>
      <c r="K26" s="102">
        <v>238</v>
      </c>
      <c r="L26" s="102" t="s">
        <v>61</v>
      </c>
      <c r="M26" s="104" t="s">
        <v>19</v>
      </c>
    </row>
    <row r="27" spans="1:13" x14ac:dyDescent="0.3">
      <c r="A27" s="101" t="s">
        <v>96</v>
      </c>
      <c r="B27" s="102" t="s">
        <v>577</v>
      </c>
      <c r="C27" s="103">
        <v>45752</v>
      </c>
      <c r="D27" s="102" t="s">
        <v>16</v>
      </c>
      <c r="E27" s="102" t="s">
        <v>17</v>
      </c>
      <c r="F27" s="102">
        <v>3009</v>
      </c>
      <c r="G27" s="102">
        <v>413</v>
      </c>
      <c r="H27" s="102">
        <v>358</v>
      </c>
      <c r="I27" s="102">
        <v>42126</v>
      </c>
      <c r="J27" s="102">
        <v>41309</v>
      </c>
      <c r="K27" s="102">
        <v>211</v>
      </c>
      <c r="L27" s="102" t="s">
        <v>18</v>
      </c>
      <c r="M27" s="104" t="s">
        <v>25</v>
      </c>
    </row>
    <row r="28" spans="1:13" x14ac:dyDescent="0.3">
      <c r="A28" s="101" t="s">
        <v>98</v>
      </c>
      <c r="B28" s="102" t="s">
        <v>577</v>
      </c>
      <c r="C28" s="103">
        <v>45552</v>
      </c>
      <c r="D28" s="102" t="s">
        <v>22</v>
      </c>
      <c r="E28" s="102" t="s">
        <v>23</v>
      </c>
      <c r="F28" s="102">
        <v>2076</v>
      </c>
      <c r="G28" s="102">
        <v>195</v>
      </c>
      <c r="H28" s="102">
        <v>104</v>
      </c>
      <c r="I28" s="102">
        <v>33216</v>
      </c>
      <c r="J28" s="102">
        <v>32244</v>
      </c>
      <c r="K28" s="102">
        <v>51</v>
      </c>
      <c r="L28" s="102" t="s">
        <v>44</v>
      </c>
      <c r="M28" s="104" t="s">
        <v>55</v>
      </c>
    </row>
    <row r="29" spans="1:13" x14ac:dyDescent="0.3">
      <c r="A29" s="101" t="s">
        <v>100</v>
      </c>
      <c r="B29" s="102" t="s">
        <v>31</v>
      </c>
      <c r="C29" s="103">
        <v>45720</v>
      </c>
      <c r="D29" s="102" t="s">
        <v>69</v>
      </c>
      <c r="E29" s="102" t="s">
        <v>70</v>
      </c>
      <c r="F29" s="102">
        <v>432</v>
      </c>
      <c r="G29" s="102">
        <v>624</v>
      </c>
      <c r="H29" s="102">
        <v>123</v>
      </c>
      <c r="I29" s="102">
        <v>6912</v>
      </c>
      <c r="J29" s="102">
        <v>6259</v>
      </c>
      <c r="K29" s="102">
        <v>79</v>
      </c>
      <c r="L29" s="102" t="s">
        <v>102</v>
      </c>
      <c r="M29" s="104" t="s">
        <v>25</v>
      </c>
    </row>
    <row r="30" spans="1:13" x14ac:dyDescent="0.3">
      <c r="A30" s="101" t="s">
        <v>103</v>
      </c>
      <c r="B30" s="102" t="s">
        <v>31</v>
      </c>
      <c r="C30" s="103">
        <v>45688</v>
      </c>
      <c r="D30" s="102" t="s">
        <v>42</v>
      </c>
      <c r="E30" s="102" t="s">
        <v>43</v>
      </c>
      <c r="F30" s="102">
        <v>2566</v>
      </c>
      <c r="G30" s="102">
        <v>118</v>
      </c>
      <c r="H30" s="102">
        <v>37</v>
      </c>
      <c r="I30" s="102">
        <v>12830</v>
      </c>
      <c r="J30" s="102">
        <v>12264</v>
      </c>
      <c r="K30" s="102">
        <v>221</v>
      </c>
      <c r="L30" s="102" t="s">
        <v>105</v>
      </c>
      <c r="M30" s="104" t="s">
        <v>38</v>
      </c>
    </row>
    <row r="31" spans="1:13" x14ac:dyDescent="0.3">
      <c r="A31" s="101" t="s">
        <v>106</v>
      </c>
      <c r="B31" s="102" t="s">
        <v>31</v>
      </c>
      <c r="C31" s="103">
        <v>45713</v>
      </c>
      <c r="D31" s="102" t="s">
        <v>69</v>
      </c>
      <c r="E31" s="102" t="s">
        <v>70</v>
      </c>
      <c r="F31" s="102">
        <v>3095</v>
      </c>
      <c r="G31" s="102">
        <v>39</v>
      </c>
      <c r="H31" s="102">
        <v>78</v>
      </c>
      <c r="I31" s="102">
        <v>55710</v>
      </c>
      <c r="J31" s="102">
        <v>54808</v>
      </c>
      <c r="K31" s="102">
        <v>93</v>
      </c>
      <c r="L31" s="102" t="s">
        <v>18</v>
      </c>
      <c r="M31" s="104" t="s">
        <v>55</v>
      </c>
    </row>
    <row r="32" spans="1:13" x14ac:dyDescent="0.3">
      <c r="A32" s="101" t="s">
        <v>108</v>
      </c>
      <c r="B32" s="102" t="s">
        <v>31</v>
      </c>
      <c r="C32" s="103">
        <v>45642</v>
      </c>
      <c r="D32" s="102" t="s">
        <v>22</v>
      </c>
      <c r="E32" s="102" t="s">
        <v>23</v>
      </c>
      <c r="F32" s="102">
        <v>438</v>
      </c>
      <c r="G32" s="102">
        <v>153</v>
      </c>
      <c r="H32" s="102">
        <v>275</v>
      </c>
      <c r="I32" s="102">
        <v>3066</v>
      </c>
      <c r="J32" s="102">
        <v>2701</v>
      </c>
      <c r="K32" s="102">
        <v>282</v>
      </c>
      <c r="L32" s="102" t="s">
        <v>44</v>
      </c>
      <c r="M32" s="104" t="s">
        <v>55</v>
      </c>
    </row>
    <row r="33" spans="1:13" x14ac:dyDescent="0.3">
      <c r="A33" s="101" t="s">
        <v>110</v>
      </c>
      <c r="B33" s="102" t="s">
        <v>14</v>
      </c>
      <c r="C33" s="103">
        <v>45504</v>
      </c>
      <c r="D33" s="102" t="s">
        <v>42</v>
      </c>
      <c r="E33" s="102" t="s">
        <v>43</v>
      </c>
      <c r="F33" s="102">
        <v>2278</v>
      </c>
      <c r="G33" s="102">
        <v>10</v>
      </c>
      <c r="H33" s="102">
        <v>321</v>
      </c>
      <c r="I33" s="102">
        <v>13668</v>
      </c>
      <c r="J33" s="102">
        <v>12676</v>
      </c>
      <c r="K33" s="102">
        <v>275</v>
      </c>
      <c r="L33" s="102" t="s">
        <v>105</v>
      </c>
      <c r="M33" s="104" t="s">
        <v>55</v>
      </c>
    </row>
    <row r="34" spans="1:13" x14ac:dyDescent="0.3">
      <c r="A34" s="101" t="s">
        <v>112</v>
      </c>
      <c r="B34" s="102" t="s">
        <v>40</v>
      </c>
      <c r="C34" s="103">
        <v>45525</v>
      </c>
      <c r="D34" s="102" t="s">
        <v>49</v>
      </c>
      <c r="E34" s="102" t="s">
        <v>50</v>
      </c>
      <c r="F34" s="102">
        <v>1407</v>
      </c>
      <c r="G34" s="102">
        <v>400</v>
      </c>
      <c r="H34" s="102">
        <v>351</v>
      </c>
      <c r="I34" s="102">
        <v>16884</v>
      </c>
      <c r="J34" s="102">
        <v>15954</v>
      </c>
      <c r="K34" s="102">
        <v>113</v>
      </c>
      <c r="L34" s="102" t="s">
        <v>71</v>
      </c>
      <c r="M34" s="104" t="s">
        <v>38</v>
      </c>
    </row>
    <row r="35" spans="1:13" x14ac:dyDescent="0.3">
      <c r="A35" s="101" t="s">
        <v>114</v>
      </c>
      <c r="B35" s="102" t="s">
        <v>40</v>
      </c>
      <c r="C35" s="103">
        <v>45742</v>
      </c>
      <c r="D35" s="102" t="s">
        <v>22</v>
      </c>
      <c r="E35" s="102" t="s">
        <v>23</v>
      </c>
      <c r="F35" s="102">
        <v>1652</v>
      </c>
      <c r="G35" s="102">
        <v>89</v>
      </c>
      <c r="H35" s="102">
        <v>357</v>
      </c>
      <c r="I35" s="102">
        <v>29736</v>
      </c>
      <c r="J35" s="102">
        <v>28771</v>
      </c>
      <c r="K35" s="102">
        <v>215</v>
      </c>
      <c r="L35" s="102" t="s">
        <v>116</v>
      </c>
      <c r="M35" s="104" t="s">
        <v>25</v>
      </c>
    </row>
    <row r="36" spans="1:13" x14ac:dyDescent="0.3">
      <c r="A36" s="101" t="s">
        <v>117</v>
      </c>
      <c r="B36" s="102" t="s">
        <v>31</v>
      </c>
      <c r="C36" s="103">
        <v>45626</v>
      </c>
      <c r="D36" s="102" t="s">
        <v>69</v>
      </c>
      <c r="E36" s="102" t="s">
        <v>70</v>
      </c>
      <c r="F36" s="102">
        <v>3775</v>
      </c>
      <c r="G36" s="102">
        <v>16</v>
      </c>
      <c r="H36" s="102">
        <v>239</v>
      </c>
      <c r="I36" s="102">
        <v>33975</v>
      </c>
      <c r="J36" s="102">
        <v>33310</v>
      </c>
      <c r="K36" s="102">
        <v>271</v>
      </c>
      <c r="L36" s="102" t="s">
        <v>61</v>
      </c>
      <c r="M36" s="104" t="s">
        <v>38</v>
      </c>
    </row>
    <row r="37" spans="1:13" x14ac:dyDescent="0.3">
      <c r="A37" s="101" t="s">
        <v>119</v>
      </c>
      <c r="B37" s="102" t="s">
        <v>31</v>
      </c>
      <c r="C37" s="103">
        <v>45766</v>
      </c>
      <c r="D37" s="102" t="s">
        <v>33</v>
      </c>
      <c r="E37" s="102" t="s">
        <v>34</v>
      </c>
      <c r="F37" s="102">
        <v>4518</v>
      </c>
      <c r="G37" s="102">
        <v>285</v>
      </c>
      <c r="H37" s="102">
        <v>383</v>
      </c>
      <c r="I37" s="102">
        <v>67770</v>
      </c>
      <c r="J37" s="102">
        <v>67621</v>
      </c>
      <c r="K37" s="102">
        <v>31</v>
      </c>
      <c r="L37" s="102" t="s">
        <v>77</v>
      </c>
      <c r="M37" s="104" t="s">
        <v>25</v>
      </c>
    </row>
    <row r="38" spans="1:13" x14ac:dyDescent="0.3">
      <c r="A38" s="101" t="s">
        <v>121</v>
      </c>
      <c r="B38" s="102" t="s">
        <v>40</v>
      </c>
      <c r="C38" s="103">
        <v>45663</v>
      </c>
      <c r="D38" s="102" t="s">
        <v>42</v>
      </c>
      <c r="E38" s="102" t="s">
        <v>43</v>
      </c>
      <c r="F38" s="102">
        <v>3024</v>
      </c>
      <c r="G38" s="102">
        <v>925</v>
      </c>
      <c r="H38" s="102">
        <v>350</v>
      </c>
      <c r="I38" s="102">
        <v>24192</v>
      </c>
      <c r="J38" s="102">
        <v>23518</v>
      </c>
      <c r="K38" s="102">
        <v>36</v>
      </c>
      <c r="L38" s="102" t="s">
        <v>18</v>
      </c>
      <c r="M38" s="104" t="s">
        <v>38</v>
      </c>
    </row>
    <row r="39" spans="1:13" x14ac:dyDescent="0.3">
      <c r="A39" s="101" t="s">
        <v>123</v>
      </c>
      <c r="B39" s="102" t="s">
        <v>577</v>
      </c>
      <c r="C39" s="103">
        <v>45705</v>
      </c>
      <c r="D39" s="102" t="s">
        <v>16</v>
      </c>
      <c r="E39" s="102" t="s">
        <v>17</v>
      </c>
      <c r="F39" s="102">
        <v>3138</v>
      </c>
      <c r="G39" s="102">
        <v>123</v>
      </c>
      <c r="H39" s="102">
        <v>291</v>
      </c>
      <c r="I39" s="102">
        <v>28242</v>
      </c>
      <c r="J39" s="102">
        <v>27550</v>
      </c>
      <c r="K39" s="102">
        <v>87</v>
      </c>
      <c r="L39" s="102" t="s">
        <v>77</v>
      </c>
      <c r="M39" s="104" t="s">
        <v>55</v>
      </c>
    </row>
    <row r="40" spans="1:13" x14ac:dyDescent="0.3">
      <c r="A40" s="101" t="s">
        <v>125</v>
      </c>
      <c r="B40" s="102" t="s">
        <v>40</v>
      </c>
      <c r="C40" s="103">
        <v>45621</v>
      </c>
      <c r="D40" s="102" t="s">
        <v>49</v>
      </c>
      <c r="E40" s="102" t="s">
        <v>50</v>
      </c>
      <c r="F40" s="102">
        <v>3564</v>
      </c>
      <c r="G40" s="102">
        <v>629</v>
      </c>
      <c r="H40" s="102">
        <v>177</v>
      </c>
      <c r="I40" s="102">
        <v>60588</v>
      </c>
      <c r="J40" s="102">
        <v>59627</v>
      </c>
      <c r="K40" s="102">
        <v>92</v>
      </c>
      <c r="L40" s="102" t="s">
        <v>127</v>
      </c>
      <c r="M40" s="104" t="s">
        <v>38</v>
      </c>
    </row>
    <row r="41" spans="1:13" x14ac:dyDescent="0.3">
      <c r="A41" s="101" t="s">
        <v>128</v>
      </c>
      <c r="B41" s="102" t="s">
        <v>14</v>
      </c>
      <c r="C41" s="103">
        <v>45723</v>
      </c>
      <c r="D41" s="102" t="s">
        <v>49</v>
      </c>
      <c r="E41" s="102" t="s">
        <v>50</v>
      </c>
      <c r="F41" s="102">
        <v>4750</v>
      </c>
      <c r="G41" s="102">
        <v>151</v>
      </c>
      <c r="H41" s="102">
        <v>415</v>
      </c>
      <c r="I41" s="102">
        <v>38000</v>
      </c>
      <c r="J41" s="102">
        <v>37792</v>
      </c>
      <c r="K41" s="102">
        <v>299</v>
      </c>
      <c r="L41" s="102" t="s">
        <v>61</v>
      </c>
      <c r="M41" s="104" t="s">
        <v>25</v>
      </c>
    </row>
    <row r="42" spans="1:13" x14ac:dyDescent="0.3">
      <c r="A42" s="101" t="s">
        <v>130</v>
      </c>
      <c r="B42" s="102" t="s">
        <v>31</v>
      </c>
      <c r="C42" s="103">
        <v>45724</v>
      </c>
      <c r="D42" s="102" t="s">
        <v>16</v>
      </c>
      <c r="E42" s="102" t="s">
        <v>17</v>
      </c>
      <c r="F42" s="102">
        <v>456</v>
      </c>
      <c r="G42" s="102">
        <v>629</v>
      </c>
      <c r="H42" s="102">
        <v>428</v>
      </c>
      <c r="I42" s="102">
        <v>8208</v>
      </c>
      <c r="J42" s="102">
        <v>7377</v>
      </c>
      <c r="K42" s="102">
        <v>205</v>
      </c>
      <c r="L42" s="102" t="s">
        <v>74</v>
      </c>
      <c r="M42" s="104" t="s">
        <v>38</v>
      </c>
    </row>
    <row r="43" spans="1:13" x14ac:dyDescent="0.3">
      <c r="A43" s="101" t="s">
        <v>132</v>
      </c>
      <c r="B43" s="102" t="s">
        <v>577</v>
      </c>
      <c r="C43" s="103">
        <v>45721</v>
      </c>
      <c r="D43" s="102" t="s">
        <v>16</v>
      </c>
      <c r="E43" s="102" t="s">
        <v>17</v>
      </c>
      <c r="F43" s="102">
        <v>1543</v>
      </c>
      <c r="G43" s="102">
        <v>820</v>
      </c>
      <c r="H43" s="102">
        <v>333</v>
      </c>
      <c r="I43" s="102">
        <v>12344</v>
      </c>
      <c r="J43" s="102">
        <v>11496</v>
      </c>
      <c r="K43" s="102">
        <v>241</v>
      </c>
      <c r="L43" s="102" t="s">
        <v>58</v>
      </c>
      <c r="M43" s="104" t="s">
        <v>38</v>
      </c>
    </row>
    <row r="44" spans="1:13" x14ac:dyDescent="0.3">
      <c r="A44" s="101" t="s">
        <v>134</v>
      </c>
      <c r="B44" s="102" t="s">
        <v>31</v>
      </c>
      <c r="C44" s="103">
        <v>45640</v>
      </c>
      <c r="D44" s="102" t="s">
        <v>42</v>
      </c>
      <c r="E44" s="102" t="s">
        <v>43</v>
      </c>
      <c r="F44" s="102">
        <v>2174</v>
      </c>
      <c r="G44" s="102">
        <v>658</v>
      </c>
      <c r="H44" s="102">
        <v>15</v>
      </c>
      <c r="I44" s="102">
        <v>13044</v>
      </c>
      <c r="J44" s="102">
        <v>12206</v>
      </c>
      <c r="K44" s="102">
        <v>137</v>
      </c>
      <c r="L44" s="102" t="s">
        <v>66</v>
      </c>
      <c r="M44" s="104" t="s">
        <v>55</v>
      </c>
    </row>
    <row r="45" spans="1:13" x14ac:dyDescent="0.3">
      <c r="A45" s="101" t="s">
        <v>136</v>
      </c>
      <c r="B45" s="102" t="s">
        <v>14</v>
      </c>
      <c r="C45" s="103">
        <v>45718</v>
      </c>
      <c r="D45" s="102" t="s">
        <v>49</v>
      </c>
      <c r="E45" s="102" t="s">
        <v>50</v>
      </c>
      <c r="F45" s="102">
        <v>2358</v>
      </c>
      <c r="G45" s="102">
        <v>784</v>
      </c>
      <c r="H45" s="102">
        <v>344</v>
      </c>
      <c r="I45" s="102">
        <v>35370</v>
      </c>
      <c r="J45" s="102">
        <v>34475</v>
      </c>
      <c r="K45" s="102">
        <v>216</v>
      </c>
      <c r="L45" s="102" t="s">
        <v>82</v>
      </c>
      <c r="M45" s="104" t="s">
        <v>19</v>
      </c>
    </row>
    <row r="46" spans="1:13" x14ac:dyDescent="0.3">
      <c r="A46" s="101" t="s">
        <v>138</v>
      </c>
      <c r="B46" s="102" t="s">
        <v>40</v>
      </c>
      <c r="C46" s="103">
        <v>45597</v>
      </c>
      <c r="D46" s="102" t="s">
        <v>69</v>
      </c>
      <c r="E46" s="102" t="s">
        <v>70</v>
      </c>
      <c r="F46" s="102">
        <v>3371</v>
      </c>
      <c r="G46" s="102">
        <v>106</v>
      </c>
      <c r="H46" s="102">
        <v>327</v>
      </c>
      <c r="I46" s="102">
        <v>50565</v>
      </c>
      <c r="J46" s="102">
        <v>49816</v>
      </c>
      <c r="K46" s="102">
        <v>176</v>
      </c>
      <c r="L46" s="102" t="s">
        <v>77</v>
      </c>
      <c r="M46" s="104" t="s">
        <v>55</v>
      </c>
    </row>
    <row r="47" spans="1:13" x14ac:dyDescent="0.3">
      <c r="A47" s="101" t="s">
        <v>140</v>
      </c>
      <c r="B47" s="102" t="s">
        <v>14</v>
      </c>
      <c r="C47" s="103">
        <v>45779</v>
      </c>
      <c r="D47" s="102" t="s">
        <v>69</v>
      </c>
      <c r="E47" s="102" t="s">
        <v>70</v>
      </c>
      <c r="F47" s="102">
        <v>1108</v>
      </c>
      <c r="G47" s="102">
        <v>177</v>
      </c>
      <c r="H47" s="102">
        <v>212</v>
      </c>
      <c r="I47" s="102">
        <v>8864</v>
      </c>
      <c r="J47" s="102">
        <v>8710</v>
      </c>
      <c r="K47" s="102">
        <v>97</v>
      </c>
      <c r="L47" s="102" t="s">
        <v>24</v>
      </c>
      <c r="M47" s="104" t="s">
        <v>55</v>
      </c>
    </row>
    <row r="48" spans="1:13" x14ac:dyDescent="0.3">
      <c r="A48" s="101" t="s">
        <v>142</v>
      </c>
      <c r="B48" s="102" t="s">
        <v>14</v>
      </c>
      <c r="C48" s="103">
        <v>45712</v>
      </c>
      <c r="D48" s="102" t="s">
        <v>42</v>
      </c>
      <c r="E48" s="102" t="s">
        <v>43</v>
      </c>
      <c r="F48" s="102">
        <v>2704</v>
      </c>
      <c r="G48" s="102">
        <v>752</v>
      </c>
      <c r="H48" s="102">
        <v>153</v>
      </c>
      <c r="I48" s="102">
        <v>21632</v>
      </c>
      <c r="J48" s="102">
        <v>20792</v>
      </c>
      <c r="K48" s="102">
        <v>127</v>
      </c>
      <c r="L48" s="102" t="s">
        <v>144</v>
      </c>
      <c r="M48" s="104" t="s">
        <v>19</v>
      </c>
    </row>
    <row r="49" spans="1:13" x14ac:dyDescent="0.3">
      <c r="A49" s="101" t="s">
        <v>145</v>
      </c>
      <c r="B49" s="102" t="s">
        <v>14</v>
      </c>
      <c r="C49" s="103">
        <v>45727</v>
      </c>
      <c r="D49" s="102" t="s">
        <v>33</v>
      </c>
      <c r="E49" s="102" t="s">
        <v>34</v>
      </c>
      <c r="F49" s="102">
        <v>1950</v>
      </c>
      <c r="G49" s="102">
        <v>295</v>
      </c>
      <c r="H49" s="102">
        <v>478</v>
      </c>
      <c r="I49" s="102">
        <v>37050</v>
      </c>
      <c r="J49" s="102">
        <v>36272</v>
      </c>
      <c r="K49" s="102">
        <v>119</v>
      </c>
      <c r="L49" s="102" t="s">
        <v>146</v>
      </c>
      <c r="M49" s="104" t="s">
        <v>55</v>
      </c>
    </row>
    <row r="50" spans="1:13" x14ac:dyDescent="0.3">
      <c r="A50" s="101" t="s">
        <v>147</v>
      </c>
      <c r="B50" s="102" t="s">
        <v>14</v>
      </c>
      <c r="C50" s="103">
        <v>45453</v>
      </c>
      <c r="D50" s="102" t="s">
        <v>33</v>
      </c>
      <c r="E50" s="102" t="s">
        <v>34</v>
      </c>
      <c r="F50" s="102">
        <v>2164</v>
      </c>
      <c r="G50" s="102">
        <v>549</v>
      </c>
      <c r="H50" s="102">
        <v>274</v>
      </c>
      <c r="I50" s="102">
        <v>28132</v>
      </c>
      <c r="J50" s="102">
        <v>27361</v>
      </c>
      <c r="K50" s="102">
        <v>177</v>
      </c>
      <c r="L50" s="102" t="s">
        <v>58</v>
      </c>
      <c r="M50" s="104" t="s">
        <v>19</v>
      </c>
    </row>
    <row r="51" spans="1:13" x14ac:dyDescent="0.3">
      <c r="A51" s="101" t="s">
        <v>149</v>
      </c>
      <c r="B51" s="102" t="s">
        <v>577</v>
      </c>
      <c r="C51" s="103">
        <v>45476</v>
      </c>
      <c r="D51" s="102" t="s">
        <v>33</v>
      </c>
      <c r="E51" s="102" t="s">
        <v>34</v>
      </c>
      <c r="F51" s="102">
        <v>2754</v>
      </c>
      <c r="G51" s="102">
        <v>130</v>
      </c>
      <c r="H51" s="102">
        <v>90</v>
      </c>
      <c r="I51" s="102">
        <v>22032</v>
      </c>
      <c r="J51" s="102">
        <v>21288</v>
      </c>
      <c r="K51" s="102">
        <v>112</v>
      </c>
      <c r="L51" s="102" t="s">
        <v>24</v>
      </c>
      <c r="M51" s="104" t="s">
        <v>19</v>
      </c>
    </row>
    <row r="52" spans="1:13" x14ac:dyDescent="0.3">
      <c r="A52" s="101" t="s">
        <v>151</v>
      </c>
      <c r="B52" s="102" t="s">
        <v>40</v>
      </c>
      <c r="C52" s="103">
        <v>45456</v>
      </c>
      <c r="D52" s="102" t="s">
        <v>42</v>
      </c>
      <c r="E52" s="102" t="s">
        <v>43</v>
      </c>
      <c r="F52" s="102">
        <v>2200</v>
      </c>
      <c r="G52" s="102">
        <v>504</v>
      </c>
      <c r="H52" s="102">
        <v>239</v>
      </c>
      <c r="I52" s="102">
        <v>37400</v>
      </c>
      <c r="J52" s="102">
        <v>36938</v>
      </c>
      <c r="K52" s="102">
        <v>225</v>
      </c>
      <c r="L52" s="102" t="s">
        <v>18</v>
      </c>
      <c r="M52" s="104" t="s">
        <v>38</v>
      </c>
    </row>
    <row r="53" spans="1:13" x14ac:dyDescent="0.3">
      <c r="A53" s="101" t="s">
        <v>153</v>
      </c>
      <c r="B53" s="102" t="s">
        <v>40</v>
      </c>
      <c r="C53" s="103">
        <v>45660</v>
      </c>
      <c r="D53" s="102" t="s">
        <v>49</v>
      </c>
      <c r="E53" s="102" t="s">
        <v>50</v>
      </c>
      <c r="F53" s="102">
        <v>947</v>
      </c>
      <c r="G53" s="102">
        <v>338</v>
      </c>
      <c r="H53" s="102">
        <v>350</v>
      </c>
      <c r="I53" s="102">
        <v>10417</v>
      </c>
      <c r="J53" s="102">
        <v>9730</v>
      </c>
      <c r="K53" s="102">
        <v>34</v>
      </c>
      <c r="L53" s="102" t="s">
        <v>29</v>
      </c>
      <c r="M53" s="104" t="s">
        <v>38</v>
      </c>
    </row>
    <row r="54" spans="1:13" x14ac:dyDescent="0.3">
      <c r="A54" s="101" t="s">
        <v>155</v>
      </c>
      <c r="B54" s="102" t="s">
        <v>577</v>
      </c>
      <c r="C54" s="103">
        <v>45712</v>
      </c>
      <c r="D54" s="102" t="s">
        <v>42</v>
      </c>
      <c r="E54" s="102" t="s">
        <v>43</v>
      </c>
      <c r="F54" s="102">
        <v>804</v>
      </c>
      <c r="G54" s="102">
        <v>639</v>
      </c>
      <c r="H54" s="102">
        <v>43</v>
      </c>
      <c r="I54" s="102">
        <v>4020</v>
      </c>
      <c r="J54" s="102">
        <v>3144</v>
      </c>
      <c r="K54" s="102">
        <v>11</v>
      </c>
      <c r="L54" s="102" t="s">
        <v>87</v>
      </c>
      <c r="M54" s="104" t="s">
        <v>55</v>
      </c>
    </row>
    <row r="55" spans="1:13" x14ac:dyDescent="0.3">
      <c r="A55" s="101" t="s">
        <v>156</v>
      </c>
      <c r="B55" s="102" t="s">
        <v>577</v>
      </c>
      <c r="C55" s="103">
        <v>45729</v>
      </c>
      <c r="D55" s="102" t="s">
        <v>42</v>
      </c>
      <c r="E55" s="102" t="s">
        <v>43</v>
      </c>
      <c r="F55" s="102">
        <v>1686</v>
      </c>
      <c r="G55" s="102">
        <v>904</v>
      </c>
      <c r="H55" s="102">
        <v>472</v>
      </c>
      <c r="I55" s="102">
        <v>18546</v>
      </c>
      <c r="J55" s="102">
        <v>18171</v>
      </c>
      <c r="K55" s="102">
        <v>52</v>
      </c>
      <c r="L55" s="102" t="s">
        <v>71</v>
      </c>
      <c r="M55" s="104" t="s">
        <v>25</v>
      </c>
    </row>
    <row r="56" spans="1:13" x14ac:dyDescent="0.3">
      <c r="A56" s="101" t="s">
        <v>158</v>
      </c>
      <c r="B56" s="102" t="s">
        <v>40</v>
      </c>
      <c r="C56" s="103">
        <v>45460</v>
      </c>
      <c r="D56" s="102" t="s">
        <v>49</v>
      </c>
      <c r="E56" s="102" t="s">
        <v>50</v>
      </c>
      <c r="F56" s="102">
        <v>1226</v>
      </c>
      <c r="G56" s="102">
        <v>119</v>
      </c>
      <c r="H56" s="102">
        <v>7</v>
      </c>
      <c r="I56" s="102">
        <v>14712</v>
      </c>
      <c r="J56" s="102">
        <v>14049</v>
      </c>
      <c r="K56" s="102">
        <v>123</v>
      </c>
      <c r="L56" s="102" t="s">
        <v>102</v>
      </c>
      <c r="M56" s="104" t="s">
        <v>55</v>
      </c>
    </row>
    <row r="57" spans="1:13" x14ac:dyDescent="0.3">
      <c r="A57" s="101" t="s">
        <v>160</v>
      </c>
      <c r="B57" s="102" t="s">
        <v>40</v>
      </c>
      <c r="C57" s="103">
        <v>45644</v>
      </c>
      <c r="D57" s="102" t="s">
        <v>42</v>
      </c>
      <c r="E57" s="102" t="s">
        <v>43</v>
      </c>
      <c r="F57" s="102">
        <v>2946</v>
      </c>
      <c r="G57" s="102">
        <v>498</v>
      </c>
      <c r="H57" s="102">
        <v>367</v>
      </c>
      <c r="I57" s="102">
        <v>29460</v>
      </c>
      <c r="J57" s="102">
        <v>28527</v>
      </c>
      <c r="K57" s="102">
        <v>60</v>
      </c>
      <c r="L57" s="102" t="s">
        <v>162</v>
      </c>
      <c r="M57" s="104" t="s">
        <v>25</v>
      </c>
    </row>
    <row r="58" spans="1:13" x14ac:dyDescent="0.3">
      <c r="A58" s="101" t="s">
        <v>163</v>
      </c>
      <c r="B58" s="102" t="s">
        <v>14</v>
      </c>
      <c r="C58" s="103">
        <v>45586</v>
      </c>
      <c r="D58" s="102" t="s">
        <v>69</v>
      </c>
      <c r="E58" s="102" t="s">
        <v>70</v>
      </c>
      <c r="F58" s="102">
        <v>2825</v>
      </c>
      <c r="G58" s="102">
        <v>535</v>
      </c>
      <c r="H58" s="102">
        <v>295</v>
      </c>
      <c r="I58" s="102">
        <v>45200</v>
      </c>
      <c r="J58" s="102">
        <v>44739</v>
      </c>
      <c r="K58" s="102">
        <v>169</v>
      </c>
      <c r="L58" s="102" t="s">
        <v>58</v>
      </c>
      <c r="M58" s="104" t="s">
        <v>25</v>
      </c>
    </row>
    <row r="59" spans="1:13" x14ac:dyDescent="0.3">
      <c r="A59" s="101" t="s">
        <v>165</v>
      </c>
      <c r="B59" s="102" t="s">
        <v>31</v>
      </c>
      <c r="C59" s="103">
        <v>45762</v>
      </c>
      <c r="D59" s="102" t="s">
        <v>16</v>
      </c>
      <c r="E59" s="102" t="s">
        <v>17</v>
      </c>
      <c r="F59" s="102">
        <v>103</v>
      </c>
      <c r="G59" s="102">
        <v>770</v>
      </c>
      <c r="H59" s="102">
        <v>19</v>
      </c>
      <c r="I59" s="102">
        <v>1030</v>
      </c>
      <c r="J59" s="102">
        <v>410</v>
      </c>
      <c r="K59" s="102">
        <v>262</v>
      </c>
      <c r="L59" s="102" t="s">
        <v>18</v>
      </c>
      <c r="M59" s="104" t="s">
        <v>38</v>
      </c>
    </row>
    <row r="60" spans="1:13" x14ac:dyDescent="0.3">
      <c r="A60" s="101" t="s">
        <v>167</v>
      </c>
      <c r="B60" s="102" t="s">
        <v>31</v>
      </c>
      <c r="C60" s="103">
        <v>45465</v>
      </c>
      <c r="D60" s="102" t="s">
        <v>22</v>
      </c>
      <c r="E60" s="102" t="s">
        <v>23</v>
      </c>
      <c r="F60" s="102">
        <v>2180</v>
      </c>
      <c r="G60" s="102">
        <v>263</v>
      </c>
      <c r="H60" s="102">
        <v>387</v>
      </c>
      <c r="I60" s="102">
        <v>30520</v>
      </c>
      <c r="J60" s="102">
        <v>30059</v>
      </c>
      <c r="K60" s="102">
        <v>174</v>
      </c>
      <c r="L60" s="102" t="s">
        <v>77</v>
      </c>
      <c r="M60" s="104" t="s">
        <v>19</v>
      </c>
    </row>
    <row r="61" spans="1:13" x14ac:dyDescent="0.3">
      <c r="A61" s="101" t="s">
        <v>169</v>
      </c>
      <c r="B61" s="102" t="s">
        <v>31</v>
      </c>
      <c r="C61" s="103">
        <v>45685</v>
      </c>
      <c r="D61" s="102" t="s">
        <v>69</v>
      </c>
      <c r="E61" s="102" t="s">
        <v>70</v>
      </c>
      <c r="F61" s="102">
        <v>904</v>
      </c>
      <c r="G61" s="102">
        <v>973</v>
      </c>
      <c r="H61" s="102">
        <v>63</v>
      </c>
      <c r="I61" s="102">
        <v>11752</v>
      </c>
      <c r="J61" s="102">
        <v>11580</v>
      </c>
      <c r="K61" s="102">
        <v>84</v>
      </c>
      <c r="L61" s="102" t="s">
        <v>58</v>
      </c>
      <c r="M61" s="104" t="s">
        <v>19</v>
      </c>
    </row>
    <row r="62" spans="1:13" x14ac:dyDescent="0.3">
      <c r="A62" s="101" t="s">
        <v>171</v>
      </c>
      <c r="B62" s="102" t="s">
        <v>14</v>
      </c>
      <c r="C62" s="103">
        <v>45540</v>
      </c>
      <c r="D62" s="102" t="s">
        <v>69</v>
      </c>
      <c r="E62" s="102" t="s">
        <v>70</v>
      </c>
      <c r="F62" s="102">
        <v>4886</v>
      </c>
      <c r="G62" s="102">
        <v>983</v>
      </c>
      <c r="H62" s="102">
        <v>409</v>
      </c>
      <c r="I62" s="102">
        <v>43974</v>
      </c>
      <c r="J62" s="102">
        <v>43239</v>
      </c>
      <c r="K62" s="102">
        <v>65</v>
      </c>
      <c r="L62" s="102" t="s">
        <v>24</v>
      </c>
      <c r="M62" s="104" t="s">
        <v>19</v>
      </c>
    </row>
    <row r="63" spans="1:13" x14ac:dyDescent="0.3">
      <c r="A63" s="101" t="s">
        <v>173</v>
      </c>
      <c r="B63" s="102" t="s">
        <v>14</v>
      </c>
      <c r="C63" s="103">
        <v>45618</v>
      </c>
      <c r="D63" s="102" t="s">
        <v>42</v>
      </c>
      <c r="E63" s="102" t="s">
        <v>43</v>
      </c>
      <c r="F63" s="102">
        <v>53</v>
      </c>
      <c r="G63" s="102">
        <v>81</v>
      </c>
      <c r="H63" s="102">
        <v>379</v>
      </c>
      <c r="I63" s="102">
        <v>954</v>
      </c>
      <c r="J63" s="102">
        <v>7</v>
      </c>
      <c r="K63" s="102">
        <v>148</v>
      </c>
      <c r="L63" s="102" t="s">
        <v>77</v>
      </c>
      <c r="M63" s="104" t="s">
        <v>38</v>
      </c>
    </row>
    <row r="64" spans="1:13" x14ac:dyDescent="0.3">
      <c r="A64" s="101" t="s">
        <v>175</v>
      </c>
      <c r="B64" s="102" t="s">
        <v>14</v>
      </c>
      <c r="C64" s="103">
        <v>45504</v>
      </c>
      <c r="D64" s="102" t="s">
        <v>42</v>
      </c>
      <c r="E64" s="102" t="s">
        <v>43</v>
      </c>
      <c r="F64" s="102">
        <v>4507</v>
      </c>
      <c r="G64" s="102">
        <v>217</v>
      </c>
      <c r="H64" s="102">
        <v>13</v>
      </c>
      <c r="I64" s="102">
        <v>90140</v>
      </c>
      <c r="J64" s="102">
        <v>89591</v>
      </c>
      <c r="K64" s="102">
        <v>125</v>
      </c>
      <c r="L64" s="102" t="s">
        <v>18</v>
      </c>
      <c r="M64" s="104" t="s">
        <v>19</v>
      </c>
    </row>
    <row r="65" spans="1:13" x14ac:dyDescent="0.3">
      <c r="A65" s="101" t="s">
        <v>176</v>
      </c>
      <c r="B65" s="102" t="s">
        <v>40</v>
      </c>
      <c r="C65" s="103">
        <v>45521</v>
      </c>
      <c r="D65" s="102" t="s">
        <v>49</v>
      </c>
      <c r="E65" s="102" t="s">
        <v>50</v>
      </c>
      <c r="F65" s="102">
        <v>2878</v>
      </c>
      <c r="G65" s="102">
        <v>248</v>
      </c>
      <c r="H65" s="102">
        <v>416</v>
      </c>
      <c r="I65" s="102">
        <v>43170</v>
      </c>
      <c r="J65" s="102">
        <v>42667</v>
      </c>
      <c r="K65" s="102">
        <v>75</v>
      </c>
      <c r="L65" s="102" t="s">
        <v>178</v>
      </c>
      <c r="M65" s="104" t="s">
        <v>25</v>
      </c>
    </row>
    <row r="66" spans="1:13" x14ac:dyDescent="0.3">
      <c r="A66" s="101" t="s">
        <v>179</v>
      </c>
      <c r="B66" s="102" t="s">
        <v>31</v>
      </c>
      <c r="C66" s="103">
        <v>45744</v>
      </c>
      <c r="D66" s="102" t="s">
        <v>33</v>
      </c>
      <c r="E66" s="102" t="s">
        <v>34</v>
      </c>
      <c r="F66" s="102">
        <v>1881</v>
      </c>
      <c r="G66" s="102">
        <v>501</v>
      </c>
      <c r="H66" s="102">
        <v>99</v>
      </c>
      <c r="I66" s="102">
        <v>20691</v>
      </c>
      <c r="J66" s="102">
        <v>19987</v>
      </c>
      <c r="K66" s="102">
        <v>289</v>
      </c>
      <c r="L66" s="102" t="s">
        <v>77</v>
      </c>
      <c r="M66" s="104" t="s">
        <v>25</v>
      </c>
    </row>
    <row r="67" spans="1:13" x14ac:dyDescent="0.3">
      <c r="A67" s="101" t="s">
        <v>181</v>
      </c>
      <c r="B67" s="102" t="s">
        <v>14</v>
      </c>
      <c r="C67" s="103">
        <v>45499</v>
      </c>
      <c r="D67" s="102" t="s">
        <v>42</v>
      </c>
      <c r="E67" s="102" t="s">
        <v>43</v>
      </c>
      <c r="F67" s="102">
        <v>432</v>
      </c>
      <c r="G67" s="102">
        <v>171</v>
      </c>
      <c r="H67" s="102">
        <v>280</v>
      </c>
      <c r="I67" s="102">
        <v>3024</v>
      </c>
      <c r="J67" s="102">
        <v>2285</v>
      </c>
      <c r="K67" s="102">
        <v>184</v>
      </c>
      <c r="L67" s="102" t="s">
        <v>24</v>
      </c>
      <c r="M67" s="104" t="s">
        <v>38</v>
      </c>
    </row>
    <row r="68" spans="1:13" x14ac:dyDescent="0.3">
      <c r="A68" s="101" t="s">
        <v>183</v>
      </c>
      <c r="B68" s="102" t="s">
        <v>40</v>
      </c>
      <c r="C68" s="103">
        <v>45745</v>
      </c>
      <c r="D68" s="102" t="s">
        <v>42</v>
      </c>
      <c r="E68" s="102" t="s">
        <v>43</v>
      </c>
      <c r="F68" s="102">
        <v>4712</v>
      </c>
      <c r="G68" s="102">
        <v>568</v>
      </c>
      <c r="H68" s="102">
        <v>127</v>
      </c>
      <c r="I68" s="102">
        <v>84816</v>
      </c>
      <c r="J68" s="102">
        <v>84691</v>
      </c>
      <c r="K68" s="102">
        <v>100</v>
      </c>
      <c r="L68" s="102" t="s">
        <v>77</v>
      </c>
      <c r="M68" s="104" t="s">
        <v>19</v>
      </c>
    </row>
    <row r="69" spans="1:13" x14ac:dyDescent="0.3">
      <c r="A69" s="101" t="s">
        <v>185</v>
      </c>
      <c r="B69" s="102" t="s">
        <v>31</v>
      </c>
      <c r="C69" s="103">
        <v>45634</v>
      </c>
      <c r="D69" s="102" t="s">
        <v>33</v>
      </c>
      <c r="E69" s="102" t="s">
        <v>34</v>
      </c>
      <c r="F69" s="102">
        <v>2610</v>
      </c>
      <c r="G69" s="102">
        <v>126</v>
      </c>
      <c r="H69" s="102">
        <v>288</v>
      </c>
      <c r="I69" s="102">
        <v>15660</v>
      </c>
      <c r="J69" s="102">
        <v>15145</v>
      </c>
      <c r="K69" s="102">
        <v>73</v>
      </c>
      <c r="L69" s="102" t="s">
        <v>24</v>
      </c>
      <c r="M69" s="104" t="s">
        <v>19</v>
      </c>
    </row>
    <row r="70" spans="1:13" x14ac:dyDescent="0.3">
      <c r="A70" s="101" t="s">
        <v>187</v>
      </c>
      <c r="B70" s="102" t="s">
        <v>14</v>
      </c>
      <c r="C70" s="103">
        <v>45724</v>
      </c>
      <c r="D70" s="102" t="s">
        <v>22</v>
      </c>
      <c r="E70" s="102" t="s">
        <v>23</v>
      </c>
      <c r="F70" s="102">
        <v>1292</v>
      </c>
      <c r="G70" s="102">
        <v>626</v>
      </c>
      <c r="H70" s="102">
        <v>496</v>
      </c>
      <c r="I70" s="102">
        <v>25840</v>
      </c>
      <c r="J70" s="102">
        <v>24916</v>
      </c>
      <c r="K70" s="102">
        <v>149</v>
      </c>
      <c r="L70" s="102" t="s">
        <v>87</v>
      </c>
      <c r="M70" s="104" t="s">
        <v>55</v>
      </c>
    </row>
    <row r="71" spans="1:13" x14ac:dyDescent="0.3">
      <c r="A71" s="101" t="s">
        <v>188</v>
      </c>
      <c r="B71" s="102" t="s">
        <v>40</v>
      </c>
      <c r="C71" s="103">
        <v>45749</v>
      </c>
      <c r="D71" s="102" t="s">
        <v>69</v>
      </c>
      <c r="E71" s="102" t="s">
        <v>70</v>
      </c>
      <c r="F71" s="102">
        <v>199</v>
      </c>
      <c r="G71" s="102">
        <v>772</v>
      </c>
      <c r="H71" s="102">
        <v>400</v>
      </c>
      <c r="I71" s="102">
        <v>3582</v>
      </c>
      <c r="J71" s="102">
        <v>2988</v>
      </c>
      <c r="K71" s="102">
        <v>43</v>
      </c>
      <c r="L71" s="102" t="s">
        <v>44</v>
      </c>
      <c r="M71" s="104" t="s">
        <v>19</v>
      </c>
    </row>
    <row r="72" spans="1:13" x14ac:dyDescent="0.3">
      <c r="A72" s="101" t="s">
        <v>190</v>
      </c>
      <c r="B72" s="102" t="s">
        <v>577</v>
      </c>
      <c r="C72" s="103">
        <v>45537</v>
      </c>
      <c r="D72" s="102" t="s">
        <v>42</v>
      </c>
      <c r="E72" s="102" t="s">
        <v>43</v>
      </c>
      <c r="F72" s="102">
        <v>2551</v>
      </c>
      <c r="G72" s="102">
        <v>915</v>
      </c>
      <c r="H72" s="102">
        <v>205</v>
      </c>
      <c r="I72" s="102">
        <v>30612</v>
      </c>
      <c r="J72" s="102">
        <v>30360</v>
      </c>
      <c r="K72" s="102">
        <v>227</v>
      </c>
      <c r="L72" s="102" t="s">
        <v>74</v>
      </c>
      <c r="M72" s="104" t="s">
        <v>25</v>
      </c>
    </row>
    <row r="73" spans="1:13" x14ac:dyDescent="0.3">
      <c r="A73" s="101" t="s">
        <v>192</v>
      </c>
      <c r="B73" s="102" t="s">
        <v>577</v>
      </c>
      <c r="C73" s="103">
        <v>45719</v>
      </c>
      <c r="D73" s="102" t="s">
        <v>16</v>
      </c>
      <c r="E73" s="102" t="s">
        <v>17</v>
      </c>
      <c r="F73" s="102">
        <v>296</v>
      </c>
      <c r="G73" s="102">
        <v>60</v>
      </c>
      <c r="H73" s="102">
        <v>141</v>
      </c>
      <c r="I73" s="102">
        <v>5624</v>
      </c>
      <c r="J73" s="102">
        <v>5239</v>
      </c>
      <c r="K73" s="102">
        <v>88</v>
      </c>
      <c r="L73" s="102" t="s">
        <v>44</v>
      </c>
      <c r="M73" s="104" t="s">
        <v>55</v>
      </c>
    </row>
    <row r="74" spans="1:13" x14ac:dyDescent="0.3">
      <c r="A74" s="101" t="s">
        <v>194</v>
      </c>
      <c r="B74" s="102" t="s">
        <v>40</v>
      </c>
      <c r="C74" s="103">
        <v>45583</v>
      </c>
      <c r="D74" s="102" t="s">
        <v>33</v>
      </c>
      <c r="E74" s="102" t="s">
        <v>34</v>
      </c>
      <c r="F74" s="102">
        <v>4126</v>
      </c>
      <c r="G74" s="102">
        <v>426</v>
      </c>
      <c r="H74" s="102">
        <v>486</v>
      </c>
      <c r="I74" s="102">
        <v>78394</v>
      </c>
      <c r="J74" s="102">
        <v>77798</v>
      </c>
      <c r="K74" s="102">
        <v>88</v>
      </c>
      <c r="L74" s="102" t="s">
        <v>24</v>
      </c>
      <c r="M74" s="104" t="s">
        <v>19</v>
      </c>
    </row>
    <row r="75" spans="1:13" x14ac:dyDescent="0.3">
      <c r="A75" s="101" t="s">
        <v>196</v>
      </c>
      <c r="B75" s="102" t="s">
        <v>577</v>
      </c>
      <c r="C75" s="103">
        <v>45593</v>
      </c>
      <c r="D75" s="102" t="s">
        <v>16</v>
      </c>
      <c r="E75" s="102" t="s">
        <v>17</v>
      </c>
      <c r="F75" s="102">
        <v>1855</v>
      </c>
      <c r="G75" s="102">
        <v>200</v>
      </c>
      <c r="H75" s="102">
        <v>174</v>
      </c>
      <c r="I75" s="102">
        <v>16695</v>
      </c>
      <c r="J75" s="102">
        <v>16330</v>
      </c>
      <c r="K75" s="102">
        <v>123</v>
      </c>
      <c r="L75" s="102" t="s">
        <v>24</v>
      </c>
      <c r="M75" s="104" t="s">
        <v>38</v>
      </c>
    </row>
    <row r="76" spans="1:13" x14ac:dyDescent="0.3">
      <c r="A76" s="101" t="s">
        <v>198</v>
      </c>
      <c r="B76" s="102" t="s">
        <v>31</v>
      </c>
      <c r="C76" s="103">
        <v>45505</v>
      </c>
      <c r="D76" s="102" t="s">
        <v>16</v>
      </c>
      <c r="E76" s="102" t="s">
        <v>17</v>
      </c>
      <c r="F76" s="102">
        <v>1674</v>
      </c>
      <c r="G76" s="102">
        <v>929</v>
      </c>
      <c r="H76" s="102">
        <v>37</v>
      </c>
      <c r="I76" s="102">
        <v>21762</v>
      </c>
      <c r="J76" s="102">
        <v>20998</v>
      </c>
      <c r="K76" s="102">
        <v>255</v>
      </c>
      <c r="L76" s="102" t="s">
        <v>162</v>
      </c>
      <c r="M76" s="104" t="s">
        <v>38</v>
      </c>
    </row>
    <row r="77" spans="1:13" x14ac:dyDescent="0.3">
      <c r="A77" s="101" t="s">
        <v>200</v>
      </c>
      <c r="B77" s="102" t="s">
        <v>14</v>
      </c>
      <c r="C77" s="103">
        <v>45603</v>
      </c>
      <c r="D77" s="102" t="s">
        <v>33</v>
      </c>
      <c r="E77" s="102" t="s">
        <v>34</v>
      </c>
      <c r="F77" s="102">
        <v>1121</v>
      </c>
      <c r="G77" s="102">
        <v>135</v>
      </c>
      <c r="H77" s="102">
        <v>18</v>
      </c>
      <c r="I77" s="102">
        <v>15694</v>
      </c>
      <c r="J77" s="102">
        <v>14957</v>
      </c>
      <c r="K77" s="102">
        <v>99</v>
      </c>
      <c r="L77" s="102" t="s">
        <v>66</v>
      </c>
      <c r="M77" s="104" t="s">
        <v>55</v>
      </c>
    </row>
    <row r="78" spans="1:13" x14ac:dyDescent="0.3">
      <c r="A78" s="101" t="s">
        <v>202</v>
      </c>
      <c r="B78" s="102" t="s">
        <v>40</v>
      </c>
      <c r="C78" s="103">
        <v>45720</v>
      </c>
      <c r="D78" s="102" t="s">
        <v>33</v>
      </c>
      <c r="E78" s="102" t="s">
        <v>34</v>
      </c>
      <c r="F78" s="102">
        <v>1249</v>
      </c>
      <c r="G78" s="102">
        <v>116</v>
      </c>
      <c r="H78" s="102">
        <v>420</v>
      </c>
      <c r="I78" s="102">
        <v>8743</v>
      </c>
      <c r="J78" s="102">
        <v>8538</v>
      </c>
      <c r="K78" s="102">
        <v>63</v>
      </c>
      <c r="L78" s="102" t="s">
        <v>71</v>
      </c>
      <c r="M78" s="104" t="s">
        <v>38</v>
      </c>
    </row>
    <row r="79" spans="1:13" x14ac:dyDescent="0.3">
      <c r="A79" s="101" t="s">
        <v>203</v>
      </c>
      <c r="B79" s="102" t="s">
        <v>14</v>
      </c>
      <c r="C79" s="103">
        <v>45460</v>
      </c>
      <c r="D79" s="102" t="s">
        <v>49</v>
      </c>
      <c r="E79" s="102" t="s">
        <v>50</v>
      </c>
      <c r="F79" s="102">
        <v>954</v>
      </c>
      <c r="G79" s="102">
        <v>324</v>
      </c>
      <c r="H79" s="102">
        <v>288</v>
      </c>
      <c r="I79" s="102">
        <v>19080</v>
      </c>
      <c r="J79" s="102">
        <v>18859</v>
      </c>
      <c r="K79" s="102">
        <v>21</v>
      </c>
      <c r="L79" s="102" t="s">
        <v>44</v>
      </c>
      <c r="M79" s="104" t="s">
        <v>38</v>
      </c>
    </row>
    <row r="80" spans="1:13" x14ac:dyDescent="0.3">
      <c r="A80" s="101" t="s">
        <v>204</v>
      </c>
      <c r="B80" s="102" t="s">
        <v>31</v>
      </c>
      <c r="C80" s="103">
        <v>45574</v>
      </c>
      <c r="D80" s="102" t="s">
        <v>42</v>
      </c>
      <c r="E80" s="102" t="s">
        <v>43</v>
      </c>
      <c r="F80" s="102">
        <v>3068</v>
      </c>
      <c r="G80" s="102">
        <v>137</v>
      </c>
      <c r="H80" s="102">
        <v>329</v>
      </c>
      <c r="I80" s="102">
        <v>39884</v>
      </c>
      <c r="J80" s="102">
        <v>39404</v>
      </c>
      <c r="K80" s="102">
        <v>266</v>
      </c>
      <c r="L80" s="102" t="s">
        <v>102</v>
      </c>
      <c r="M80" s="104" t="s">
        <v>38</v>
      </c>
    </row>
    <row r="81" spans="1:13" x14ac:dyDescent="0.3">
      <c r="A81" s="101" t="s">
        <v>206</v>
      </c>
      <c r="B81" s="102" t="s">
        <v>31</v>
      </c>
      <c r="C81" s="103">
        <v>45456</v>
      </c>
      <c r="D81" s="102" t="s">
        <v>33</v>
      </c>
      <c r="E81" s="102" t="s">
        <v>34</v>
      </c>
      <c r="F81" s="102">
        <v>2103</v>
      </c>
      <c r="G81" s="102">
        <v>892</v>
      </c>
      <c r="H81" s="102">
        <v>103</v>
      </c>
      <c r="I81" s="102">
        <v>39957</v>
      </c>
      <c r="J81" s="102">
        <v>39466</v>
      </c>
      <c r="K81" s="102">
        <v>28</v>
      </c>
      <c r="L81" s="102" t="s">
        <v>144</v>
      </c>
      <c r="M81" s="104" t="s">
        <v>25</v>
      </c>
    </row>
    <row r="82" spans="1:13" x14ac:dyDescent="0.3">
      <c r="A82" s="101" t="s">
        <v>207</v>
      </c>
      <c r="B82" s="102" t="s">
        <v>31</v>
      </c>
      <c r="C82" s="103">
        <v>45584</v>
      </c>
      <c r="D82" s="102" t="s">
        <v>33</v>
      </c>
      <c r="E82" s="102" t="s">
        <v>34</v>
      </c>
      <c r="F82" s="102">
        <v>1816</v>
      </c>
      <c r="G82" s="102">
        <v>29</v>
      </c>
      <c r="H82" s="102">
        <v>41</v>
      </c>
      <c r="I82" s="102">
        <v>19976</v>
      </c>
      <c r="J82" s="102">
        <v>19262</v>
      </c>
      <c r="K82" s="102">
        <v>283</v>
      </c>
      <c r="L82" s="102" t="s">
        <v>209</v>
      </c>
      <c r="M82" s="104" t="s">
        <v>38</v>
      </c>
    </row>
    <row r="83" spans="1:13" x14ac:dyDescent="0.3">
      <c r="A83" s="101" t="s">
        <v>210</v>
      </c>
      <c r="B83" s="102" t="s">
        <v>31</v>
      </c>
      <c r="C83" s="103">
        <v>45497</v>
      </c>
      <c r="D83" s="102" t="s">
        <v>49</v>
      </c>
      <c r="E83" s="102" t="s">
        <v>50</v>
      </c>
      <c r="F83" s="102">
        <v>725</v>
      </c>
      <c r="G83" s="102">
        <v>88</v>
      </c>
      <c r="H83" s="102">
        <v>428</v>
      </c>
      <c r="I83" s="102">
        <v>14500</v>
      </c>
      <c r="J83" s="102">
        <v>13637</v>
      </c>
      <c r="K83" s="102">
        <v>200</v>
      </c>
      <c r="L83" s="102" t="s">
        <v>44</v>
      </c>
      <c r="M83" s="104" t="s">
        <v>38</v>
      </c>
    </row>
    <row r="84" spans="1:13" x14ac:dyDescent="0.3">
      <c r="A84" s="101" t="s">
        <v>212</v>
      </c>
      <c r="B84" s="102" t="s">
        <v>577</v>
      </c>
      <c r="C84" s="103">
        <v>45580</v>
      </c>
      <c r="D84" s="102" t="s">
        <v>69</v>
      </c>
      <c r="E84" s="102" t="s">
        <v>70</v>
      </c>
      <c r="F84" s="102">
        <v>1094</v>
      </c>
      <c r="G84" s="102">
        <v>472</v>
      </c>
      <c r="H84" s="102">
        <v>21</v>
      </c>
      <c r="I84" s="102">
        <v>9846</v>
      </c>
      <c r="J84" s="102">
        <v>9609</v>
      </c>
      <c r="K84" s="102">
        <v>112</v>
      </c>
      <c r="L84" s="102" t="s">
        <v>214</v>
      </c>
      <c r="M84" s="104" t="s">
        <v>38</v>
      </c>
    </row>
    <row r="85" spans="1:13" x14ac:dyDescent="0.3">
      <c r="A85" s="101" t="s">
        <v>215</v>
      </c>
      <c r="B85" s="102" t="s">
        <v>40</v>
      </c>
      <c r="C85" s="103">
        <v>45635</v>
      </c>
      <c r="D85" s="102" t="s">
        <v>49</v>
      </c>
      <c r="E85" s="102" t="s">
        <v>50</v>
      </c>
      <c r="F85" s="102">
        <v>1841</v>
      </c>
      <c r="G85" s="102">
        <v>851</v>
      </c>
      <c r="H85" s="102">
        <v>342</v>
      </c>
      <c r="I85" s="102">
        <v>34979</v>
      </c>
      <c r="J85" s="102">
        <v>34154</v>
      </c>
      <c r="K85" s="102">
        <v>255</v>
      </c>
      <c r="L85" s="102" t="s">
        <v>71</v>
      </c>
      <c r="M85" s="104" t="s">
        <v>19</v>
      </c>
    </row>
    <row r="86" spans="1:13" x14ac:dyDescent="0.3">
      <c r="A86" s="101" t="s">
        <v>217</v>
      </c>
      <c r="B86" s="102" t="s">
        <v>31</v>
      </c>
      <c r="C86" s="103">
        <v>45766</v>
      </c>
      <c r="D86" s="102" t="s">
        <v>49</v>
      </c>
      <c r="E86" s="102" t="s">
        <v>50</v>
      </c>
      <c r="F86" s="102">
        <v>4177</v>
      </c>
      <c r="G86" s="102">
        <v>569</v>
      </c>
      <c r="H86" s="102">
        <v>55</v>
      </c>
      <c r="I86" s="102">
        <v>25062</v>
      </c>
      <c r="J86" s="102">
        <v>24847</v>
      </c>
      <c r="K86" s="102">
        <v>230</v>
      </c>
      <c r="L86" s="102" t="s">
        <v>24</v>
      </c>
      <c r="M86" s="104" t="s">
        <v>19</v>
      </c>
    </row>
    <row r="87" spans="1:13" x14ac:dyDescent="0.3">
      <c r="A87" s="101" t="s">
        <v>218</v>
      </c>
      <c r="B87" s="102" t="s">
        <v>577</v>
      </c>
      <c r="C87" s="103">
        <v>45684</v>
      </c>
      <c r="D87" s="102" t="s">
        <v>22</v>
      </c>
      <c r="E87" s="102" t="s">
        <v>23</v>
      </c>
      <c r="F87" s="102">
        <v>3428</v>
      </c>
      <c r="G87" s="102">
        <v>305</v>
      </c>
      <c r="H87" s="102">
        <v>85</v>
      </c>
      <c r="I87" s="102">
        <v>58276</v>
      </c>
      <c r="J87" s="102">
        <v>58052</v>
      </c>
      <c r="K87" s="102">
        <v>242</v>
      </c>
      <c r="L87" s="102" t="s">
        <v>214</v>
      </c>
      <c r="M87" s="104" t="s">
        <v>38</v>
      </c>
    </row>
    <row r="88" spans="1:13" x14ac:dyDescent="0.3">
      <c r="A88" s="101" t="s">
        <v>220</v>
      </c>
      <c r="B88" s="102" t="s">
        <v>14</v>
      </c>
      <c r="C88" s="103">
        <v>45449</v>
      </c>
      <c r="D88" s="102" t="s">
        <v>69</v>
      </c>
      <c r="E88" s="102" t="s">
        <v>70</v>
      </c>
      <c r="F88" s="102">
        <v>1436</v>
      </c>
      <c r="G88" s="102">
        <v>765</v>
      </c>
      <c r="H88" s="102">
        <v>496</v>
      </c>
      <c r="I88" s="102">
        <v>12924</v>
      </c>
      <c r="J88" s="102">
        <v>12701</v>
      </c>
      <c r="K88" s="102">
        <v>197</v>
      </c>
      <c r="L88" s="102" t="s">
        <v>209</v>
      </c>
      <c r="M88" s="104" t="s">
        <v>25</v>
      </c>
    </row>
    <row r="89" spans="1:13" x14ac:dyDescent="0.3">
      <c r="A89" s="101" t="s">
        <v>222</v>
      </c>
      <c r="B89" s="102" t="s">
        <v>40</v>
      </c>
      <c r="C89" s="103">
        <v>45480</v>
      </c>
      <c r="D89" s="102" t="s">
        <v>33</v>
      </c>
      <c r="E89" s="102" t="s">
        <v>34</v>
      </c>
      <c r="F89" s="102">
        <v>302</v>
      </c>
      <c r="G89" s="102">
        <v>47</v>
      </c>
      <c r="H89" s="102">
        <v>430</v>
      </c>
      <c r="I89" s="102">
        <v>5738</v>
      </c>
      <c r="J89" s="102">
        <v>4890</v>
      </c>
      <c r="K89" s="102">
        <v>25</v>
      </c>
      <c r="L89" s="102" t="s">
        <v>29</v>
      </c>
      <c r="M89" s="104" t="s">
        <v>25</v>
      </c>
    </row>
    <row r="90" spans="1:13" x14ac:dyDescent="0.3">
      <c r="A90" s="101" t="s">
        <v>224</v>
      </c>
      <c r="B90" s="102" t="s">
        <v>14</v>
      </c>
      <c r="C90" s="103">
        <v>45667</v>
      </c>
      <c r="D90" s="102" t="s">
        <v>49</v>
      </c>
      <c r="E90" s="102" t="s">
        <v>50</v>
      </c>
      <c r="F90" s="102">
        <v>2214</v>
      </c>
      <c r="G90" s="102">
        <v>249</v>
      </c>
      <c r="H90" s="102">
        <v>152</v>
      </c>
      <c r="I90" s="102">
        <v>15498</v>
      </c>
      <c r="J90" s="102">
        <v>14800</v>
      </c>
      <c r="K90" s="102">
        <v>180</v>
      </c>
      <c r="L90" s="102" t="s">
        <v>18</v>
      </c>
      <c r="M90" s="104" t="s">
        <v>25</v>
      </c>
    </row>
    <row r="91" spans="1:13" x14ac:dyDescent="0.3">
      <c r="A91" s="101" t="s">
        <v>226</v>
      </c>
      <c r="B91" s="102" t="s">
        <v>31</v>
      </c>
      <c r="C91" s="103">
        <v>45446</v>
      </c>
      <c r="D91" s="102" t="s">
        <v>49</v>
      </c>
      <c r="E91" s="102" t="s">
        <v>50</v>
      </c>
      <c r="F91" s="102">
        <v>3861</v>
      </c>
      <c r="G91" s="102">
        <v>960</v>
      </c>
      <c r="H91" s="102">
        <v>101</v>
      </c>
      <c r="I91" s="102">
        <v>69498</v>
      </c>
      <c r="J91" s="102">
        <v>68817</v>
      </c>
      <c r="K91" s="102">
        <v>297</v>
      </c>
      <c r="L91" s="102" t="s">
        <v>24</v>
      </c>
      <c r="M91" s="104" t="s">
        <v>25</v>
      </c>
    </row>
    <row r="92" spans="1:13" x14ac:dyDescent="0.3">
      <c r="A92" s="101" t="s">
        <v>228</v>
      </c>
      <c r="B92" s="102" t="s">
        <v>40</v>
      </c>
      <c r="C92" s="103">
        <v>45740</v>
      </c>
      <c r="D92" s="102" t="s">
        <v>49</v>
      </c>
      <c r="E92" s="102" t="s">
        <v>50</v>
      </c>
      <c r="F92" s="102">
        <v>1263</v>
      </c>
      <c r="G92" s="102">
        <v>397</v>
      </c>
      <c r="H92" s="102">
        <v>357</v>
      </c>
      <c r="I92" s="102">
        <v>25260</v>
      </c>
      <c r="J92" s="102">
        <v>24615</v>
      </c>
      <c r="K92" s="102">
        <v>137</v>
      </c>
      <c r="L92" s="102" t="s">
        <v>18</v>
      </c>
      <c r="M92" s="104" t="s">
        <v>25</v>
      </c>
    </row>
    <row r="93" spans="1:13" x14ac:dyDescent="0.3">
      <c r="A93" s="101" t="s">
        <v>230</v>
      </c>
      <c r="B93" s="102" t="s">
        <v>14</v>
      </c>
      <c r="C93" s="103">
        <v>45586</v>
      </c>
      <c r="D93" s="102" t="s">
        <v>33</v>
      </c>
      <c r="E93" s="102" t="s">
        <v>34</v>
      </c>
      <c r="F93" s="102">
        <v>3801</v>
      </c>
      <c r="G93" s="102">
        <v>967</v>
      </c>
      <c r="H93" s="102">
        <v>401</v>
      </c>
      <c r="I93" s="102">
        <v>38010</v>
      </c>
      <c r="J93" s="102">
        <v>37625</v>
      </c>
      <c r="K93" s="102">
        <v>236</v>
      </c>
      <c r="L93" s="102" t="s">
        <v>58</v>
      </c>
      <c r="M93" s="104" t="s">
        <v>55</v>
      </c>
    </row>
    <row r="94" spans="1:13" x14ac:dyDescent="0.3">
      <c r="A94" s="101" t="s">
        <v>231</v>
      </c>
      <c r="B94" s="102" t="s">
        <v>31</v>
      </c>
      <c r="C94" s="103">
        <v>45637</v>
      </c>
      <c r="D94" s="102" t="s">
        <v>69</v>
      </c>
      <c r="E94" s="102" t="s">
        <v>70</v>
      </c>
      <c r="F94" s="102">
        <v>1431</v>
      </c>
      <c r="G94" s="102">
        <v>951</v>
      </c>
      <c r="H94" s="102">
        <v>26</v>
      </c>
      <c r="I94" s="102">
        <v>8586</v>
      </c>
      <c r="J94" s="102">
        <v>8396</v>
      </c>
      <c r="K94" s="102">
        <v>150</v>
      </c>
      <c r="L94" s="102" t="s">
        <v>116</v>
      </c>
      <c r="M94" s="104" t="s">
        <v>19</v>
      </c>
    </row>
    <row r="95" spans="1:13" x14ac:dyDescent="0.3">
      <c r="A95" s="101" t="s">
        <v>233</v>
      </c>
      <c r="B95" s="102" t="s">
        <v>31</v>
      </c>
      <c r="C95" s="103">
        <v>45603</v>
      </c>
      <c r="D95" s="102" t="s">
        <v>49</v>
      </c>
      <c r="E95" s="102" t="s">
        <v>50</v>
      </c>
      <c r="F95" s="102">
        <v>2647</v>
      </c>
      <c r="G95" s="102">
        <v>304</v>
      </c>
      <c r="H95" s="102">
        <v>170</v>
      </c>
      <c r="I95" s="102">
        <v>18529</v>
      </c>
      <c r="J95" s="102">
        <v>17841</v>
      </c>
      <c r="K95" s="102">
        <v>46</v>
      </c>
      <c r="L95" s="102" t="s">
        <v>58</v>
      </c>
      <c r="M95" s="104" t="s">
        <v>25</v>
      </c>
    </row>
    <row r="96" spans="1:13" x14ac:dyDescent="0.3">
      <c r="A96" s="101" t="s">
        <v>234</v>
      </c>
      <c r="B96" s="102" t="s">
        <v>31</v>
      </c>
      <c r="C96" s="103">
        <v>45604</v>
      </c>
      <c r="D96" s="102" t="s">
        <v>22</v>
      </c>
      <c r="E96" s="102" t="s">
        <v>23</v>
      </c>
      <c r="F96" s="102">
        <v>3182</v>
      </c>
      <c r="G96" s="102">
        <v>559</v>
      </c>
      <c r="H96" s="102">
        <v>160</v>
      </c>
      <c r="I96" s="102">
        <v>57276</v>
      </c>
      <c r="J96" s="102">
        <v>56890</v>
      </c>
      <c r="K96" s="102">
        <v>163</v>
      </c>
      <c r="L96" s="102" t="s">
        <v>87</v>
      </c>
      <c r="M96" s="104" t="s">
        <v>25</v>
      </c>
    </row>
    <row r="97" spans="1:13" x14ac:dyDescent="0.3">
      <c r="A97" s="101" t="s">
        <v>236</v>
      </c>
      <c r="B97" s="102" t="s">
        <v>14</v>
      </c>
      <c r="C97" s="103">
        <v>45545</v>
      </c>
      <c r="D97" s="102" t="s">
        <v>49</v>
      </c>
      <c r="E97" s="102" t="s">
        <v>50</v>
      </c>
      <c r="F97" s="102">
        <v>1238</v>
      </c>
      <c r="G97" s="102">
        <v>366</v>
      </c>
      <c r="H97" s="102">
        <v>444</v>
      </c>
      <c r="I97" s="102">
        <v>19808</v>
      </c>
      <c r="J97" s="102">
        <v>19334</v>
      </c>
      <c r="K97" s="102">
        <v>123</v>
      </c>
      <c r="L97" s="102" t="s">
        <v>77</v>
      </c>
      <c r="M97" s="104" t="s">
        <v>38</v>
      </c>
    </row>
    <row r="98" spans="1:13" x14ac:dyDescent="0.3">
      <c r="A98" s="101" t="s">
        <v>238</v>
      </c>
      <c r="B98" s="102" t="s">
        <v>31</v>
      </c>
      <c r="C98" s="103">
        <v>45517</v>
      </c>
      <c r="D98" s="102" t="s">
        <v>49</v>
      </c>
      <c r="E98" s="102" t="s">
        <v>50</v>
      </c>
      <c r="F98" s="102">
        <v>4739</v>
      </c>
      <c r="G98" s="102">
        <v>527</v>
      </c>
      <c r="H98" s="102">
        <v>135</v>
      </c>
      <c r="I98" s="102">
        <v>61607</v>
      </c>
      <c r="J98" s="102">
        <v>61333</v>
      </c>
      <c r="K98" s="102">
        <v>36</v>
      </c>
      <c r="L98" s="102" t="s">
        <v>61</v>
      </c>
      <c r="M98" s="104" t="s">
        <v>25</v>
      </c>
    </row>
    <row r="99" spans="1:13" x14ac:dyDescent="0.3">
      <c r="A99" s="101" t="s">
        <v>240</v>
      </c>
      <c r="B99" s="102" t="s">
        <v>14</v>
      </c>
      <c r="C99" s="103">
        <v>45453</v>
      </c>
      <c r="D99" s="102" t="s">
        <v>33</v>
      </c>
      <c r="E99" s="102" t="s">
        <v>34</v>
      </c>
      <c r="F99" s="102">
        <v>1575</v>
      </c>
      <c r="G99" s="102">
        <v>771</v>
      </c>
      <c r="H99" s="102">
        <v>486</v>
      </c>
      <c r="I99" s="102">
        <v>25200</v>
      </c>
      <c r="J99" s="102">
        <v>24826</v>
      </c>
      <c r="K99" s="102">
        <v>17</v>
      </c>
      <c r="L99" s="102" t="s">
        <v>58</v>
      </c>
      <c r="M99" s="104" t="s">
        <v>38</v>
      </c>
    </row>
    <row r="100" spans="1:13" x14ac:dyDescent="0.3">
      <c r="A100" s="101" t="s">
        <v>241</v>
      </c>
      <c r="B100" s="102" t="s">
        <v>577</v>
      </c>
      <c r="C100" s="103">
        <v>45475</v>
      </c>
      <c r="D100" s="102" t="s">
        <v>42</v>
      </c>
      <c r="E100" s="102" t="s">
        <v>43</v>
      </c>
      <c r="F100" s="102">
        <v>4171</v>
      </c>
      <c r="G100" s="102">
        <v>548</v>
      </c>
      <c r="H100" s="102">
        <v>86</v>
      </c>
      <c r="I100" s="102">
        <v>66736</v>
      </c>
      <c r="J100" s="102">
        <v>66634</v>
      </c>
      <c r="K100" s="102">
        <v>173</v>
      </c>
      <c r="L100" s="102" t="s">
        <v>58</v>
      </c>
      <c r="M100" s="104" t="s">
        <v>38</v>
      </c>
    </row>
    <row r="101" spans="1:13" x14ac:dyDescent="0.3">
      <c r="A101" s="101" t="s">
        <v>243</v>
      </c>
      <c r="B101" s="102" t="s">
        <v>577</v>
      </c>
      <c r="C101" s="103">
        <v>45698</v>
      </c>
      <c r="D101" s="102" t="s">
        <v>69</v>
      </c>
      <c r="E101" s="102" t="s">
        <v>70</v>
      </c>
      <c r="F101" s="102">
        <v>1766</v>
      </c>
      <c r="G101" s="102">
        <v>92</v>
      </c>
      <c r="H101" s="102">
        <v>424</v>
      </c>
      <c r="I101" s="102">
        <v>24724</v>
      </c>
      <c r="J101" s="102">
        <v>24333</v>
      </c>
      <c r="K101" s="102">
        <v>52</v>
      </c>
      <c r="L101" s="102" t="s">
        <v>58</v>
      </c>
      <c r="M101" s="104" t="s">
        <v>19</v>
      </c>
    </row>
    <row r="102" spans="1:13" x14ac:dyDescent="0.3">
      <c r="A102" s="101" t="s">
        <v>245</v>
      </c>
      <c r="B102" s="102" t="s">
        <v>577</v>
      </c>
      <c r="C102" s="103">
        <v>45583</v>
      </c>
      <c r="D102" s="102" t="s">
        <v>69</v>
      </c>
      <c r="E102" s="102" t="s">
        <v>70</v>
      </c>
      <c r="F102" s="102">
        <v>4450</v>
      </c>
      <c r="G102" s="102">
        <v>983</v>
      </c>
      <c r="H102" s="102">
        <v>143</v>
      </c>
      <c r="I102" s="102">
        <v>75650</v>
      </c>
      <c r="J102" s="102">
        <v>75008</v>
      </c>
      <c r="K102" s="102">
        <v>12</v>
      </c>
      <c r="L102" s="102" t="s">
        <v>82</v>
      </c>
      <c r="M102" s="104" t="s">
        <v>25</v>
      </c>
    </row>
    <row r="103" spans="1:13" x14ac:dyDescent="0.3">
      <c r="A103" s="101" t="s">
        <v>246</v>
      </c>
      <c r="B103" s="102" t="s">
        <v>14</v>
      </c>
      <c r="C103" s="103">
        <v>45553</v>
      </c>
      <c r="D103" s="102" t="s">
        <v>16</v>
      </c>
      <c r="E103" s="102" t="s">
        <v>17</v>
      </c>
      <c r="F103" s="102">
        <v>1000</v>
      </c>
      <c r="G103" s="102">
        <v>978</v>
      </c>
      <c r="H103" s="102">
        <v>162</v>
      </c>
      <c r="I103" s="102">
        <v>6000</v>
      </c>
      <c r="J103" s="102">
        <v>5221</v>
      </c>
      <c r="K103" s="102">
        <v>223</v>
      </c>
      <c r="L103" s="102" t="s">
        <v>105</v>
      </c>
      <c r="M103" s="104" t="s">
        <v>38</v>
      </c>
    </row>
    <row r="104" spans="1:13" x14ac:dyDescent="0.3">
      <c r="A104" s="101" t="s">
        <v>248</v>
      </c>
      <c r="B104" s="102" t="s">
        <v>40</v>
      </c>
      <c r="C104" s="103">
        <v>45454</v>
      </c>
      <c r="D104" s="102" t="s">
        <v>49</v>
      </c>
      <c r="E104" s="102" t="s">
        <v>50</v>
      </c>
      <c r="F104" s="102">
        <v>3689</v>
      </c>
      <c r="G104" s="102">
        <v>48</v>
      </c>
      <c r="H104" s="102">
        <v>306</v>
      </c>
      <c r="I104" s="102">
        <v>40579</v>
      </c>
      <c r="J104" s="102">
        <v>39588</v>
      </c>
      <c r="K104" s="102">
        <v>212</v>
      </c>
      <c r="L104" s="102" t="s">
        <v>44</v>
      </c>
      <c r="M104" s="104" t="s">
        <v>19</v>
      </c>
    </row>
    <row r="105" spans="1:13" x14ac:dyDescent="0.3">
      <c r="A105" s="101" t="s">
        <v>250</v>
      </c>
      <c r="B105" s="102" t="s">
        <v>577</v>
      </c>
      <c r="C105" s="103">
        <v>45739</v>
      </c>
      <c r="D105" s="102" t="s">
        <v>33</v>
      </c>
      <c r="E105" s="102" t="s">
        <v>34</v>
      </c>
      <c r="F105" s="102">
        <v>3655</v>
      </c>
      <c r="G105" s="102">
        <v>568</v>
      </c>
      <c r="H105" s="102">
        <v>286</v>
      </c>
      <c r="I105" s="102">
        <v>32895</v>
      </c>
      <c r="J105" s="102">
        <v>32015</v>
      </c>
      <c r="K105" s="102">
        <v>199</v>
      </c>
      <c r="L105" s="102" t="s">
        <v>44</v>
      </c>
      <c r="M105" s="104" t="s">
        <v>55</v>
      </c>
    </row>
    <row r="106" spans="1:13" x14ac:dyDescent="0.3">
      <c r="A106" s="101" t="s">
        <v>252</v>
      </c>
      <c r="B106" s="102" t="s">
        <v>31</v>
      </c>
      <c r="C106" s="103">
        <v>45457</v>
      </c>
      <c r="D106" s="102" t="s">
        <v>42</v>
      </c>
      <c r="E106" s="102" t="s">
        <v>43</v>
      </c>
      <c r="F106" s="102">
        <v>498</v>
      </c>
      <c r="G106" s="102">
        <v>38</v>
      </c>
      <c r="H106" s="102">
        <v>42</v>
      </c>
      <c r="I106" s="102">
        <v>4482</v>
      </c>
      <c r="J106" s="102">
        <v>3647</v>
      </c>
      <c r="K106" s="102">
        <v>32</v>
      </c>
      <c r="L106" s="102" t="s">
        <v>162</v>
      </c>
      <c r="M106" s="104" t="s">
        <v>55</v>
      </c>
    </row>
    <row r="107" spans="1:13" x14ac:dyDescent="0.3">
      <c r="A107" s="101" t="s">
        <v>254</v>
      </c>
      <c r="B107" s="102" t="s">
        <v>31</v>
      </c>
      <c r="C107" s="103">
        <v>45692</v>
      </c>
      <c r="D107" s="102" t="s">
        <v>49</v>
      </c>
      <c r="E107" s="102" t="s">
        <v>50</v>
      </c>
      <c r="F107" s="102">
        <v>4619</v>
      </c>
      <c r="G107" s="102">
        <v>821</v>
      </c>
      <c r="H107" s="102">
        <v>499</v>
      </c>
      <c r="I107" s="102">
        <v>69285</v>
      </c>
      <c r="J107" s="102">
        <v>69141</v>
      </c>
      <c r="K107" s="102">
        <v>298</v>
      </c>
      <c r="L107" s="102" t="s">
        <v>24</v>
      </c>
      <c r="M107" s="104" t="s">
        <v>19</v>
      </c>
    </row>
    <row r="108" spans="1:13" x14ac:dyDescent="0.3">
      <c r="A108" s="101" t="s">
        <v>256</v>
      </c>
      <c r="B108" s="102" t="s">
        <v>577</v>
      </c>
      <c r="C108" s="103">
        <v>45464</v>
      </c>
      <c r="D108" s="102" t="s">
        <v>49</v>
      </c>
      <c r="E108" s="102" t="s">
        <v>50</v>
      </c>
      <c r="F108" s="102">
        <v>4832</v>
      </c>
      <c r="G108" s="102">
        <v>893</v>
      </c>
      <c r="H108" s="102">
        <v>10</v>
      </c>
      <c r="I108" s="102">
        <v>91808</v>
      </c>
      <c r="J108" s="102">
        <v>91296</v>
      </c>
      <c r="K108" s="102">
        <v>182</v>
      </c>
      <c r="L108" s="102" t="s">
        <v>82</v>
      </c>
      <c r="M108" s="104" t="s">
        <v>38</v>
      </c>
    </row>
    <row r="109" spans="1:13" x14ac:dyDescent="0.3">
      <c r="A109" s="101" t="s">
        <v>258</v>
      </c>
      <c r="B109" s="102" t="s">
        <v>14</v>
      </c>
      <c r="C109" s="103">
        <v>45741</v>
      </c>
      <c r="D109" s="102" t="s">
        <v>69</v>
      </c>
      <c r="E109" s="102" t="s">
        <v>70</v>
      </c>
      <c r="F109" s="102">
        <v>4050</v>
      </c>
      <c r="G109" s="102">
        <v>871</v>
      </c>
      <c r="H109" s="102">
        <v>347</v>
      </c>
      <c r="I109" s="102">
        <v>52650</v>
      </c>
      <c r="J109" s="102">
        <v>51755</v>
      </c>
      <c r="K109" s="102">
        <v>209</v>
      </c>
      <c r="L109" s="102" t="s">
        <v>162</v>
      </c>
      <c r="M109" s="104" t="s">
        <v>19</v>
      </c>
    </row>
    <row r="110" spans="1:13" x14ac:dyDescent="0.3">
      <c r="A110" s="101" t="s">
        <v>260</v>
      </c>
      <c r="B110" s="102" t="s">
        <v>14</v>
      </c>
      <c r="C110" s="103">
        <v>45512</v>
      </c>
      <c r="D110" s="102" t="s">
        <v>33</v>
      </c>
      <c r="E110" s="102" t="s">
        <v>34</v>
      </c>
      <c r="F110" s="102">
        <v>3649</v>
      </c>
      <c r="G110" s="102">
        <v>215</v>
      </c>
      <c r="H110" s="102">
        <v>413</v>
      </c>
      <c r="I110" s="102">
        <v>25543</v>
      </c>
      <c r="J110" s="102">
        <v>24963</v>
      </c>
      <c r="K110" s="102">
        <v>167</v>
      </c>
      <c r="L110" s="102" t="s">
        <v>146</v>
      </c>
      <c r="M110" s="104" t="s">
        <v>19</v>
      </c>
    </row>
    <row r="111" spans="1:13" x14ac:dyDescent="0.3">
      <c r="A111" s="101" t="s">
        <v>262</v>
      </c>
      <c r="B111" s="102" t="s">
        <v>31</v>
      </c>
      <c r="C111" s="103">
        <v>45502</v>
      </c>
      <c r="D111" s="102" t="s">
        <v>16</v>
      </c>
      <c r="E111" s="102" t="s">
        <v>17</v>
      </c>
      <c r="F111" s="102">
        <v>3523</v>
      </c>
      <c r="G111" s="102">
        <v>753</v>
      </c>
      <c r="H111" s="102">
        <v>482</v>
      </c>
      <c r="I111" s="102">
        <v>38753</v>
      </c>
      <c r="J111" s="102">
        <v>38579</v>
      </c>
      <c r="K111" s="102">
        <v>270</v>
      </c>
      <c r="L111" s="102" t="s">
        <v>264</v>
      </c>
      <c r="M111" s="104" t="s">
        <v>25</v>
      </c>
    </row>
    <row r="112" spans="1:13" x14ac:dyDescent="0.3">
      <c r="A112" s="101" t="s">
        <v>265</v>
      </c>
      <c r="B112" s="102" t="s">
        <v>577</v>
      </c>
      <c r="C112" s="103">
        <v>45619</v>
      </c>
      <c r="D112" s="102" t="s">
        <v>49</v>
      </c>
      <c r="E112" s="102" t="s">
        <v>50</v>
      </c>
      <c r="F112" s="102">
        <v>2719</v>
      </c>
      <c r="G112" s="102">
        <v>17</v>
      </c>
      <c r="H112" s="102">
        <v>285</v>
      </c>
      <c r="I112" s="102">
        <v>40785</v>
      </c>
      <c r="J112" s="102">
        <v>40281</v>
      </c>
      <c r="K112" s="102">
        <v>40</v>
      </c>
      <c r="L112" s="102" t="s">
        <v>146</v>
      </c>
      <c r="M112" s="104" t="s">
        <v>38</v>
      </c>
    </row>
    <row r="113" spans="1:13" x14ac:dyDescent="0.3">
      <c r="A113" s="101" t="s">
        <v>267</v>
      </c>
      <c r="B113" s="102" t="s">
        <v>14</v>
      </c>
      <c r="C113" s="103">
        <v>45570</v>
      </c>
      <c r="D113" s="102" t="s">
        <v>33</v>
      </c>
      <c r="E113" s="102" t="s">
        <v>34</v>
      </c>
      <c r="F113" s="102">
        <v>1957</v>
      </c>
      <c r="G113" s="102">
        <v>877</v>
      </c>
      <c r="H113" s="102">
        <v>238</v>
      </c>
      <c r="I113" s="102">
        <v>17613</v>
      </c>
      <c r="J113" s="102">
        <v>16865</v>
      </c>
      <c r="K113" s="102">
        <v>297</v>
      </c>
      <c r="L113" s="102" t="s">
        <v>29</v>
      </c>
      <c r="M113" s="104" t="s">
        <v>38</v>
      </c>
    </row>
    <row r="114" spans="1:13" x14ac:dyDescent="0.3">
      <c r="A114" s="101" t="s">
        <v>269</v>
      </c>
      <c r="B114" s="102" t="s">
        <v>14</v>
      </c>
      <c r="C114" s="103">
        <v>45567</v>
      </c>
      <c r="D114" s="102" t="s">
        <v>42</v>
      </c>
      <c r="E114" s="102" t="s">
        <v>43</v>
      </c>
      <c r="F114" s="102">
        <v>4419</v>
      </c>
      <c r="G114" s="102">
        <v>236</v>
      </c>
      <c r="H114" s="102">
        <v>369</v>
      </c>
      <c r="I114" s="102">
        <v>44190</v>
      </c>
      <c r="J114" s="102">
        <v>43582</v>
      </c>
      <c r="K114" s="102">
        <v>10</v>
      </c>
      <c r="L114" s="102" t="s">
        <v>44</v>
      </c>
      <c r="M114" s="104" t="s">
        <v>55</v>
      </c>
    </row>
    <row r="115" spans="1:13" x14ac:dyDescent="0.3">
      <c r="A115" s="101" t="s">
        <v>271</v>
      </c>
      <c r="B115" s="102" t="s">
        <v>14</v>
      </c>
      <c r="C115" s="103">
        <v>45610</v>
      </c>
      <c r="D115" s="102" t="s">
        <v>33</v>
      </c>
      <c r="E115" s="102" t="s">
        <v>34</v>
      </c>
      <c r="F115" s="102">
        <v>4000</v>
      </c>
      <c r="G115" s="102">
        <v>689</v>
      </c>
      <c r="H115" s="102">
        <v>488</v>
      </c>
      <c r="I115" s="102">
        <v>40000</v>
      </c>
      <c r="J115" s="102">
        <v>39569</v>
      </c>
      <c r="K115" s="102">
        <v>44</v>
      </c>
      <c r="L115" s="102" t="s">
        <v>144</v>
      </c>
      <c r="M115" s="104" t="s">
        <v>38</v>
      </c>
    </row>
    <row r="116" spans="1:13" x14ac:dyDescent="0.3">
      <c r="A116" s="101" t="s">
        <v>273</v>
      </c>
      <c r="B116" s="102" t="s">
        <v>14</v>
      </c>
      <c r="C116" s="103">
        <v>45788</v>
      </c>
      <c r="D116" s="102" t="s">
        <v>49</v>
      </c>
      <c r="E116" s="102" t="s">
        <v>50</v>
      </c>
      <c r="F116" s="102">
        <v>2493</v>
      </c>
      <c r="G116" s="102">
        <v>97</v>
      </c>
      <c r="H116" s="102">
        <v>44</v>
      </c>
      <c r="I116" s="102">
        <v>42381</v>
      </c>
      <c r="J116" s="102">
        <v>41991</v>
      </c>
      <c r="K116" s="102">
        <v>242</v>
      </c>
      <c r="L116" s="102" t="s">
        <v>82</v>
      </c>
      <c r="M116" s="104" t="s">
        <v>19</v>
      </c>
    </row>
    <row r="117" spans="1:13" x14ac:dyDescent="0.3">
      <c r="A117" s="101" t="s">
        <v>275</v>
      </c>
      <c r="B117" s="102" t="s">
        <v>577</v>
      </c>
      <c r="C117" s="103">
        <v>45734</v>
      </c>
      <c r="D117" s="102" t="s">
        <v>16</v>
      </c>
      <c r="E117" s="102" t="s">
        <v>17</v>
      </c>
      <c r="F117" s="102">
        <v>3704</v>
      </c>
      <c r="G117" s="102">
        <v>186</v>
      </c>
      <c r="H117" s="102">
        <v>458</v>
      </c>
      <c r="I117" s="102">
        <v>25928</v>
      </c>
      <c r="J117" s="102">
        <v>25081</v>
      </c>
      <c r="K117" s="102">
        <v>131</v>
      </c>
      <c r="L117" s="102" t="s">
        <v>58</v>
      </c>
      <c r="M117" s="104" t="s">
        <v>19</v>
      </c>
    </row>
    <row r="118" spans="1:13" x14ac:dyDescent="0.3">
      <c r="A118" s="101" t="s">
        <v>277</v>
      </c>
      <c r="B118" s="102" t="s">
        <v>14</v>
      </c>
      <c r="C118" s="103">
        <v>45600</v>
      </c>
      <c r="D118" s="102" t="s">
        <v>49</v>
      </c>
      <c r="E118" s="102" t="s">
        <v>50</v>
      </c>
      <c r="F118" s="102">
        <v>1606</v>
      </c>
      <c r="G118" s="102">
        <v>451</v>
      </c>
      <c r="H118" s="102">
        <v>405</v>
      </c>
      <c r="I118" s="102">
        <v>20878</v>
      </c>
      <c r="J118" s="102">
        <v>20190</v>
      </c>
      <c r="K118" s="102">
        <v>219</v>
      </c>
      <c r="L118" s="102" t="s">
        <v>82</v>
      </c>
      <c r="M118" s="104" t="s">
        <v>25</v>
      </c>
    </row>
    <row r="119" spans="1:13" x14ac:dyDescent="0.3">
      <c r="A119" s="101" t="s">
        <v>279</v>
      </c>
      <c r="B119" s="102" t="s">
        <v>40</v>
      </c>
      <c r="C119" s="103">
        <v>45600</v>
      </c>
      <c r="D119" s="102" t="s">
        <v>49</v>
      </c>
      <c r="E119" s="102" t="s">
        <v>50</v>
      </c>
      <c r="F119" s="102">
        <v>4551</v>
      </c>
      <c r="G119" s="102">
        <v>714</v>
      </c>
      <c r="H119" s="102">
        <v>207</v>
      </c>
      <c r="I119" s="102">
        <v>68265</v>
      </c>
      <c r="J119" s="102">
        <v>67754</v>
      </c>
      <c r="K119" s="102">
        <v>57</v>
      </c>
      <c r="L119" s="102" t="s">
        <v>44</v>
      </c>
      <c r="M119" s="104" t="s">
        <v>25</v>
      </c>
    </row>
    <row r="120" spans="1:13" x14ac:dyDescent="0.3">
      <c r="A120" s="101" t="s">
        <v>280</v>
      </c>
      <c r="B120" s="102" t="s">
        <v>31</v>
      </c>
      <c r="C120" s="103">
        <v>45695</v>
      </c>
      <c r="D120" s="102" t="s">
        <v>16</v>
      </c>
      <c r="E120" s="102" t="s">
        <v>17</v>
      </c>
      <c r="F120" s="102">
        <v>1970</v>
      </c>
      <c r="G120" s="102">
        <v>675</v>
      </c>
      <c r="H120" s="102">
        <v>478</v>
      </c>
      <c r="I120" s="102">
        <v>9850</v>
      </c>
      <c r="J120" s="102">
        <v>8924</v>
      </c>
      <c r="K120" s="102">
        <v>117</v>
      </c>
      <c r="L120" s="102" t="s">
        <v>44</v>
      </c>
      <c r="M120" s="104" t="s">
        <v>55</v>
      </c>
    </row>
    <row r="121" spans="1:13" x14ac:dyDescent="0.3">
      <c r="A121" s="101" t="s">
        <v>282</v>
      </c>
      <c r="B121" s="102" t="s">
        <v>40</v>
      </c>
      <c r="C121" s="103">
        <v>45586</v>
      </c>
      <c r="D121" s="102" t="s">
        <v>33</v>
      </c>
      <c r="E121" s="102" t="s">
        <v>34</v>
      </c>
      <c r="F121" s="102">
        <v>780</v>
      </c>
      <c r="G121" s="102">
        <v>928</v>
      </c>
      <c r="H121" s="102">
        <v>301</v>
      </c>
      <c r="I121" s="102">
        <v>8580</v>
      </c>
      <c r="J121" s="102">
        <v>8081</v>
      </c>
      <c r="K121" s="102">
        <v>91</v>
      </c>
      <c r="L121" s="102" t="s">
        <v>66</v>
      </c>
      <c r="M121" s="104" t="s">
        <v>55</v>
      </c>
    </row>
    <row r="122" spans="1:13" x14ac:dyDescent="0.3">
      <c r="A122" s="101" t="s">
        <v>283</v>
      </c>
      <c r="B122" s="102" t="s">
        <v>31</v>
      </c>
      <c r="C122" s="103">
        <v>45502</v>
      </c>
      <c r="D122" s="102" t="s">
        <v>33</v>
      </c>
      <c r="E122" s="102" t="s">
        <v>34</v>
      </c>
      <c r="F122" s="102">
        <v>498</v>
      </c>
      <c r="G122" s="102">
        <v>701</v>
      </c>
      <c r="H122" s="102">
        <v>412</v>
      </c>
      <c r="I122" s="102">
        <v>4980</v>
      </c>
      <c r="J122" s="102">
        <v>4185</v>
      </c>
      <c r="K122" s="102">
        <v>185</v>
      </c>
      <c r="L122" s="102" t="s">
        <v>264</v>
      </c>
      <c r="M122" s="104" t="s">
        <v>55</v>
      </c>
    </row>
    <row r="123" spans="1:13" x14ac:dyDescent="0.3">
      <c r="A123" s="101" t="s">
        <v>284</v>
      </c>
      <c r="B123" s="102" t="s">
        <v>31</v>
      </c>
      <c r="C123" s="103">
        <v>45567</v>
      </c>
      <c r="D123" s="102" t="s">
        <v>22</v>
      </c>
      <c r="E123" s="102" t="s">
        <v>23</v>
      </c>
      <c r="F123" s="102">
        <v>3432</v>
      </c>
      <c r="G123" s="102">
        <v>869</v>
      </c>
      <c r="H123" s="102">
        <v>123</v>
      </c>
      <c r="I123" s="102">
        <v>54912</v>
      </c>
      <c r="J123" s="102">
        <v>53916</v>
      </c>
      <c r="K123" s="102">
        <v>264</v>
      </c>
      <c r="L123" s="102" t="s">
        <v>285</v>
      </c>
      <c r="M123" s="104" t="s">
        <v>25</v>
      </c>
    </row>
    <row r="124" spans="1:13" x14ac:dyDescent="0.3">
      <c r="A124" s="101" t="s">
        <v>286</v>
      </c>
      <c r="B124" s="102" t="s">
        <v>31</v>
      </c>
      <c r="C124" s="103">
        <v>45457</v>
      </c>
      <c r="D124" s="102" t="s">
        <v>33</v>
      </c>
      <c r="E124" s="102" t="s">
        <v>34</v>
      </c>
      <c r="F124" s="102">
        <v>4363</v>
      </c>
      <c r="G124" s="102">
        <v>649</v>
      </c>
      <c r="H124" s="102">
        <v>140</v>
      </c>
      <c r="I124" s="102">
        <v>21815</v>
      </c>
      <c r="J124" s="102">
        <v>21481</v>
      </c>
      <c r="K124" s="102">
        <v>157</v>
      </c>
      <c r="L124" s="102" t="s">
        <v>66</v>
      </c>
      <c r="M124" s="104" t="s">
        <v>25</v>
      </c>
    </row>
    <row r="125" spans="1:13" x14ac:dyDescent="0.3">
      <c r="A125" s="101" t="s">
        <v>287</v>
      </c>
      <c r="B125" s="102" t="s">
        <v>577</v>
      </c>
      <c r="C125" s="103">
        <v>45753</v>
      </c>
      <c r="D125" s="102" t="s">
        <v>42</v>
      </c>
      <c r="E125" s="102" t="s">
        <v>43</v>
      </c>
      <c r="F125" s="102">
        <v>736</v>
      </c>
      <c r="G125" s="102">
        <v>771</v>
      </c>
      <c r="H125" s="102">
        <v>225</v>
      </c>
      <c r="I125" s="102">
        <v>5152</v>
      </c>
      <c r="J125" s="102">
        <v>4706</v>
      </c>
      <c r="K125" s="102">
        <v>19</v>
      </c>
      <c r="L125" s="102" t="s">
        <v>58</v>
      </c>
      <c r="M125" s="104" t="s">
        <v>38</v>
      </c>
    </row>
    <row r="126" spans="1:13" x14ac:dyDescent="0.3">
      <c r="A126" s="101" t="s">
        <v>289</v>
      </c>
      <c r="B126" s="102" t="s">
        <v>14</v>
      </c>
      <c r="C126" s="103">
        <v>45543</v>
      </c>
      <c r="D126" s="102" t="s">
        <v>42</v>
      </c>
      <c r="E126" s="102" t="s">
        <v>43</v>
      </c>
      <c r="F126" s="102">
        <v>3811</v>
      </c>
      <c r="G126" s="102">
        <v>866</v>
      </c>
      <c r="H126" s="102">
        <v>216</v>
      </c>
      <c r="I126" s="102">
        <v>34299</v>
      </c>
      <c r="J126" s="102">
        <v>34088</v>
      </c>
      <c r="K126" s="102">
        <v>233</v>
      </c>
      <c r="L126" s="102" t="s">
        <v>58</v>
      </c>
      <c r="M126" s="104" t="s">
        <v>38</v>
      </c>
    </row>
    <row r="127" spans="1:13" x14ac:dyDescent="0.3">
      <c r="A127" s="101" t="s">
        <v>291</v>
      </c>
      <c r="B127" s="102" t="s">
        <v>31</v>
      </c>
      <c r="C127" s="103">
        <v>45744</v>
      </c>
      <c r="D127" s="102" t="s">
        <v>42</v>
      </c>
      <c r="E127" s="102" t="s">
        <v>43</v>
      </c>
      <c r="F127" s="102">
        <v>4158</v>
      </c>
      <c r="G127" s="102">
        <v>167</v>
      </c>
      <c r="H127" s="102">
        <v>241</v>
      </c>
      <c r="I127" s="102">
        <v>45738</v>
      </c>
      <c r="J127" s="102">
        <v>45183</v>
      </c>
      <c r="K127" s="102">
        <v>142</v>
      </c>
      <c r="L127" s="102" t="s">
        <v>24</v>
      </c>
      <c r="M127" s="104" t="s">
        <v>25</v>
      </c>
    </row>
    <row r="128" spans="1:13" x14ac:dyDescent="0.3">
      <c r="A128" s="101" t="s">
        <v>292</v>
      </c>
      <c r="B128" s="102" t="s">
        <v>40</v>
      </c>
      <c r="C128" s="103">
        <v>45684</v>
      </c>
      <c r="D128" s="102" t="s">
        <v>16</v>
      </c>
      <c r="E128" s="102" t="s">
        <v>17</v>
      </c>
      <c r="F128" s="102">
        <v>3452</v>
      </c>
      <c r="G128" s="102">
        <v>652</v>
      </c>
      <c r="H128" s="102">
        <v>442</v>
      </c>
      <c r="I128" s="102">
        <v>65588</v>
      </c>
      <c r="J128" s="102">
        <v>65049</v>
      </c>
      <c r="K128" s="102">
        <v>158</v>
      </c>
      <c r="L128" s="102" t="s">
        <v>82</v>
      </c>
      <c r="M128" s="104" t="s">
        <v>19</v>
      </c>
    </row>
    <row r="129" spans="1:13" x14ac:dyDescent="0.3">
      <c r="A129" s="101" t="s">
        <v>293</v>
      </c>
      <c r="B129" s="102" t="s">
        <v>14</v>
      </c>
      <c r="C129" s="103">
        <v>45667</v>
      </c>
      <c r="D129" s="102" t="s">
        <v>49</v>
      </c>
      <c r="E129" s="102" t="s">
        <v>50</v>
      </c>
      <c r="F129" s="102">
        <v>3092</v>
      </c>
      <c r="G129" s="102">
        <v>106</v>
      </c>
      <c r="H129" s="102">
        <v>291</v>
      </c>
      <c r="I129" s="102">
        <v>27828</v>
      </c>
      <c r="J129" s="102">
        <v>27217</v>
      </c>
      <c r="K129" s="102">
        <v>102</v>
      </c>
      <c r="L129" s="102" t="s">
        <v>58</v>
      </c>
      <c r="M129" s="104" t="s">
        <v>55</v>
      </c>
    </row>
    <row r="130" spans="1:13" x14ac:dyDescent="0.3">
      <c r="A130" s="101" t="s">
        <v>294</v>
      </c>
      <c r="B130" s="102" t="s">
        <v>14</v>
      </c>
      <c r="C130" s="103">
        <v>45494</v>
      </c>
      <c r="D130" s="102" t="s">
        <v>22</v>
      </c>
      <c r="E130" s="102" t="s">
        <v>23</v>
      </c>
      <c r="F130" s="102">
        <v>2147</v>
      </c>
      <c r="G130" s="102">
        <v>430</v>
      </c>
      <c r="H130" s="102">
        <v>393</v>
      </c>
      <c r="I130" s="102">
        <v>17176</v>
      </c>
      <c r="J130" s="102">
        <v>16483</v>
      </c>
      <c r="K130" s="102">
        <v>170</v>
      </c>
      <c r="L130" s="102" t="s">
        <v>77</v>
      </c>
      <c r="M130" s="104" t="s">
        <v>55</v>
      </c>
    </row>
    <row r="131" spans="1:13" x14ac:dyDescent="0.3">
      <c r="A131" s="101" t="s">
        <v>295</v>
      </c>
      <c r="B131" s="102" t="s">
        <v>577</v>
      </c>
      <c r="C131" s="103">
        <v>45564</v>
      </c>
      <c r="D131" s="102" t="s">
        <v>16</v>
      </c>
      <c r="E131" s="102" t="s">
        <v>17</v>
      </c>
      <c r="F131" s="102">
        <v>2936</v>
      </c>
      <c r="G131" s="102">
        <v>439</v>
      </c>
      <c r="H131" s="102">
        <v>44</v>
      </c>
      <c r="I131" s="102">
        <v>38168</v>
      </c>
      <c r="J131" s="102">
        <v>37571</v>
      </c>
      <c r="K131" s="102">
        <v>22</v>
      </c>
      <c r="L131" s="102" t="s">
        <v>18</v>
      </c>
      <c r="M131" s="104" t="s">
        <v>38</v>
      </c>
    </row>
    <row r="132" spans="1:13" x14ac:dyDescent="0.3">
      <c r="A132" s="101" t="s">
        <v>297</v>
      </c>
      <c r="B132" s="102" t="s">
        <v>31</v>
      </c>
      <c r="C132" s="103">
        <v>45586</v>
      </c>
      <c r="D132" s="102" t="s">
        <v>16</v>
      </c>
      <c r="E132" s="102" t="s">
        <v>17</v>
      </c>
      <c r="F132" s="102">
        <v>4840</v>
      </c>
      <c r="G132" s="102">
        <v>658</v>
      </c>
      <c r="H132" s="102">
        <v>211</v>
      </c>
      <c r="I132" s="102">
        <v>43560</v>
      </c>
      <c r="J132" s="102">
        <v>43225</v>
      </c>
      <c r="K132" s="102">
        <v>57</v>
      </c>
      <c r="L132" s="102" t="s">
        <v>66</v>
      </c>
      <c r="M132" s="104" t="s">
        <v>25</v>
      </c>
    </row>
    <row r="133" spans="1:13" x14ac:dyDescent="0.3">
      <c r="A133" s="101" t="s">
        <v>298</v>
      </c>
      <c r="B133" s="102" t="s">
        <v>31</v>
      </c>
      <c r="C133" s="103">
        <v>45720</v>
      </c>
      <c r="D133" s="102" t="s">
        <v>33</v>
      </c>
      <c r="E133" s="102" t="s">
        <v>34</v>
      </c>
      <c r="F133" s="102">
        <v>1947</v>
      </c>
      <c r="G133" s="102">
        <v>842</v>
      </c>
      <c r="H133" s="102">
        <v>101</v>
      </c>
      <c r="I133" s="102">
        <v>21417</v>
      </c>
      <c r="J133" s="102">
        <v>20967</v>
      </c>
      <c r="K133" s="102">
        <v>186</v>
      </c>
      <c r="L133" s="102" t="s">
        <v>24</v>
      </c>
      <c r="M133" s="104" t="s">
        <v>25</v>
      </c>
    </row>
    <row r="134" spans="1:13" x14ac:dyDescent="0.3">
      <c r="A134" s="101" t="s">
        <v>299</v>
      </c>
      <c r="B134" s="102" t="s">
        <v>40</v>
      </c>
      <c r="C134" s="103">
        <v>45694</v>
      </c>
      <c r="D134" s="102" t="s">
        <v>49</v>
      </c>
      <c r="E134" s="102" t="s">
        <v>50</v>
      </c>
      <c r="F134" s="102">
        <v>2072</v>
      </c>
      <c r="G134" s="102">
        <v>532</v>
      </c>
      <c r="H134" s="102">
        <v>71</v>
      </c>
      <c r="I134" s="102">
        <v>37296</v>
      </c>
      <c r="J134" s="102">
        <v>36467</v>
      </c>
      <c r="K134" s="102">
        <v>25</v>
      </c>
      <c r="L134" s="102" t="s">
        <v>18</v>
      </c>
      <c r="M134" s="104" t="s">
        <v>38</v>
      </c>
    </row>
    <row r="135" spans="1:13" x14ac:dyDescent="0.3">
      <c r="A135" s="101" t="s">
        <v>301</v>
      </c>
      <c r="B135" s="102" t="s">
        <v>14</v>
      </c>
      <c r="C135" s="103">
        <v>45771</v>
      </c>
      <c r="D135" s="102" t="s">
        <v>16</v>
      </c>
      <c r="E135" s="102" t="s">
        <v>17</v>
      </c>
      <c r="F135" s="102">
        <v>3731</v>
      </c>
      <c r="G135" s="102">
        <v>115</v>
      </c>
      <c r="H135" s="102">
        <v>135</v>
      </c>
      <c r="I135" s="102">
        <v>55965</v>
      </c>
      <c r="J135" s="102">
        <v>55436</v>
      </c>
      <c r="K135" s="102">
        <v>103</v>
      </c>
      <c r="L135" s="102" t="s">
        <v>77</v>
      </c>
      <c r="M135" s="104" t="s">
        <v>55</v>
      </c>
    </row>
    <row r="136" spans="1:13" x14ac:dyDescent="0.3">
      <c r="A136" s="101" t="s">
        <v>303</v>
      </c>
      <c r="B136" s="102" t="s">
        <v>40</v>
      </c>
      <c r="C136" s="103">
        <v>45624</v>
      </c>
      <c r="D136" s="102" t="s">
        <v>22</v>
      </c>
      <c r="E136" s="102" t="s">
        <v>23</v>
      </c>
      <c r="F136" s="102">
        <v>4213</v>
      </c>
      <c r="G136" s="102">
        <v>253</v>
      </c>
      <c r="H136" s="102">
        <v>434</v>
      </c>
      <c r="I136" s="102">
        <v>75834</v>
      </c>
      <c r="J136" s="102">
        <v>75437</v>
      </c>
      <c r="K136" s="102">
        <v>272</v>
      </c>
      <c r="L136" s="102" t="s">
        <v>44</v>
      </c>
      <c r="M136" s="104" t="s">
        <v>38</v>
      </c>
    </row>
    <row r="137" spans="1:13" x14ac:dyDescent="0.3">
      <c r="A137" s="101" t="s">
        <v>305</v>
      </c>
      <c r="B137" s="102" t="s">
        <v>31</v>
      </c>
      <c r="C137" s="103">
        <v>45484</v>
      </c>
      <c r="D137" s="102" t="s">
        <v>22</v>
      </c>
      <c r="E137" s="102" t="s">
        <v>23</v>
      </c>
      <c r="F137" s="102">
        <v>3134</v>
      </c>
      <c r="G137" s="102">
        <v>888</v>
      </c>
      <c r="H137" s="102">
        <v>444</v>
      </c>
      <c r="I137" s="102">
        <v>21938</v>
      </c>
      <c r="J137" s="102">
        <v>21337</v>
      </c>
      <c r="K137" s="102">
        <v>130</v>
      </c>
      <c r="L137" s="102" t="s">
        <v>66</v>
      </c>
      <c r="M137" s="104" t="s">
        <v>55</v>
      </c>
    </row>
    <row r="138" spans="1:13" x14ac:dyDescent="0.3">
      <c r="A138" s="101" t="s">
        <v>307</v>
      </c>
      <c r="B138" s="102" t="s">
        <v>40</v>
      </c>
      <c r="C138" s="103">
        <v>45504</v>
      </c>
      <c r="D138" s="102" t="s">
        <v>69</v>
      </c>
      <c r="E138" s="102" t="s">
        <v>70</v>
      </c>
      <c r="F138" s="102">
        <v>3008</v>
      </c>
      <c r="G138" s="102">
        <v>94</v>
      </c>
      <c r="H138" s="102">
        <v>37</v>
      </c>
      <c r="I138" s="102">
        <v>15040</v>
      </c>
      <c r="J138" s="102">
        <v>14639</v>
      </c>
      <c r="K138" s="102">
        <v>277</v>
      </c>
      <c r="L138" s="102" t="s">
        <v>77</v>
      </c>
      <c r="M138" s="104" t="s">
        <v>19</v>
      </c>
    </row>
    <row r="139" spans="1:13" x14ac:dyDescent="0.3">
      <c r="A139" s="101" t="s">
        <v>308</v>
      </c>
      <c r="B139" s="102" t="s">
        <v>14</v>
      </c>
      <c r="C139" s="103">
        <v>45745</v>
      </c>
      <c r="D139" s="102" t="s">
        <v>49</v>
      </c>
      <c r="E139" s="102" t="s">
        <v>50</v>
      </c>
      <c r="F139" s="102">
        <v>305</v>
      </c>
      <c r="G139" s="102">
        <v>187</v>
      </c>
      <c r="H139" s="102">
        <v>243</v>
      </c>
      <c r="I139" s="102">
        <v>4575</v>
      </c>
      <c r="J139" s="102">
        <v>3704</v>
      </c>
      <c r="K139" s="102">
        <v>234</v>
      </c>
      <c r="L139" s="102" t="s">
        <v>285</v>
      </c>
      <c r="M139" s="104" t="s">
        <v>55</v>
      </c>
    </row>
    <row r="140" spans="1:13" x14ac:dyDescent="0.3">
      <c r="A140" s="101" t="s">
        <v>309</v>
      </c>
      <c r="B140" s="102" t="s">
        <v>577</v>
      </c>
      <c r="C140" s="103">
        <v>45594</v>
      </c>
      <c r="D140" s="102" t="s">
        <v>22</v>
      </c>
      <c r="E140" s="102" t="s">
        <v>23</v>
      </c>
      <c r="F140" s="102">
        <v>2746</v>
      </c>
      <c r="G140" s="102">
        <v>156</v>
      </c>
      <c r="H140" s="102">
        <v>203</v>
      </c>
      <c r="I140" s="102">
        <v>32952</v>
      </c>
      <c r="J140" s="102">
        <v>32147</v>
      </c>
      <c r="K140" s="102">
        <v>147</v>
      </c>
      <c r="L140" s="102" t="s">
        <v>146</v>
      </c>
      <c r="M140" s="104" t="s">
        <v>25</v>
      </c>
    </row>
    <row r="141" spans="1:13" x14ac:dyDescent="0.3">
      <c r="A141" s="101" t="s">
        <v>311</v>
      </c>
      <c r="B141" s="102" t="s">
        <v>40</v>
      </c>
      <c r="C141" s="103">
        <v>45488</v>
      </c>
      <c r="D141" s="102" t="s">
        <v>49</v>
      </c>
      <c r="E141" s="102" t="s">
        <v>50</v>
      </c>
      <c r="F141" s="102">
        <v>2291</v>
      </c>
      <c r="G141" s="102">
        <v>78</v>
      </c>
      <c r="H141" s="102">
        <v>485</v>
      </c>
      <c r="I141" s="102">
        <v>18328</v>
      </c>
      <c r="J141" s="102">
        <v>18101</v>
      </c>
      <c r="K141" s="102">
        <v>10</v>
      </c>
      <c r="L141" s="102" t="s">
        <v>77</v>
      </c>
      <c r="M141" s="104" t="s">
        <v>19</v>
      </c>
    </row>
    <row r="142" spans="1:13" x14ac:dyDescent="0.3">
      <c r="A142" s="101" t="s">
        <v>313</v>
      </c>
      <c r="B142" s="102" t="s">
        <v>14</v>
      </c>
      <c r="C142" s="103">
        <v>45535</v>
      </c>
      <c r="D142" s="102" t="s">
        <v>49</v>
      </c>
      <c r="E142" s="102" t="s">
        <v>50</v>
      </c>
      <c r="F142" s="102">
        <v>3170</v>
      </c>
      <c r="G142" s="102">
        <v>857</v>
      </c>
      <c r="H142" s="102">
        <v>379</v>
      </c>
      <c r="I142" s="102">
        <v>19020</v>
      </c>
      <c r="J142" s="102">
        <v>18559</v>
      </c>
      <c r="K142" s="102">
        <v>240</v>
      </c>
      <c r="L142" s="102" t="s">
        <v>18</v>
      </c>
      <c r="M142" s="104" t="s">
        <v>38</v>
      </c>
    </row>
    <row r="143" spans="1:13" x14ac:dyDescent="0.3">
      <c r="A143" s="101" t="s">
        <v>315</v>
      </c>
      <c r="B143" s="102" t="s">
        <v>577</v>
      </c>
      <c r="C143" s="103">
        <v>45741</v>
      </c>
      <c r="D143" s="102" t="s">
        <v>33</v>
      </c>
      <c r="E143" s="102" t="s">
        <v>34</v>
      </c>
      <c r="F143" s="102">
        <v>2070</v>
      </c>
      <c r="G143" s="102">
        <v>275</v>
      </c>
      <c r="H143" s="102">
        <v>386</v>
      </c>
      <c r="I143" s="102">
        <v>39330</v>
      </c>
      <c r="J143" s="102">
        <v>38627</v>
      </c>
      <c r="K143" s="102">
        <v>114</v>
      </c>
      <c r="L143" s="102" t="s">
        <v>18</v>
      </c>
      <c r="M143" s="104" t="s">
        <v>55</v>
      </c>
    </row>
    <row r="144" spans="1:13" x14ac:dyDescent="0.3">
      <c r="A144" s="101" t="s">
        <v>316</v>
      </c>
      <c r="B144" s="102" t="s">
        <v>577</v>
      </c>
      <c r="C144" s="103">
        <v>45567</v>
      </c>
      <c r="D144" s="102" t="s">
        <v>42</v>
      </c>
      <c r="E144" s="102" t="s">
        <v>43</v>
      </c>
      <c r="F144" s="102">
        <v>80</v>
      </c>
      <c r="G144" s="102">
        <v>362</v>
      </c>
      <c r="H144" s="102">
        <v>80</v>
      </c>
      <c r="I144" s="102">
        <v>1040</v>
      </c>
      <c r="J144" s="102">
        <v>349</v>
      </c>
      <c r="K144" s="102">
        <v>117</v>
      </c>
      <c r="L144" s="102" t="s">
        <v>146</v>
      </c>
      <c r="M144" s="104" t="s">
        <v>25</v>
      </c>
    </row>
    <row r="145" spans="1:13" x14ac:dyDescent="0.3">
      <c r="A145" s="101" t="s">
        <v>317</v>
      </c>
      <c r="B145" s="102" t="s">
        <v>577</v>
      </c>
      <c r="C145" s="103">
        <v>45593</v>
      </c>
      <c r="D145" s="102" t="s">
        <v>33</v>
      </c>
      <c r="E145" s="102" t="s">
        <v>34</v>
      </c>
      <c r="F145" s="102">
        <v>4929</v>
      </c>
      <c r="G145" s="102">
        <v>749</v>
      </c>
      <c r="H145" s="102">
        <v>452</v>
      </c>
      <c r="I145" s="102">
        <v>93651</v>
      </c>
      <c r="J145" s="102">
        <v>92810</v>
      </c>
      <c r="K145" s="102">
        <v>66</v>
      </c>
      <c r="L145" s="102" t="s">
        <v>214</v>
      </c>
      <c r="M145" s="104" t="s">
        <v>19</v>
      </c>
    </row>
    <row r="146" spans="1:13" x14ac:dyDescent="0.3">
      <c r="A146" s="101" t="s">
        <v>318</v>
      </c>
      <c r="B146" s="102" t="s">
        <v>31</v>
      </c>
      <c r="C146" s="103">
        <v>45516</v>
      </c>
      <c r="D146" s="102" t="s">
        <v>42</v>
      </c>
      <c r="E146" s="102" t="s">
        <v>43</v>
      </c>
      <c r="F146" s="102">
        <v>1878</v>
      </c>
      <c r="G146" s="102">
        <v>62</v>
      </c>
      <c r="H146" s="102">
        <v>179</v>
      </c>
      <c r="I146" s="102">
        <v>37560</v>
      </c>
      <c r="J146" s="102">
        <v>36874</v>
      </c>
      <c r="K146" s="102">
        <v>142</v>
      </c>
      <c r="L146" s="102" t="s">
        <v>178</v>
      </c>
      <c r="M146" s="104" t="s">
        <v>19</v>
      </c>
    </row>
    <row r="147" spans="1:13" x14ac:dyDescent="0.3">
      <c r="A147" s="101" t="s">
        <v>319</v>
      </c>
      <c r="B147" s="102" t="s">
        <v>577</v>
      </c>
      <c r="C147" s="103">
        <v>45448</v>
      </c>
      <c r="D147" s="102" t="s">
        <v>16</v>
      </c>
      <c r="E147" s="102" t="s">
        <v>17</v>
      </c>
      <c r="F147" s="102">
        <v>3065</v>
      </c>
      <c r="G147" s="102">
        <v>772</v>
      </c>
      <c r="H147" s="102">
        <v>142</v>
      </c>
      <c r="I147" s="102">
        <v>18390</v>
      </c>
      <c r="J147" s="102">
        <v>17875</v>
      </c>
      <c r="K147" s="102">
        <v>200</v>
      </c>
      <c r="L147" s="102" t="s">
        <v>58</v>
      </c>
      <c r="M147" s="104" t="s">
        <v>19</v>
      </c>
    </row>
    <row r="148" spans="1:13" x14ac:dyDescent="0.3">
      <c r="A148" s="101" t="s">
        <v>321</v>
      </c>
      <c r="B148" s="102" t="s">
        <v>31</v>
      </c>
      <c r="C148" s="103">
        <v>45586</v>
      </c>
      <c r="D148" s="102" t="s">
        <v>16</v>
      </c>
      <c r="E148" s="102" t="s">
        <v>17</v>
      </c>
      <c r="F148" s="102">
        <v>3256</v>
      </c>
      <c r="G148" s="102">
        <v>459</v>
      </c>
      <c r="H148" s="102">
        <v>266</v>
      </c>
      <c r="I148" s="102">
        <v>26048</v>
      </c>
      <c r="J148" s="102">
        <v>25529</v>
      </c>
      <c r="K148" s="102">
        <v>143</v>
      </c>
      <c r="L148" s="102" t="s">
        <v>82</v>
      </c>
      <c r="M148" s="104" t="s">
        <v>38</v>
      </c>
    </row>
    <row r="149" spans="1:13" x14ac:dyDescent="0.3">
      <c r="A149" s="101" t="s">
        <v>322</v>
      </c>
      <c r="B149" s="102" t="s">
        <v>31</v>
      </c>
      <c r="C149" s="103">
        <v>45762</v>
      </c>
      <c r="D149" s="102" t="s">
        <v>69</v>
      </c>
      <c r="E149" s="102" t="s">
        <v>70</v>
      </c>
      <c r="F149" s="102">
        <v>4133</v>
      </c>
      <c r="G149" s="102">
        <v>466</v>
      </c>
      <c r="H149" s="102">
        <v>327</v>
      </c>
      <c r="I149" s="102">
        <v>24798</v>
      </c>
      <c r="J149" s="102">
        <v>24620</v>
      </c>
      <c r="K149" s="102">
        <v>176</v>
      </c>
      <c r="L149" s="102" t="s">
        <v>58</v>
      </c>
      <c r="M149" s="104" t="s">
        <v>25</v>
      </c>
    </row>
    <row r="150" spans="1:13" x14ac:dyDescent="0.3">
      <c r="A150" s="101" t="s">
        <v>323</v>
      </c>
      <c r="B150" s="102" t="s">
        <v>14</v>
      </c>
      <c r="C150" s="103">
        <v>45459</v>
      </c>
      <c r="D150" s="102" t="s">
        <v>69</v>
      </c>
      <c r="E150" s="102" t="s">
        <v>70</v>
      </c>
      <c r="F150" s="102">
        <v>1702</v>
      </c>
      <c r="G150" s="102">
        <v>750</v>
      </c>
      <c r="H150" s="102">
        <v>179</v>
      </c>
      <c r="I150" s="102">
        <v>34040</v>
      </c>
      <c r="J150" s="102">
        <v>33174</v>
      </c>
      <c r="K150" s="102">
        <v>76</v>
      </c>
      <c r="L150" s="102" t="s">
        <v>44</v>
      </c>
      <c r="M150" s="104" t="s">
        <v>38</v>
      </c>
    </row>
    <row r="151" spans="1:13" x14ac:dyDescent="0.3">
      <c r="A151" s="101" t="s">
        <v>325</v>
      </c>
      <c r="B151" s="102" t="s">
        <v>577</v>
      </c>
      <c r="C151" s="103">
        <v>45526</v>
      </c>
      <c r="D151" s="102" t="s">
        <v>42</v>
      </c>
      <c r="E151" s="102" t="s">
        <v>43</v>
      </c>
      <c r="F151" s="102">
        <v>4295</v>
      </c>
      <c r="G151" s="102">
        <v>853</v>
      </c>
      <c r="H151" s="102">
        <v>325</v>
      </c>
      <c r="I151" s="102">
        <v>85900</v>
      </c>
      <c r="J151" s="102">
        <v>85788</v>
      </c>
      <c r="K151" s="102">
        <v>290</v>
      </c>
      <c r="L151" s="102" t="s">
        <v>209</v>
      </c>
      <c r="M151" s="104" t="s">
        <v>25</v>
      </c>
    </row>
    <row r="152" spans="1:13" x14ac:dyDescent="0.3">
      <c r="A152" s="101" t="s">
        <v>327</v>
      </c>
      <c r="B152" s="102" t="s">
        <v>31</v>
      </c>
      <c r="C152" s="103">
        <v>45499</v>
      </c>
      <c r="D152" s="102" t="s">
        <v>49</v>
      </c>
      <c r="E152" s="102" t="s">
        <v>50</v>
      </c>
      <c r="F152" s="102">
        <v>3559</v>
      </c>
      <c r="G152" s="102">
        <v>59</v>
      </c>
      <c r="H152" s="102">
        <v>289</v>
      </c>
      <c r="I152" s="102">
        <v>35590</v>
      </c>
      <c r="J152" s="102">
        <v>35105</v>
      </c>
      <c r="K152" s="102">
        <v>122</v>
      </c>
      <c r="L152" s="102" t="s">
        <v>214</v>
      </c>
      <c r="M152" s="104" t="s">
        <v>38</v>
      </c>
    </row>
    <row r="153" spans="1:13" x14ac:dyDescent="0.3">
      <c r="A153" s="101" t="s">
        <v>328</v>
      </c>
      <c r="B153" s="102" t="s">
        <v>40</v>
      </c>
      <c r="C153" s="103">
        <v>45769</v>
      </c>
      <c r="D153" s="102" t="s">
        <v>49</v>
      </c>
      <c r="E153" s="102" t="s">
        <v>50</v>
      </c>
      <c r="F153" s="102">
        <v>4804</v>
      </c>
      <c r="G153" s="102">
        <v>550</v>
      </c>
      <c r="H153" s="102">
        <v>270</v>
      </c>
      <c r="I153" s="102">
        <v>28824</v>
      </c>
      <c r="J153" s="102">
        <v>28370</v>
      </c>
      <c r="K153" s="102">
        <v>47</v>
      </c>
      <c r="L153" s="102" t="s">
        <v>82</v>
      </c>
      <c r="M153" s="104" t="s">
        <v>55</v>
      </c>
    </row>
    <row r="154" spans="1:13" x14ac:dyDescent="0.3">
      <c r="A154" s="101" t="s">
        <v>330</v>
      </c>
      <c r="B154" s="102" t="s">
        <v>14</v>
      </c>
      <c r="C154" s="103">
        <v>45658</v>
      </c>
      <c r="D154" s="102" t="s">
        <v>69</v>
      </c>
      <c r="E154" s="102" t="s">
        <v>70</v>
      </c>
      <c r="F154" s="102">
        <v>754</v>
      </c>
      <c r="G154" s="102">
        <v>197</v>
      </c>
      <c r="H154" s="102">
        <v>257</v>
      </c>
      <c r="I154" s="102">
        <v>6786</v>
      </c>
      <c r="J154" s="102">
        <v>6221</v>
      </c>
      <c r="K154" s="102">
        <v>212</v>
      </c>
      <c r="L154" s="102" t="s">
        <v>178</v>
      </c>
      <c r="M154" s="104" t="s">
        <v>38</v>
      </c>
    </row>
    <row r="155" spans="1:13" x14ac:dyDescent="0.3">
      <c r="A155" s="101" t="s">
        <v>332</v>
      </c>
      <c r="B155" s="102" t="s">
        <v>31</v>
      </c>
      <c r="C155" s="103">
        <v>45574</v>
      </c>
      <c r="D155" s="102" t="s">
        <v>42</v>
      </c>
      <c r="E155" s="102" t="s">
        <v>43</v>
      </c>
      <c r="F155" s="102">
        <v>985</v>
      </c>
      <c r="G155" s="102">
        <v>932</v>
      </c>
      <c r="H155" s="102">
        <v>287</v>
      </c>
      <c r="I155" s="102">
        <v>6895</v>
      </c>
      <c r="J155" s="102">
        <v>6757</v>
      </c>
      <c r="K155" s="102">
        <v>64</v>
      </c>
      <c r="L155" s="102" t="s">
        <v>66</v>
      </c>
      <c r="M155" s="104" t="s">
        <v>25</v>
      </c>
    </row>
    <row r="156" spans="1:13" x14ac:dyDescent="0.3">
      <c r="A156" s="101" t="s">
        <v>333</v>
      </c>
      <c r="B156" s="102" t="s">
        <v>577</v>
      </c>
      <c r="C156" s="103">
        <v>45647</v>
      </c>
      <c r="D156" s="102" t="s">
        <v>49</v>
      </c>
      <c r="E156" s="102" t="s">
        <v>50</v>
      </c>
      <c r="F156" s="102">
        <v>2283</v>
      </c>
      <c r="G156" s="102">
        <v>210</v>
      </c>
      <c r="H156" s="102">
        <v>130</v>
      </c>
      <c r="I156" s="102">
        <v>22830</v>
      </c>
      <c r="J156" s="102">
        <v>22617</v>
      </c>
      <c r="K156" s="102">
        <v>143</v>
      </c>
      <c r="L156" s="102" t="s">
        <v>146</v>
      </c>
      <c r="M156" s="104" t="s">
        <v>38</v>
      </c>
    </row>
    <row r="157" spans="1:13" x14ac:dyDescent="0.3">
      <c r="A157" s="101" t="s">
        <v>335</v>
      </c>
      <c r="B157" s="102" t="s">
        <v>40</v>
      </c>
      <c r="C157" s="103">
        <v>45587</v>
      </c>
      <c r="D157" s="102" t="s">
        <v>42</v>
      </c>
      <c r="E157" s="102" t="s">
        <v>43</v>
      </c>
      <c r="F157" s="102">
        <v>3352</v>
      </c>
      <c r="G157" s="102">
        <v>941</v>
      </c>
      <c r="H157" s="102">
        <v>482</v>
      </c>
      <c r="I157" s="102">
        <v>43576</v>
      </c>
      <c r="J157" s="102">
        <v>43338</v>
      </c>
      <c r="K157" s="102">
        <v>240</v>
      </c>
      <c r="L157" s="102" t="s">
        <v>44</v>
      </c>
      <c r="M157" s="104" t="s">
        <v>38</v>
      </c>
    </row>
    <row r="158" spans="1:13" x14ac:dyDescent="0.3">
      <c r="A158" s="101" t="s">
        <v>337</v>
      </c>
      <c r="B158" s="102" t="s">
        <v>577</v>
      </c>
      <c r="C158" s="103">
        <v>45496</v>
      </c>
      <c r="D158" s="102" t="s">
        <v>33</v>
      </c>
      <c r="E158" s="102" t="s">
        <v>34</v>
      </c>
      <c r="F158" s="102">
        <v>4775</v>
      </c>
      <c r="G158" s="102">
        <v>173</v>
      </c>
      <c r="H158" s="102">
        <v>206</v>
      </c>
      <c r="I158" s="102">
        <v>47750</v>
      </c>
      <c r="J158" s="102">
        <v>47544</v>
      </c>
      <c r="K158" s="102">
        <v>187</v>
      </c>
      <c r="L158" s="102" t="s">
        <v>87</v>
      </c>
      <c r="M158" s="104" t="s">
        <v>55</v>
      </c>
    </row>
    <row r="159" spans="1:13" x14ac:dyDescent="0.3">
      <c r="A159" s="101" t="s">
        <v>339</v>
      </c>
      <c r="B159" s="102" t="s">
        <v>31</v>
      </c>
      <c r="C159" s="103">
        <v>45515</v>
      </c>
      <c r="D159" s="102" t="s">
        <v>33</v>
      </c>
      <c r="E159" s="102" t="s">
        <v>34</v>
      </c>
      <c r="F159" s="102">
        <v>1762</v>
      </c>
      <c r="G159" s="102">
        <v>405</v>
      </c>
      <c r="H159" s="102">
        <v>423</v>
      </c>
      <c r="I159" s="102">
        <v>22906</v>
      </c>
      <c r="J159" s="102">
        <v>21925</v>
      </c>
      <c r="K159" s="102">
        <v>25</v>
      </c>
      <c r="L159" s="102" t="s">
        <v>77</v>
      </c>
      <c r="M159" s="104" t="s">
        <v>25</v>
      </c>
    </row>
    <row r="160" spans="1:13" x14ac:dyDescent="0.3">
      <c r="A160" s="101" t="s">
        <v>341</v>
      </c>
      <c r="B160" s="102" t="s">
        <v>40</v>
      </c>
      <c r="C160" s="103">
        <v>45621</v>
      </c>
      <c r="D160" s="102" t="s">
        <v>33</v>
      </c>
      <c r="E160" s="102" t="s">
        <v>34</v>
      </c>
      <c r="F160" s="102">
        <v>2120</v>
      </c>
      <c r="G160" s="102">
        <v>158</v>
      </c>
      <c r="H160" s="102">
        <v>488</v>
      </c>
      <c r="I160" s="102">
        <v>12720</v>
      </c>
      <c r="J160" s="102">
        <v>12085</v>
      </c>
      <c r="K160" s="102">
        <v>17</v>
      </c>
      <c r="L160" s="102" t="s">
        <v>87</v>
      </c>
      <c r="M160" s="104" t="s">
        <v>25</v>
      </c>
    </row>
    <row r="161" spans="1:13" x14ac:dyDescent="0.3">
      <c r="A161" s="101" t="s">
        <v>342</v>
      </c>
      <c r="B161" s="102" t="s">
        <v>14</v>
      </c>
      <c r="C161" s="103">
        <v>45528</v>
      </c>
      <c r="D161" s="102" t="s">
        <v>69</v>
      </c>
      <c r="E161" s="102" t="s">
        <v>70</v>
      </c>
      <c r="F161" s="102">
        <v>1082</v>
      </c>
      <c r="G161" s="102">
        <v>209</v>
      </c>
      <c r="H161" s="102">
        <v>484</v>
      </c>
      <c r="I161" s="102">
        <v>19476</v>
      </c>
      <c r="J161" s="102">
        <v>18654</v>
      </c>
      <c r="K161" s="102">
        <v>20</v>
      </c>
      <c r="L161" s="102" t="s">
        <v>58</v>
      </c>
      <c r="M161" s="104" t="s">
        <v>55</v>
      </c>
    </row>
    <row r="162" spans="1:13" x14ac:dyDescent="0.3">
      <c r="A162" s="101" t="s">
        <v>344</v>
      </c>
      <c r="B162" s="102" t="s">
        <v>14</v>
      </c>
      <c r="C162" s="103">
        <v>45707</v>
      </c>
      <c r="D162" s="102" t="s">
        <v>22</v>
      </c>
      <c r="E162" s="102" t="s">
        <v>23</v>
      </c>
      <c r="F162" s="102">
        <v>4671</v>
      </c>
      <c r="G162" s="102">
        <v>876</v>
      </c>
      <c r="H162" s="102">
        <v>366</v>
      </c>
      <c r="I162" s="102">
        <v>51381</v>
      </c>
      <c r="J162" s="102">
        <v>50565</v>
      </c>
      <c r="K162" s="102">
        <v>245</v>
      </c>
      <c r="L162" s="102" t="s">
        <v>18</v>
      </c>
      <c r="M162" s="104" t="s">
        <v>25</v>
      </c>
    </row>
    <row r="163" spans="1:13" x14ac:dyDescent="0.3">
      <c r="A163" s="101" t="s">
        <v>346</v>
      </c>
      <c r="B163" s="102" t="s">
        <v>40</v>
      </c>
      <c r="C163" s="103">
        <v>45748</v>
      </c>
      <c r="D163" s="102" t="s">
        <v>33</v>
      </c>
      <c r="E163" s="102" t="s">
        <v>34</v>
      </c>
      <c r="F163" s="102">
        <v>3430</v>
      </c>
      <c r="G163" s="102">
        <v>566</v>
      </c>
      <c r="H163" s="102">
        <v>164</v>
      </c>
      <c r="I163" s="102">
        <v>48020</v>
      </c>
      <c r="J163" s="102">
        <v>47305</v>
      </c>
      <c r="K163" s="102">
        <v>120</v>
      </c>
      <c r="L163" s="102" t="s">
        <v>44</v>
      </c>
      <c r="M163" s="104" t="s">
        <v>25</v>
      </c>
    </row>
    <row r="164" spans="1:13" x14ac:dyDescent="0.3">
      <c r="A164" s="101" t="s">
        <v>348</v>
      </c>
      <c r="B164" s="102" t="s">
        <v>31</v>
      </c>
      <c r="C164" s="103">
        <v>45755</v>
      </c>
      <c r="D164" s="102" t="s">
        <v>49</v>
      </c>
      <c r="E164" s="102" t="s">
        <v>50</v>
      </c>
      <c r="F164" s="102">
        <v>4501</v>
      </c>
      <c r="G164" s="102">
        <v>375</v>
      </c>
      <c r="H164" s="102">
        <v>323</v>
      </c>
      <c r="I164" s="102">
        <v>22505</v>
      </c>
      <c r="J164" s="102">
        <v>21836</v>
      </c>
      <c r="K164" s="102">
        <v>132</v>
      </c>
      <c r="L164" s="102" t="s">
        <v>24</v>
      </c>
      <c r="M164" s="104" t="s">
        <v>55</v>
      </c>
    </row>
    <row r="165" spans="1:13" x14ac:dyDescent="0.3">
      <c r="A165" s="101" t="s">
        <v>350</v>
      </c>
      <c r="B165" s="102" t="s">
        <v>577</v>
      </c>
      <c r="C165" s="103">
        <v>45715</v>
      </c>
      <c r="D165" s="102" t="s">
        <v>22</v>
      </c>
      <c r="E165" s="102" t="s">
        <v>23</v>
      </c>
      <c r="F165" s="102">
        <v>4934</v>
      </c>
      <c r="G165" s="102">
        <v>971</v>
      </c>
      <c r="H165" s="102">
        <v>156</v>
      </c>
      <c r="I165" s="102">
        <v>39472</v>
      </c>
      <c r="J165" s="102">
        <v>39025</v>
      </c>
      <c r="K165" s="102">
        <v>169</v>
      </c>
      <c r="L165" s="102" t="s">
        <v>264</v>
      </c>
      <c r="M165" s="104" t="s">
        <v>25</v>
      </c>
    </row>
    <row r="166" spans="1:13" x14ac:dyDescent="0.3">
      <c r="A166" s="101" t="s">
        <v>351</v>
      </c>
      <c r="B166" s="102" t="s">
        <v>14</v>
      </c>
      <c r="C166" s="103">
        <v>45637</v>
      </c>
      <c r="D166" s="102" t="s">
        <v>22</v>
      </c>
      <c r="E166" s="102" t="s">
        <v>23</v>
      </c>
      <c r="F166" s="102">
        <v>3239</v>
      </c>
      <c r="G166" s="102">
        <v>43</v>
      </c>
      <c r="H166" s="102">
        <v>211</v>
      </c>
      <c r="I166" s="102">
        <v>22673</v>
      </c>
      <c r="J166" s="102">
        <v>22171</v>
      </c>
      <c r="K166" s="102">
        <v>230</v>
      </c>
      <c r="L166" s="102" t="s">
        <v>214</v>
      </c>
      <c r="M166" s="104" t="s">
        <v>25</v>
      </c>
    </row>
    <row r="167" spans="1:13" x14ac:dyDescent="0.3">
      <c r="A167" s="101" t="s">
        <v>352</v>
      </c>
      <c r="B167" s="102" t="s">
        <v>14</v>
      </c>
      <c r="C167" s="103">
        <v>45704</v>
      </c>
      <c r="D167" s="102" t="s">
        <v>16</v>
      </c>
      <c r="E167" s="102" t="s">
        <v>17</v>
      </c>
      <c r="F167" s="102">
        <v>1076</v>
      </c>
      <c r="G167" s="102">
        <v>313</v>
      </c>
      <c r="H167" s="102">
        <v>306</v>
      </c>
      <c r="I167" s="102">
        <v>11836</v>
      </c>
      <c r="J167" s="102">
        <v>11596</v>
      </c>
      <c r="K167" s="102">
        <v>104</v>
      </c>
      <c r="L167" s="102" t="s">
        <v>77</v>
      </c>
      <c r="M167" s="104" t="s">
        <v>25</v>
      </c>
    </row>
    <row r="168" spans="1:13" x14ac:dyDescent="0.3">
      <c r="A168" s="101" t="s">
        <v>353</v>
      </c>
      <c r="B168" s="102" t="s">
        <v>31</v>
      </c>
      <c r="C168" s="103">
        <v>45624</v>
      </c>
      <c r="D168" s="102" t="s">
        <v>22</v>
      </c>
      <c r="E168" s="102" t="s">
        <v>23</v>
      </c>
      <c r="F168" s="102">
        <v>4771</v>
      </c>
      <c r="G168" s="102">
        <v>818</v>
      </c>
      <c r="H168" s="102">
        <v>56</v>
      </c>
      <c r="I168" s="102">
        <v>57252</v>
      </c>
      <c r="J168" s="102">
        <v>56378</v>
      </c>
      <c r="K168" s="102">
        <v>150</v>
      </c>
      <c r="L168" s="102" t="s">
        <v>18</v>
      </c>
      <c r="M168" s="104" t="s">
        <v>25</v>
      </c>
    </row>
    <row r="169" spans="1:13" x14ac:dyDescent="0.3">
      <c r="A169" s="101" t="s">
        <v>354</v>
      </c>
      <c r="B169" s="102" t="s">
        <v>40</v>
      </c>
      <c r="C169" s="103">
        <v>45608</v>
      </c>
      <c r="D169" s="102" t="s">
        <v>22</v>
      </c>
      <c r="E169" s="102" t="s">
        <v>23</v>
      </c>
      <c r="F169" s="102">
        <v>2418</v>
      </c>
      <c r="G169" s="102">
        <v>754</v>
      </c>
      <c r="H169" s="102">
        <v>54</v>
      </c>
      <c r="I169" s="102">
        <v>43524</v>
      </c>
      <c r="J169" s="102">
        <v>42743</v>
      </c>
      <c r="K169" s="102">
        <v>182</v>
      </c>
      <c r="L169" s="102" t="s">
        <v>285</v>
      </c>
      <c r="M169" s="104" t="s">
        <v>55</v>
      </c>
    </row>
    <row r="170" spans="1:13" x14ac:dyDescent="0.3">
      <c r="A170" s="101" t="s">
        <v>356</v>
      </c>
      <c r="B170" s="102" t="s">
        <v>577</v>
      </c>
      <c r="C170" s="103">
        <v>45629</v>
      </c>
      <c r="D170" s="102" t="s">
        <v>69</v>
      </c>
      <c r="E170" s="102" t="s">
        <v>70</v>
      </c>
      <c r="F170" s="102">
        <v>3809</v>
      </c>
      <c r="G170" s="102">
        <v>273</v>
      </c>
      <c r="H170" s="102">
        <v>200</v>
      </c>
      <c r="I170" s="102">
        <v>34281</v>
      </c>
      <c r="J170" s="102">
        <v>33534</v>
      </c>
      <c r="K170" s="102">
        <v>83</v>
      </c>
      <c r="L170" s="102" t="s">
        <v>44</v>
      </c>
      <c r="M170" s="104" t="s">
        <v>38</v>
      </c>
    </row>
    <row r="171" spans="1:13" x14ac:dyDescent="0.3">
      <c r="A171" s="101" t="s">
        <v>358</v>
      </c>
      <c r="B171" s="102" t="s">
        <v>14</v>
      </c>
      <c r="C171" s="103">
        <v>45775</v>
      </c>
      <c r="D171" s="102" t="s">
        <v>22</v>
      </c>
      <c r="E171" s="102" t="s">
        <v>23</v>
      </c>
      <c r="F171" s="102">
        <v>3577</v>
      </c>
      <c r="G171" s="102">
        <v>596</v>
      </c>
      <c r="H171" s="102">
        <v>493</v>
      </c>
      <c r="I171" s="102">
        <v>67963</v>
      </c>
      <c r="J171" s="102">
        <v>67839</v>
      </c>
      <c r="K171" s="102">
        <v>53</v>
      </c>
      <c r="L171" s="102" t="s">
        <v>87</v>
      </c>
      <c r="M171" s="104" t="s">
        <v>55</v>
      </c>
    </row>
    <row r="172" spans="1:13" x14ac:dyDescent="0.3">
      <c r="A172" s="101" t="s">
        <v>360</v>
      </c>
      <c r="B172" s="102" t="s">
        <v>577</v>
      </c>
      <c r="C172" s="103">
        <v>45657</v>
      </c>
      <c r="D172" s="102" t="s">
        <v>69</v>
      </c>
      <c r="E172" s="102" t="s">
        <v>70</v>
      </c>
      <c r="F172" s="102">
        <v>1018</v>
      </c>
      <c r="G172" s="102">
        <v>447</v>
      </c>
      <c r="H172" s="102">
        <v>332</v>
      </c>
      <c r="I172" s="102">
        <v>18324</v>
      </c>
      <c r="J172" s="102">
        <v>18164</v>
      </c>
      <c r="K172" s="102">
        <v>38</v>
      </c>
      <c r="L172" s="102" t="s">
        <v>66</v>
      </c>
      <c r="M172" s="104" t="s">
        <v>55</v>
      </c>
    </row>
    <row r="173" spans="1:13" x14ac:dyDescent="0.3">
      <c r="A173" s="101" t="s">
        <v>362</v>
      </c>
      <c r="B173" s="102" t="s">
        <v>40</v>
      </c>
      <c r="C173" s="103">
        <v>45518</v>
      </c>
      <c r="D173" s="102" t="s">
        <v>42</v>
      </c>
      <c r="E173" s="102" t="s">
        <v>43</v>
      </c>
      <c r="F173" s="102">
        <v>3073</v>
      </c>
      <c r="G173" s="102">
        <v>553</v>
      </c>
      <c r="H173" s="102">
        <v>174</v>
      </c>
      <c r="I173" s="102">
        <v>52241</v>
      </c>
      <c r="J173" s="102">
        <v>51605</v>
      </c>
      <c r="K173" s="102">
        <v>246</v>
      </c>
      <c r="L173" s="102" t="s">
        <v>146</v>
      </c>
      <c r="M173" s="104" t="s">
        <v>55</v>
      </c>
    </row>
    <row r="174" spans="1:13" x14ac:dyDescent="0.3">
      <c r="A174" s="101" t="s">
        <v>364</v>
      </c>
      <c r="B174" s="102" t="s">
        <v>14</v>
      </c>
      <c r="C174" s="103">
        <v>45631</v>
      </c>
      <c r="D174" s="102" t="s">
        <v>69</v>
      </c>
      <c r="E174" s="102" t="s">
        <v>70</v>
      </c>
      <c r="F174" s="102">
        <v>1330</v>
      </c>
      <c r="G174" s="102">
        <v>925</v>
      </c>
      <c r="H174" s="102">
        <v>35</v>
      </c>
      <c r="I174" s="102">
        <v>15960</v>
      </c>
      <c r="J174" s="102">
        <v>15379</v>
      </c>
      <c r="K174" s="102">
        <v>229</v>
      </c>
      <c r="L174" s="102" t="s">
        <v>178</v>
      </c>
      <c r="M174" s="104" t="s">
        <v>55</v>
      </c>
    </row>
    <row r="175" spans="1:13" x14ac:dyDescent="0.3">
      <c r="A175" s="101" t="s">
        <v>366</v>
      </c>
      <c r="B175" s="102" t="s">
        <v>40</v>
      </c>
      <c r="C175" s="103">
        <v>45465</v>
      </c>
      <c r="D175" s="102" t="s">
        <v>22</v>
      </c>
      <c r="E175" s="102" t="s">
        <v>23</v>
      </c>
      <c r="F175" s="102">
        <v>3828</v>
      </c>
      <c r="G175" s="102">
        <v>148</v>
      </c>
      <c r="H175" s="102">
        <v>253</v>
      </c>
      <c r="I175" s="102">
        <v>30624</v>
      </c>
      <c r="J175" s="102">
        <v>30229</v>
      </c>
      <c r="K175" s="102">
        <v>235</v>
      </c>
      <c r="L175" s="102" t="s">
        <v>82</v>
      </c>
      <c r="M175" s="104" t="s">
        <v>55</v>
      </c>
    </row>
    <row r="176" spans="1:13" x14ac:dyDescent="0.3">
      <c r="A176" s="101" t="s">
        <v>367</v>
      </c>
      <c r="B176" s="102" t="s">
        <v>31</v>
      </c>
      <c r="C176" s="103">
        <v>45674</v>
      </c>
      <c r="D176" s="102" t="s">
        <v>16</v>
      </c>
      <c r="E176" s="102" t="s">
        <v>17</v>
      </c>
      <c r="F176" s="102">
        <v>142</v>
      </c>
      <c r="G176" s="102">
        <v>784</v>
      </c>
      <c r="H176" s="102">
        <v>183</v>
      </c>
      <c r="I176" s="102">
        <v>1704</v>
      </c>
      <c r="J176" s="102">
        <v>995</v>
      </c>
      <c r="K176" s="102">
        <v>154</v>
      </c>
      <c r="L176" s="102" t="s">
        <v>18</v>
      </c>
      <c r="M176" s="104" t="s">
        <v>19</v>
      </c>
    </row>
    <row r="177" spans="1:13" x14ac:dyDescent="0.3">
      <c r="A177" s="101" t="s">
        <v>369</v>
      </c>
      <c r="B177" s="102" t="s">
        <v>40</v>
      </c>
      <c r="C177" s="103">
        <v>45463</v>
      </c>
      <c r="D177" s="102" t="s">
        <v>69</v>
      </c>
      <c r="E177" s="102" t="s">
        <v>70</v>
      </c>
      <c r="F177" s="102">
        <v>3798</v>
      </c>
      <c r="G177" s="102">
        <v>31</v>
      </c>
      <c r="H177" s="102">
        <v>279</v>
      </c>
      <c r="I177" s="102">
        <v>75960</v>
      </c>
      <c r="J177" s="102">
        <v>75813</v>
      </c>
      <c r="K177" s="102">
        <v>266</v>
      </c>
      <c r="L177" s="102" t="s">
        <v>24</v>
      </c>
      <c r="M177" s="104" t="s">
        <v>25</v>
      </c>
    </row>
    <row r="178" spans="1:13" x14ac:dyDescent="0.3">
      <c r="A178" s="101" t="s">
        <v>371</v>
      </c>
      <c r="B178" s="102" t="s">
        <v>31</v>
      </c>
      <c r="C178" s="103">
        <v>45483</v>
      </c>
      <c r="D178" s="102" t="s">
        <v>42</v>
      </c>
      <c r="E178" s="102" t="s">
        <v>43</v>
      </c>
      <c r="F178" s="102">
        <v>3099</v>
      </c>
      <c r="G178" s="102">
        <v>694</v>
      </c>
      <c r="H178" s="102">
        <v>171</v>
      </c>
      <c r="I178" s="102">
        <v>43386</v>
      </c>
      <c r="J178" s="102">
        <v>42921</v>
      </c>
      <c r="K178" s="102">
        <v>52</v>
      </c>
      <c r="L178" s="102" t="s">
        <v>77</v>
      </c>
      <c r="M178" s="104" t="s">
        <v>55</v>
      </c>
    </row>
    <row r="179" spans="1:13" x14ac:dyDescent="0.3">
      <c r="A179" s="101" t="s">
        <v>373</v>
      </c>
      <c r="B179" s="102" t="s">
        <v>31</v>
      </c>
      <c r="C179" s="103">
        <v>45603</v>
      </c>
      <c r="D179" s="102" t="s">
        <v>69</v>
      </c>
      <c r="E179" s="102" t="s">
        <v>70</v>
      </c>
      <c r="F179" s="102">
        <v>129</v>
      </c>
      <c r="G179" s="102">
        <v>643</v>
      </c>
      <c r="H179" s="102">
        <v>136</v>
      </c>
      <c r="I179" s="102">
        <v>1290</v>
      </c>
      <c r="J179" s="102">
        <v>839</v>
      </c>
      <c r="K179" s="102">
        <v>238</v>
      </c>
      <c r="L179" s="102" t="s">
        <v>162</v>
      </c>
      <c r="M179" s="104" t="s">
        <v>55</v>
      </c>
    </row>
    <row r="180" spans="1:13" x14ac:dyDescent="0.3">
      <c r="A180" s="101" t="s">
        <v>374</v>
      </c>
      <c r="B180" s="102" t="s">
        <v>40</v>
      </c>
      <c r="C180" s="103">
        <v>45488</v>
      </c>
      <c r="D180" s="102" t="s">
        <v>42</v>
      </c>
      <c r="E180" s="102" t="s">
        <v>43</v>
      </c>
      <c r="F180" s="102">
        <v>3796</v>
      </c>
      <c r="G180" s="102">
        <v>667</v>
      </c>
      <c r="H180" s="102">
        <v>395</v>
      </c>
      <c r="I180" s="102">
        <v>64532</v>
      </c>
      <c r="J180" s="102">
        <v>63550</v>
      </c>
      <c r="K180" s="102">
        <v>292</v>
      </c>
      <c r="L180" s="102" t="s">
        <v>58</v>
      </c>
      <c r="M180" s="104" t="s">
        <v>19</v>
      </c>
    </row>
    <row r="181" spans="1:13" x14ac:dyDescent="0.3">
      <c r="A181" s="101" t="s">
        <v>375</v>
      </c>
      <c r="B181" s="102" t="s">
        <v>577</v>
      </c>
      <c r="C181" s="103">
        <v>45629</v>
      </c>
      <c r="D181" s="102" t="s">
        <v>22</v>
      </c>
      <c r="E181" s="102" t="s">
        <v>23</v>
      </c>
      <c r="F181" s="102">
        <v>3711</v>
      </c>
      <c r="G181" s="102">
        <v>352</v>
      </c>
      <c r="H181" s="102">
        <v>290</v>
      </c>
      <c r="I181" s="102">
        <v>48243</v>
      </c>
      <c r="J181" s="102">
        <v>47579</v>
      </c>
      <c r="K181" s="102">
        <v>11</v>
      </c>
      <c r="L181" s="102" t="s">
        <v>162</v>
      </c>
      <c r="M181" s="104" t="s">
        <v>55</v>
      </c>
    </row>
    <row r="182" spans="1:13" x14ac:dyDescent="0.3">
      <c r="A182" s="101" t="s">
        <v>376</v>
      </c>
      <c r="B182" s="102" t="s">
        <v>577</v>
      </c>
      <c r="C182" s="103">
        <v>45737</v>
      </c>
      <c r="D182" s="102" t="s">
        <v>49</v>
      </c>
      <c r="E182" s="102" t="s">
        <v>50</v>
      </c>
      <c r="F182" s="102">
        <v>606</v>
      </c>
      <c r="G182" s="102">
        <v>789</v>
      </c>
      <c r="H182" s="102">
        <v>470</v>
      </c>
      <c r="I182" s="102">
        <v>7878</v>
      </c>
      <c r="J182" s="102">
        <v>7389</v>
      </c>
      <c r="K182" s="102">
        <v>239</v>
      </c>
      <c r="L182" s="102" t="s">
        <v>18</v>
      </c>
      <c r="M182" s="104" t="s">
        <v>25</v>
      </c>
    </row>
    <row r="183" spans="1:13" x14ac:dyDescent="0.3">
      <c r="A183" s="101" t="s">
        <v>378</v>
      </c>
      <c r="B183" s="102" t="s">
        <v>40</v>
      </c>
      <c r="C183" s="103">
        <v>45504</v>
      </c>
      <c r="D183" s="102" t="s">
        <v>49</v>
      </c>
      <c r="E183" s="102" t="s">
        <v>50</v>
      </c>
      <c r="F183" s="102">
        <v>4689</v>
      </c>
      <c r="G183" s="102">
        <v>134</v>
      </c>
      <c r="H183" s="102">
        <v>403</v>
      </c>
      <c r="I183" s="102">
        <v>51579</v>
      </c>
      <c r="J183" s="102">
        <v>50924</v>
      </c>
      <c r="K183" s="102">
        <v>173</v>
      </c>
      <c r="L183" s="102" t="s">
        <v>77</v>
      </c>
      <c r="M183" s="104" t="s">
        <v>19</v>
      </c>
    </row>
    <row r="184" spans="1:13" x14ac:dyDescent="0.3">
      <c r="A184" s="101" t="s">
        <v>379</v>
      </c>
      <c r="B184" s="102" t="s">
        <v>31</v>
      </c>
      <c r="C184" s="103">
        <v>45643</v>
      </c>
      <c r="D184" s="102" t="s">
        <v>33</v>
      </c>
      <c r="E184" s="102" t="s">
        <v>34</v>
      </c>
      <c r="F184" s="102">
        <v>360</v>
      </c>
      <c r="G184" s="102">
        <v>590</v>
      </c>
      <c r="H184" s="102">
        <v>393</v>
      </c>
      <c r="I184" s="102">
        <v>4680</v>
      </c>
      <c r="J184" s="102">
        <v>4322</v>
      </c>
      <c r="K184" s="102">
        <v>208</v>
      </c>
      <c r="L184" s="102" t="s">
        <v>162</v>
      </c>
      <c r="M184" s="104" t="s">
        <v>25</v>
      </c>
    </row>
    <row r="185" spans="1:13" x14ac:dyDescent="0.3">
      <c r="A185" s="101" t="s">
        <v>381</v>
      </c>
      <c r="B185" s="102" t="s">
        <v>14</v>
      </c>
      <c r="C185" s="103">
        <v>45501</v>
      </c>
      <c r="D185" s="102" t="s">
        <v>49</v>
      </c>
      <c r="E185" s="102" t="s">
        <v>50</v>
      </c>
      <c r="F185" s="102">
        <v>3215</v>
      </c>
      <c r="G185" s="102">
        <v>960</v>
      </c>
      <c r="H185" s="102">
        <v>202</v>
      </c>
      <c r="I185" s="102">
        <v>32150</v>
      </c>
      <c r="J185" s="102">
        <v>31404</v>
      </c>
      <c r="K185" s="102">
        <v>251</v>
      </c>
      <c r="L185" s="102" t="s">
        <v>58</v>
      </c>
      <c r="M185" s="104" t="s">
        <v>38</v>
      </c>
    </row>
    <row r="186" spans="1:13" x14ac:dyDescent="0.3">
      <c r="A186" s="101" t="s">
        <v>383</v>
      </c>
      <c r="B186" s="102" t="s">
        <v>31</v>
      </c>
      <c r="C186" s="103">
        <v>45668</v>
      </c>
      <c r="D186" s="102" t="s">
        <v>42</v>
      </c>
      <c r="E186" s="102" t="s">
        <v>43</v>
      </c>
      <c r="F186" s="102">
        <v>4523</v>
      </c>
      <c r="G186" s="102">
        <v>61</v>
      </c>
      <c r="H186" s="102">
        <v>157</v>
      </c>
      <c r="I186" s="102">
        <v>49753</v>
      </c>
      <c r="J186" s="102">
        <v>49329</v>
      </c>
      <c r="K186" s="102">
        <v>71</v>
      </c>
      <c r="L186" s="102" t="s">
        <v>102</v>
      </c>
      <c r="M186" s="104" t="s">
        <v>55</v>
      </c>
    </row>
    <row r="187" spans="1:13" x14ac:dyDescent="0.3">
      <c r="A187" s="101" t="s">
        <v>385</v>
      </c>
      <c r="B187" s="102" t="s">
        <v>40</v>
      </c>
      <c r="C187" s="103">
        <v>45528</v>
      </c>
      <c r="D187" s="102" t="s">
        <v>42</v>
      </c>
      <c r="E187" s="102" t="s">
        <v>43</v>
      </c>
      <c r="F187" s="102">
        <v>4292</v>
      </c>
      <c r="G187" s="102">
        <v>51</v>
      </c>
      <c r="H187" s="102">
        <v>392</v>
      </c>
      <c r="I187" s="102">
        <v>55796</v>
      </c>
      <c r="J187" s="102">
        <v>54826</v>
      </c>
      <c r="K187" s="102">
        <v>264</v>
      </c>
      <c r="L187" s="102" t="s">
        <v>214</v>
      </c>
      <c r="M187" s="104" t="s">
        <v>19</v>
      </c>
    </row>
    <row r="188" spans="1:13" x14ac:dyDescent="0.3">
      <c r="A188" s="101" t="s">
        <v>386</v>
      </c>
      <c r="B188" s="102" t="s">
        <v>14</v>
      </c>
      <c r="C188" s="103">
        <v>45648</v>
      </c>
      <c r="D188" s="102" t="s">
        <v>16</v>
      </c>
      <c r="E188" s="102" t="s">
        <v>17</v>
      </c>
      <c r="F188" s="102">
        <v>1644</v>
      </c>
      <c r="G188" s="102">
        <v>546</v>
      </c>
      <c r="H188" s="102">
        <v>150</v>
      </c>
      <c r="I188" s="102">
        <v>27948</v>
      </c>
      <c r="J188" s="102">
        <v>27184</v>
      </c>
      <c r="K188" s="102">
        <v>300</v>
      </c>
      <c r="L188" s="102" t="s">
        <v>102</v>
      </c>
      <c r="M188" s="104" t="s">
        <v>19</v>
      </c>
    </row>
    <row r="189" spans="1:13" x14ac:dyDescent="0.3">
      <c r="A189" s="101" t="s">
        <v>388</v>
      </c>
      <c r="B189" s="102" t="s">
        <v>577</v>
      </c>
      <c r="C189" s="103">
        <v>45449</v>
      </c>
      <c r="D189" s="102" t="s">
        <v>16</v>
      </c>
      <c r="E189" s="102" t="s">
        <v>17</v>
      </c>
      <c r="F189" s="102">
        <v>2728</v>
      </c>
      <c r="G189" s="102">
        <v>533</v>
      </c>
      <c r="H189" s="102">
        <v>215</v>
      </c>
      <c r="I189" s="102">
        <v>40920</v>
      </c>
      <c r="J189" s="102">
        <v>40816</v>
      </c>
      <c r="K189" s="102">
        <v>137</v>
      </c>
      <c r="L189" s="102" t="s">
        <v>18</v>
      </c>
      <c r="M189" s="104" t="s">
        <v>25</v>
      </c>
    </row>
    <row r="190" spans="1:13" x14ac:dyDescent="0.3">
      <c r="A190" s="101" t="s">
        <v>389</v>
      </c>
      <c r="B190" s="102" t="s">
        <v>40</v>
      </c>
      <c r="C190" s="103">
        <v>45740</v>
      </c>
      <c r="D190" s="102" t="s">
        <v>16</v>
      </c>
      <c r="E190" s="102" t="s">
        <v>17</v>
      </c>
      <c r="F190" s="102">
        <v>3360</v>
      </c>
      <c r="G190" s="102">
        <v>525</v>
      </c>
      <c r="H190" s="102">
        <v>500</v>
      </c>
      <c r="I190" s="102">
        <v>60480</v>
      </c>
      <c r="J190" s="102">
        <v>59610</v>
      </c>
      <c r="K190" s="102">
        <v>192</v>
      </c>
      <c r="L190" s="102" t="s">
        <v>82</v>
      </c>
      <c r="M190" s="104" t="s">
        <v>19</v>
      </c>
    </row>
    <row r="191" spans="1:13" x14ac:dyDescent="0.3">
      <c r="A191" s="101" t="s">
        <v>390</v>
      </c>
      <c r="B191" s="102" t="s">
        <v>577</v>
      </c>
      <c r="C191" s="103">
        <v>45569</v>
      </c>
      <c r="D191" s="102" t="s">
        <v>22</v>
      </c>
      <c r="E191" s="102" t="s">
        <v>23</v>
      </c>
      <c r="F191" s="102">
        <v>1963</v>
      </c>
      <c r="G191" s="102">
        <v>213</v>
      </c>
      <c r="H191" s="102">
        <v>19</v>
      </c>
      <c r="I191" s="102">
        <v>39260</v>
      </c>
      <c r="J191" s="102">
        <v>38771</v>
      </c>
      <c r="K191" s="102">
        <v>145</v>
      </c>
      <c r="L191" s="102" t="s">
        <v>58</v>
      </c>
      <c r="M191" s="104" t="s">
        <v>19</v>
      </c>
    </row>
    <row r="192" spans="1:13" x14ac:dyDescent="0.3">
      <c r="A192" s="101" t="s">
        <v>392</v>
      </c>
      <c r="B192" s="102" t="s">
        <v>577</v>
      </c>
      <c r="C192" s="103">
        <v>45629</v>
      </c>
      <c r="D192" s="102" t="s">
        <v>33</v>
      </c>
      <c r="E192" s="102" t="s">
        <v>34</v>
      </c>
      <c r="F192" s="102">
        <v>4285</v>
      </c>
      <c r="G192" s="102">
        <v>886</v>
      </c>
      <c r="H192" s="102">
        <v>376</v>
      </c>
      <c r="I192" s="102">
        <v>55705</v>
      </c>
      <c r="J192" s="102">
        <v>55556</v>
      </c>
      <c r="K192" s="102">
        <v>51</v>
      </c>
      <c r="L192" s="102" t="s">
        <v>71</v>
      </c>
      <c r="M192" s="104" t="s">
        <v>55</v>
      </c>
    </row>
    <row r="193" spans="1:31" x14ac:dyDescent="0.3">
      <c r="A193" s="101" t="s">
        <v>393</v>
      </c>
      <c r="B193" s="102" t="s">
        <v>31</v>
      </c>
      <c r="C193" s="103">
        <v>45625</v>
      </c>
      <c r="D193" s="102" t="s">
        <v>69</v>
      </c>
      <c r="E193" s="102" t="s">
        <v>70</v>
      </c>
      <c r="F193" s="102">
        <v>1176</v>
      </c>
      <c r="G193" s="102">
        <v>464</v>
      </c>
      <c r="H193" s="102">
        <v>394</v>
      </c>
      <c r="I193" s="102">
        <v>14112</v>
      </c>
      <c r="J193" s="102">
        <v>13588</v>
      </c>
      <c r="K193" s="102">
        <v>272</v>
      </c>
      <c r="L193" s="102" t="s">
        <v>77</v>
      </c>
      <c r="M193" s="104" t="s">
        <v>19</v>
      </c>
    </row>
    <row r="194" spans="1:31" x14ac:dyDescent="0.3">
      <c r="A194" s="101" t="s">
        <v>395</v>
      </c>
      <c r="B194" s="102" t="s">
        <v>14</v>
      </c>
      <c r="C194" s="103">
        <v>45546</v>
      </c>
      <c r="D194" s="102" t="s">
        <v>49</v>
      </c>
      <c r="E194" s="102" t="s">
        <v>50</v>
      </c>
      <c r="F194" s="102">
        <v>4858</v>
      </c>
      <c r="G194" s="102">
        <v>317</v>
      </c>
      <c r="H194" s="102">
        <v>129</v>
      </c>
      <c r="I194" s="102">
        <v>53438</v>
      </c>
      <c r="J194" s="102">
        <v>52687</v>
      </c>
      <c r="K194" s="102">
        <v>223</v>
      </c>
      <c r="L194" s="102" t="s">
        <v>178</v>
      </c>
      <c r="M194" s="104" t="s">
        <v>19</v>
      </c>
    </row>
    <row r="195" spans="1:31" x14ac:dyDescent="0.3">
      <c r="A195" s="101" t="s">
        <v>397</v>
      </c>
      <c r="B195" s="102" t="s">
        <v>577</v>
      </c>
      <c r="C195" s="103">
        <v>45567</v>
      </c>
      <c r="D195" s="102" t="s">
        <v>33</v>
      </c>
      <c r="E195" s="102" t="s">
        <v>34</v>
      </c>
      <c r="F195" s="102">
        <v>4350</v>
      </c>
      <c r="G195" s="102">
        <v>771</v>
      </c>
      <c r="H195" s="102">
        <v>7</v>
      </c>
      <c r="I195" s="102">
        <v>60900</v>
      </c>
      <c r="J195" s="102">
        <v>60592</v>
      </c>
      <c r="K195" s="102">
        <v>195</v>
      </c>
      <c r="L195" s="102" t="s">
        <v>264</v>
      </c>
      <c r="M195" s="104" t="s">
        <v>25</v>
      </c>
    </row>
    <row r="196" spans="1:31" x14ac:dyDescent="0.3">
      <c r="A196" s="101" t="s">
        <v>398</v>
      </c>
      <c r="B196" s="102" t="s">
        <v>31</v>
      </c>
      <c r="C196" s="103">
        <v>45519</v>
      </c>
      <c r="D196" s="102" t="s">
        <v>42</v>
      </c>
      <c r="E196" s="102" t="s">
        <v>43</v>
      </c>
      <c r="F196" s="102">
        <v>914</v>
      </c>
      <c r="G196" s="102">
        <v>464</v>
      </c>
      <c r="H196" s="102">
        <v>246</v>
      </c>
      <c r="I196" s="102">
        <v>11882</v>
      </c>
      <c r="J196" s="102">
        <v>11500</v>
      </c>
      <c r="K196" s="102">
        <v>282</v>
      </c>
      <c r="L196" s="102" t="s">
        <v>285</v>
      </c>
      <c r="M196" s="104" t="s">
        <v>38</v>
      </c>
    </row>
    <row r="197" spans="1:31" x14ac:dyDescent="0.3">
      <c r="A197" s="101" t="s">
        <v>400</v>
      </c>
      <c r="B197" s="102" t="s">
        <v>31</v>
      </c>
      <c r="C197" s="103">
        <v>45645</v>
      </c>
      <c r="D197" s="102" t="s">
        <v>22</v>
      </c>
      <c r="E197" s="102" t="s">
        <v>23</v>
      </c>
      <c r="F197" s="102">
        <v>1813</v>
      </c>
      <c r="G197" s="102">
        <v>623</v>
      </c>
      <c r="H197" s="102">
        <v>72</v>
      </c>
      <c r="I197" s="102">
        <v>19943</v>
      </c>
      <c r="J197" s="102">
        <v>18959</v>
      </c>
      <c r="K197" s="102">
        <v>85</v>
      </c>
      <c r="L197" s="102" t="s">
        <v>105</v>
      </c>
      <c r="M197" s="104" t="s">
        <v>38</v>
      </c>
    </row>
    <row r="198" spans="1:31" x14ac:dyDescent="0.3">
      <c r="A198" s="101" t="s">
        <v>402</v>
      </c>
      <c r="B198" s="102" t="s">
        <v>14</v>
      </c>
      <c r="C198" s="103">
        <v>45587</v>
      </c>
      <c r="D198" s="102" t="s">
        <v>16</v>
      </c>
      <c r="E198" s="102" t="s">
        <v>17</v>
      </c>
      <c r="F198" s="102">
        <v>4782</v>
      </c>
      <c r="G198" s="102">
        <v>721</v>
      </c>
      <c r="H198" s="102">
        <v>82</v>
      </c>
      <c r="I198" s="102">
        <v>86076</v>
      </c>
      <c r="J198" s="102">
        <v>85339</v>
      </c>
      <c r="K198" s="102">
        <v>19</v>
      </c>
      <c r="L198" s="102" t="s">
        <v>77</v>
      </c>
      <c r="M198" s="104" t="s">
        <v>25</v>
      </c>
    </row>
    <row r="199" spans="1:31" x14ac:dyDescent="0.3">
      <c r="A199" s="101" t="s">
        <v>403</v>
      </c>
      <c r="B199" s="102" t="s">
        <v>14</v>
      </c>
      <c r="C199" s="103">
        <v>45549</v>
      </c>
      <c r="D199" s="102" t="s">
        <v>49</v>
      </c>
      <c r="E199" s="102" t="s">
        <v>50</v>
      </c>
      <c r="F199" s="102">
        <v>1048</v>
      </c>
      <c r="G199" s="102">
        <v>374</v>
      </c>
      <c r="H199" s="102">
        <v>450</v>
      </c>
      <c r="I199" s="102">
        <v>9432</v>
      </c>
      <c r="J199" s="102">
        <v>8882</v>
      </c>
      <c r="K199" s="102">
        <v>158</v>
      </c>
      <c r="L199" s="102" t="s">
        <v>209</v>
      </c>
      <c r="M199" s="104" t="s">
        <v>25</v>
      </c>
    </row>
    <row r="200" spans="1:31" x14ac:dyDescent="0.3">
      <c r="A200" s="101" t="s">
        <v>405</v>
      </c>
      <c r="B200" s="102" t="s">
        <v>577</v>
      </c>
      <c r="C200" s="103">
        <v>45626</v>
      </c>
      <c r="D200" s="102" t="s">
        <v>42</v>
      </c>
      <c r="E200" s="102" t="s">
        <v>43</v>
      </c>
      <c r="F200" s="102">
        <v>2509</v>
      </c>
      <c r="G200" s="102">
        <v>324</v>
      </c>
      <c r="H200" s="102">
        <v>171</v>
      </c>
      <c r="I200" s="102">
        <v>35126</v>
      </c>
      <c r="J200" s="102">
        <v>34685</v>
      </c>
      <c r="K200" s="102">
        <v>277</v>
      </c>
      <c r="L200" s="102" t="s">
        <v>77</v>
      </c>
      <c r="M200" s="104" t="s">
        <v>25</v>
      </c>
    </row>
    <row r="201" spans="1:31" x14ac:dyDescent="0.3">
      <c r="A201" s="101" t="s">
        <v>406</v>
      </c>
      <c r="B201" s="102" t="s">
        <v>40</v>
      </c>
      <c r="C201" s="103">
        <v>45754</v>
      </c>
      <c r="D201" s="102" t="s">
        <v>16</v>
      </c>
      <c r="E201" s="102" t="s">
        <v>17</v>
      </c>
      <c r="F201" s="102">
        <v>3718</v>
      </c>
      <c r="G201" s="102">
        <v>385</v>
      </c>
      <c r="H201" s="102">
        <v>310</v>
      </c>
      <c r="I201" s="102">
        <v>70642</v>
      </c>
      <c r="J201" s="102">
        <v>69749</v>
      </c>
      <c r="K201" s="102">
        <v>233</v>
      </c>
      <c r="L201" s="102" t="s">
        <v>44</v>
      </c>
      <c r="M201" s="104" t="s">
        <v>19</v>
      </c>
    </row>
    <row r="202" spans="1:31" x14ac:dyDescent="0.3">
      <c r="A202" s="101" t="s">
        <v>408</v>
      </c>
      <c r="B202" s="102" t="s">
        <v>14</v>
      </c>
      <c r="C202" s="103">
        <v>45672</v>
      </c>
      <c r="D202" s="102" t="s">
        <v>16</v>
      </c>
      <c r="E202" s="102" t="s">
        <v>17</v>
      </c>
      <c r="F202" s="102">
        <v>802</v>
      </c>
      <c r="G202" s="102">
        <v>262</v>
      </c>
      <c r="H202" s="102">
        <v>244</v>
      </c>
      <c r="I202" s="102">
        <v>14436</v>
      </c>
      <c r="J202" s="102">
        <v>14280</v>
      </c>
      <c r="K202" s="102">
        <v>49</v>
      </c>
      <c r="L202" s="102" t="s">
        <v>74</v>
      </c>
      <c r="M202" s="104" t="s">
        <v>55</v>
      </c>
    </row>
    <row r="203" spans="1:31" x14ac:dyDescent="0.3">
      <c r="A203" s="101" t="s">
        <v>410</v>
      </c>
      <c r="B203" s="102" t="s">
        <v>40</v>
      </c>
      <c r="C203" s="103">
        <v>45445</v>
      </c>
      <c r="D203" s="102" t="s">
        <v>49</v>
      </c>
      <c r="E203" s="102" t="s">
        <v>50</v>
      </c>
      <c r="F203" s="102">
        <v>1871</v>
      </c>
      <c r="G203" s="102">
        <v>252</v>
      </c>
      <c r="H203" s="102">
        <v>335</v>
      </c>
      <c r="I203" s="102">
        <v>29936</v>
      </c>
      <c r="J203" s="102">
        <v>29576</v>
      </c>
      <c r="K203" s="102">
        <v>288</v>
      </c>
      <c r="L203" s="102" t="s">
        <v>44</v>
      </c>
      <c r="M203" s="104" t="s">
        <v>25</v>
      </c>
    </row>
    <row r="204" spans="1:31" x14ac:dyDescent="0.3">
      <c r="A204" s="101" t="s">
        <v>412</v>
      </c>
      <c r="B204" s="102" t="s">
        <v>31</v>
      </c>
      <c r="C204" s="103">
        <v>45617</v>
      </c>
      <c r="D204" s="102" t="s">
        <v>42</v>
      </c>
      <c r="E204" s="102" t="s">
        <v>43</v>
      </c>
      <c r="F204" s="102">
        <v>3773</v>
      </c>
      <c r="G204" s="102">
        <v>299</v>
      </c>
      <c r="H204" s="102">
        <v>38</v>
      </c>
      <c r="I204" s="102">
        <v>71687</v>
      </c>
      <c r="J204" s="102">
        <v>71447</v>
      </c>
      <c r="K204" s="102">
        <v>286</v>
      </c>
      <c r="L204" s="102" t="s">
        <v>44</v>
      </c>
      <c r="M204" s="104" t="s">
        <v>55</v>
      </c>
    </row>
    <row r="205" spans="1:31" x14ac:dyDescent="0.3">
      <c r="A205" s="101" t="s">
        <v>414</v>
      </c>
      <c r="B205" s="102" t="s">
        <v>31</v>
      </c>
      <c r="C205" s="103">
        <v>45658</v>
      </c>
      <c r="D205" s="102" t="s">
        <v>42</v>
      </c>
      <c r="E205" s="102" t="s">
        <v>43</v>
      </c>
      <c r="F205" s="102">
        <v>2234</v>
      </c>
      <c r="G205" s="102">
        <v>653</v>
      </c>
      <c r="H205" s="102">
        <v>432</v>
      </c>
      <c r="I205" s="102">
        <v>11170</v>
      </c>
      <c r="J205" s="102">
        <v>10569</v>
      </c>
      <c r="K205" s="102">
        <v>198</v>
      </c>
      <c r="L205" s="102" t="s">
        <v>264</v>
      </c>
      <c r="M205" s="104" t="s">
        <v>55</v>
      </c>
    </row>
    <row r="206" spans="1:31" x14ac:dyDescent="0.3">
      <c r="A206" s="101" t="s">
        <v>415</v>
      </c>
      <c r="B206" s="102" t="s">
        <v>14</v>
      </c>
      <c r="C206" s="103">
        <v>45771</v>
      </c>
      <c r="D206" s="102" t="s">
        <v>69</v>
      </c>
      <c r="E206" s="102" t="s">
        <v>70</v>
      </c>
      <c r="F206" s="102">
        <v>3820</v>
      </c>
      <c r="G206" s="102">
        <v>697</v>
      </c>
      <c r="H206" s="102">
        <v>268</v>
      </c>
      <c r="I206" s="102">
        <v>45840</v>
      </c>
      <c r="J206" s="102">
        <v>45631</v>
      </c>
      <c r="K206" s="102">
        <v>171</v>
      </c>
      <c r="L206" s="102" t="s">
        <v>162</v>
      </c>
      <c r="M206" s="104" t="s">
        <v>19</v>
      </c>
    </row>
    <row r="207" spans="1:31" x14ac:dyDescent="0.3">
      <c r="A207" s="101" t="s">
        <v>416</v>
      </c>
      <c r="B207" s="102" t="s">
        <v>14</v>
      </c>
      <c r="C207" s="103">
        <v>45467</v>
      </c>
      <c r="D207" s="102" t="s">
        <v>22</v>
      </c>
      <c r="E207" s="102" t="s">
        <v>23</v>
      </c>
      <c r="F207" s="102">
        <v>941</v>
      </c>
      <c r="G207" s="102">
        <v>121</v>
      </c>
      <c r="H207" s="102">
        <v>458</v>
      </c>
      <c r="I207" s="102">
        <v>14115</v>
      </c>
      <c r="J207" s="102">
        <v>13838</v>
      </c>
      <c r="K207" s="102">
        <v>87</v>
      </c>
      <c r="L207" s="102" t="s">
        <v>29</v>
      </c>
      <c r="M207" s="104" t="s">
        <v>25</v>
      </c>
      <c r="S207" s="139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1"/>
    </row>
    <row r="208" spans="1:31" x14ac:dyDescent="0.3">
      <c r="A208" s="101" t="s">
        <v>417</v>
      </c>
      <c r="B208" s="102" t="s">
        <v>14</v>
      </c>
      <c r="C208" s="103">
        <v>45655</v>
      </c>
      <c r="D208" s="102" t="s">
        <v>42</v>
      </c>
      <c r="E208" s="102" t="s">
        <v>43</v>
      </c>
      <c r="F208" s="102">
        <v>4274</v>
      </c>
      <c r="G208" s="102">
        <v>340</v>
      </c>
      <c r="H208" s="102">
        <v>281</v>
      </c>
      <c r="I208" s="102">
        <v>34192</v>
      </c>
      <c r="J208" s="102">
        <v>33446</v>
      </c>
      <c r="K208" s="102">
        <v>129</v>
      </c>
      <c r="L208" s="102" t="s">
        <v>162</v>
      </c>
      <c r="M208" s="104" t="s">
        <v>38</v>
      </c>
      <c r="S208" s="101" t="s">
        <v>206</v>
      </c>
      <c r="T208" s="102" t="s">
        <v>31</v>
      </c>
      <c r="U208" s="103">
        <v>45456</v>
      </c>
      <c r="V208" s="102" t="s">
        <v>33</v>
      </c>
      <c r="W208" s="102" t="s">
        <v>34</v>
      </c>
      <c r="X208" s="102">
        <v>2103</v>
      </c>
      <c r="Y208" s="102">
        <v>892</v>
      </c>
      <c r="Z208" s="102">
        <v>103</v>
      </c>
      <c r="AA208" s="102">
        <v>39957</v>
      </c>
      <c r="AB208" s="102">
        <v>39466</v>
      </c>
      <c r="AC208" s="102">
        <v>28</v>
      </c>
      <c r="AD208" s="102" t="s">
        <v>144</v>
      </c>
      <c r="AE208" s="104" t="s">
        <v>25</v>
      </c>
    </row>
    <row r="209" spans="1:31" x14ac:dyDescent="0.3">
      <c r="A209" s="101" t="s">
        <v>419</v>
      </c>
      <c r="B209" s="102" t="s">
        <v>577</v>
      </c>
      <c r="C209" s="103">
        <v>45467</v>
      </c>
      <c r="D209" s="102" t="s">
        <v>69</v>
      </c>
      <c r="E209" s="102" t="s">
        <v>70</v>
      </c>
      <c r="F209" s="102">
        <v>2949</v>
      </c>
      <c r="G209" s="102">
        <v>476</v>
      </c>
      <c r="H209" s="102">
        <v>403</v>
      </c>
      <c r="I209" s="102">
        <v>44235</v>
      </c>
      <c r="J209" s="102">
        <v>43705</v>
      </c>
      <c r="K209" s="102">
        <v>135</v>
      </c>
      <c r="L209" s="102" t="s">
        <v>116</v>
      </c>
      <c r="M209" s="104" t="s">
        <v>19</v>
      </c>
      <c r="S209" s="101" t="s">
        <v>286</v>
      </c>
      <c r="T209" s="102" t="s">
        <v>31</v>
      </c>
      <c r="U209" s="103">
        <v>45457</v>
      </c>
      <c r="V209" s="102" t="s">
        <v>33</v>
      </c>
      <c r="W209" s="102" t="s">
        <v>34</v>
      </c>
      <c r="X209" s="102">
        <v>4363</v>
      </c>
      <c r="Y209" s="102">
        <v>649</v>
      </c>
      <c r="Z209" s="102">
        <v>140</v>
      </c>
      <c r="AA209" s="102">
        <v>21815</v>
      </c>
      <c r="AB209" s="102">
        <v>21481</v>
      </c>
      <c r="AC209" s="102">
        <v>157</v>
      </c>
      <c r="AD209" s="102" t="s">
        <v>66</v>
      </c>
      <c r="AE209" s="104" t="s">
        <v>25</v>
      </c>
    </row>
    <row r="210" spans="1:31" x14ac:dyDescent="0.3">
      <c r="A210" s="101" t="s">
        <v>420</v>
      </c>
      <c r="B210" s="102" t="s">
        <v>14</v>
      </c>
      <c r="C210" s="103">
        <v>45735</v>
      </c>
      <c r="D210" s="102" t="s">
        <v>69</v>
      </c>
      <c r="E210" s="102" t="s">
        <v>70</v>
      </c>
      <c r="F210" s="102">
        <v>3160</v>
      </c>
      <c r="G210" s="102">
        <v>204</v>
      </c>
      <c r="H210" s="102">
        <v>297</v>
      </c>
      <c r="I210" s="102">
        <v>44240</v>
      </c>
      <c r="J210" s="102">
        <v>43666</v>
      </c>
      <c r="K210" s="102">
        <v>49</v>
      </c>
      <c r="L210" s="102" t="s">
        <v>87</v>
      </c>
      <c r="M210" s="104" t="s">
        <v>19</v>
      </c>
      <c r="S210" s="101" t="s">
        <v>369</v>
      </c>
      <c r="T210" s="102" t="s">
        <v>40</v>
      </c>
      <c r="U210" s="103">
        <v>45463</v>
      </c>
      <c r="V210" s="102" t="s">
        <v>69</v>
      </c>
      <c r="W210" s="102" t="s">
        <v>70</v>
      </c>
      <c r="X210" s="102">
        <v>3798</v>
      </c>
      <c r="Y210" s="102">
        <v>31</v>
      </c>
      <c r="Z210" s="102">
        <v>279</v>
      </c>
      <c r="AA210" s="102">
        <v>75960</v>
      </c>
      <c r="AB210" s="102">
        <v>75813</v>
      </c>
      <c r="AC210" s="102">
        <v>266</v>
      </c>
      <c r="AD210" s="102" t="s">
        <v>24</v>
      </c>
      <c r="AE210" s="104" t="s">
        <v>25</v>
      </c>
    </row>
    <row r="211" spans="1:31" x14ac:dyDescent="0.3">
      <c r="A211" s="101" t="s">
        <v>422</v>
      </c>
      <c r="B211" s="102" t="s">
        <v>577</v>
      </c>
      <c r="C211" s="103">
        <v>45707</v>
      </c>
      <c r="D211" s="102" t="s">
        <v>49</v>
      </c>
      <c r="E211" s="102" t="s">
        <v>50</v>
      </c>
      <c r="F211" s="102">
        <v>257</v>
      </c>
      <c r="G211" s="102">
        <v>966</v>
      </c>
      <c r="H211" s="102">
        <v>398</v>
      </c>
      <c r="I211" s="102">
        <v>3341</v>
      </c>
      <c r="J211" s="102">
        <v>2753</v>
      </c>
      <c r="K211" s="102">
        <v>287</v>
      </c>
      <c r="L211" s="102" t="s">
        <v>209</v>
      </c>
      <c r="M211" s="104" t="s">
        <v>19</v>
      </c>
      <c r="S211" s="101" t="s">
        <v>416</v>
      </c>
      <c r="T211" s="102" t="s">
        <v>14</v>
      </c>
      <c r="U211" s="103">
        <v>45467</v>
      </c>
      <c r="V211" s="102" t="s">
        <v>22</v>
      </c>
      <c r="W211" s="102" t="s">
        <v>23</v>
      </c>
      <c r="X211" s="102">
        <v>941</v>
      </c>
      <c r="Y211" s="102">
        <v>121</v>
      </c>
      <c r="Z211" s="102">
        <v>458</v>
      </c>
      <c r="AA211" s="102">
        <v>14115</v>
      </c>
      <c r="AB211" s="102">
        <v>13838</v>
      </c>
      <c r="AC211" s="102">
        <v>87</v>
      </c>
      <c r="AD211" s="102" t="s">
        <v>29</v>
      </c>
      <c r="AE211" s="104" t="s">
        <v>25</v>
      </c>
    </row>
    <row r="212" spans="1:31" x14ac:dyDescent="0.3">
      <c r="A212" s="101" t="s">
        <v>423</v>
      </c>
      <c r="B212" s="102" t="s">
        <v>14</v>
      </c>
      <c r="C212" s="103">
        <v>45491</v>
      </c>
      <c r="D212" s="102" t="s">
        <v>42</v>
      </c>
      <c r="E212" s="102" t="s">
        <v>43</v>
      </c>
      <c r="F212" s="102">
        <v>2120</v>
      </c>
      <c r="G212" s="102">
        <v>38</v>
      </c>
      <c r="H212" s="102">
        <v>212</v>
      </c>
      <c r="I212" s="102">
        <v>12720</v>
      </c>
      <c r="J212" s="102">
        <v>12564</v>
      </c>
      <c r="K212" s="102">
        <v>21</v>
      </c>
      <c r="L212" s="102" t="s">
        <v>209</v>
      </c>
      <c r="M212" s="104" t="s">
        <v>19</v>
      </c>
      <c r="S212" s="101" t="s">
        <v>445</v>
      </c>
      <c r="T212" s="102" t="s">
        <v>31</v>
      </c>
      <c r="U212" s="103">
        <v>45455</v>
      </c>
      <c r="V212" s="102" t="s">
        <v>22</v>
      </c>
      <c r="W212" s="102" t="s">
        <v>23</v>
      </c>
      <c r="X212" s="102">
        <v>246</v>
      </c>
      <c r="Y212" s="102">
        <v>149</v>
      </c>
      <c r="Z212" s="102">
        <v>130</v>
      </c>
      <c r="AA212" s="102">
        <v>4674</v>
      </c>
      <c r="AB212" s="102">
        <v>4390</v>
      </c>
      <c r="AC212" s="102">
        <v>217</v>
      </c>
      <c r="AD212" s="102" t="s">
        <v>116</v>
      </c>
      <c r="AE212" s="104" t="s">
        <v>25</v>
      </c>
    </row>
    <row r="213" spans="1:31" x14ac:dyDescent="0.3">
      <c r="A213" s="101" t="s">
        <v>425</v>
      </c>
      <c r="B213" s="102" t="s">
        <v>577</v>
      </c>
      <c r="C213" s="103">
        <v>45719</v>
      </c>
      <c r="D213" s="102" t="s">
        <v>69</v>
      </c>
      <c r="E213" s="102" t="s">
        <v>70</v>
      </c>
      <c r="F213" s="102">
        <v>3874</v>
      </c>
      <c r="G213" s="102">
        <v>884</v>
      </c>
      <c r="H213" s="102">
        <v>19</v>
      </c>
      <c r="I213" s="102">
        <v>38740</v>
      </c>
      <c r="J213" s="102">
        <v>38552</v>
      </c>
      <c r="K213" s="102">
        <v>219</v>
      </c>
      <c r="L213" s="102" t="s">
        <v>58</v>
      </c>
      <c r="M213" s="104" t="s">
        <v>55</v>
      </c>
      <c r="S213" s="101" t="s">
        <v>449</v>
      </c>
      <c r="T213" s="102" t="s">
        <v>31</v>
      </c>
      <c r="U213" s="103">
        <v>45476</v>
      </c>
      <c r="V213" s="102" t="s">
        <v>42</v>
      </c>
      <c r="W213" s="102" t="s">
        <v>43</v>
      </c>
      <c r="X213" s="102">
        <v>4799</v>
      </c>
      <c r="Y213" s="102">
        <v>694</v>
      </c>
      <c r="Z213" s="102">
        <v>289</v>
      </c>
      <c r="AA213" s="102">
        <v>43191</v>
      </c>
      <c r="AB213" s="102">
        <v>42228</v>
      </c>
      <c r="AC213" s="102">
        <v>118</v>
      </c>
      <c r="AD213" s="102" t="s">
        <v>44</v>
      </c>
      <c r="AE213" s="104" t="s">
        <v>25</v>
      </c>
    </row>
    <row r="214" spans="1:31" x14ac:dyDescent="0.3">
      <c r="A214" s="101" t="s">
        <v>426</v>
      </c>
      <c r="B214" s="102" t="s">
        <v>40</v>
      </c>
      <c r="C214" s="103">
        <v>45778</v>
      </c>
      <c r="D214" s="102" t="s">
        <v>42</v>
      </c>
      <c r="E214" s="102" t="s">
        <v>43</v>
      </c>
      <c r="F214" s="102">
        <v>2696</v>
      </c>
      <c r="G214" s="102">
        <v>628</v>
      </c>
      <c r="H214" s="102">
        <v>443</v>
      </c>
      <c r="I214" s="102">
        <v>45832</v>
      </c>
      <c r="J214" s="102">
        <v>45632</v>
      </c>
      <c r="K214" s="102">
        <v>248</v>
      </c>
      <c r="L214" s="102" t="s">
        <v>18</v>
      </c>
      <c r="M214" s="104" t="s">
        <v>38</v>
      </c>
    </row>
    <row r="215" spans="1:31" x14ac:dyDescent="0.3">
      <c r="A215" s="101" t="s">
        <v>428</v>
      </c>
      <c r="B215" s="102" t="s">
        <v>31</v>
      </c>
      <c r="C215" s="103">
        <v>45649</v>
      </c>
      <c r="D215" s="102" t="s">
        <v>49</v>
      </c>
      <c r="E215" s="102" t="s">
        <v>50</v>
      </c>
      <c r="F215" s="102">
        <v>521</v>
      </c>
      <c r="G215" s="102">
        <v>746</v>
      </c>
      <c r="H215" s="102">
        <v>315</v>
      </c>
      <c r="I215" s="102">
        <v>4168</v>
      </c>
      <c r="J215" s="102">
        <v>3399</v>
      </c>
      <c r="K215" s="102">
        <v>282</v>
      </c>
      <c r="L215" s="102" t="s">
        <v>18</v>
      </c>
      <c r="M215" s="104" t="s">
        <v>19</v>
      </c>
    </row>
    <row r="216" spans="1:31" x14ac:dyDescent="0.3">
      <c r="A216" s="101" t="s">
        <v>429</v>
      </c>
      <c r="B216" s="102" t="s">
        <v>40</v>
      </c>
      <c r="C216" s="103">
        <v>45783</v>
      </c>
      <c r="D216" s="102" t="s">
        <v>49</v>
      </c>
      <c r="E216" s="102" t="s">
        <v>50</v>
      </c>
      <c r="F216" s="102">
        <v>4872</v>
      </c>
      <c r="G216" s="102">
        <v>925</v>
      </c>
      <c r="H216" s="102">
        <v>176</v>
      </c>
      <c r="I216" s="102">
        <v>82824</v>
      </c>
      <c r="J216" s="102">
        <v>82543</v>
      </c>
      <c r="K216" s="102">
        <v>89</v>
      </c>
      <c r="L216" s="102" t="s">
        <v>102</v>
      </c>
      <c r="M216" s="104" t="s">
        <v>19</v>
      </c>
    </row>
    <row r="217" spans="1:31" x14ac:dyDescent="0.3">
      <c r="A217" s="101" t="s">
        <v>431</v>
      </c>
      <c r="B217" s="102" t="s">
        <v>577</v>
      </c>
      <c r="C217" s="103">
        <v>45502</v>
      </c>
      <c r="D217" s="102" t="s">
        <v>33</v>
      </c>
      <c r="E217" s="102" t="s">
        <v>34</v>
      </c>
      <c r="F217" s="102">
        <v>1509</v>
      </c>
      <c r="G217" s="102">
        <v>88</v>
      </c>
      <c r="H217" s="102">
        <v>163</v>
      </c>
      <c r="I217" s="102">
        <v>30180</v>
      </c>
      <c r="J217" s="102">
        <v>29689</v>
      </c>
      <c r="K217" s="102">
        <v>119</v>
      </c>
      <c r="L217" s="102" t="s">
        <v>44</v>
      </c>
      <c r="M217" s="104" t="s">
        <v>19</v>
      </c>
    </row>
    <row r="218" spans="1:31" x14ac:dyDescent="0.3">
      <c r="A218" s="101" t="s">
        <v>432</v>
      </c>
      <c r="B218" s="102" t="s">
        <v>40</v>
      </c>
      <c r="C218" s="103">
        <v>45629</v>
      </c>
      <c r="D218" s="102" t="s">
        <v>49</v>
      </c>
      <c r="E218" s="102" t="s">
        <v>50</v>
      </c>
      <c r="F218" s="102">
        <v>4606</v>
      </c>
      <c r="G218" s="102">
        <v>931</v>
      </c>
      <c r="H218" s="102">
        <v>230</v>
      </c>
      <c r="I218" s="102">
        <v>92120</v>
      </c>
      <c r="J218" s="102">
        <v>91440</v>
      </c>
      <c r="K218" s="102">
        <v>56</v>
      </c>
      <c r="L218" s="102" t="s">
        <v>144</v>
      </c>
      <c r="M218" s="104" t="s">
        <v>38</v>
      </c>
    </row>
    <row r="219" spans="1:31" x14ac:dyDescent="0.3">
      <c r="A219" s="101" t="s">
        <v>433</v>
      </c>
      <c r="B219" s="102" t="s">
        <v>40</v>
      </c>
      <c r="C219" s="103">
        <v>45454</v>
      </c>
      <c r="D219" s="102" t="s">
        <v>42</v>
      </c>
      <c r="E219" s="102" t="s">
        <v>43</v>
      </c>
      <c r="F219" s="102">
        <v>1869</v>
      </c>
      <c r="G219" s="102">
        <v>453</v>
      </c>
      <c r="H219" s="102">
        <v>490</v>
      </c>
      <c r="I219" s="102">
        <v>14952</v>
      </c>
      <c r="J219" s="102">
        <v>14309</v>
      </c>
      <c r="K219" s="102">
        <v>275</v>
      </c>
      <c r="L219" s="102" t="s">
        <v>264</v>
      </c>
      <c r="M219" s="104" t="s">
        <v>19</v>
      </c>
    </row>
    <row r="220" spans="1:31" x14ac:dyDescent="0.3">
      <c r="A220" s="101" t="s">
        <v>434</v>
      </c>
      <c r="B220" s="102" t="s">
        <v>14</v>
      </c>
      <c r="C220" s="103">
        <v>45685</v>
      </c>
      <c r="D220" s="102" t="s">
        <v>16</v>
      </c>
      <c r="E220" s="102" t="s">
        <v>17</v>
      </c>
      <c r="F220" s="102">
        <v>1188</v>
      </c>
      <c r="G220" s="102">
        <v>470</v>
      </c>
      <c r="H220" s="102">
        <v>174</v>
      </c>
      <c r="I220" s="102">
        <v>7128</v>
      </c>
      <c r="J220" s="102">
        <v>6145</v>
      </c>
      <c r="K220" s="102">
        <v>270</v>
      </c>
      <c r="L220" s="102" t="s">
        <v>37</v>
      </c>
      <c r="M220" s="104" t="s">
        <v>25</v>
      </c>
    </row>
    <row r="221" spans="1:31" x14ac:dyDescent="0.3">
      <c r="A221" s="101" t="s">
        <v>435</v>
      </c>
      <c r="B221" s="102" t="s">
        <v>31</v>
      </c>
      <c r="C221" s="103">
        <v>45445</v>
      </c>
      <c r="D221" s="102" t="s">
        <v>33</v>
      </c>
      <c r="E221" s="102" t="s">
        <v>34</v>
      </c>
      <c r="F221" s="102">
        <v>84</v>
      </c>
      <c r="G221" s="102">
        <v>897</v>
      </c>
      <c r="H221" s="102">
        <v>85</v>
      </c>
      <c r="I221" s="102">
        <v>588</v>
      </c>
      <c r="J221" s="102">
        <v>8</v>
      </c>
      <c r="K221" s="102">
        <v>12</v>
      </c>
      <c r="L221" s="102" t="s">
        <v>58</v>
      </c>
      <c r="M221" s="104" t="s">
        <v>25</v>
      </c>
    </row>
    <row r="222" spans="1:31" x14ac:dyDescent="0.3">
      <c r="A222" s="101" t="s">
        <v>436</v>
      </c>
      <c r="B222" s="102" t="s">
        <v>40</v>
      </c>
      <c r="C222" s="103">
        <v>45739</v>
      </c>
      <c r="D222" s="102" t="s">
        <v>69</v>
      </c>
      <c r="E222" s="102" t="s">
        <v>70</v>
      </c>
      <c r="F222" s="102">
        <v>4453</v>
      </c>
      <c r="G222" s="102">
        <v>111</v>
      </c>
      <c r="H222" s="102">
        <v>420</v>
      </c>
      <c r="I222" s="102">
        <v>31171</v>
      </c>
      <c r="J222" s="102">
        <v>30565</v>
      </c>
      <c r="K222" s="102">
        <v>23</v>
      </c>
      <c r="L222" s="102" t="s">
        <v>105</v>
      </c>
      <c r="M222" s="104" t="s">
        <v>55</v>
      </c>
    </row>
    <row r="223" spans="1:31" x14ac:dyDescent="0.3">
      <c r="A223" s="101" t="s">
        <v>437</v>
      </c>
      <c r="B223" s="102" t="s">
        <v>40</v>
      </c>
      <c r="C223" s="103">
        <v>45573</v>
      </c>
      <c r="D223" s="102" t="s">
        <v>16</v>
      </c>
      <c r="E223" s="102" t="s">
        <v>17</v>
      </c>
      <c r="F223" s="102">
        <v>1814</v>
      </c>
      <c r="G223" s="102">
        <v>653</v>
      </c>
      <c r="H223" s="102">
        <v>363</v>
      </c>
      <c r="I223" s="102">
        <v>25396</v>
      </c>
      <c r="J223" s="102">
        <v>25286</v>
      </c>
      <c r="K223" s="102">
        <v>39</v>
      </c>
      <c r="L223" s="102" t="s">
        <v>58</v>
      </c>
      <c r="M223" s="104" t="s">
        <v>19</v>
      </c>
    </row>
    <row r="224" spans="1:31" x14ac:dyDescent="0.3">
      <c r="A224" s="101" t="s">
        <v>439</v>
      </c>
      <c r="B224" s="102" t="s">
        <v>14</v>
      </c>
      <c r="C224" s="103">
        <v>45608</v>
      </c>
      <c r="D224" s="102" t="s">
        <v>49</v>
      </c>
      <c r="E224" s="102" t="s">
        <v>50</v>
      </c>
      <c r="F224" s="102">
        <v>3338</v>
      </c>
      <c r="G224" s="102">
        <v>277</v>
      </c>
      <c r="H224" s="102">
        <v>118</v>
      </c>
      <c r="I224" s="102">
        <v>60084</v>
      </c>
      <c r="J224" s="102">
        <v>59842</v>
      </c>
      <c r="K224" s="102">
        <v>252</v>
      </c>
      <c r="L224" s="102" t="s">
        <v>58</v>
      </c>
      <c r="M224" s="104" t="s">
        <v>19</v>
      </c>
    </row>
    <row r="225" spans="1:13" x14ac:dyDescent="0.3">
      <c r="A225" s="101" t="s">
        <v>440</v>
      </c>
      <c r="B225" s="102" t="s">
        <v>40</v>
      </c>
      <c r="C225" s="103">
        <v>45790</v>
      </c>
      <c r="D225" s="102" t="s">
        <v>49</v>
      </c>
      <c r="E225" s="102" t="s">
        <v>50</v>
      </c>
      <c r="F225" s="102">
        <v>602</v>
      </c>
      <c r="G225" s="102">
        <v>594</v>
      </c>
      <c r="H225" s="102">
        <v>156</v>
      </c>
      <c r="I225" s="102">
        <v>4214</v>
      </c>
      <c r="J225" s="102">
        <v>3363</v>
      </c>
      <c r="K225" s="102">
        <v>164</v>
      </c>
      <c r="L225" s="102" t="s">
        <v>18</v>
      </c>
      <c r="M225" s="104" t="s">
        <v>38</v>
      </c>
    </row>
    <row r="226" spans="1:13" x14ac:dyDescent="0.3">
      <c r="A226" s="101" t="s">
        <v>442</v>
      </c>
      <c r="B226" s="102" t="s">
        <v>14</v>
      </c>
      <c r="C226" s="103">
        <v>45463</v>
      </c>
      <c r="D226" s="102" t="s">
        <v>42</v>
      </c>
      <c r="E226" s="102" t="s">
        <v>43</v>
      </c>
      <c r="F226" s="102">
        <v>4672</v>
      </c>
      <c r="G226" s="102">
        <v>325</v>
      </c>
      <c r="H226" s="102">
        <v>32</v>
      </c>
      <c r="I226" s="102">
        <v>88768</v>
      </c>
      <c r="J226" s="102">
        <v>87833</v>
      </c>
      <c r="K226" s="102">
        <v>118</v>
      </c>
      <c r="L226" s="102" t="s">
        <v>127</v>
      </c>
      <c r="M226" s="104" t="s">
        <v>38</v>
      </c>
    </row>
    <row r="227" spans="1:13" x14ac:dyDescent="0.3">
      <c r="A227" s="101" t="s">
        <v>443</v>
      </c>
      <c r="B227" s="102" t="s">
        <v>31</v>
      </c>
      <c r="C227" s="103">
        <v>45511</v>
      </c>
      <c r="D227" s="102" t="s">
        <v>42</v>
      </c>
      <c r="E227" s="102" t="s">
        <v>43</v>
      </c>
      <c r="F227" s="102">
        <v>1741</v>
      </c>
      <c r="G227" s="102">
        <v>164</v>
      </c>
      <c r="H227" s="102">
        <v>318</v>
      </c>
      <c r="I227" s="102">
        <v>8705</v>
      </c>
      <c r="J227" s="102">
        <v>8272</v>
      </c>
      <c r="K227" s="102">
        <v>121</v>
      </c>
      <c r="L227" s="102" t="s">
        <v>18</v>
      </c>
      <c r="M227" s="104" t="s">
        <v>25</v>
      </c>
    </row>
    <row r="228" spans="1:13" x14ac:dyDescent="0.3">
      <c r="A228" s="101" t="s">
        <v>445</v>
      </c>
      <c r="B228" s="102" t="s">
        <v>31</v>
      </c>
      <c r="C228" s="103">
        <v>45455</v>
      </c>
      <c r="D228" s="102" t="s">
        <v>22</v>
      </c>
      <c r="E228" s="102" t="s">
        <v>23</v>
      </c>
      <c r="F228" s="102">
        <v>246</v>
      </c>
      <c r="G228" s="102">
        <v>149</v>
      </c>
      <c r="H228" s="102">
        <v>130</v>
      </c>
      <c r="I228" s="102">
        <v>4674</v>
      </c>
      <c r="J228" s="102">
        <v>4390</v>
      </c>
      <c r="K228" s="102">
        <v>217</v>
      </c>
      <c r="L228" s="102" t="s">
        <v>116</v>
      </c>
      <c r="M228" s="104" t="s">
        <v>25</v>
      </c>
    </row>
    <row r="229" spans="1:13" x14ac:dyDescent="0.3">
      <c r="A229" s="101" t="s">
        <v>447</v>
      </c>
      <c r="B229" s="102" t="s">
        <v>31</v>
      </c>
      <c r="C229" s="103">
        <v>45474</v>
      </c>
      <c r="D229" s="102" t="s">
        <v>33</v>
      </c>
      <c r="E229" s="102" t="s">
        <v>34</v>
      </c>
      <c r="F229" s="102">
        <v>4808</v>
      </c>
      <c r="G229" s="102">
        <v>772</v>
      </c>
      <c r="H229" s="102">
        <v>320</v>
      </c>
      <c r="I229" s="102">
        <v>72120</v>
      </c>
      <c r="J229" s="102">
        <v>71696</v>
      </c>
      <c r="K229" s="102">
        <v>195</v>
      </c>
      <c r="L229" s="102" t="s">
        <v>209</v>
      </c>
      <c r="M229" s="104" t="s">
        <v>55</v>
      </c>
    </row>
    <row r="230" spans="1:13" x14ac:dyDescent="0.3">
      <c r="A230" s="101" t="s">
        <v>449</v>
      </c>
      <c r="B230" s="102" t="s">
        <v>31</v>
      </c>
      <c r="C230" s="103">
        <v>45476</v>
      </c>
      <c r="D230" s="102" t="s">
        <v>42</v>
      </c>
      <c r="E230" s="102" t="s">
        <v>43</v>
      </c>
      <c r="F230" s="102">
        <v>4799</v>
      </c>
      <c r="G230" s="102">
        <v>694</v>
      </c>
      <c r="H230" s="102">
        <v>289</v>
      </c>
      <c r="I230" s="102">
        <v>43191</v>
      </c>
      <c r="J230" s="102">
        <v>42228</v>
      </c>
      <c r="K230" s="102">
        <v>118</v>
      </c>
      <c r="L230" s="102" t="s">
        <v>44</v>
      </c>
      <c r="M230" s="104" t="s">
        <v>25</v>
      </c>
    </row>
    <row r="231" spans="1:13" x14ac:dyDescent="0.3">
      <c r="A231" s="101" t="s">
        <v>450</v>
      </c>
      <c r="B231" s="102" t="s">
        <v>40</v>
      </c>
      <c r="C231" s="103">
        <v>45488</v>
      </c>
      <c r="D231" s="102" t="s">
        <v>16</v>
      </c>
      <c r="E231" s="102" t="s">
        <v>17</v>
      </c>
      <c r="F231" s="102">
        <v>3663</v>
      </c>
      <c r="G231" s="102">
        <v>17</v>
      </c>
      <c r="H231" s="102">
        <v>295</v>
      </c>
      <c r="I231" s="102">
        <v>51282</v>
      </c>
      <c r="J231" s="102">
        <v>50567</v>
      </c>
      <c r="K231" s="102">
        <v>84</v>
      </c>
      <c r="L231" s="102" t="s">
        <v>18</v>
      </c>
      <c r="M231" s="104" t="s">
        <v>19</v>
      </c>
    </row>
    <row r="232" spans="1:13" x14ac:dyDescent="0.3">
      <c r="A232" s="101" t="s">
        <v>451</v>
      </c>
      <c r="B232" s="102" t="s">
        <v>31</v>
      </c>
      <c r="C232" s="103">
        <v>45778</v>
      </c>
      <c r="D232" s="102" t="s">
        <v>22</v>
      </c>
      <c r="E232" s="102" t="s">
        <v>23</v>
      </c>
      <c r="F232" s="102">
        <v>1430</v>
      </c>
      <c r="G232" s="102">
        <v>376</v>
      </c>
      <c r="H232" s="102">
        <v>33</v>
      </c>
      <c r="I232" s="102">
        <v>21450</v>
      </c>
      <c r="J232" s="102">
        <v>20509</v>
      </c>
      <c r="K232" s="102">
        <v>251</v>
      </c>
      <c r="L232" s="102" t="s">
        <v>77</v>
      </c>
      <c r="M232" s="104" t="s">
        <v>38</v>
      </c>
    </row>
    <row r="233" spans="1:13" x14ac:dyDescent="0.3">
      <c r="A233" s="101" t="s">
        <v>452</v>
      </c>
      <c r="B233" s="102" t="s">
        <v>14</v>
      </c>
      <c r="C233" s="103">
        <v>45776</v>
      </c>
      <c r="D233" s="102" t="s">
        <v>33</v>
      </c>
      <c r="E233" s="102" t="s">
        <v>34</v>
      </c>
      <c r="F233" s="102">
        <v>249</v>
      </c>
      <c r="G233" s="102">
        <v>592</v>
      </c>
      <c r="H233" s="102">
        <v>230</v>
      </c>
      <c r="I233" s="102">
        <v>1494</v>
      </c>
      <c r="J233" s="102">
        <v>1044</v>
      </c>
      <c r="K233" s="102">
        <v>201</v>
      </c>
      <c r="L233" s="102" t="s">
        <v>285</v>
      </c>
      <c r="M233" s="104" t="s">
        <v>55</v>
      </c>
    </row>
    <row r="234" spans="1:13" x14ac:dyDescent="0.3">
      <c r="A234" s="101" t="s">
        <v>454</v>
      </c>
      <c r="B234" s="102" t="s">
        <v>40</v>
      </c>
      <c r="C234" s="103">
        <v>45724</v>
      </c>
      <c r="D234" s="102" t="s">
        <v>49</v>
      </c>
      <c r="E234" s="102" t="s">
        <v>50</v>
      </c>
      <c r="F234" s="102">
        <v>2382</v>
      </c>
      <c r="G234" s="102">
        <v>265</v>
      </c>
      <c r="H234" s="102">
        <v>134</v>
      </c>
      <c r="I234" s="102">
        <v>38112</v>
      </c>
      <c r="J234" s="102">
        <v>37437</v>
      </c>
      <c r="K234" s="102">
        <v>249</v>
      </c>
      <c r="L234" s="102" t="s">
        <v>178</v>
      </c>
      <c r="M234" s="104" t="s">
        <v>25</v>
      </c>
    </row>
    <row r="235" spans="1:13" x14ac:dyDescent="0.3">
      <c r="A235" s="101" t="s">
        <v>455</v>
      </c>
      <c r="B235" s="102" t="s">
        <v>40</v>
      </c>
      <c r="C235" s="103">
        <v>45444</v>
      </c>
      <c r="D235" s="102" t="s">
        <v>22</v>
      </c>
      <c r="E235" s="102" t="s">
        <v>23</v>
      </c>
      <c r="F235" s="102">
        <v>1272</v>
      </c>
      <c r="G235" s="102">
        <v>465</v>
      </c>
      <c r="H235" s="102">
        <v>99</v>
      </c>
      <c r="I235" s="102">
        <v>24168</v>
      </c>
      <c r="J235" s="102">
        <v>23719</v>
      </c>
      <c r="K235" s="102">
        <v>42</v>
      </c>
      <c r="L235" s="102" t="s">
        <v>71</v>
      </c>
      <c r="M235" s="104" t="s">
        <v>25</v>
      </c>
    </row>
    <row r="236" spans="1:13" x14ac:dyDescent="0.3">
      <c r="A236" s="101" t="s">
        <v>457</v>
      </c>
      <c r="B236" s="102" t="s">
        <v>40</v>
      </c>
      <c r="C236" s="103">
        <v>45648</v>
      </c>
      <c r="D236" s="102" t="s">
        <v>49</v>
      </c>
      <c r="E236" s="102" t="s">
        <v>50</v>
      </c>
      <c r="F236" s="102">
        <v>3196</v>
      </c>
      <c r="G236" s="102">
        <v>941</v>
      </c>
      <c r="H236" s="102">
        <v>376</v>
      </c>
      <c r="I236" s="102">
        <v>35156</v>
      </c>
      <c r="J236" s="102">
        <v>34444</v>
      </c>
      <c r="K236" s="102">
        <v>241</v>
      </c>
      <c r="L236" s="102" t="s">
        <v>87</v>
      </c>
      <c r="M236" s="104" t="s">
        <v>55</v>
      </c>
    </row>
    <row r="237" spans="1:13" x14ac:dyDescent="0.3">
      <c r="A237" s="101" t="s">
        <v>458</v>
      </c>
      <c r="B237" s="102" t="s">
        <v>40</v>
      </c>
      <c r="C237" s="103">
        <v>45523</v>
      </c>
      <c r="D237" s="102" t="s">
        <v>22</v>
      </c>
      <c r="E237" s="102" t="s">
        <v>23</v>
      </c>
      <c r="F237" s="102">
        <v>1257</v>
      </c>
      <c r="G237" s="102">
        <v>19</v>
      </c>
      <c r="H237" s="102">
        <v>351</v>
      </c>
      <c r="I237" s="102">
        <v>12570</v>
      </c>
      <c r="J237" s="102">
        <v>11660</v>
      </c>
      <c r="K237" s="102">
        <v>194</v>
      </c>
      <c r="L237" s="102" t="s">
        <v>58</v>
      </c>
      <c r="M237" s="104" t="s">
        <v>19</v>
      </c>
    </row>
    <row r="238" spans="1:13" x14ac:dyDescent="0.3">
      <c r="A238" s="101" t="s">
        <v>459</v>
      </c>
      <c r="B238" s="102" t="s">
        <v>31</v>
      </c>
      <c r="C238" s="103">
        <v>45587</v>
      </c>
      <c r="D238" s="102" t="s">
        <v>33</v>
      </c>
      <c r="E238" s="102" t="s">
        <v>34</v>
      </c>
      <c r="F238" s="102">
        <v>3770</v>
      </c>
      <c r="G238" s="102">
        <v>917</v>
      </c>
      <c r="H238" s="102">
        <v>129</v>
      </c>
      <c r="I238" s="102">
        <v>71630</v>
      </c>
      <c r="J238" s="102">
        <v>71322</v>
      </c>
      <c r="K238" s="102">
        <v>76</v>
      </c>
      <c r="L238" s="102" t="s">
        <v>102</v>
      </c>
      <c r="M238" s="104" t="s">
        <v>55</v>
      </c>
    </row>
    <row r="239" spans="1:13" x14ac:dyDescent="0.3">
      <c r="A239" s="101" t="s">
        <v>460</v>
      </c>
      <c r="B239" s="102" t="s">
        <v>14</v>
      </c>
      <c r="C239" s="103">
        <v>45489</v>
      </c>
      <c r="D239" s="102" t="s">
        <v>22</v>
      </c>
      <c r="E239" s="102" t="s">
        <v>23</v>
      </c>
      <c r="F239" s="102">
        <v>4725</v>
      </c>
      <c r="G239" s="102">
        <v>400</v>
      </c>
      <c r="H239" s="102">
        <v>362</v>
      </c>
      <c r="I239" s="102">
        <v>75600</v>
      </c>
      <c r="J239" s="102">
        <v>74927</v>
      </c>
      <c r="K239" s="102">
        <v>43</v>
      </c>
      <c r="L239" s="102" t="s">
        <v>105</v>
      </c>
      <c r="M239" s="104" t="s">
        <v>19</v>
      </c>
    </row>
    <row r="240" spans="1:13" x14ac:dyDescent="0.3">
      <c r="A240" s="101" t="s">
        <v>462</v>
      </c>
      <c r="B240" s="102" t="s">
        <v>577</v>
      </c>
      <c r="C240" s="103">
        <v>45712</v>
      </c>
      <c r="D240" s="102" t="s">
        <v>22</v>
      </c>
      <c r="E240" s="102" t="s">
        <v>23</v>
      </c>
      <c r="F240" s="102">
        <v>4188</v>
      </c>
      <c r="G240" s="102">
        <v>942</v>
      </c>
      <c r="H240" s="102">
        <v>118</v>
      </c>
      <c r="I240" s="102">
        <v>20940</v>
      </c>
      <c r="J240" s="102">
        <v>20471</v>
      </c>
      <c r="K240" s="102">
        <v>102</v>
      </c>
      <c r="L240" s="102" t="s">
        <v>58</v>
      </c>
      <c r="M240" s="104" t="s">
        <v>25</v>
      </c>
    </row>
    <row r="241" spans="1:13" x14ac:dyDescent="0.3">
      <c r="A241" s="101" t="s">
        <v>463</v>
      </c>
      <c r="B241" s="102" t="s">
        <v>14</v>
      </c>
      <c r="C241" s="103">
        <v>45530</v>
      </c>
      <c r="D241" s="102" t="s">
        <v>42</v>
      </c>
      <c r="E241" s="102" t="s">
        <v>43</v>
      </c>
      <c r="F241" s="102">
        <v>929</v>
      </c>
      <c r="G241" s="102">
        <v>192</v>
      </c>
      <c r="H241" s="102">
        <v>322</v>
      </c>
      <c r="I241" s="102">
        <v>16722</v>
      </c>
      <c r="J241" s="102">
        <v>15996</v>
      </c>
      <c r="K241" s="102">
        <v>145</v>
      </c>
      <c r="L241" s="102" t="s">
        <v>24</v>
      </c>
      <c r="M241" s="104" t="s">
        <v>38</v>
      </c>
    </row>
    <row r="242" spans="1:13" x14ac:dyDescent="0.3">
      <c r="A242" s="101" t="s">
        <v>464</v>
      </c>
      <c r="B242" s="102" t="s">
        <v>40</v>
      </c>
      <c r="C242" s="103">
        <v>45675</v>
      </c>
      <c r="D242" s="102" t="s">
        <v>33</v>
      </c>
      <c r="E242" s="102" t="s">
        <v>34</v>
      </c>
      <c r="F242" s="102">
        <v>4321</v>
      </c>
      <c r="G242" s="102">
        <v>874</v>
      </c>
      <c r="H242" s="102">
        <v>172</v>
      </c>
      <c r="I242" s="102">
        <v>30247</v>
      </c>
      <c r="J242" s="102">
        <v>29254</v>
      </c>
      <c r="K242" s="102">
        <v>122</v>
      </c>
      <c r="L242" s="102" t="s">
        <v>66</v>
      </c>
      <c r="M242" s="104" t="s">
        <v>38</v>
      </c>
    </row>
    <row r="243" spans="1:13" x14ac:dyDescent="0.3">
      <c r="A243" s="101" t="s">
        <v>466</v>
      </c>
      <c r="B243" s="102" t="s">
        <v>40</v>
      </c>
      <c r="C243" s="103">
        <v>45480</v>
      </c>
      <c r="D243" s="102" t="s">
        <v>16</v>
      </c>
      <c r="E243" s="102" t="s">
        <v>17</v>
      </c>
      <c r="F243" s="102">
        <v>4767</v>
      </c>
      <c r="G243" s="102">
        <v>190</v>
      </c>
      <c r="H243" s="102">
        <v>340</v>
      </c>
      <c r="I243" s="102">
        <v>28602</v>
      </c>
      <c r="J243" s="102">
        <v>28044</v>
      </c>
      <c r="K243" s="102">
        <v>210</v>
      </c>
      <c r="L243" s="102" t="s">
        <v>77</v>
      </c>
      <c r="M243" s="104" t="s">
        <v>55</v>
      </c>
    </row>
    <row r="244" spans="1:13" x14ac:dyDescent="0.3">
      <c r="A244" s="101" t="s">
        <v>467</v>
      </c>
      <c r="B244" s="102" t="s">
        <v>14</v>
      </c>
      <c r="C244" s="103">
        <v>45722</v>
      </c>
      <c r="D244" s="102" t="s">
        <v>49</v>
      </c>
      <c r="E244" s="102" t="s">
        <v>50</v>
      </c>
      <c r="F244" s="102">
        <v>3592</v>
      </c>
      <c r="G244" s="102">
        <v>911</v>
      </c>
      <c r="H244" s="102">
        <v>375</v>
      </c>
      <c r="I244" s="102">
        <v>50288</v>
      </c>
      <c r="J244" s="102">
        <v>49490</v>
      </c>
      <c r="K244" s="102">
        <v>32</v>
      </c>
      <c r="L244" s="102" t="s">
        <v>58</v>
      </c>
      <c r="M244" s="104" t="s">
        <v>25</v>
      </c>
    </row>
    <row r="245" spans="1:13" x14ac:dyDescent="0.3">
      <c r="A245" s="101" t="s">
        <v>469</v>
      </c>
      <c r="B245" s="102" t="s">
        <v>577</v>
      </c>
      <c r="C245" s="103">
        <v>45590</v>
      </c>
      <c r="D245" s="102" t="s">
        <v>69</v>
      </c>
      <c r="E245" s="102" t="s">
        <v>70</v>
      </c>
      <c r="F245" s="102">
        <v>4661</v>
      </c>
      <c r="G245" s="102">
        <v>935</v>
      </c>
      <c r="H245" s="102">
        <v>433</v>
      </c>
      <c r="I245" s="102">
        <v>23305</v>
      </c>
      <c r="J245" s="102">
        <v>22583</v>
      </c>
      <c r="K245" s="102">
        <v>63</v>
      </c>
      <c r="L245" s="102" t="s">
        <v>162</v>
      </c>
      <c r="M245" s="104" t="s">
        <v>19</v>
      </c>
    </row>
    <row r="246" spans="1:13" x14ac:dyDescent="0.3">
      <c r="A246" s="101" t="s">
        <v>471</v>
      </c>
      <c r="B246" s="102" t="s">
        <v>40</v>
      </c>
      <c r="C246" s="103">
        <v>45669</v>
      </c>
      <c r="D246" s="102" t="s">
        <v>16</v>
      </c>
      <c r="E246" s="102" t="s">
        <v>17</v>
      </c>
      <c r="F246" s="102">
        <v>4134</v>
      </c>
      <c r="G246" s="102">
        <v>824</v>
      </c>
      <c r="H246" s="102">
        <v>99</v>
      </c>
      <c r="I246" s="102">
        <v>41340</v>
      </c>
      <c r="J246" s="102">
        <v>41050</v>
      </c>
      <c r="K246" s="102">
        <v>177</v>
      </c>
      <c r="L246" s="102" t="s">
        <v>24</v>
      </c>
      <c r="M246" s="104" t="s">
        <v>25</v>
      </c>
    </row>
    <row r="247" spans="1:13" x14ac:dyDescent="0.3">
      <c r="A247" s="101" t="s">
        <v>473</v>
      </c>
      <c r="B247" s="102" t="s">
        <v>40</v>
      </c>
      <c r="C247" s="103">
        <v>45576</v>
      </c>
      <c r="D247" s="102" t="s">
        <v>49</v>
      </c>
      <c r="E247" s="102" t="s">
        <v>50</v>
      </c>
      <c r="F247" s="102">
        <v>400</v>
      </c>
      <c r="G247" s="102">
        <v>680</v>
      </c>
      <c r="H247" s="102">
        <v>434</v>
      </c>
      <c r="I247" s="102">
        <v>6400</v>
      </c>
      <c r="J247" s="102">
        <v>5472</v>
      </c>
      <c r="K247" s="102">
        <v>160</v>
      </c>
      <c r="L247" s="102" t="s">
        <v>102</v>
      </c>
      <c r="M247" s="104" t="s">
        <v>25</v>
      </c>
    </row>
    <row r="248" spans="1:13" x14ac:dyDescent="0.3">
      <c r="A248" s="101" t="s">
        <v>475</v>
      </c>
      <c r="B248" s="102" t="s">
        <v>40</v>
      </c>
      <c r="C248" s="103">
        <v>45531</v>
      </c>
      <c r="D248" s="102" t="s">
        <v>16</v>
      </c>
      <c r="E248" s="102" t="s">
        <v>17</v>
      </c>
      <c r="F248" s="102">
        <v>3960</v>
      </c>
      <c r="G248" s="102">
        <v>266</v>
      </c>
      <c r="H248" s="102">
        <v>8</v>
      </c>
      <c r="I248" s="102">
        <v>35640</v>
      </c>
      <c r="J248" s="102">
        <v>34850</v>
      </c>
      <c r="K248" s="102">
        <v>208</v>
      </c>
      <c r="L248" s="102" t="s">
        <v>105</v>
      </c>
      <c r="M248" s="104" t="s">
        <v>55</v>
      </c>
    </row>
    <row r="249" spans="1:13" x14ac:dyDescent="0.3">
      <c r="A249" s="101" t="s">
        <v>477</v>
      </c>
      <c r="B249" s="102" t="s">
        <v>40</v>
      </c>
      <c r="C249" s="103">
        <v>45690</v>
      </c>
      <c r="D249" s="102" t="s">
        <v>33</v>
      </c>
      <c r="E249" s="102" t="s">
        <v>34</v>
      </c>
      <c r="F249" s="102">
        <v>886</v>
      </c>
      <c r="G249" s="102">
        <v>126</v>
      </c>
      <c r="H249" s="102">
        <v>153</v>
      </c>
      <c r="I249" s="102">
        <v>4430</v>
      </c>
      <c r="J249" s="102">
        <v>4037</v>
      </c>
      <c r="K249" s="102">
        <v>212</v>
      </c>
      <c r="L249" s="102" t="s">
        <v>18</v>
      </c>
      <c r="M249" s="104" t="s">
        <v>38</v>
      </c>
    </row>
    <row r="250" spans="1:13" x14ac:dyDescent="0.3">
      <c r="A250" s="101" t="s">
        <v>478</v>
      </c>
      <c r="B250" s="102" t="s">
        <v>14</v>
      </c>
      <c r="C250" s="103">
        <v>45491</v>
      </c>
      <c r="D250" s="102" t="s">
        <v>49</v>
      </c>
      <c r="E250" s="102" t="s">
        <v>50</v>
      </c>
      <c r="F250" s="102">
        <v>827</v>
      </c>
      <c r="G250" s="102">
        <v>77</v>
      </c>
      <c r="H250" s="102">
        <v>402</v>
      </c>
      <c r="I250" s="102">
        <v>14886</v>
      </c>
      <c r="J250" s="102">
        <v>14129</v>
      </c>
      <c r="K250" s="102">
        <v>254</v>
      </c>
      <c r="L250" s="102" t="s">
        <v>58</v>
      </c>
      <c r="M250" s="104" t="s">
        <v>25</v>
      </c>
    </row>
    <row r="251" spans="1:13" x14ac:dyDescent="0.3">
      <c r="A251" s="101" t="s">
        <v>479</v>
      </c>
      <c r="B251" s="102" t="s">
        <v>40</v>
      </c>
      <c r="C251" s="103">
        <v>45465</v>
      </c>
      <c r="D251" s="102" t="s">
        <v>16</v>
      </c>
      <c r="E251" s="102" t="s">
        <v>17</v>
      </c>
      <c r="F251" s="102">
        <v>3813</v>
      </c>
      <c r="G251" s="102">
        <v>935</v>
      </c>
      <c r="H251" s="102">
        <v>274</v>
      </c>
      <c r="I251" s="102">
        <v>68634</v>
      </c>
      <c r="J251" s="102">
        <v>68488</v>
      </c>
      <c r="K251" s="102">
        <v>251</v>
      </c>
      <c r="L251" s="102" t="s">
        <v>178</v>
      </c>
      <c r="M251" s="104" t="s">
        <v>19</v>
      </c>
    </row>
    <row r="252" spans="1:13" x14ac:dyDescent="0.3">
      <c r="A252" s="101" t="s">
        <v>480</v>
      </c>
      <c r="B252" s="102" t="s">
        <v>31</v>
      </c>
      <c r="C252" s="103">
        <v>45743</v>
      </c>
      <c r="D252" s="102" t="s">
        <v>42</v>
      </c>
      <c r="E252" s="102" t="s">
        <v>43</v>
      </c>
      <c r="F252" s="102">
        <v>1377</v>
      </c>
      <c r="G252" s="102">
        <v>796</v>
      </c>
      <c r="H252" s="102">
        <v>387</v>
      </c>
      <c r="I252" s="102">
        <v>22032</v>
      </c>
      <c r="J252" s="102">
        <v>21869</v>
      </c>
      <c r="K252" s="102">
        <v>189</v>
      </c>
      <c r="L252" s="102" t="s">
        <v>144</v>
      </c>
      <c r="M252" s="104" t="s">
        <v>38</v>
      </c>
    </row>
    <row r="253" spans="1:13" x14ac:dyDescent="0.3">
      <c r="A253" s="101" t="s">
        <v>482</v>
      </c>
      <c r="B253" s="102" t="s">
        <v>40</v>
      </c>
      <c r="C253" s="103">
        <v>45775</v>
      </c>
      <c r="D253" s="102" t="s">
        <v>42</v>
      </c>
      <c r="E253" s="102" t="s">
        <v>43</v>
      </c>
      <c r="F253" s="102">
        <v>2089</v>
      </c>
      <c r="G253" s="102">
        <v>476</v>
      </c>
      <c r="H253" s="102">
        <v>69</v>
      </c>
      <c r="I253" s="102">
        <v>16712</v>
      </c>
      <c r="J253" s="102">
        <v>16309</v>
      </c>
      <c r="K253" s="102">
        <v>64</v>
      </c>
      <c r="L253" s="102" t="s">
        <v>61</v>
      </c>
      <c r="M253" s="104" t="s">
        <v>19</v>
      </c>
    </row>
    <row r="254" spans="1:13" x14ac:dyDescent="0.3">
      <c r="A254" s="101" t="s">
        <v>483</v>
      </c>
      <c r="B254" s="102" t="s">
        <v>14</v>
      </c>
      <c r="C254" s="103">
        <v>45507</v>
      </c>
      <c r="D254" s="102" t="s">
        <v>16</v>
      </c>
      <c r="E254" s="102" t="s">
        <v>17</v>
      </c>
      <c r="F254" s="102">
        <v>3791</v>
      </c>
      <c r="G254" s="102">
        <v>593</v>
      </c>
      <c r="H254" s="102">
        <v>228</v>
      </c>
      <c r="I254" s="102">
        <v>53074</v>
      </c>
      <c r="J254" s="102">
        <v>52613</v>
      </c>
      <c r="K254" s="102">
        <v>205</v>
      </c>
      <c r="L254" s="102" t="s">
        <v>162</v>
      </c>
      <c r="M254" s="104" t="s">
        <v>19</v>
      </c>
    </row>
    <row r="255" spans="1:13" x14ac:dyDescent="0.3">
      <c r="A255" s="101" t="s">
        <v>485</v>
      </c>
      <c r="B255" s="102" t="s">
        <v>14</v>
      </c>
      <c r="C255" s="103">
        <v>45671</v>
      </c>
      <c r="D255" s="102" t="s">
        <v>49</v>
      </c>
      <c r="E255" s="102" t="s">
        <v>50</v>
      </c>
      <c r="F255" s="102">
        <v>2692</v>
      </c>
      <c r="G255" s="102">
        <v>115</v>
      </c>
      <c r="H255" s="102">
        <v>64</v>
      </c>
      <c r="I255" s="102">
        <v>21536</v>
      </c>
      <c r="J255" s="102">
        <v>21120</v>
      </c>
      <c r="K255" s="102">
        <v>224</v>
      </c>
      <c r="L255" s="102" t="s">
        <v>178</v>
      </c>
      <c r="M255" s="104" t="s">
        <v>55</v>
      </c>
    </row>
    <row r="256" spans="1:13" x14ac:dyDescent="0.3">
      <c r="A256" s="101" t="s">
        <v>487</v>
      </c>
      <c r="B256" s="102" t="s">
        <v>40</v>
      </c>
      <c r="C256" s="103">
        <v>45750</v>
      </c>
      <c r="D256" s="102" t="s">
        <v>33</v>
      </c>
      <c r="E256" s="102" t="s">
        <v>34</v>
      </c>
      <c r="F256" s="102">
        <v>3767</v>
      </c>
      <c r="G256" s="102">
        <v>514</v>
      </c>
      <c r="H256" s="102">
        <v>238</v>
      </c>
      <c r="I256" s="102">
        <v>37670</v>
      </c>
      <c r="J256" s="102">
        <v>36807</v>
      </c>
      <c r="K256" s="102">
        <v>226</v>
      </c>
      <c r="L256" s="102" t="s">
        <v>162</v>
      </c>
      <c r="M256" s="104" t="s">
        <v>19</v>
      </c>
    </row>
    <row r="257" spans="1:13" x14ac:dyDescent="0.3">
      <c r="A257" s="101" t="s">
        <v>488</v>
      </c>
      <c r="B257" s="102" t="s">
        <v>577</v>
      </c>
      <c r="C257" s="103">
        <v>45553</v>
      </c>
      <c r="D257" s="102" t="s">
        <v>42</v>
      </c>
      <c r="E257" s="102" t="s">
        <v>43</v>
      </c>
      <c r="F257" s="102">
        <v>2143</v>
      </c>
      <c r="G257" s="102">
        <v>12</v>
      </c>
      <c r="H257" s="102">
        <v>204</v>
      </c>
      <c r="I257" s="102">
        <v>40717</v>
      </c>
      <c r="J257" s="102">
        <v>40125</v>
      </c>
      <c r="K257" s="102">
        <v>248</v>
      </c>
      <c r="L257" s="102" t="s">
        <v>127</v>
      </c>
      <c r="M257" s="104" t="s">
        <v>55</v>
      </c>
    </row>
    <row r="258" spans="1:13" x14ac:dyDescent="0.3">
      <c r="A258" s="101" t="s">
        <v>489</v>
      </c>
      <c r="B258" s="102" t="s">
        <v>40</v>
      </c>
      <c r="C258" s="103">
        <v>45753</v>
      </c>
      <c r="D258" s="102" t="s">
        <v>49</v>
      </c>
      <c r="E258" s="102" t="s">
        <v>50</v>
      </c>
      <c r="F258" s="102">
        <v>3090</v>
      </c>
      <c r="G258" s="102">
        <v>697</v>
      </c>
      <c r="H258" s="102">
        <v>164</v>
      </c>
      <c r="I258" s="102">
        <v>49440</v>
      </c>
      <c r="J258" s="102">
        <v>48524</v>
      </c>
      <c r="K258" s="102">
        <v>25</v>
      </c>
      <c r="L258" s="102" t="s">
        <v>264</v>
      </c>
      <c r="M258" s="104" t="s">
        <v>55</v>
      </c>
    </row>
    <row r="259" spans="1:13" x14ac:dyDescent="0.3">
      <c r="A259" s="101" t="s">
        <v>490</v>
      </c>
      <c r="B259" s="102" t="s">
        <v>31</v>
      </c>
      <c r="C259" s="103">
        <v>45509</v>
      </c>
      <c r="D259" s="102" t="s">
        <v>33</v>
      </c>
      <c r="E259" s="102" t="s">
        <v>34</v>
      </c>
      <c r="F259" s="102">
        <v>3601</v>
      </c>
      <c r="G259" s="102">
        <v>695</v>
      </c>
      <c r="H259" s="102">
        <v>75</v>
      </c>
      <c r="I259" s="102">
        <v>21606</v>
      </c>
      <c r="J259" s="102">
        <v>21454</v>
      </c>
      <c r="K259" s="102">
        <v>172</v>
      </c>
      <c r="L259" s="102" t="s">
        <v>58</v>
      </c>
      <c r="M259" s="104" t="s">
        <v>25</v>
      </c>
    </row>
    <row r="260" spans="1:13" x14ac:dyDescent="0.3">
      <c r="A260" s="101" t="s">
        <v>492</v>
      </c>
      <c r="B260" s="102" t="s">
        <v>40</v>
      </c>
      <c r="C260" s="103">
        <v>45698</v>
      </c>
      <c r="D260" s="102" t="s">
        <v>22</v>
      </c>
      <c r="E260" s="102" t="s">
        <v>23</v>
      </c>
      <c r="F260" s="102">
        <v>562</v>
      </c>
      <c r="G260" s="102">
        <v>158</v>
      </c>
      <c r="H260" s="102">
        <v>149</v>
      </c>
      <c r="I260" s="102">
        <v>3372</v>
      </c>
      <c r="J260" s="102">
        <v>2940</v>
      </c>
      <c r="K260" s="102">
        <v>93</v>
      </c>
      <c r="L260" s="102" t="s">
        <v>127</v>
      </c>
      <c r="M260" s="104" t="s">
        <v>55</v>
      </c>
    </row>
    <row r="261" spans="1:13" x14ac:dyDescent="0.3">
      <c r="A261" s="101" t="s">
        <v>493</v>
      </c>
      <c r="B261" s="102" t="s">
        <v>31</v>
      </c>
      <c r="C261" s="103">
        <v>45700</v>
      </c>
      <c r="D261" s="102" t="s">
        <v>33</v>
      </c>
      <c r="E261" s="102" t="s">
        <v>34</v>
      </c>
      <c r="F261" s="102">
        <v>4332</v>
      </c>
      <c r="G261" s="102">
        <v>771</v>
      </c>
      <c r="H261" s="102">
        <v>219</v>
      </c>
      <c r="I261" s="102">
        <v>60648</v>
      </c>
      <c r="J261" s="102">
        <v>60397</v>
      </c>
      <c r="K261" s="102">
        <v>10</v>
      </c>
      <c r="L261" s="102" t="s">
        <v>24</v>
      </c>
      <c r="M261" s="104" t="s">
        <v>38</v>
      </c>
    </row>
    <row r="262" spans="1:13" x14ac:dyDescent="0.3">
      <c r="A262" s="101" t="s">
        <v>495</v>
      </c>
      <c r="B262" s="102" t="s">
        <v>31</v>
      </c>
      <c r="C262" s="103">
        <v>45592</v>
      </c>
      <c r="D262" s="102" t="s">
        <v>49</v>
      </c>
      <c r="E262" s="102" t="s">
        <v>50</v>
      </c>
      <c r="F262" s="102">
        <v>4853</v>
      </c>
      <c r="G262" s="102">
        <v>837</v>
      </c>
      <c r="H262" s="102">
        <v>340</v>
      </c>
      <c r="I262" s="102">
        <v>72795</v>
      </c>
      <c r="J262" s="102">
        <v>72237</v>
      </c>
      <c r="K262" s="102">
        <v>170</v>
      </c>
      <c r="L262" s="102" t="s">
        <v>18</v>
      </c>
      <c r="M262" s="104" t="s">
        <v>25</v>
      </c>
    </row>
    <row r="263" spans="1:13" x14ac:dyDescent="0.3">
      <c r="A263" s="101" t="s">
        <v>497</v>
      </c>
      <c r="B263" s="102" t="s">
        <v>577</v>
      </c>
      <c r="C263" s="103">
        <v>45675</v>
      </c>
      <c r="D263" s="102" t="s">
        <v>49</v>
      </c>
      <c r="E263" s="102" t="s">
        <v>50</v>
      </c>
      <c r="F263" s="102">
        <v>1206</v>
      </c>
      <c r="G263" s="102">
        <v>238</v>
      </c>
      <c r="H263" s="102">
        <v>36</v>
      </c>
      <c r="I263" s="102">
        <v>9648</v>
      </c>
      <c r="J263" s="102">
        <v>9417</v>
      </c>
      <c r="K263" s="102">
        <v>237</v>
      </c>
      <c r="L263" s="102" t="s">
        <v>82</v>
      </c>
      <c r="M263" s="104" t="s">
        <v>38</v>
      </c>
    </row>
    <row r="264" spans="1:13" x14ac:dyDescent="0.3">
      <c r="A264" s="101" t="s">
        <v>498</v>
      </c>
      <c r="B264" s="102" t="s">
        <v>31</v>
      </c>
      <c r="C264" s="103">
        <v>45524</v>
      </c>
      <c r="D264" s="102" t="s">
        <v>16</v>
      </c>
      <c r="E264" s="102" t="s">
        <v>17</v>
      </c>
      <c r="F264" s="102">
        <v>2603</v>
      </c>
      <c r="G264" s="102">
        <v>690</v>
      </c>
      <c r="H264" s="102">
        <v>205</v>
      </c>
      <c r="I264" s="102">
        <v>13015</v>
      </c>
      <c r="J264" s="102">
        <v>12130</v>
      </c>
      <c r="K264" s="102">
        <v>20</v>
      </c>
      <c r="L264" s="102" t="s">
        <v>44</v>
      </c>
      <c r="M264" s="104" t="s">
        <v>19</v>
      </c>
    </row>
    <row r="265" spans="1:13" x14ac:dyDescent="0.3">
      <c r="A265" s="101" t="s">
        <v>500</v>
      </c>
      <c r="B265" s="102" t="s">
        <v>14</v>
      </c>
      <c r="C265" s="103">
        <v>45687</v>
      </c>
      <c r="D265" s="102" t="s">
        <v>49</v>
      </c>
      <c r="E265" s="102" t="s">
        <v>50</v>
      </c>
      <c r="F265" s="102">
        <v>59</v>
      </c>
      <c r="G265" s="102">
        <v>163</v>
      </c>
      <c r="H265" s="102">
        <v>93</v>
      </c>
      <c r="I265" s="102">
        <v>590</v>
      </c>
      <c r="J265" s="102">
        <v>475</v>
      </c>
      <c r="K265" s="102">
        <v>293</v>
      </c>
      <c r="L265" s="102" t="s">
        <v>44</v>
      </c>
      <c r="M265" s="104" t="s">
        <v>55</v>
      </c>
    </row>
    <row r="266" spans="1:13" x14ac:dyDescent="0.3">
      <c r="A266" s="101" t="s">
        <v>502</v>
      </c>
      <c r="B266" s="102" t="s">
        <v>14</v>
      </c>
      <c r="C266" s="103">
        <v>45708</v>
      </c>
      <c r="D266" s="102" t="s">
        <v>42</v>
      </c>
      <c r="E266" s="102" t="s">
        <v>43</v>
      </c>
      <c r="F266" s="102">
        <v>1877</v>
      </c>
      <c r="G266" s="102">
        <v>745</v>
      </c>
      <c r="H266" s="102">
        <v>225</v>
      </c>
      <c r="I266" s="102">
        <v>11262</v>
      </c>
      <c r="J266" s="102">
        <v>10967</v>
      </c>
      <c r="K266" s="102">
        <v>41</v>
      </c>
      <c r="L266" s="102" t="s">
        <v>61</v>
      </c>
      <c r="M266" s="104" t="s">
        <v>19</v>
      </c>
    </row>
    <row r="267" spans="1:13" x14ac:dyDescent="0.3">
      <c r="A267" s="101" t="s">
        <v>504</v>
      </c>
      <c r="B267" s="102" t="s">
        <v>40</v>
      </c>
      <c r="C267" s="103">
        <v>45621</v>
      </c>
      <c r="D267" s="102" t="s">
        <v>33</v>
      </c>
      <c r="E267" s="102" t="s">
        <v>34</v>
      </c>
      <c r="F267" s="102">
        <v>4182</v>
      </c>
      <c r="G267" s="102">
        <v>640</v>
      </c>
      <c r="H267" s="102">
        <v>240</v>
      </c>
      <c r="I267" s="102">
        <v>50184</v>
      </c>
      <c r="J267" s="102">
        <v>49351</v>
      </c>
      <c r="K267" s="102">
        <v>10</v>
      </c>
      <c r="L267" s="102" t="s">
        <v>82</v>
      </c>
      <c r="M267" s="104" t="s">
        <v>38</v>
      </c>
    </row>
    <row r="268" spans="1:13" x14ac:dyDescent="0.3">
      <c r="A268" s="101" t="s">
        <v>505</v>
      </c>
      <c r="B268" s="102" t="s">
        <v>14</v>
      </c>
      <c r="C268" s="103">
        <v>45569</v>
      </c>
      <c r="D268" s="102" t="s">
        <v>16</v>
      </c>
      <c r="E268" s="102" t="s">
        <v>17</v>
      </c>
      <c r="F268" s="102">
        <v>4187</v>
      </c>
      <c r="G268" s="102">
        <v>66</v>
      </c>
      <c r="H268" s="102">
        <v>31</v>
      </c>
      <c r="I268" s="102">
        <v>66992</v>
      </c>
      <c r="J268" s="102">
        <v>66614</v>
      </c>
      <c r="K268" s="102">
        <v>62</v>
      </c>
      <c r="L268" s="102" t="s">
        <v>58</v>
      </c>
      <c r="M268" s="104" t="s">
        <v>55</v>
      </c>
    </row>
    <row r="269" spans="1:13" x14ac:dyDescent="0.3">
      <c r="A269" s="101" t="s">
        <v>506</v>
      </c>
      <c r="B269" s="102" t="s">
        <v>31</v>
      </c>
      <c r="C269" s="103">
        <v>45760</v>
      </c>
      <c r="D269" s="102" t="s">
        <v>16</v>
      </c>
      <c r="E269" s="102" t="s">
        <v>17</v>
      </c>
      <c r="F269" s="102">
        <v>4579</v>
      </c>
      <c r="G269" s="102">
        <v>125</v>
      </c>
      <c r="H269" s="102">
        <v>300</v>
      </c>
      <c r="I269" s="102">
        <v>59527</v>
      </c>
      <c r="J269" s="102">
        <v>59400</v>
      </c>
      <c r="K269" s="102">
        <v>269</v>
      </c>
      <c r="L269" s="102" t="s">
        <v>37</v>
      </c>
      <c r="M269" s="104" t="s">
        <v>19</v>
      </c>
    </row>
    <row r="270" spans="1:13" x14ac:dyDescent="0.3">
      <c r="A270" s="101" t="s">
        <v>508</v>
      </c>
      <c r="B270" s="102" t="s">
        <v>31</v>
      </c>
      <c r="C270" s="103">
        <v>45601</v>
      </c>
      <c r="D270" s="102" t="s">
        <v>69</v>
      </c>
      <c r="E270" s="102" t="s">
        <v>70</v>
      </c>
      <c r="F270" s="102">
        <v>4561</v>
      </c>
      <c r="G270" s="102">
        <v>51</v>
      </c>
      <c r="H270" s="102">
        <v>441</v>
      </c>
      <c r="I270" s="102">
        <v>22805</v>
      </c>
      <c r="J270" s="102">
        <v>21890</v>
      </c>
      <c r="K270" s="102">
        <v>45</v>
      </c>
      <c r="L270" s="102" t="s">
        <v>58</v>
      </c>
      <c r="M270" s="104" t="s">
        <v>25</v>
      </c>
    </row>
    <row r="271" spans="1:13" x14ac:dyDescent="0.3">
      <c r="A271" s="101" t="s">
        <v>510</v>
      </c>
      <c r="B271" s="102" t="s">
        <v>577</v>
      </c>
      <c r="C271" s="103">
        <v>45672</v>
      </c>
      <c r="D271" s="102" t="s">
        <v>16</v>
      </c>
      <c r="E271" s="102" t="s">
        <v>17</v>
      </c>
      <c r="F271" s="102">
        <v>3774</v>
      </c>
      <c r="G271" s="102">
        <v>239</v>
      </c>
      <c r="H271" s="102">
        <v>39</v>
      </c>
      <c r="I271" s="102">
        <v>60384</v>
      </c>
      <c r="J271" s="102">
        <v>59490</v>
      </c>
      <c r="K271" s="102">
        <v>241</v>
      </c>
      <c r="L271" s="102" t="s">
        <v>77</v>
      </c>
      <c r="M271" s="104" t="s">
        <v>38</v>
      </c>
    </row>
    <row r="272" spans="1:13" x14ac:dyDescent="0.3">
      <c r="A272" s="101" t="s">
        <v>511</v>
      </c>
      <c r="B272" s="102" t="s">
        <v>31</v>
      </c>
      <c r="C272" s="103">
        <v>45582</v>
      </c>
      <c r="D272" s="102" t="s">
        <v>69</v>
      </c>
      <c r="E272" s="102" t="s">
        <v>70</v>
      </c>
      <c r="F272" s="102">
        <v>3575</v>
      </c>
      <c r="G272" s="102">
        <v>749</v>
      </c>
      <c r="H272" s="102">
        <v>111</v>
      </c>
      <c r="I272" s="102">
        <v>21450</v>
      </c>
      <c r="J272" s="102">
        <v>20785</v>
      </c>
      <c r="K272" s="102">
        <v>195</v>
      </c>
      <c r="L272" s="102" t="s">
        <v>77</v>
      </c>
      <c r="M272" s="104" t="s">
        <v>38</v>
      </c>
    </row>
    <row r="273" spans="1:13" x14ac:dyDescent="0.3">
      <c r="A273" s="101" t="s">
        <v>513</v>
      </c>
      <c r="B273" s="102" t="s">
        <v>31</v>
      </c>
      <c r="C273" s="103">
        <v>45743</v>
      </c>
      <c r="D273" s="102" t="s">
        <v>22</v>
      </c>
      <c r="E273" s="102" t="s">
        <v>23</v>
      </c>
      <c r="F273" s="102">
        <v>4941</v>
      </c>
      <c r="G273" s="102">
        <v>414</v>
      </c>
      <c r="H273" s="102">
        <v>266</v>
      </c>
      <c r="I273" s="102">
        <v>39528</v>
      </c>
      <c r="J273" s="102">
        <v>39154</v>
      </c>
      <c r="K273" s="102">
        <v>217</v>
      </c>
      <c r="L273" s="102" t="s">
        <v>18</v>
      </c>
      <c r="M273" s="104" t="s">
        <v>25</v>
      </c>
    </row>
    <row r="274" spans="1:13" x14ac:dyDescent="0.3">
      <c r="A274" s="101" t="s">
        <v>514</v>
      </c>
      <c r="B274" s="102" t="s">
        <v>577</v>
      </c>
      <c r="C274" s="103">
        <v>45577</v>
      </c>
      <c r="D274" s="102" t="s">
        <v>33</v>
      </c>
      <c r="E274" s="102" t="s">
        <v>34</v>
      </c>
      <c r="F274" s="102">
        <v>3641</v>
      </c>
      <c r="G274" s="102">
        <v>226</v>
      </c>
      <c r="H274" s="102">
        <v>46</v>
      </c>
      <c r="I274" s="102">
        <v>40051</v>
      </c>
      <c r="J274" s="102">
        <v>39319</v>
      </c>
      <c r="K274" s="102">
        <v>296</v>
      </c>
      <c r="L274" s="102" t="s">
        <v>44</v>
      </c>
      <c r="M274" s="104" t="s">
        <v>25</v>
      </c>
    </row>
    <row r="275" spans="1:13" x14ac:dyDescent="0.3">
      <c r="A275" s="101" t="s">
        <v>516</v>
      </c>
      <c r="B275" s="102" t="s">
        <v>14</v>
      </c>
      <c r="C275" s="103">
        <v>45658</v>
      </c>
      <c r="D275" s="102" t="s">
        <v>42</v>
      </c>
      <c r="E275" s="102" t="s">
        <v>43</v>
      </c>
      <c r="F275" s="102">
        <v>3535</v>
      </c>
      <c r="G275" s="102">
        <v>494</v>
      </c>
      <c r="H275" s="102">
        <v>152</v>
      </c>
      <c r="I275" s="102">
        <v>53025</v>
      </c>
      <c r="J275" s="102">
        <v>52791</v>
      </c>
      <c r="K275" s="102">
        <v>44</v>
      </c>
      <c r="L275" s="102" t="s">
        <v>214</v>
      </c>
      <c r="M275" s="104" t="s">
        <v>25</v>
      </c>
    </row>
    <row r="276" spans="1:13" x14ac:dyDescent="0.3">
      <c r="A276" s="101" t="s">
        <v>517</v>
      </c>
      <c r="B276" s="102" t="s">
        <v>40</v>
      </c>
      <c r="C276" s="103">
        <v>45509</v>
      </c>
      <c r="D276" s="102" t="s">
        <v>16</v>
      </c>
      <c r="E276" s="102" t="s">
        <v>17</v>
      </c>
      <c r="F276" s="102">
        <v>1741</v>
      </c>
      <c r="G276" s="102">
        <v>831</v>
      </c>
      <c r="H276" s="102">
        <v>345</v>
      </c>
      <c r="I276" s="102">
        <v>17410</v>
      </c>
      <c r="J276" s="102">
        <v>16844</v>
      </c>
      <c r="K276" s="102">
        <v>58</v>
      </c>
      <c r="L276" s="102" t="s">
        <v>71</v>
      </c>
      <c r="M276" s="104" t="s">
        <v>55</v>
      </c>
    </row>
    <row r="277" spans="1:13" x14ac:dyDescent="0.3">
      <c r="A277" s="101" t="s">
        <v>518</v>
      </c>
      <c r="B277" s="102" t="s">
        <v>14</v>
      </c>
      <c r="C277" s="103">
        <v>45450</v>
      </c>
      <c r="D277" s="102" t="s">
        <v>42</v>
      </c>
      <c r="E277" s="102" t="s">
        <v>43</v>
      </c>
      <c r="F277" s="102">
        <v>1556</v>
      </c>
      <c r="G277" s="102">
        <v>195</v>
      </c>
      <c r="H277" s="102">
        <v>131</v>
      </c>
      <c r="I277" s="102">
        <v>9336</v>
      </c>
      <c r="J277" s="102">
        <v>8875</v>
      </c>
      <c r="K277" s="102">
        <v>137</v>
      </c>
      <c r="L277" s="102" t="s">
        <v>24</v>
      </c>
      <c r="M277" s="104" t="s">
        <v>25</v>
      </c>
    </row>
    <row r="278" spans="1:13" x14ac:dyDescent="0.3">
      <c r="A278" s="101" t="s">
        <v>520</v>
      </c>
      <c r="B278" s="102" t="s">
        <v>40</v>
      </c>
      <c r="C278" s="103">
        <v>45753</v>
      </c>
      <c r="D278" s="102" t="s">
        <v>49</v>
      </c>
      <c r="E278" s="102" t="s">
        <v>50</v>
      </c>
      <c r="F278" s="102">
        <v>4236</v>
      </c>
      <c r="G278" s="102">
        <v>711</v>
      </c>
      <c r="H278" s="102">
        <v>298</v>
      </c>
      <c r="I278" s="102">
        <v>21180</v>
      </c>
      <c r="J278" s="102">
        <v>20516</v>
      </c>
      <c r="K278" s="102">
        <v>238</v>
      </c>
      <c r="L278" s="102" t="s">
        <v>209</v>
      </c>
      <c r="M278" s="104" t="s">
        <v>55</v>
      </c>
    </row>
    <row r="279" spans="1:13" x14ac:dyDescent="0.3">
      <c r="A279" s="101" t="s">
        <v>521</v>
      </c>
      <c r="B279" s="102" t="s">
        <v>14</v>
      </c>
      <c r="C279" s="103">
        <v>45622</v>
      </c>
      <c r="D279" s="102" t="s">
        <v>22</v>
      </c>
      <c r="E279" s="102" t="s">
        <v>23</v>
      </c>
      <c r="F279" s="102">
        <v>4516</v>
      </c>
      <c r="G279" s="102">
        <v>836</v>
      </c>
      <c r="H279" s="102">
        <v>169</v>
      </c>
      <c r="I279" s="102">
        <v>49676</v>
      </c>
      <c r="J279" s="102">
        <v>49257</v>
      </c>
      <c r="K279" s="102">
        <v>282</v>
      </c>
      <c r="L279" s="102" t="s">
        <v>44</v>
      </c>
      <c r="M279" s="104" t="s">
        <v>19</v>
      </c>
    </row>
    <row r="280" spans="1:13" x14ac:dyDescent="0.3">
      <c r="A280" s="101" t="s">
        <v>523</v>
      </c>
      <c r="B280" s="102" t="s">
        <v>577</v>
      </c>
      <c r="C280" s="103">
        <v>45537</v>
      </c>
      <c r="D280" s="102" t="s">
        <v>49</v>
      </c>
      <c r="E280" s="102" t="s">
        <v>50</v>
      </c>
      <c r="F280" s="102">
        <v>4905</v>
      </c>
      <c r="G280" s="102">
        <v>845</v>
      </c>
      <c r="H280" s="102">
        <v>129</v>
      </c>
      <c r="I280" s="102">
        <v>98100</v>
      </c>
      <c r="J280" s="102">
        <v>97772</v>
      </c>
      <c r="K280" s="102">
        <v>279</v>
      </c>
      <c r="L280" s="102" t="s">
        <v>44</v>
      </c>
      <c r="M280" s="104" t="s">
        <v>55</v>
      </c>
    </row>
    <row r="281" spans="1:13" x14ac:dyDescent="0.3">
      <c r="A281" s="101" t="s">
        <v>524</v>
      </c>
      <c r="B281" s="102" t="s">
        <v>577</v>
      </c>
      <c r="C281" s="103">
        <v>45586</v>
      </c>
      <c r="D281" s="102" t="s">
        <v>69</v>
      </c>
      <c r="E281" s="102" t="s">
        <v>70</v>
      </c>
      <c r="F281" s="102">
        <v>4275</v>
      </c>
      <c r="G281" s="102">
        <v>680</v>
      </c>
      <c r="H281" s="102">
        <v>385</v>
      </c>
      <c r="I281" s="102">
        <v>64125</v>
      </c>
      <c r="J281" s="102">
        <v>63650</v>
      </c>
      <c r="K281" s="102">
        <v>104</v>
      </c>
      <c r="L281" s="102" t="s">
        <v>58</v>
      </c>
      <c r="M281" s="104" t="s">
        <v>55</v>
      </c>
    </row>
    <row r="282" spans="1:13" x14ac:dyDescent="0.3">
      <c r="A282" s="101" t="s">
        <v>525</v>
      </c>
      <c r="B282" s="102" t="s">
        <v>577</v>
      </c>
      <c r="C282" s="103">
        <v>45738</v>
      </c>
      <c r="D282" s="102" t="s">
        <v>49</v>
      </c>
      <c r="E282" s="102" t="s">
        <v>50</v>
      </c>
      <c r="F282" s="102">
        <v>3166</v>
      </c>
      <c r="G282" s="102">
        <v>90</v>
      </c>
      <c r="H282" s="102">
        <v>341</v>
      </c>
      <c r="I282" s="102">
        <v>56988</v>
      </c>
      <c r="J282" s="102">
        <v>56125</v>
      </c>
      <c r="K282" s="102">
        <v>135</v>
      </c>
      <c r="L282" s="102" t="s">
        <v>146</v>
      </c>
      <c r="M282" s="104" t="s">
        <v>25</v>
      </c>
    </row>
    <row r="283" spans="1:13" x14ac:dyDescent="0.3">
      <c r="A283" s="101" t="s">
        <v>527</v>
      </c>
      <c r="B283" s="102" t="s">
        <v>31</v>
      </c>
      <c r="C283" s="103">
        <v>45568</v>
      </c>
      <c r="D283" s="102" t="s">
        <v>69</v>
      </c>
      <c r="E283" s="102" t="s">
        <v>70</v>
      </c>
      <c r="F283" s="102">
        <v>1488</v>
      </c>
      <c r="G283" s="102">
        <v>417</v>
      </c>
      <c r="H283" s="102">
        <v>168</v>
      </c>
      <c r="I283" s="102">
        <v>19344</v>
      </c>
      <c r="J283" s="102">
        <v>18395</v>
      </c>
      <c r="K283" s="102">
        <v>30</v>
      </c>
      <c r="L283" s="102" t="s">
        <v>18</v>
      </c>
      <c r="M283" s="104" t="s">
        <v>19</v>
      </c>
    </row>
    <row r="284" spans="1:13" x14ac:dyDescent="0.3">
      <c r="A284" s="101" t="s">
        <v>529</v>
      </c>
      <c r="B284" s="102" t="s">
        <v>14</v>
      </c>
      <c r="C284" s="103">
        <v>45786</v>
      </c>
      <c r="D284" s="102" t="s">
        <v>16</v>
      </c>
      <c r="E284" s="102" t="s">
        <v>17</v>
      </c>
      <c r="F284" s="102">
        <v>3367</v>
      </c>
      <c r="G284" s="102">
        <v>302</v>
      </c>
      <c r="H284" s="102">
        <v>57</v>
      </c>
      <c r="I284" s="102">
        <v>63973</v>
      </c>
      <c r="J284" s="102">
        <v>63789</v>
      </c>
      <c r="K284" s="102">
        <v>157</v>
      </c>
      <c r="L284" s="102" t="s">
        <v>105</v>
      </c>
      <c r="M284" s="104" t="s">
        <v>38</v>
      </c>
    </row>
    <row r="285" spans="1:13" x14ac:dyDescent="0.3">
      <c r="A285" s="101" t="s">
        <v>531</v>
      </c>
      <c r="B285" s="102" t="s">
        <v>14</v>
      </c>
      <c r="C285" s="103">
        <v>45552</v>
      </c>
      <c r="D285" s="102" t="s">
        <v>22</v>
      </c>
      <c r="E285" s="102" t="s">
        <v>23</v>
      </c>
      <c r="F285" s="102">
        <v>571</v>
      </c>
      <c r="G285" s="102">
        <v>190</v>
      </c>
      <c r="H285" s="102">
        <v>352</v>
      </c>
      <c r="I285" s="102">
        <v>9707</v>
      </c>
      <c r="J285" s="102">
        <v>9418</v>
      </c>
      <c r="K285" s="102">
        <v>231</v>
      </c>
      <c r="L285" s="102" t="s">
        <v>77</v>
      </c>
      <c r="M285" s="104" t="s">
        <v>25</v>
      </c>
    </row>
    <row r="286" spans="1:13" x14ac:dyDescent="0.3">
      <c r="A286" s="101" t="s">
        <v>532</v>
      </c>
      <c r="B286" s="102" t="s">
        <v>577</v>
      </c>
      <c r="C286" s="103">
        <v>45491</v>
      </c>
      <c r="D286" s="102" t="s">
        <v>22</v>
      </c>
      <c r="E286" s="102" t="s">
        <v>23</v>
      </c>
      <c r="F286" s="102">
        <v>4021</v>
      </c>
      <c r="G286" s="102">
        <v>794</v>
      </c>
      <c r="H286" s="102">
        <v>77</v>
      </c>
      <c r="I286" s="102">
        <v>36189</v>
      </c>
      <c r="J286" s="102">
        <v>35505</v>
      </c>
      <c r="K286" s="102">
        <v>174</v>
      </c>
      <c r="L286" s="102" t="s">
        <v>264</v>
      </c>
      <c r="M286" s="104" t="s">
        <v>19</v>
      </c>
    </row>
    <row r="287" spans="1:13" x14ac:dyDescent="0.3">
      <c r="A287" s="101" t="s">
        <v>533</v>
      </c>
      <c r="B287" s="102" t="s">
        <v>577</v>
      </c>
      <c r="C287" s="103">
        <v>45560</v>
      </c>
      <c r="D287" s="102" t="s">
        <v>69</v>
      </c>
      <c r="E287" s="102" t="s">
        <v>70</v>
      </c>
      <c r="F287" s="102">
        <v>3389</v>
      </c>
      <c r="G287" s="102">
        <v>344</v>
      </c>
      <c r="H287" s="102">
        <v>229</v>
      </c>
      <c r="I287" s="102">
        <v>20334</v>
      </c>
      <c r="J287" s="102">
        <v>19443</v>
      </c>
      <c r="K287" s="102">
        <v>228</v>
      </c>
      <c r="L287" s="102" t="s">
        <v>29</v>
      </c>
      <c r="M287" s="104" t="s">
        <v>25</v>
      </c>
    </row>
    <row r="288" spans="1:13" x14ac:dyDescent="0.3">
      <c r="A288" s="101" t="s">
        <v>535</v>
      </c>
      <c r="B288" s="102" t="s">
        <v>31</v>
      </c>
      <c r="C288" s="103">
        <v>45519</v>
      </c>
      <c r="D288" s="102" t="s">
        <v>16</v>
      </c>
      <c r="E288" s="102" t="s">
        <v>17</v>
      </c>
      <c r="F288" s="102">
        <v>1164</v>
      </c>
      <c r="G288" s="102">
        <v>616</v>
      </c>
      <c r="H288" s="102">
        <v>324</v>
      </c>
      <c r="I288" s="102">
        <v>6984</v>
      </c>
      <c r="J288" s="102">
        <v>6636</v>
      </c>
      <c r="K288" s="102">
        <v>82</v>
      </c>
      <c r="L288" s="102" t="s">
        <v>285</v>
      </c>
      <c r="M288" s="104" t="s">
        <v>38</v>
      </c>
    </row>
    <row r="289" spans="1:31" x14ac:dyDescent="0.3">
      <c r="A289" s="101" t="s">
        <v>536</v>
      </c>
      <c r="B289" s="102" t="s">
        <v>577</v>
      </c>
      <c r="C289" s="103">
        <v>45764</v>
      </c>
      <c r="D289" s="102" t="s">
        <v>42</v>
      </c>
      <c r="E289" s="102" t="s">
        <v>43</v>
      </c>
      <c r="F289" s="102">
        <v>4780</v>
      </c>
      <c r="G289" s="102">
        <v>691</v>
      </c>
      <c r="H289" s="102">
        <v>380</v>
      </c>
      <c r="I289" s="102">
        <v>86040</v>
      </c>
      <c r="J289" s="102">
        <v>85743</v>
      </c>
      <c r="K289" s="102">
        <v>262</v>
      </c>
      <c r="L289" s="102" t="s">
        <v>71</v>
      </c>
      <c r="M289" s="104" t="s">
        <v>38</v>
      </c>
    </row>
    <row r="290" spans="1:31" x14ac:dyDescent="0.3">
      <c r="A290" s="101" t="s">
        <v>538</v>
      </c>
      <c r="B290" s="102" t="s">
        <v>40</v>
      </c>
      <c r="C290" s="103">
        <v>45624</v>
      </c>
      <c r="D290" s="102" t="s">
        <v>42</v>
      </c>
      <c r="E290" s="102" t="s">
        <v>43</v>
      </c>
      <c r="F290" s="102">
        <v>2751</v>
      </c>
      <c r="G290" s="102">
        <v>33</v>
      </c>
      <c r="H290" s="102">
        <v>430</v>
      </c>
      <c r="I290" s="102">
        <v>44016</v>
      </c>
      <c r="J290" s="102">
        <v>43415</v>
      </c>
      <c r="K290" s="102">
        <v>129</v>
      </c>
      <c r="L290" s="102" t="s">
        <v>214</v>
      </c>
      <c r="M290" s="104" t="s">
        <v>25</v>
      </c>
    </row>
    <row r="291" spans="1:31" x14ac:dyDescent="0.3">
      <c r="A291" s="101" t="s">
        <v>539</v>
      </c>
      <c r="B291" s="102" t="s">
        <v>31</v>
      </c>
      <c r="C291" s="103">
        <v>45646</v>
      </c>
      <c r="D291" s="102" t="s">
        <v>42</v>
      </c>
      <c r="E291" s="102" t="s">
        <v>43</v>
      </c>
      <c r="F291" s="102">
        <v>2107</v>
      </c>
      <c r="G291" s="102">
        <v>550</v>
      </c>
      <c r="H291" s="102">
        <v>349</v>
      </c>
      <c r="I291" s="102">
        <v>35819</v>
      </c>
      <c r="J291" s="102">
        <v>35340</v>
      </c>
      <c r="K291" s="102">
        <v>191</v>
      </c>
      <c r="L291" s="102" t="s">
        <v>44</v>
      </c>
      <c r="M291" s="104" t="s">
        <v>38</v>
      </c>
    </row>
    <row r="292" spans="1:31" x14ac:dyDescent="0.3">
      <c r="A292" s="101" t="s">
        <v>541</v>
      </c>
      <c r="B292" s="102" t="s">
        <v>40</v>
      </c>
      <c r="C292" s="103">
        <v>45602</v>
      </c>
      <c r="D292" s="102" t="s">
        <v>69</v>
      </c>
      <c r="E292" s="102" t="s">
        <v>70</v>
      </c>
      <c r="F292" s="102">
        <v>4663</v>
      </c>
      <c r="G292" s="102">
        <v>145</v>
      </c>
      <c r="H292" s="102">
        <v>225</v>
      </c>
      <c r="I292" s="102">
        <v>69945</v>
      </c>
      <c r="J292" s="102">
        <v>69596</v>
      </c>
      <c r="K292" s="102">
        <v>35</v>
      </c>
      <c r="L292" s="102" t="s">
        <v>24</v>
      </c>
      <c r="M292" s="104" t="s">
        <v>25</v>
      </c>
    </row>
    <row r="293" spans="1:31" x14ac:dyDescent="0.3">
      <c r="A293" s="101" t="s">
        <v>542</v>
      </c>
      <c r="B293" s="102" t="s">
        <v>40</v>
      </c>
      <c r="C293" s="103">
        <v>45613</v>
      </c>
      <c r="D293" s="102" t="s">
        <v>22</v>
      </c>
      <c r="E293" s="102" t="s">
        <v>23</v>
      </c>
      <c r="F293" s="102">
        <v>880</v>
      </c>
      <c r="G293" s="102">
        <v>297</v>
      </c>
      <c r="H293" s="102">
        <v>345</v>
      </c>
      <c r="I293" s="102">
        <v>12320</v>
      </c>
      <c r="J293" s="102">
        <v>11978</v>
      </c>
      <c r="K293" s="102">
        <v>238</v>
      </c>
      <c r="L293" s="102" t="s">
        <v>18</v>
      </c>
      <c r="M293" s="104" t="s">
        <v>25</v>
      </c>
    </row>
    <row r="294" spans="1:31" x14ac:dyDescent="0.3">
      <c r="A294" s="101" t="s">
        <v>544</v>
      </c>
      <c r="B294" s="102" t="s">
        <v>40</v>
      </c>
      <c r="C294" s="103">
        <v>45791</v>
      </c>
      <c r="D294" s="102" t="s">
        <v>22</v>
      </c>
      <c r="E294" s="102" t="s">
        <v>23</v>
      </c>
      <c r="F294" s="102">
        <v>2634</v>
      </c>
      <c r="G294" s="102">
        <v>726</v>
      </c>
      <c r="H294" s="102">
        <v>241</v>
      </c>
      <c r="I294" s="102">
        <v>28974</v>
      </c>
      <c r="J294" s="102">
        <v>28102</v>
      </c>
      <c r="K294" s="102">
        <v>277</v>
      </c>
      <c r="L294" s="102" t="s">
        <v>58</v>
      </c>
      <c r="M294" s="104" t="s">
        <v>38</v>
      </c>
    </row>
    <row r="295" spans="1:31" x14ac:dyDescent="0.3">
      <c r="A295" s="101" t="s">
        <v>546</v>
      </c>
      <c r="B295" s="102" t="s">
        <v>40</v>
      </c>
      <c r="C295" s="103">
        <v>45462</v>
      </c>
      <c r="D295" s="102" t="s">
        <v>42</v>
      </c>
      <c r="E295" s="102" t="s">
        <v>43</v>
      </c>
      <c r="F295" s="102">
        <v>4731</v>
      </c>
      <c r="G295" s="102">
        <v>173</v>
      </c>
      <c r="H295" s="102">
        <v>276</v>
      </c>
      <c r="I295" s="102">
        <v>28386</v>
      </c>
      <c r="J295" s="102">
        <v>28185</v>
      </c>
      <c r="K295" s="102">
        <v>89</v>
      </c>
      <c r="L295" s="102" t="s">
        <v>105</v>
      </c>
      <c r="M295" s="104" t="s">
        <v>55</v>
      </c>
    </row>
    <row r="296" spans="1:31" x14ac:dyDescent="0.3">
      <c r="A296" s="101" t="s">
        <v>548</v>
      </c>
      <c r="B296" s="102" t="s">
        <v>14</v>
      </c>
      <c r="C296" s="103">
        <v>45783</v>
      </c>
      <c r="D296" s="102" t="s">
        <v>49</v>
      </c>
      <c r="E296" s="102" t="s">
        <v>50</v>
      </c>
      <c r="F296" s="102">
        <v>1952</v>
      </c>
      <c r="G296" s="102">
        <v>344</v>
      </c>
      <c r="H296" s="102">
        <v>287</v>
      </c>
      <c r="I296" s="102">
        <v>15616</v>
      </c>
      <c r="J296" s="102">
        <v>15403</v>
      </c>
      <c r="K296" s="102">
        <v>235</v>
      </c>
      <c r="L296" s="102" t="s">
        <v>66</v>
      </c>
      <c r="M296" s="104" t="s">
        <v>38</v>
      </c>
    </row>
    <row r="297" spans="1:31" x14ac:dyDescent="0.3">
      <c r="A297" s="101" t="s">
        <v>549</v>
      </c>
      <c r="B297" s="102" t="s">
        <v>14</v>
      </c>
      <c r="C297" s="103">
        <v>45699</v>
      </c>
      <c r="D297" s="102" t="s">
        <v>69</v>
      </c>
      <c r="E297" s="102" t="s">
        <v>70</v>
      </c>
      <c r="F297" s="102">
        <v>3440</v>
      </c>
      <c r="G297" s="102">
        <v>13</v>
      </c>
      <c r="H297" s="102">
        <v>20</v>
      </c>
      <c r="I297" s="102">
        <v>58480</v>
      </c>
      <c r="J297" s="102">
        <v>58146</v>
      </c>
      <c r="K297" s="102">
        <v>210</v>
      </c>
      <c r="L297" s="102" t="s">
        <v>71</v>
      </c>
      <c r="M297" s="104" t="s">
        <v>19</v>
      </c>
    </row>
    <row r="298" spans="1:31" x14ac:dyDescent="0.3">
      <c r="A298" s="101" t="s">
        <v>551</v>
      </c>
      <c r="B298" s="102" t="s">
        <v>14</v>
      </c>
      <c r="C298" s="103">
        <v>45650</v>
      </c>
      <c r="D298" s="102" t="s">
        <v>22</v>
      </c>
      <c r="E298" s="102" t="s">
        <v>23</v>
      </c>
      <c r="F298" s="102">
        <v>2166</v>
      </c>
      <c r="G298" s="102">
        <v>354</v>
      </c>
      <c r="H298" s="102">
        <v>117</v>
      </c>
      <c r="I298" s="102">
        <v>10830</v>
      </c>
      <c r="J298" s="102">
        <v>10245</v>
      </c>
      <c r="K298" s="102">
        <v>24</v>
      </c>
      <c r="L298" s="102" t="s">
        <v>87</v>
      </c>
      <c r="M298" s="104" t="s">
        <v>19</v>
      </c>
    </row>
    <row r="299" spans="1:31" x14ac:dyDescent="0.3">
      <c r="A299" s="101" t="s">
        <v>553</v>
      </c>
      <c r="B299" s="102" t="s">
        <v>40</v>
      </c>
      <c r="C299" s="103">
        <v>45589</v>
      </c>
      <c r="D299" s="102" t="s">
        <v>49</v>
      </c>
      <c r="E299" s="102" t="s">
        <v>50</v>
      </c>
      <c r="F299" s="102">
        <v>4303</v>
      </c>
      <c r="G299" s="102">
        <v>451</v>
      </c>
      <c r="H299" s="102">
        <v>286</v>
      </c>
      <c r="I299" s="102">
        <v>86060</v>
      </c>
      <c r="J299" s="102">
        <v>85823</v>
      </c>
      <c r="K299" s="102">
        <v>14</v>
      </c>
      <c r="L299" s="102" t="s">
        <v>18</v>
      </c>
      <c r="M299" s="104" t="s">
        <v>25</v>
      </c>
    </row>
    <row r="300" spans="1:31" x14ac:dyDescent="0.3">
      <c r="A300" s="101" t="s">
        <v>554</v>
      </c>
      <c r="B300" s="102" t="s">
        <v>40</v>
      </c>
      <c r="C300" s="103">
        <v>45530</v>
      </c>
      <c r="D300" s="102" t="s">
        <v>49</v>
      </c>
      <c r="E300" s="102" t="s">
        <v>50</v>
      </c>
      <c r="F300" s="102">
        <v>2581</v>
      </c>
      <c r="G300" s="102">
        <v>517</v>
      </c>
      <c r="H300" s="102">
        <v>117</v>
      </c>
      <c r="I300" s="102">
        <v>23229</v>
      </c>
      <c r="J300" s="102">
        <v>22331</v>
      </c>
      <c r="K300" s="102">
        <v>70</v>
      </c>
      <c r="L300" s="102" t="s">
        <v>82</v>
      </c>
      <c r="M300" s="104" t="s">
        <v>25</v>
      </c>
    </row>
    <row r="301" spans="1:31" x14ac:dyDescent="0.3">
      <c r="A301" s="105" t="s">
        <v>555</v>
      </c>
      <c r="B301" s="106" t="s">
        <v>14</v>
      </c>
      <c r="C301" s="107">
        <v>45535</v>
      </c>
      <c r="D301" s="106" t="s">
        <v>42</v>
      </c>
      <c r="E301" s="106" t="s">
        <v>43</v>
      </c>
      <c r="F301" s="106">
        <v>4494</v>
      </c>
      <c r="G301" s="106">
        <v>717</v>
      </c>
      <c r="H301" s="106">
        <v>45</v>
      </c>
      <c r="I301" s="106">
        <v>62916</v>
      </c>
      <c r="J301" s="106">
        <v>62688</v>
      </c>
      <c r="K301" s="106">
        <v>191</v>
      </c>
      <c r="L301" s="106" t="s">
        <v>24</v>
      </c>
      <c r="M301" s="108" t="s">
        <v>19</v>
      </c>
    </row>
    <row r="302" spans="1:31" x14ac:dyDescent="0.3">
      <c r="S302" t="s">
        <v>0</v>
      </c>
      <c r="T302" t="s">
        <v>1</v>
      </c>
      <c r="U302" t="s">
        <v>2</v>
      </c>
      <c r="V302" t="s">
        <v>3</v>
      </c>
      <c r="W302" t="s">
        <v>4</v>
      </c>
      <c r="X302" t="s">
        <v>5</v>
      </c>
      <c r="Y302" t="s">
        <v>6</v>
      </c>
      <c r="Z302" t="s">
        <v>7</v>
      </c>
      <c r="AA302" t="s">
        <v>8</v>
      </c>
      <c r="AB302" t="s">
        <v>9</v>
      </c>
      <c r="AC302" t="s">
        <v>10</v>
      </c>
      <c r="AD302" t="s">
        <v>11</v>
      </c>
      <c r="AE302" t="s">
        <v>12</v>
      </c>
    </row>
    <row r="303" spans="1:31" x14ac:dyDescent="0.3">
      <c r="S303" t="s">
        <v>206</v>
      </c>
      <c r="T303" t="s">
        <v>31</v>
      </c>
      <c r="U303">
        <v>45456</v>
      </c>
      <c r="V303" t="s">
        <v>33</v>
      </c>
      <c r="W303" t="s">
        <v>34</v>
      </c>
      <c r="X303">
        <v>2103</v>
      </c>
      <c r="Y303">
        <v>892</v>
      </c>
      <c r="Z303">
        <v>103</v>
      </c>
      <c r="AA303">
        <v>39957</v>
      </c>
      <c r="AB303">
        <v>39466</v>
      </c>
      <c r="AC303">
        <v>28</v>
      </c>
      <c r="AD303" t="s">
        <v>144</v>
      </c>
      <c r="AE303" t="s">
        <v>25</v>
      </c>
    </row>
    <row r="304" spans="1:31" x14ac:dyDescent="0.3">
      <c r="S304" t="s">
        <v>286</v>
      </c>
      <c r="T304" t="s">
        <v>31</v>
      </c>
      <c r="U304">
        <v>45457</v>
      </c>
      <c r="V304" t="s">
        <v>33</v>
      </c>
      <c r="W304" t="s">
        <v>34</v>
      </c>
      <c r="X304">
        <v>4363</v>
      </c>
      <c r="Y304">
        <v>649</v>
      </c>
      <c r="Z304">
        <v>140</v>
      </c>
      <c r="AA304">
        <v>21815</v>
      </c>
      <c r="AB304">
        <v>21481</v>
      </c>
      <c r="AC304">
        <v>157</v>
      </c>
      <c r="AD304" t="s">
        <v>66</v>
      </c>
      <c r="AE304" t="s">
        <v>25</v>
      </c>
    </row>
    <row r="305" spans="19:31" x14ac:dyDescent="0.3">
      <c r="S305" t="s">
        <v>369</v>
      </c>
      <c r="T305" t="s">
        <v>40</v>
      </c>
      <c r="U305">
        <v>45463</v>
      </c>
      <c r="V305" t="s">
        <v>69</v>
      </c>
      <c r="W305" t="s">
        <v>70</v>
      </c>
      <c r="X305">
        <v>3798</v>
      </c>
      <c r="Y305">
        <v>31</v>
      </c>
      <c r="Z305">
        <v>279</v>
      </c>
      <c r="AA305">
        <v>75960</v>
      </c>
      <c r="AB305">
        <v>75813</v>
      </c>
      <c r="AC305">
        <v>266</v>
      </c>
      <c r="AD305" t="s">
        <v>24</v>
      </c>
      <c r="AE305" t="s">
        <v>25</v>
      </c>
    </row>
    <row r="306" spans="19:31" x14ac:dyDescent="0.3">
      <c r="S306" t="s">
        <v>416</v>
      </c>
      <c r="T306" t="s">
        <v>14</v>
      </c>
      <c r="U306">
        <v>45467</v>
      </c>
      <c r="V306" t="s">
        <v>22</v>
      </c>
      <c r="W306" t="s">
        <v>23</v>
      </c>
      <c r="X306">
        <v>941</v>
      </c>
      <c r="Y306">
        <v>121</v>
      </c>
      <c r="Z306">
        <v>458</v>
      </c>
      <c r="AA306">
        <v>14115</v>
      </c>
      <c r="AB306">
        <v>13838</v>
      </c>
      <c r="AC306">
        <v>87</v>
      </c>
      <c r="AD306" t="s">
        <v>29</v>
      </c>
      <c r="AE306" t="s">
        <v>25</v>
      </c>
    </row>
    <row r="307" spans="19:31" x14ac:dyDescent="0.3">
      <c r="S307" t="s">
        <v>445</v>
      </c>
      <c r="T307" t="s">
        <v>31</v>
      </c>
      <c r="U307">
        <v>45455</v>
      </c>
      <c r="V307" t="s">
        <v>22</v>
      </c>
      <c r="W307" t="s">
        <v>23</v>
      </c>
      <c r="X307">
        <v>246</v>
      </c>
      <c r="Y307">
        <v>149</v>
      </c>
      <c r="Z307">
        <v>130</v>
      </c>
      <c r="AA307">
        <v>4674</v>
      </c>
      <c r="AB307">
        <v>4390</v>
      </c>
      <c r="AC307">
        <v>217</v>
      </c>
      <c r="AD307" t="s">
        <v>116</v>
      </c>
      <c r="AE307" t="s">
        <v>25</v>
      </c>
    </row>
    <row r="308" spans="19:31" x14ac:dyDescent="0.3">
      <c r="S308" t="s">
        <v>449</v>
      </c>
      <c r="T308" t="s">
        <v>31</v>
      </c>
      <c r="U308">
        <v>45476</v>
      </c>
      <c r="V308" t="s">
        <v>42</v>
      </c>
      <c r="W308" t="s">
        <v>43</v>
      </c>
      <c r="X308">
        <v>4799</v>
      </c>
      <c r="Y308">
        <v>694</v>
      </c>
      <c r="Z308">
        <v>289</v>
      </c>
      <c r="AA308">
        <v>43191</v>
      </c>
      <c r="AB308">
        <v>42228</v>
      </c>
      <c r="AC308">
        <v>118</v>
      </c>
      <c r="AD308" t="s">
        <v>44</v>
      </c>
      <c r="AE308" t="s">
        <v>25</v>
      </c>
    </row>
  </sheetData>
  <autoFilter ref="A1:M301" xr:uid="{10AF7FB3-5E22-4953-BCDA-4034BCD9F33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34E0-7E1B-475B-A9EE-32EEBBD1A81F}">
  <dimension ref="A1:N457"/>
  <sheetViews>
    <sheetView workbookViewId="0">
      <selection activeCell="H18" sqref="H18"/>
    </sheetView>
  </sheetViews>
  <sheetFormatPr defaultRowHeight="14.4" x14ac:dyDescent="0.3"/>
  <cols>
    <col min="3" max="3" width="13.88671875" customWidth="1"/>
    <col min="6" max="8" width="8.88671875" style="39"/>
    <col min="9" max="9" width="14" style="39" customWidth="1"/>
    <col min="10" max="11" width="8.88671875" style="39"/>
    <col min="12" max="12" width="18.21875" style="16" customWidth="1"/>
    <col min="13" max="13" width="18.5546875" style="16" customWidth="1"/>
    <col min="14" max="14" width="15.44140625" customWidth="1"/>
  </cols>
  <sheetData>
    <row r="1" spans="1:14" x14ac:dyDescent="0.3">
      <c r="A1" s="85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93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96" t="s">
        <v>11</v>
      </c>
      <c r="M1" s="96" t="s">
        <v>12</v>
      </c>
      <c r="N1" s="109"/>
    </row>
    <row r="2" spans="1:14" x14ac:dyDescent="0.3">
      <c r="A2" s="87" t="s">
        <v>13</v>
      </c>
      <c r="B2" s="88" t="s">
        <v>14</v>
      </c>
      <c r="C2" s="89">
        <v>45649</v>
      </c>
      <c r="D2" s="88" t="s">
        <v>16</v>
      </c>
      <c r="E2" s="88" t="s">
        <v>17</v>
      </c>
      <c r="F2" s="94">
        <v>1461</v>
      </c>
      <c r="G2" s="94">
        <v>184</v>
      </c>
      <c r="H2" s="94">
        <v>344</v>
      </c>
      <c r="I2" s="94">
        <v>21915</v>
      </c>
      <c r="J2" s="94">
        <v>21675</v>
      </c>
      <c r="K2" s="94">
        <v>15</v>
      </c>
      <c r="L2" s="92" t="s">
        <v>18</v>
      </c>
      <c r="M2" s="92" t="s">
        <v>19</v>
      </c>
      <c r="N2" s="20"/>
    </row>
    <row r="3" spans="1:14" x14ac:dyDescent="0.3">
      <c r="A3" s="87" t="s">
        <v>20</v>
      </c>
      <c r="B3" s="88" t="s">
        <v>14</v>
      </c>
      <c r="C3" s="89">
        <v>45750</v>
      </c>
      <c r="D3" s="88" t="s">
        <v>22</v>
      </c>
      <c r="E3" s="88" t="s">
        <v>23</v>
      </c>
      <c r="F3" s="94">
        <v>4054</v>
      </c>
      <c r="G3" s="94">
        <v>389</v>
      </c>
      <c r="H3" s="94">
        <v>493</v>
      </c>
      <c r="I3" s="94">
        <v>64864</v>
      </c>
      <c r="J3" s="94">
        <v>64383</v>
      </c>
      <c r="K3" s="94">
        <v>117</v>
      </c>
      <c r="L3" s="92" t="s">
        <v>24</v>
      </c>
      <c r="M3" s="92" t="s">
        <v>25</v>
      </c>
      <c r="N3" s="20"/>
    </row>
    <row r="4" spans="1:14" x14ac:dyDescent="0.3">
      <c r="A4" s="87" t="s">
        <v>26</v>
      </c>
      <c r="B4" s="88" t="s">
        <v>577</v>
      </c>
      <c r="C4" s="89">
        <v>45789</v>
      </c>
      <c r="D4" s="88" t="s">
        <v>16</v>
      </c>
      <c r="E4" s="88" t="s">
        <v>17</v>
      </c>
      <c r="F4" s="94">
        <v>2795</v>
      </c>
      <c r="G4" s="94">
        <v>105</v>
      </c>
      <c r="H4" s="94">
        <v>49</v>
      </c>
      <c r="I4" s="94">
        <v>53105</v>
      </c>
      <c r="J4" s="94">
        <v>52307</v>
      </c>
      <c r="K4" s="94">
        <v>204</v>
      </c>
      <c r="L4" s="92" t="s">
        <v>24</v>
      </c>
      <c r="M4" s="92" t="s">
        <v>19</v>
      </c>
      <c r="N4" s="20"/>
    </row>
    <row r="5" spans="1:14" x14ac:dyDescent="0.3">
      <c r="A5" s="87" t="s">
        <v>26</v>
      </c>
      <c r="B5" s="88" t="s">
        <v>577</v>
      </c>
      <c r="C5" s="89">
        <v>45789</v>
      </c>
      <c r="D5" s="88" t="s">
        <v>16</v>
      </c>
      <c r="E5" s="88" t="s">
        <v>17</v>
      </c>
      <c r="F5" s="94">
        <v>2795</v>
      </c>
      <c r="G5" s="94">
        <v>105</v>
      </c>
      <c r="H5" s="94">
        <v>49</v>
      </c>
      <c r="I5" s="94">
        <v>53105</v>
      </c>
      <c r="J5" s="94">
        <v>52307</v>
      </c>
      <c r="K5" s="94">
        <v>204</v>
      </c>
      <c r="L5" s="92" t="s">
        <v>18</v>
      </c>
      <c r="M5" s="92" t="s">
        <v>19</v>
      </c>
      <c r="N5" s="20"/>
    </row>
    <row r="6" spans="1:14" x14ac:dyDescent="0.3">
      <c r="A6" s="87" t="s">
        <v>30</v>
      </c>
      <c r="B6" s="92" t="s">
        <v>31</v>
      </c>
      <c r="C6" s="89">
        <v>45516</v>
      </c>
      <c r="D6" s="88" t="s">
        <v>33</v>
      </c>
      <c r="E6" s="88" t="s">
        <v>34</v>
      </c>
      <c r="F6" s="94">
        <v>2404</v>
      </c>
      <c r="G6" s="94">
        <v>363</v>
      </c>
      <c r="H6" s="94">
        <v>138</v>
      </c>
      <c r="I6" s="94">
        <v>19232</v>
      </c>
      <c r="J6" s="94">
        <v>18636</v>
      </c>
      <c r="K6" s="94">
        <v>128</v>
      </c>
      <c r="L6" s="92" t="s">
        <v>18</v>
      </c>
      <c r="M6" s="92" t="s">
        <v>19</v>
      </c>
      <c r="N6" s="20"/>
    </row>
    <row r="7" spans="1:14" x14ac:dyDescent="0.3">
      <c r="A7" s="87" t="s">
        <v>35</v>
      </c>
      <c r="B7" s="88" t="s">
        <v>577</v>
      </c>
      <c r="C7" s="89">
        <v>45469</v>
      </c>
      <c r="D7" s="88" t="s">
        <v>16</v>
      </c>
      <c r="E7" s="88" t="s">
        <v>17</v>
      </c>
      <c r="F7" s="94">
        <v>3557</v>
      </c>
      <c r="G7" s="94">
        <v>687</v>
      </c>
      <c r="H7" s="94">
        <v>424</v>
      </c>
      <c r="I7" s="94">
        <v>71140</v>
      </c>
      <c r="J7" s="94">
        <v>70701</v>
      </c>
      <c r="K7" s="94">
        <v>224</v>
      </c>
      <c r="L7" s="92" t="s">
        <v>58</v>
      </c>
      <c r="M7" s="92" t="s">
        <v>38</v>
      </c>
      <c r="N7" s="20"/>
    </row>
    <row r="8" spans="1:14" x14ac:dyDescent="0.3">
      <c r="A8" s="87" t="s">
        <v>35</v>
      </c>
      <c r="B8" s="88" t="s">
        <v>577</v>
      </c>
      <c r="C8" s="89">
        <v>45469</v>
      </c>
      <c r="D8" s="88" t="s">
        <v>16</v>
      </c>
      <c r="E8" s="88" t="s">
        <v>17</v>
      </c>
      <c r="F8" s="94">
        <v>3557</v>
      </c>
      <c r="G8" s="94">
        <v>687</v>
      </c>
      <c r="H8" s="94">
        <v>424</v>
      </c>
      <c r="I8" s="94">
        <v>71140</v>
      </c>
      <c r="J8" s="94">
        <v>70701</v>
      </c>
      <c r="K8" s="94">
        <v>224</v>
      </c>
      <c r="L8" s="92" t="s">
        <v>24</v>
      </c>
      <c r="M8" s="92" t="s">
        <v>38</v>
      </c>
      <c r="N8" s="20"/>
    </row>
    <row r="9" spans="1:14" x14ac:dyDescent="0.3">
      <c r="A9" s="87" t="s">
        <v>39</v>
      </c>
      <c r="B9" s="88" t="s">
        <v>40</v>
      </c>
      <c r="C9" s="89">
        <v>45596</v>
      </c>
      <c r="D9" s="88" t="s">
        <v>42</v>
      </c>
      <c r="E9" s="88" t="s">
        <v>43</v>
      </c>
      <c r="F9" s="94">
        <v>2945</v>
      </c>
      <c r="G9" s="94">
        <v>930</v>
      </c>
      <c r="H9" s="94">
        <v>355</v>
      </c>
      <c r="I9" s="94">
        <v>23560</v>
      </c>
      <c r="J9" s="94">
        <v>23275</v>
      </c>
      <c r="K9" s="94">
        <v>256</v>
      </c>
      <c r="L9" s="92" t="s">
        <v>44</v>
      </c>
      <c r="M9" s="92" t="s">
        <v>25</v>
      </c>
      <c r="N9" s="20"/>
    </row>
    <row r="10" spans="1:14" x14ac:dyDescent="0.3">
      <c r="A10" s="87" t="s">
        <v>45</v>
      </c>
      <c r="B10" s="88" t="s">
        <v>14</v>
      </c>
      <c r="C10" s="89">
        <v>45467</v>
      </c>
      <c r="D10" s="88" t="s">
        <v>42</v>
      </c>
      <c r="E10" s="88" t="s">
        <v>43</v>
      </c>
      <c r="F10" s="94">
        <v>3860</v>
      </c>
      <c r="G10" s="94">
        <v>201</v>
      </c>
      <c r="H10" s="94">
        <v>279</v>
      </c>
      <c r="I10" s="94">
        <v>61760</v>
      </c>
      <c r="J10" s="94">
        <v>61660</v>
      </c>
      <c r="K10" s="94">
        <v>235</v>
      </c>
      <c r="L10" s="92" t="s">
        <v>44</v>
      </c>
      <c r="M10" s="92" t="s">
        <v>38</v>
      </c>
      <c r="N10" s="20"/>
    </row>
    <row r="11" spans="1:14" x14ac:dyDescent="0.3">
      <c r="A11" s="87" t="s">
        <v>47</v>
      </c>
      <c r="B11" s="88" t="s">
        <v>577</v>
      </c>
      <c r="C11" s="89">
        <v>45486</v>
      </c>
      <c r="D11" s="88" t="s">
        <v>49</v>
      </c>
      <c r="E11" s="88" t="s">
        <v>50</v>
      </c>
      <c r="F11" s="94">
        <v>3929</v>
      </c>
      <c r="G11" s="94">
        <v>262</v>
      </c>
      <c r="H11" s="94">
        <v>278</v>
      </c>
      <c r="I11" s="94">
        <v>43219</v>
      </c>
      <c r="J11" s="94">
        <v>42841</v>
      </c>
      <c r="K11" s="94">
        <v>39</v>
      </c>
      <c r="L11" s="92" t="s">
        <v>24</v>
      </c>
      <c r="M11" s="92" t="s">
        <v>38</v>
      </c>
      <c r="N11" s="20"/>
    </row>
    <row r="12" spans="1:14" x14ac:dyDescent="0.3">
      <c r="A12" s="87" t="s">
        <v>47</v>
      </c>
      <c r="B12" s="88" t="s">
        <v>577</v>
      </c>
      <c r="C12" s="89">
        <v>45486</v>
      </c>
      <c r="D12" s="88" t="s">
        <v>49</v>
      </c>
      <c r="E12" s="88" t="s">
        <v>50</v>
      </c>
      <c r="F12" s="94">
        <v>3929</v>
      </c>
      <c r="G12" s="94">
        <v>262</v>
      </c>
      <c r="H12" s="94">
        <v>278</v>
      </c>
      <c r="I12" s="94">
        <v>43219</v>
      </c>
      <c r="J12" s="94">
        <v>42841</v>
      </c>
      <c r="K12" s="94">
        <v>39</v>
      </c>
      <c r="L12" s="92" t="s">
        <v>18</v>
      </c>
      <c r="M12" s="92" t="s">
        <v>38</v>
      </c>
      <c r="N12" s="20"/>
    </row>
    <row r="13" spans="1:14" x14ac:dyDescent="0.3">
      <c r="A13" s="87" t="s">
        <v>51</v>
      </c>
      <c r="B13" s="88" t="s">
        <v>40</v>
      </c>
      <c r="C13" s="89">
        <v>45534</v>
      </c>
      <c r="D13" s="88" t="s">
        <v>22</v>
      </c>
      <c r="E13" s="88" t="s">
        <v>23</v>
      </c>
      <c r="F13" s="94">
        <v>3784</v>
      </c>
      <c r="G13" s="94">
        <v>808</v>
      </c>
      <c r="H13" s="94">
        <v>404</v>
      </c>
      <c r="I13" s="94">
        <v>56760</v>
      </c>
      <c r="J13" s="94">
        <v>56343</v>
      </c>
      <c r="K13" s="94">
        <v>131</v>
      </c>
      <c r="L13" s="92" t="s">
        <v>24</v>
      </c>
      <c r="M13" s="92" t="s">
        <v>38</v>
      </c>
      <c r="N13" s="20"/>
    </row>
    <row r="14" spans="1:14" x14ac:dyDescent="0.3">
      <c r="A14" s="87" t="s">
        <v>51</v>
      </c>
      <c r="B14" s="88" t="s">
        <v>40</v>
      </c>
      <c r="C14" s="89">
        <v>45534</v>
      </c>
      <c r="D14" s="88" t="s">
        <v>22</v>
      </c>
      <c r="E14" s="88" t="s">
        <v>23</v>
      </c>
      <c r="F14" s="94">
        <v>3784</v>
      </c>
      <c r="G14" s="94">
        <v>808</v>
      </c>
      <c r="H14" s="94">
        <v>404</v>
      </c>
      <c r="I14" s="94">
        <v>56760</v>
      </c>
      <c r="J14" s="94">
        <v>56343</v>
      </c>
      <c r="K14" s="94">
        <v>131</v>
      </c>
      <c r="L14" s="92" t="s">
        <v>18</v>
      </c>
      <c r="M14" s="92" t="s">
        <v>38</v>
      </c>
      <c r="N14" s="20"/>
    </row>
    <row r="15" spans="1:14" x14ac:dyDescent="0.3">
      <c r="A15" s="87" t="s">
        <v>53</v>
      </c>
      <c r="B15" s="88" t="s">
        <v>40</v>
      </c>
      <c r="C15" s="89">
        <v>45727</v>
      </c>
      <c r="D15" s="88" t="s">
        <v>49</v>
      </c>
      <c r="E15" s="88" t="s">
        <v>50</v>
      </c>
      <c r="F15" s="94">
        <v>4241</v>
      </c>
      <c r="G15" s="94">
        <v>902</v>
      </c>
      <c r="H15" s="94">
        <v>47</v>
      </c>
      <c r="I15" s="94">
        <v>72097</v>
      </c>
      <c r="J15" s="94">
        <v>71598</v>
      </c>
      <c r="K15" s="94">
        <v>167</v>
      </c>
      <c r="L15" s="92" t="s">
        <v>44</v>
      </c>
      <c r="M15" s="92" t="s">
        <v>55</v>
      </c>
      <c r="N15" s="20"/>
    </row>
    <row r="16" spans="1:14" x14ac:dyDescent="0.3">
      <c r="A16" s="87" t="s">
        <v>56</v>
      </c>
      <c r="B16" s="88" t="s">
        <v>31</v>
      </c>
      <c r="C16" s="89">
        <v>45690</v>
      </c>
      <c r="D16" s="88" t="s">
        <v>33</v>
      </c>
      <c r="E16" s="88" t="s">
        <v>34</v>
      </c>
      <c r="F16" s="94">
        <v>1792</v>
      </c>
      <c r="G16" s="94">
        <v>614</v>
      </c>
      <c r="H16" s="94">
        <v>497</v>
      </c>
      <c r="I16" s="94">
        <v>25088</v>
      </c>
      <c r="J16" s="94">
        <v>24675</v>
      </c>
      <c r="K16" s="94">
        <v>65</v>
      </c>
      <c r="L16" s="92" t="s">
        <v>58</v>
      </c>
      <c r="M16" s="92" t="s">
        <v>19</v>
      </c>
      <c r="N16" s="20"/>
    </row>
    <row r="17" spans="1:14" x14ac:dyDescent="0.3">
      <c r="A17" s="87" t="s">
        <v>59</v>
      </c>
      <c r="B17" s="88" t="s">
        <v>40</v>
      </c>
      <c r="C17" s="89">
        <v>45494</v>
      </c>
      <c r="D17" s="88" t="s">
        <v>16</v>
      </c>
      <c r="E17" s="88" t="s">
        <v>17</v>
      </c>
      <c r="F17" s="94">
        <v>1946</v>
      </c>
      <c r="G17" s="94">
        <v>686</v>
      </c>
      <c r="H17" s="94">
        <v>377</v>
      </c>
      <c r="I17" s="94">
        <v>23352</v>
      </c>
      <c r="J17" s="94">
        <v>22982</v>
      </c>
      <c r="K17" s="94">
        <v>213</v>
      </c>
      <c r="L17" s="92" t="s">
        <v>58</v>
      </c>
      <c r="M17" s="92" t="s">
        <v>38</v>
      </c>
      <c r="N17" s="20"/>
    </row>
    <row r="18" spans="1:14" x14ac:dyDescent="0.3">
      <c r="A18" s="87" t="s">
        <v>59</v>
      </c>
      <c r="B18" s="88" t="s">
        <v>40</v>
      </c>
      <c r="C18" s="89">
        <v>45494</v>
      </c>
      <c r="D18" s="88" t="s">
        <v>16</v>
      </c>
      <c r="E18" s="88" t="s">
        <v>17</v>
      </c>
      <c r="F18" s="94">
        <v>1946</v>
      </c>
      <c r="G18" s="94">
        <v>686</v>
      </c>
      <c r="H18" s="94">
        <v>377</v>
      </c>
      <c r="I18" s="94">
        <v>23352</v>
      </c>
      <c r="J18" s="94">
        <v>22982</v>
      </c>
      <c r="K18" s="94">
        <v>213</v>
      </c>
      <c r="L18" s="92" t="s">
        <v>18</v>
      </c>
      <c r="M18" s="92" t="s">
        <v>38</v>
      </c>
      <c r="N18" s="20"/>
    </row>
    <row r="19" spans="1:14" x14ac:dyDescent="0.3">
      <c r="A19" s="87" t="s">
        <v>62</v>
      </c>
      <c r="B19" s="88" t="s">
        <v>577</v>
      </c>
      <c r="C19" s="89">
        <v>45614</v>
      </c>
      <c r="D19" s="88" t="s">
        <v>42</v>
      </c>
      <c r="E19" s="88" t="s">
        <v>43</v>
      </c>
      <c r="F19" s="94">
        <v>1171</v>
      </c>
      <c r="G19" s="94">
        <v>286</v>
      </c>
      <c r="H19" s="94">
        <v>231</v>
      </c>
      <c r="I19" s="94">
        <v>22249</v>
      </c>
      <c r="J19" s="94">
        <v>21282</v>
      </c>
      <c r="K19" s="94">
        <v>114</v>
      </c>
      <c r="L19" s="92" t="s">
        <v>24</v>
      </c>
      <c r="M19" s="92" t="s">
        <v>55</v>
      </c>
      <c r="N19" s="20"/>
    </row>
    <row r="20" spans="1:14" x14ac:dyDescent="0.3">
      <c r="A20" s="87" t="s">
        <v>64</v>
      </c>
      <c r="B20" s="88" t="s">
        <v>40</v>
      </c>
      <c r="C20" s="89">
        <v>45704</v>
      </c>
      <c r="D20" s="88" t="s">
        <v>33</v>
      </c>
      <c r="E20" s="88" t="s">
        <v>34</v>
      </c>
      <c r="F20" s="94">
        <v>4242</v>
      </c>
      <c r="G20" s="94">
        <v>555</v>
      </c>
      <c r="H20" s="94">
        <v>131</v>
      </c>
      <c r="I20" s="94">
        <v>33936</v>
      </c>
      <c r="J20" s="94">
        <v>33802</v>
      </c>
      <c r="K20" s="94">
        <v>265</v>
      </c>
      <c r="L20" s="92" t="s">
        <v>18</v>
      </c>
      <c r="M20" s="92" t="s">
        <v>38</v>
      </c>
      <c r="N20" s="20"/>
    </row>
    <row r="21" spans="1:14" x14ac:dyDescent="0.3">
      <c r="A21" s="87" t="s">
        <v>64</v>
      </c>
      <c r="B21" s="88" t="s">
        <v>40</v>
      </c>
      <c r="C21" s="89">
        <v>45704</v>
      </c>
      <c r="D21" s="88" t="s">
        <v>33</v>
      </c>
      <c r="E21" s="88" t="s">
        <v>34</v>
      </c>
      <c r="F21" s="94">
        <v>4242</v>
      </c>
      <c r="G21" s="94">
        <v>555</v>
      </c>
      <c r="H21" s="94">
        <v>131</v>
      </c>
      <c r="I21" s="94">
        <v>33936</v>
      </c>
      <c r="J21" s="94">
        <v>33802</v>
      </c>
      <c r="K21" s="94">
        <v>265</v>
      </c>
      <c r="L21" s="92" t="s">
        <v>24</v>
      </c>
      <c r="M21" s="92" t="s">
        <v>38</v>
      </c>
      <c r="N21" s="20"/>
    </row>
    <row r="22" spans="1:14" x14ac:dyDescent="0.3">
      <c r="A22" s="87" t="s">
        <v>67</v>
      </c>
      <c r="B22" s="88" t="s">
        <v>40</v>
      </c>
      <c r="C22" s="89">
        <v>45589</v>
      </c>
      <c r="D22" s="88" t="s">
        <v>69</v>
      </c>
      <c r="E22" s="88" t="s">
        <v>70</v>
      </c>
      <c r="F22" s="94">
        <v>3888</v>
      </c>
      <c r="G22" s="94">
        <v>604</v>
      </c>
      <c r="H22" s="94">
        <v>128</v>
      </c>
      <c r="I22" s="94">
        <v>77760</v>
      </c>
      <c r="J22" s="94">
        <v>77167</v>
      </c>
      <c r="K22" s="94">
        <v>20</v>
      </c>
      <c r="L22" s="92" t="s">
        <v>24</v>
      </c>
      <c r="M22" s="92" t="s">
        <v>19</v>
      </c>
      <c r="N22" s="20"/>
    </row>
    <row r="23" spans="1:14" x14ac:dyDescent="0.3">
      <c r="A23" s="87" t="s">
        <v>67</v>
      </c>
      <c r="B23" s="88" t="s">
        <v>40</v>
      </c>
      <c r="C23" s="89">
        <v>45589</v>
      </c>
      <c r="D23" s="88" t="s">
        <v>69</v>
      </c>
      <c r="E23" s="88" t="s">
        <v>70</v>
      </c>
      <c r="F23" s="94">
        <v>3888</v>
      </c>
      <c r="G23" s="94">
        <v>604</v>
      </c>
      <c r="H23" s="94">
        <v>128</v>
      </c>
      <c r="I23" s="94">
        <v>77760</v>
      </c>
      <c r="J23" s="94">
        <v>77167</v>
      </c>
      <c r="K23" s="94">
        <v>20</v>
      </c>
      <c r="L23" s="92" t="s">
        <v>77</v>
      </c>
      <c r="M23" s="92" t="s">
        <v>19</v>
      </c>
      <c r="N23" s="20"/>
    </row>
    <row r="24" spans="1:14" x14ac:dyDescent="0.3">
      <c r="A24" s="87" t="s">
        <v>72</v>
      </c>
      <c r="B24" s="88" t="s">
        <v>40</v>
      </c>
      <c r="C24" s="89">
        <v>45530</v>
      </c>
      <c r="D24" s="88" t="s">
        <v>22</v>
      </c>
      <c r="E24" s="88" t="s">
        <v>23</v>
      </c>
      <c r="F24" s="94">
        <v>3452</v>
      </c>
      <c r="G24" s="94">
        <v>377</v>
      </c>
      <c r="H24" s="94">
        <v>360</v>
      </c>
      <c r="I24" s="94">
        <v>55232</v>
      </c>
      <c r="J24" s="94">
        <v>55075</v>
      </c>
      <c r="K24" s="94">
        <v>87</v>
      </c>
      <c r="L24" s="92" t="s">
        <v>18</v>
      </c>
      <c r="M24" s="92" t="s">
        <v>38</v>
      </c>
      <c r="N24" s="20"/>
    </row>
    <row r="25" spans="1:14" x14ac:dyDescent="0.3">
      <c r="A25" s="87" t="s">
        <v>72</v>
      </c>
      <c r="B25" s="88" t="s">
        <v>40</v>
      </c>
      <c r="C25" s="89">
        <v>45530</v>
      </c>
      <c r="D25" s="88" t="s">
        <v>22</v>
      </c>
      <c r="E25" s="88" t="s">
        <v>23</v>
      </c>
      <c r="F25" s="94">
        <v>3452</v>
      </c>
      <c r="G25" s="94">
        <v>377</v>
      </c>
      <c r="H25" s="94">
        <v>360</v>
      </c>
      <c r="I25" s="94">
        <v>55232</v>
      </c>
      <c r="J25" s="94">
        <v>55075</v>
      </c>
      <c r="K25" s="94">
        <v>87</v>
      </c>
      <c r="L25" s="92" t="s">
        <v>77</v>
      </c>
      <c r="M25" s="92" t="s">
        <v>38</v>
      </c>
      <c r="N25" s="20"/>
    </row>
    <row r="26" spans="1:14" x14ac:dyDescent="0.3">
      <c r="A26" s="87" t="s">
        <v>75</v>
      </c>
      <c r="B26" s="88" t="s">
        <v>40</v>
      </c>
      <c r="C26" s="89">
        <v>45782</v>
      </c>
      <c r="D26" s="88" t="s">
        <v>22</v>
      </c>
      <c r="E26" s="88" t="s">
        <v>23</v>
      </c>
      <c r="F26" s="94">
        <v>4441</v>
      </c>
      <c r="G26" s="94">
        <v>511</v>
      </c>
      <c r="H26" s="94">
        <v>70</v>
      </c>
      <c r="I26" s="94">
        <v>53292</v>
      </c>
      <c r="J26" s="94">
        <v>53082</v>
      </c>
      <c r="K26" s="94">
        <v>159</v>
      </c>
      <c r="L26" s="92" t="s">
        <v>77</v>
      </c>
      <c r="M26" s="92" t="s">
        <v>38</v>
      </c>
      <c r="N26" s="20"/>
    </row>
    <row r="27" spans="1:14" x14ac:dyDescent="0.3">
      <c r="A27" s="87" t="s">
        <v>78</v>
      </c>
      <c r="B27" s="88" t="s">
        <v>31</v>
      </c>
      <c r="C27" s="89">
        <v>45523</v>
      </c>
      <c r="D27" s="88" t="s">
        <v>16</v>
      </c>
      <c r="E27" s="88" t="s">
        <v>17</v>
      </c>
      <c r="F27" s="94">
        <v>3000</v>
      </c>
      <c r="G27" s="94">
        <v>382</v>
      </c>
      <c r="H27" s="94">
        <v>325</v>
      </c>
      <c r="I27" s="94">
        <v>36000</v>
      </c>
      <c r="J27" s="94">
        <v>35819</v>
      </c>
      <c r="K27" s="94">
        <v>19</v>
      </c>
      <c r="L27" s="92" t="s">
        <v>58</v>
      </c>
      <c r="M27" s="92" t="s">
        <v>25</v>
      </c>
      <c r="N27" s="20"/>
    </row>
    <row r="28" spans="1:14" x14ac:dyDescent="0.3">
      <c r="A28" s="87" t="s">
        <v>80</v>
      </c>
      <c r="B28" s="88" t="s">
        <v>31</v>
      </c>
      <c r="C28" s="89">
        <v>45466</v>
      </c>
      <c r="D28" s="88" t="s">
        <v>69</v>
      </c>
      <c r="E28" s="88" t="s">
        <v>70</v>
      </c>
      <c r="F28" s="94">
        <v>1071</v>
      </c>
      <c r="G28" s="94">
        <v>519</v>
      </c>
      <c r="H28" s="94">
        <v>22</v>
      </c>
      <c r="I28" s="94">
        <v>16065</v>
      </c>
      <c r="J28" s="94">
        <v>15865</v>
      </c>
      <c r="K28" s="94">
        <v>103</v>
      </c>
      <c r="L28" s="92" t="s">
        <v>18</v>
      </c>
      <c r="M28" s="92" t="s">
        <v>38</v>
      </c>
      <c r="N28" s="20"/>
    </row>
    <row r="29" spans="1:14" x14ac:dyDescent="0.3">
      <c r="A29" s="87" t="s">
        <v>80</v>
      </c>
      <c r="B29" s="88" t="s">
        <v>31</v>
      </c>
      <c r="C29" s="89">
        <v>45466</v>
      </c>
      <c r="D29" s="88" t="s">
        <v>69</v>
      </c>
      <c r="E29" s="88" t="s">
        <v>70</v>
      </c>
      <c r="F29" s="94">
        <v>1071</v>
      </c>
      <c r="G29" s="94">
        <v>519</v>
      </c>
      <c r="H29" s="94">
        <v>22</v>
      </c>
      <c r="I29" s="94">
        <v>16065</v>
      </c>
      <c r="J29" s="94">
        <v>15865</v>
      </c>
      <c r="K29" s="94">
        <v>103</v>
      </c>
      <c r="L29" s="92" t="s">
        <v>58</v>
      </c>
      <c r="M29" s="92" t="s">
        <v>38</v>
      </c>
      <c r="N29" s="20"/>
    </row>
    <row r="30" spans="1:14" x14ac:dyDescent="0.3">
      <c r="A30" s="87" t="s">
        <v>83</v>
      </c>
      <c r="B30" s="88" t="s">
        <v>31</v>
      </c>
      <c r="C30" s="89">
        <v>45544</v>
      </c>
      <c r="D30" s="88" t="s">
        <v>42</v>
      </c>
      <c r="E30" s="88" t="s">
        <v>43</v>
      </c>
      <c r="F30" s="94">
        <v>4054</v>
      </c>
      <c r="G30" s="94">
        <v>488</v>
      </c>
      <c r="H30" s="94">
        <v>373</v>
      </c>
      <c r="I30" s="94">
        <v>77026</v>
      </c>
      <c r="J30" s="94">
        <v>76881</v>
      </c>
      <c r="K30" s="94">
        <v>25</v>
      </c>
      <c r="L30" s="92" t="s">
        <v>24</v>
      </c>
      <c r="M30" s="92" t="s">
        <v>38</v>
      </c>
      <c r="N30" s="20"/>
    </row>
    <row r="31" spans="1:14" x14ac:dyDescent="0.3">
      <c r="A31" s="87" t="s">
        <v>83</v>
      </c>
      <c r="B31" s="88" t="s">
        <v>31</v>
      </c>
      <c r="C31" s="89">
        <v>45544</v>
      </c>
      <c r="D31" s="88" t="s">
        <v>42</v>
      </c>
      <c r="E31" s="88" t="s">
        <v>43</v>
      </c>
      <c r="F31" s="94">
        <v>4054</v>
      </c>
      <c r="G31" s="94">
        <v>488</v>
      </c>
      <c r="H31" s="94">
        <v>373</v>
      </c>
      <c r="I31" s="94">
        <v>77026</v>
      </c>
      <c r="J31" s="94">
        <v>76881</v>
      </c>
      <c r="K31" s="94">
        <v>25</v>
      </c>
      <c r="L31" s="92" t="s">
        <v>18</v>
      </c>
      <c r="M31" s="92" t="s">
        <v>38</v>
      </c>
      <c r="N31" s="20"/>
    </row>
    <row r="32" spans="1:14" x14ac:dyDescent="0.3">
      <c r="A32" s="87" t="s">
        <v>85</v>
      </c>
      <c r="B32" s="88" t="s">
        <v>31</v>
      </c>
      <c r="C32" s="89">
        <v>45661</v>
      </c>
      <c r="D32" s="88" t="s">
        <v>16</v>
      </c>
      <c r="E32" s="88" t="s">
        <v>17</v>
      </c>
      <c r="F32" s="94">
        <v>4838</v>
      </c>
      <c r="G32" s="94">
        <v>640</v>
      </c>
      <c r="H32" s="94">
        <v>128</v>
      </c>
      <c r="I32" s="94">
        <v>72570</v>
      </c>
      <c r="J32" s="94">
        <v>72396</v>
      </c>
      <c r="K32" s="94">
        <v>83</v>
      </c>
      <c r="L32" s="92" t="s">
        <v>58</v>
      </c>
      <c r="M32" s="92" t="s">
        <v>38</v>
      </c>
      <c r="N32" s="20"/>
    </row>
    <row r="33" spans="1:14" x14ac:dyDescent="0.3">
      <c r="A33" s="87" t="s">
        <v>85</v>
      </c>
      <c r="B33" s="88" t="s">
        <v>31</v>
      </c>
      <c r="C33" s="89">
        <v>45661</v>
      </c>
      <c r="D33" s="88" t="s">
        <v>16</v>
      </c>
      <c r="E33" s="88" t="s">
        <v>17</v>
      </c>
      <c r="F33" s="94">
        <v>4838</v>
      </c>
      <c r="G33" s="94">
        <v>640</v>
      </c>
      <c r="H33" s="94">
        <v>128</v>
      </c>
      <c r="I33" s="94">
        <v>72570</v>
      </c>
      <c r="J33" s="94">
        <v>72396</v>
      </c>
      <c r="K33" s="94">
        <v>83</v>
      </c>
      <c r="L33" s="92" t="s">
        <v>44</v>
      </c>
      <c r="M33" s="92" t="s">
        <v>38</v>
      </c>
      <c r="N33" s="20"/>
    </row>
    <row r="34" spans="1:14" x14ac:dyDescent="0.3">
      <c r="A34" s="87" t="s">
        <v>88</v>
      </c>
      <c r="B34" s="88" t="s">
        <v>40</v>
      </c>
      <c r="C34" s="89">
        <v>45715</v>
      </c>
      <c r="D34" s="88" t="s">
        <v>22</v>
      </c>
      <c r="E34" s="88" t="s">
        <v>23</v>
      </c>
      <c r="F34" s="94">
        <v>1570</v>
      </c>
      <c r="G34" s="94">
        <v>187</v>
      </c>
      <c r="H34" s="94">
        <v>260</v>
      </c>
      <c r="I34" s="94">
        <v>25120</v>
      </c>
      <c r="J34" s="94">
        <v>24613</v>
      </c>
      <c r="K34" s="94">
        <v>133</v>
      </c>
      <c r="L34" s="92" t="s">
        <v>18</v>
      </c>
      <c r="M34" s="92" t="s">
        <v>55</v>
      </c>
      <c r="N34" s="20"/>
    </row>
    <row r="35" spans="1:14" x14ac:dyDescent="0.3">
      <c r="A35" s="87" t="s">
        <v>90</v>
      </c>
      <c r="B35" s="88" t="s">
        <v>40</v>
      </c>
      <c r="C35" s="89">
        <v>45602</v>
      </c>
      <c r="D35" s="88" t="s">
        <v>69</v>
      </c>
      <c r="E35" s="88" t="s">
        <v>70</v>
      </c>
      <c r="F35" s="94">
        <v>1606</v>
      </c>
      <c r="G35" s="94">
        <v>547</v>
      </c>
      <c r="H35" s="94">
        <v>316</v>
      </c>
      <c r="I35" s="94">
        <v>32120</v>
      </c>
      <c r="J35" s="94">
        <v>31736</v>
      </c>
      <c r="K35" s="94">
        <v>225</v>
      </c>
      <c r="L35" s="92" t="s">
        <v>18</v>
      </c>
      <c r="M35" s="92" t="s">
        <v>38</v>
      </c>
      <c r="N35" s="20"/>
    </row>
    <row r="36" spans="1:14" x14ac:dyDescent="0.3">
      <c r="A36" s="87" t="s">
        <v>92</v>
      </c>
      <c r="B36" s="88" t="s">
        <v>40</v>
      </c>
      <c r="C36" s="89">
        <v>45680</v>
      </c>
      <c r="D36" s="88" t="s">
        <v>69</v>
      </c>
      <c r="E36" s="88" t="s">
        <v>70</v>
      </c>
      <c r="F36" s="94">
        <v>3961</v>
      </c>
      <c r="G36" s="94">
        <v>761</v>
      </c>
      <c r="H36" s="94">
        <v>131</v>
      </c>
      <c r="I36" s="94">
        <v>67337</v>
      </c>
      <c r="J36" s="94">
        <v>66615</v>
      </c>
      <c r="K36" s="94">
        <v>161</v>
      </c>
      <c r="L36" s="92" t="s">
        <v>44</v>
      </c>
      <c r="M36" s="92" t="s">
        <v>25</v>
      </c>
      <c r="N36" s="20"/>
    </row>
    <row r="37" spans="1:14" x14ac:dyDescent="0.3">
      <c r="A37" s="87" t="s">
        <v>94</v>
      </c>
      <c r="B37" s="88" t="s">
        <v>14</v>
      </c>
      <c r="C37" s="89">
        <v>45757</v>
      </c>
      <c r="D37" s="88" t="s">
        <v>42</v>
      </c>
      <c r="E37" s="88" t="s">
        <v>43</v>
      </c>
      <c r="F37" s="94">
        <v>3128</v>
      </c>
      <c r="G37" s="94">
        <v>211</v>
      </c>
      <c r="H37" s="94">
        <v>197</v>
      </c>
      <c r="I37" s="94">
        <v>59432</v>
      </c>
      <c r="J37" s="94">
        <v>59182</v>
      </c>
      <c r="K37" s="94">
        <v>238</v>
      </c>
      <c r="L37" s="92" t="s">
        <v>58</v>
      </c>
      <c r="M37" s="92" t="s">
        <v>19</v>
      </c>
      <c r="N37" s="20"/>
    </row>
    <row r="38" spans="1:14" x14ac:dyDescent="0.3">
      <c r="A38" s="87" t="s">
        <v>94</v>
      </c>
      <c r="B38" s="88" t="s">
        <v>14</v>
      </c>
      <c r="C38" s="89">
        <v>45757</v>
      </c>
      <c r="D38" s="88" t="s">
        <v>42</v>
      </c>
      <c r="E38" s="88" t="s">
        <v>43</v>
      </c>
      <c r="F38" s="94">
        <v>3128</v>
      </c>
      <c r="G38" s="94">
        <v>211</v>
      </c>
      <c r="H38" s="94">
        <v>197</v>
      </c>
      <c r="I38" s="94">
        <v>59432</v>
      </c>
      <c r="J38" s="94">
        <v>59182</v>
      </c>
      <c r="K38" s="94">
        <v>238</v>
      </c>
      <c r="L38" s="92" t="s">
        <v>18</v>
      </c>
      <c r="M38" s="92" t="s">
        <v>19</v>
      </c>
      <c r="N38" s="20"/>
    </row>
    <row r="39" spans="1:14" x14ac:dyDescent="0.3">
      <c r="A39" s="87" t="s">
        <v>96</v>
      </c>
      <c r="B39" s="88" t="s">
        <v>577</v>
      </c>
      <c r="C39" s="89">
        <v>45752</v>
      </c>
      <c r="D39" s="88" t="s">
        <v>16</v>
      </c>
      <c r="E39" s="88" t="s">
        <v>17</v>
      </c>
      <c r="F39" s="94">
        <v>3009</v>
      </c>
      <c r="G39" s="94">
        <v>413</v>
      </c>
      <c r="H39" s="94">
        <v>358</v>
      </c>
      <c r="I39" s="94">
        <v>42126</v>
      </c>
      <c r="J39" s="94">
        <v>41309</v>
      </c>
      <c r="K39" s="94">
        <v>211</v>
      </c>
      <c r="L39" s="92" t="s">
        <v>18</v>
      </c>
      <c r="M39" s="92" t="s">
        <v>25</v>
      </c>
      <c r="N39" s="20"/>
    </row>
    <row r="40" spans="1:14" x14ac:dyDescent="0.3">
      <c r="A40" s="87" t="s">
        <v>98</v>
      </c>
      <c r="B40" s="88" t="s">
        <v>577</v>
      </c>
      <c r="C40" s="89">
        <v>45552</v>
      </c>
      <c r="D40" s="88" t="s">
        <v>22</v>
      </c>
      <c r="E40" s="88" t="s">
        <v>23</v>
      </c>
      <c r="F40" s="94">
        <v>2076</v>
      </c>
      <c r="G40" s="94">
        <v>195</v>
      </c>
      <c r="H40" s="94">
        <v>104</v>
      </c>
      <c r="I40" s="94">
        <v>33216</v>
      </c>
      <c r="J40" s="94">
        <v>32244</v>
      </c>
      <c r="K40" s="94">
        <v>51</v>
      </c>
      <c r="L40" s="92" t="s">
        <v>44</v>
      </c>
      <c r="M40" s="92" t="s">
        <v>55</v>
      </c>
      <c r="N40" s="20"/>
    </row>
    <row r="41" spans="1:14" x14ac:dyDescent="0.3">
      <c r="A41" s="87" t="s">
        <v>100</v>
      </c>
      <c r="B41" s="88" t="s">
        <v>31</v>
      </c>
      <c r="C41" s="89">
        <v>45720</v>
      </c>
      <c r="D41" s="88" t="s">
        <v>69</v>
      </c>
      <c r="E41" s="88" t="s">
        <v>70</v>
      </c>
      <c r="F41" s="94">
        <v>432</v>
      </c>
      <c r="G41" s="94">
        <v>624</v>
      </c>
      <c r="H41" s="94">
        <v>123</v>
      </c>
      <c r="I41" s="94">
        <v>6912</v>
      </c>
      <c r="J41" s="94">
        <v>6259</v>
      </c>
      <c r="K41" s="94">
        <v>79</v>
      </c>
      <c r="L41" s="92" t="s">
        <v>18</v>
      </c>
      <c r="M41" s="92" t="s">
        <v>25</v>
      </c>
      <c r="N41" s="20"/>
    </row>
    <row r="42" spans="1:14" x14ac:dyDescent="0.3">
      <c r="A42" s="87" t="s">
        <v>100</v>
      </c>
      <c r="B42" s="88" t="s">
        <v>31</v>
      </c>
      <c r="C42" s="89">
        <v>45720</v>
      </c>
      <c r="D42" s="88" t="s">
        <v>69</v>
      </c>
      <c r="E42" s="88" t="s">
        <v>70</v>
      </c>
      <c r="F42" s="94">
        <v>432</v>
      </c>
      <c r="G42" s="94">
        <v>624</v>
      </c>
      <c r="H42" s="94">
        <v>123</v>
      </c>
      <c r="I42" s="94">
        <v>6912</v>
      </c>
      <c r="J42" s="94">
        <v>6259</v>
      </c>
      <c r="K42" s="94">
        <v>79</v>
      </c>
      <c r="L42" s="92" t="s">
        <v>44</v>
      </c>
      <c r="M42" s="92" t="s">
        <v>25</v>
      </c>
      <c r="N42" s="20"/>
    </row>
    <row r="43" spans="1:14" x14ac:dyDescent="0.3">
      <c r="A43" s="87" t="s">
        <v>103</v>
      </c>
      <c r="B43" s="88" t="s">
        <v>31</v>
      </c>
      <c r="C43" s="89">
        <v>45688</v>
      </c>
      <c r="D43" s="88" t="s">
        <v>42</v>
      </c>
      <c r="E43" s="88" t="s">
        <v>43</v>
      </c>
      <c r="F43" s="94">
        <v>2566</v>
      </c>
      <c r="G43" s="94">
        <v>118</v>
      </c>
      <c r="H43" s="94">
        <v>37</v>
      </c>
      <c r="I43" s="94">
        <v>12830</v>
      </c>
      <c r="J43" s="94">
        <v>12264</v>
      </c>
      <c r="K43" s="94">
        <v>221</v>
      </c>
      <c r="L43" s="92" t="s">
        <v>44</v>
      </c>
      <c r="M43" s="92" t="s">
        <v>38</v>
      </c>
      <c r="N43" s="20"/>
    </row>
    <row r="44" spans="1:14" x14ac:dyDescent="0.3">
      <c r="A44" s="87" t="s">
        <v>103</v>
      </c>
      <c r="B44" s="88" t="s">
        <v>31</v>
      </c>
      <c r="C44" s="89">
        <v>45688</v>
      </c>
      <c r="D44" s="88" t="s">
        <v>42</v>
      </c>
      <c r="E44" s="88" t="s">
        <v>43</v>
      </c>
      <c r="F44" s="94">
        <v>2566</v>
      </c>
      <c r="G44" s="94">
        <v>118</v>
      </c>
      <c r="H44" s="94">
        <v>37</v>
      </c>
      <c r="I44" s="94">
        <v>12830</v>
      </c>
      <c r="J44" s="94">
        <v>12264</v>
      </c>
      <c r="K44" s="94">
        <v>221</v>
      </c>
      <c r="L44" s="92" t="s">
        <v>24</v>
      </c>
      <c r="M44" s="92" t="s">
        <v>38</v>
      </c>
      <c r="N44" s="20"/>
    </row>
    <row r="45" spans="1:14" x14ac:dyDescent="0.3">
      <c r="A45" s="87" t="s">
        <v>106</v>
      </c>
      <c r="B45" s="88" t="s">
        <v>31</v>
      </c>
      <c r="C45" s="89">
        <v>45713</v>
      </c>
      <c r="D45" s="88" t="s">
        <v>69</v>
      </c>
      <c r="E45" s="88" t="s">
        <v>70</v>
      </c>
      <c r="F45" s="94">
        <v>3095</v>
      </c>
      <c r="G45" s="94">
        <v>39</v>
      </c>
      <c r="H45" s="94">
        <v>78</v>
      </c>
      <c r="I45" s="94">
        <v>55710</v>
      </c>
      <c r="J45" s="94">
        <v>54808</v>
      </c>
      <c r="K45" s="94">
        <v>93</v>
      </c>
      <c r="L45" s="92" t="s">
        <v>18</v>
      </c>
      <c r="M45" s="92" t="s">
        <v>55</v>
      </c>
      <c r="N45" s="20"/>
    </row>
    <row r="46" spans="1:14" x14ac:dyDescent="0.3">
      <c r="A46" s="87" t="s">
        <v>108</v>
      </c>
      <c r="B46" s="88" t="s">
        <v>31</v>
      </c>
      <c r="C46" s="89">
        <v>45642</v>
      </c>
      <c r="D46" s="88" t="s">
        <v>22</v>
      </c>
      <c r="E46" s="88" t="s">
        <v>23</v>
      </c>
      <c r="F46" s="94">
        <v>438</v>
      </c>
      <c r="G46" s="94">
        <v>153</v>
      </c>
      <c r="H46" s="94">
        <v>275</v>
      </c>
      <c r="I46" s="94">
        <v>3066</v>
      </c>
      <c r="J46" s="94">
        <v>2701</v>
      </c>
      <c r="K46" s="94">
        <v>282</v>
      </c>
      <c r="L46" s="92" t="s">
        <v>44</v>
      </c>
      <c r="M46" s="92" t="s">
        <v>55</v>
      </c>
      <c r="N46" s="20"/>
    </row>
    <row r="47" spans="1:14" x14ac:dyDescent="0.3">
      <c r="A47" s="87" t="s">
        <v>110</v>
      </c>
      <c r="B47" s="88" t="s">
        <v>14</v>
      </c>
      <c r="C47" s="89">
        <v>45504</v>
      </c>
      <c r="D47" s="88" t="s">
        <v>42</v>
      </c>
      <c r="E47" s="88" t="s">
        <v>43</v>
      </c>
      <c r="F47" s="94">
        <v>2278</v>
      </c>
      <c r="G47" s="94">
        <v>10</v>
      </c>
      <c r="H47" s="94">
        <v>321</v>
      </c>
      <c r="I47" s="94">
        <v>13668</v>
      </c>
      <c r="J47" s="94">
        <v>12676</v>
      </c>
      <c r="K47" s="94">
        <v>275</v>
      </c>
      <c r="L47" s="92" t="s">
        <v>44</v>
      </c>
      <c r="M47" s="92" t="s">
        <v>55</v>
      </c>
      <c r="N47" s="20"/>
    </row>
    <row r="48" spans="1:14" x14ac:dyDescent="0.3">
      <c r="A48" s="87" t="s">
        <v>110</v>
      </c>
      <c r="B48" s="88" t="s">
        <v>14</v>
      </c>
      <c r="C48" s="89">
        <v>45504</v>
      </c>
      <c r="D48" s="88" t="s">
        <v>42</v>
      </c>
      <c r="E48" s="88" t="s">
        <v>43</v>
      </c>
      <c r="F48" s="94">
        <v>2278</v>
      </c>
      <c r="G48" s="94">
        <v>10</v>
      </c>
      <c r="H48" s="94">
        <v>321</v>
      </c>
      <c r="I48" s="94">
        <v>13668</v>
      </c>
      <c r="J48" s="94">
        <v>12676</v>
      </c>
      <c r="K48" s="94">
        <v>275</v>
      </c>
      <c r="L48" s="92" t="s">
        <v>24</v>
      </c>
      <c r="M48" s="92" t="s">
        <v>55</v>
      </c>
      <c r="N48" s="20"/>
    </row>
    <row r="49" spans="1:14" x14ac:dyDescent="0.3">
      <c r="A49" s="87" t="s">
        <v>112</v>
      </c>
      <c r="B49" s="88" t="s">
        <v>40</v>
      </c>
      <c r="C49" s="89">
        <v>45525</v>
      </c>
      <c r="D49" s="88" t="s">
        <v>49</v>
      </c>
      <c r="E49" s="88" t="s">
        <v>50</v>
      </c>
      <c r="F49" s="94">
        <v>1407</v>
      </c>
      <c r="G49" s="94">
        <v>400</v>
      </c>
      <c r="H49" s="94">
        <v>351</v>
      </c>
      <c r="I49" s="94">
        <v>16884</v>
      </c>
      <c r="J49" s="94">
        <v>15954</v>
      </c>
      <c r="K49" s="94">
        <v>113</v>
      </c>
      <c r="L49" s="92" t="s">
        <v>24</v>
      </c>
      <c r="M49" s="92" t="s">
        <v>38</v>
      </c>
      <c r="N49" s="20"/>
    </row>
    <row r="50" spans="1:14" x14ac:dyDescent="0.3">
      <c r="A50" s="87" t="s">
        <v>112</v>
      </c>
      <c r="B50" s="88" t="s">
        <v>40</v>
      </c>
      <c r="C50" s="89">
        <v>45525</v>
      </c>
      <c r="D50" s="88" t="s">
        <v>49</v>
      </c>
      <c r="E50" s="88" t="s">
        <v>50</v>
      </c>
      <c r="F50" s="94">
        <v>1407</v>
      </c>
      <c r="G50" s="94">
        <v>400</v>
      </c>
      <c r="H50" s="94">
        <v>351</v>
      </c>
      <c r="I50" s="94">
        <v>16884</v>
      </c>
      <c r="J50" s="94">
        <v>15954</v>
      </c>
      <c r="K50" s="94">
        <v>113</v>
      </c>
      <c r="L50" s="92" t="s">
        <v>77</v>
      </c>
      <c r="M50" s="92" t="s">
        <v>38</v>
      </c>
      <c r="N50" s="20"/>
    </row>
    <row r="51" spans="1:14" x14ac:dyDescent="0.3">
      <c r="A51" s="87" t="s">
        <v>114</v>
      </c>
      <c r="B51" s="88" t="s">
        <v>40</v>
      </c>
      <c r="C51" s="89">
        <v>45742</v>
      </c>
      <c r="D51" s="88" t="s">
        <v>22</v>
      </c>
      <c r="E51" s="88" t="s">
        <v>23</v>
      </c>
      <c r="F51" s="94">
        <v>1652</v>
      </c>
      <c r="G51" s="94">
        <v>89</v>
      </c>
      <c r="H51" s="94">
        <v>357</v>
      </c>
      <c r="I51" s="94">
        <v>29736</v>
      </c>
      <c r="J51" s="94">
        <v>28771</v>
      </c>
      <c r="K51" s="94">
        <v>215</v>
      </c>
      <c r="L51" s="92" t="s">
        <v>44</v>
      </c>
      <c r="M51" s="92" t="s">
        <v>25</v>
      </c>
      <c r="N51" s="20"/>
    </row>
    <row r="52" spans="1:14" x14ac:dyDescent="0.3">
      <c r="A52" s="87" t="s">
        <v>114</v>
      </c>
      <c r="B52" s="88" t="s">
        <v>40</v>
      </c>
      <c r="C52" s="89">
        <v>45742</v>
      </c>
      <c r="D52" s="88" t="s">
        <v>22</v>
      </c>
      <c r="E52" s="88" t="s">
        <v>23</v>
      </c>
      <c r="F52" s="94">
        <v>1652</v>
      </c>
      <c r="G52" s="94">
        <v>89</v>
      </c>
      <c r="H52" s="94">
        <v>357</v>
      </c>
      <c r="I52" s="94">
        <v>29736</v>
      </c>
      <c r="J52" s="94">
        <v>28771</v>
      </c>
      <c r="K52" s="94">
        <v>215</v>
      </c>
      <c r="L52" s="92" t="s">
        <v>77</v>
      </c>
      <c r="M52" s="92" t="s">
        <v>25</v>
      </c>
      <c r="N52" s="20"/>
    </row>
    <row r="53" spans="1:14" x14ac:dyDescent="0.3">
      <c r="A53" s="87" t="s">
        <v>117</v>
      </c>
      <c r="B53" s="88" t="s">
        <v>31</v>
      </c>
      <c r="C53" s="89">
        <v>45626</v>
      </c>
      <c r="D53" s="88" t="s">
        <v>69</v>
      </c>
      <c r="E53" s="88" t="s">
        <v>70</v>
      </c>
      <c r="F53" s="94">
        <v>3775</v>
      </c>
      <c r="G53" s="94">
        <v>16</v>
      </c>
      <c r="H53" s="94">
        <v>239</v>
      </c>
      <c r="I53" s="94">
        <v>33975</v>
      </c>
      <c r="J53" s="94">
        <v>33310</v>
      </c>
      <c r="K53" s="94">
        <v>271</v>
      </c>
      <c r="L53" s="92" t="s">
        <v>58</v>
      </c>
      <c r="M53" s="92" t="s">
        <v>38</v>
      </c>
      <c r="N53" s="20"/>
    </row>
    <row r="54" spans="1:14" x14ac:dyDescent="0.3">
      <c r="A54" s="87" t="s">
        <v>117</v>
      </c>
      <c r="B54" s="88" t="s">
        <v>31</v>
      </c>
      <c r="C54" s="89">
        <v>45626</v>
      </c>
      <c r="D54" s="88" t="s">
        <v>69</v>
      </c>
      <c r="E54" s="88" t="s">
        <v>70</v>
      </c>
      <c r="F54" s="94">
        <v>3775</v>
      </c>
      <c r="G54" s="94">
        <v>16</v>
      </c>
      <c r="H54" s="94">
        <v>239</v>
      </c>
      <c r="I54" s="94">
        <v>33975</v>
      </c>
      <c r="J54" s="94">
        <v>33310</v>
      </c>
      <c r="K54" s="94">
        <v>271</v>
      </c>
      <c r="L54" s="92" t="s">
        <v>18</v>
      </c>
      <c r="M54" s="92" t="s">
        <v>38</v>
      </c>
      <c r="N54" s="20"/>
    </row>
    <row r="55" spans="1:14" x14ac:dyDescent="0.3">
      <c r="A55" s="87" t="s">
        <v>119</v>
      </c>
      <c r="B55" s="88" t="s">
        <v>31</v>
      </c>
      <c r="C55" s="89">
        <v>45766</v>
      </c>
      <c r="D55" s="88" t="s">
        <v>33</v>
      </c>
      <c r="E55" s="88" t="s">
        <v>34</v>
      </c>
      <c r="F55" s="94">
        <v>4518</v>
      </c>
      <c r="G55" s="94">
        <v>285</v>
      </c>
      <c r="H55" s="94">
        <v>383</v>
      </c>
      <c r="I55" s="94">
        <v>67770</v>
      </c>
      <c r="J55" s="94">
        <v>67621</v>
      </c>
      <c r="K55" s="94">
        <v>31</v>
      </c>
      <c r="L55" s="92" t="s">
        <v>77</v>
      </c>
      <c r="M55" s="92" t="s">
        <v>25</v>
      </c>
      <c r="N55" s="20"/>
    </row>
    <row r="56" spans="1:14" x14ac:dyDescent="0.3">
      <c r="A56" s="87" t="s">
        <v>121</v>
      </c>
      <c r="B56" s="88" t="s">
        <v>40</v>
      </c>
      <c r="C56" s="89">
        <v>45663</v>
      </c>
      <c r="D56" s="88" t="s">
        <v>42</v>
      </c>
      <c r="E56" s="88" t="s">
        <v>43</v>
      </c>
      <c r="F56" s="94">
        <v>3024</v>
      </c>
      <c r="G56" s="94">
        <v>925</v>
      </c>
      <c r="H56" s="94">
        <v>350</v>
      </c>
      <c r="I56" s="94">
        <v>24192</v>
      </c>
      <c r="J56" s="94">
        <v>23518</v>
      </c>
      <c r="K56" s="94">
        <v>36</v>
      </c>
      <c r="L56" s="92" t="s">
        <v>18</v>
      </c>
      <c r="M56" s="92" t="s">
        <v>38</v>
      </c>
      <c r="N56" s="20"/>
    </row>
    <row r="57" spans="1:14" x14ac:dyDescent="0.3">
      <c r="A57" s="87" t="s">
        <v>123</v>
      </c>
      <c r="B57" s="88" t="s">
        <v>577</v>
      </c>
      <c r="C57" s="89">
        <v>45705</v>
      </c>
      <c r="D57" s="88" t="s">
        <v>16</v>
      </c>
      <c r="E57" s="88" t="s">
        <v>17</v>
      </c>
      <c r="F57" s="94">
        <v>3138</v>
      </c>
      <c r="G57" s="94">
        <v>123</v>
      </c>
      <c r="H57" s="94">
        <v>291</v>
      </c>
      <c r="I57" s="94">
        <v>28242</v>
      </c>
      <c r="J57" s="94">
        <v>27550</v>
      </c>
      <c r="K57" s="94">
        <v>87</v>
      </c>
      <c r="L57" s="92" t="s">
        <v>77</v>
      </c>
      <c r="M57" s="92" t="s">
        <v>55</v>
      </c>
      <c r="N57" s="20"/>
    </row>
    <row r="58" spans="1:14" x14ac:dyDescent="0.3">
      <c r="A58" s="87" t="s">
        <v>125</v>
      </c>
      <c r="B58" s="88" t="s">
        <v>40</v>
      </c>
      <c r="C58" s="89">
        <v>45621</v>
      </c>
      <c r="D58" s="88" t="s">
        <v>49</v>
      </c>
      <c r="E58" s="88" t="s">
        <v>50</v>
      </c>
      <c r="F58" s="94">
        <v>3564</v>
      </c>
      <c r="G58" s="94">
        <v>629</v>
      </c>
      <c r="H58" s="94">
        <v>177</v>
      </c>
      <c r="I58" s="94">
        <v>60588</v>
      </c>
      <c r="J58" s="94">
        <v>59627</v>
      </c>
      <c r="K58" s="94">
        <v>92</v>
      </c>
      <c r="L58" s="92" t="s">
        <v>77</v>
      </c>
      <c r="M58" s="92" t="s">
        <v>38</v>
      </c>
      <c r="N58" s="20"/>
    </row>
    <row r="59" spans="1:14" x14ac:dyDescent="0.3">
      <c r="A59" s="87" t="s">
        <v>125</v>
      </c>
      <c r="B59" s="88" t="s">
        <v>40</v>
      </c>
      <c r="C59" s="89">
        <v>45621</v>
      </c>
      <c r="D59" s="88" t="s">
        <v>49</v>
      </c>
      <c r="E59" s="88" t="s">
        <v>50</v>
      </c>
      <c r="F59" s="94">
        <v>3564</v>
      </c>
      <c r="G59" s="94">
        <v>629</v>
      </c>
      <c r="H59" s="94">
        <v>177</v>
      </c>
      <c r="I59" s="94">
        <v>60588</v>
      </c>
      <c r="J59" s="94">
        <v>59627</v>
      </c>
      <c r="K59" s="94">
        <v>92</v>
      </c>
      <c r="L59" s="92" t="s">
        <v>18</v>
      </c>
      <c r="M59" s="92" t="s">
        <v>38</v>
      </c>
      <c r="N59" s="20"/>
    </row>
    <row r="60" spans="1:14" x14ac:dyDescent="0.3">
      <c r="A60" s="87" t="s">
        <v>128</v>
      </c>
      <c r="B60" s="88" t="s">
        <v>14</v>
      </c>
      <c r="C60" s="89">
        <v>45723</v>
      </c>
      <c r="D60" s="88" t="s">
        <v>49</v>
      </c>
      <c r="E60" s="88" t="s">
        <v>50</v>
      </c>
      <c r="F60" s="94">
        <v>4750</v>
      </c>
      <c r="G60" s="94">
        <v>151</v>
      </c>
      <c r="H60" s="94">
        <v>415</v>
      </c>
      <c r="I60" s="94">
        <v>38000</v>
      </c>
      <c r="J60" s="94">
        <v>37792</v>
      </c>
      <c r="K60" s="94">
        <v>299</v>
      </c>
      <c r="L60" s="92" t="s">
        <v>58</v>
      </c>
      <c r="M60" s="92" t="s">
        <v>25</v>
      </c>
      <c r="N60" s="20"/>
    </row>
    <row r="61" spans="1:14" x14ac:dyDescent="0.3">
      <c r="A61" s="87" t="s">
        <v>128</v>
      </c>
      <c r="B61" s="88" t="s">
        <v>14</v>
      </c>
      <c r="C61" s="89">
        <v>45723</v>
      </c>
      <c r="D61" s="88" t="s">
        <v>49</v>
      </c>
      <c r="E61" s="88" t="s">
        <v>50</v>
      </c>
      <c r="F61" s="94">
        <v>4750</v>
      </c>
      <c r="G61" s="94">
        <v>151</v>
      </c>
      <c r="H61" s="94">
        <v>415</v>
      </c>
      <c r="I61" s="94">
        <v>38000</v>
      </c>
      <c r="J61" s="94">
        <v>37792</v>
      </c>
      <c r="K61" s="94">
        <v>299</v>
      </c>
      <c r="L61" s="92" t="s">
        <v>18</v>
      </c>
      <c r="M61" s="92" t="s">
        <v>25</v>
      </c>
      <c r="N61" s="20"/>
    </row>
    <row r="62" spans="1:14" x14ac:dyDescent="0.3">
      <c r="A62" s="87" t="s">
        <v>130</v>
      </c>
      <c r="B62" s="88" t="s">
        <v>31</v>
      </c>
      <c r="C62" s="89">
        <v>45724</v>
      </c>
      <c r="D62" s="88" t="s">
        <v>16</v>
      </c>
      <c r="E62" s="88" t="s">
        <v>17</v>
      </c>
      <c r="F62" s="94">
        <v>456</v>
      </c>
      <c r="G62" s="94">
        <v>629</v>
      </c>
      <c r="H62" s="94">
        <v>428</v>
      </c>
      <c r="I62" s="94">
        <v>8208</v>
      </c>
      <c r="J62" s="94">
        <v>7377</v>
      </c>
      <c r="K62" s="94">
        <v>205</v>
      </c>
      <c r="L62" s="92" t="s">
        <v>18</v>
      </c>
      <c r="M62" s="92" t="s">
        <v>38</v>
      </c>
      <c r="N62" s="20"/>
    </row>
    <row r="63" spans="1:14" x14ac:dyDescent="0.3">
      <c r="A63" s="87" t="s">
        <v>130</v>
      </c>
      <c r="B63" s="88" t="s">
        <v>31</v>
      </c>
      <c r="C63" s="89">
        <v>45724</v>
      </c>
      <c r="D63" s="88" t="s">
        <v>16</v>
      </c>
      <c r="E63" s="88" t="s">
        <v>17</v>
      </c>
      <c r="F63" s="94">
        <v>456</v>
      </c>
      <c r="G63" s="94">
        <v>629</v>
      </c>
      <c r="H63" s="94">
        <v>428</v>
      </c>
      <c r="I63" s="94">
        <v>8208</v>
      </c>
      <c r="J63" s="94">
        <v>7377</v>
      </c>
      <c r="K63" s="94">
        <v>205</v>
      </c>
      <c r="L63" s="92" t="s">
        <v>77</v>
      </c>
      <c r="M63" s="92" t="s">
        <v>38</v>
      </c>
      <c r="N63" s="20"/>
    </row>
    <row r="64" spans="1:14" x14ac:dyDescent="0.3">
      <c r="A64" s="87" t="s">
        <v>132</v>
      </c>
      <c r="B64" s="88" t="s">
        <v>577</v>
      </c>
      <c r="C64" s="89">
        <v>45721</v>
      </c>
      <c r="D64" s="88" t="s">
        <v>16</v>
      </c>
      <c r="E64" s="88" t="s">
        <v>17</v>
      </c>
      <c r="F64" s="94">
        <v>1543</v>
      </c>
      <c r="G64" s="94">
        <v>820</v>
      </c>
      <c r="H64" s="94">
        <v>333</v>
      </c>
      <c r="I64" s="94">
        <v>12344</v>
      </c>
      <c r="J64" s="94">
        <v>11496</v>
      </c>
      <c r="K64" s="94">
        <v>241</v>
      </c>
      <c r="L64" s="92" t="s">
        <v>58</v>
      </c>
      <c r="M64" s="92" t="s">
        <v>38</v>
      </c>
      <c r="N64" s="20"/>
    </row>
    <row r="65" spans="1:14" x14ac:dyDescent="0.3">
      <c r="A65" s="87" t="s">
        <v>134</v>
      </c>
      <c r="B65" s="88" t="s">
        <v>31</v>
      </c>
      <c r="C65" s="89">
        <v>45640</v>
      </c>
      <c r="D65" s="88" t="s">
        <v>42</v>
      </c>
      <c r="E65" s="88" t="s">
        <v>43</v>
      </c>
      <c r="F65" s="94">
        <v>2174</v>
      </c>
      <c r="G65" s="94">
        <v>658</v>
      </c>
      <c r="H65" s="94">
        <v>15</v>
      </c>
      <c r="I65" s="94">
        <v>13044</v>
      </c>
      <c r="J65" s="94">
        <v>12206</v>
      </c>
      <c r="K65" s="94">
        <v>137</v>
      </c>
      <c r="L65" s="92" t="s">
        <v>18</v>
      </c>
      <c r="M65" s="92" t="s">
        <v>55</v>
      </c>
      <c r="N65" s="20"/>
    </row>
    <row r="66" spans="1:14" x14ac:dyDescent="0.3">
      <c r="A66" s="87" t="s">
        <v>134</v>
      </c>
      <c r="B66" s="88" t="s">
        <v>31</v>
      </c>
      <c r="C66" s="89">
        <v>45640</v>
      </c>
      <c r="D66" s="88" t="s">
        <v>42</v>
      </c>
      <c r="E66" s="88" t="s">
        <v>43</v>
      </c>
      <c r="F66" s="94">
        <v>2174</v>
      </c>
      <c r="G66" s="94">
        <v>658</v>
      </c>
      <c r="H66" s="94">
        <v>15</v>
      </c>
      <c r="I66" s="94">
        <v>13044</v>
      </c>
      <c r="J66" s="94">
        <v>12206</v>
      </c>
      <c r="K66" s="94">
        <v>137</v>
      </c>
      <c r="L66" s="92" t="s">
        <v>24</v>
      </c>
      <c r="M66" s="92" t="s">
        <v>55</v>
      </c>
      <c r="N66" s="20"/>
    </row>
    <row r="67" spans="1:14" x14ac:dyDescent="0.3">
      <c r="A67" s="87" t="s">
        <v>136</v>
      </c>
      <c r="B67" s="88" t="s">
        <v>14</v>
      </c>
      <c r="C67" s="89">
        <v>45718</v>
      </c>
      <c r="D67" s="88" t="s">
        <v>49</v>
      </c>
      <c r="E67" s="88" t="s">
        <v>50</v>
      </c>
      <c r="F67" s="94">
        <v>2358</v>
      </c>
      <c r="G67" s="94">
        <v>784</v>
      </c>
      <c r="H67" s="94">
        <v>344</v>
      </c>
      <c r="I67" s="94">
        <v>35370</v>
      </c>
      <c r="J67" s="94">
        <v>34475</v>
      </c>
      <c r="K67" s="94">
        <v>216</v>
      </c>
      <c r="L67" s="92" t="s">
        <v>18</v>
      </c>
      <c r="M67" s="92" t="s">
        <v>19</v>
      </c>
      <c r="N67" s="20"/>
    </row>
    <row r="68" spans="1:14" x14ac:dyDescent="0.3">
      <c r="A68" s="87" t="s">
        <v>136</v>
      </c>
      <c r="B68" s="88" t="s">
        <v>14</v>
      </c>
      <c r="C68" s="89">
        <v>45718</v>
      </c>
      <c r="D68" s="88" t="s">
        <v>49</v>
      </c>
      <c r="E68" s="88" t="s">
        <v>50</v>
      </c>
      <c r="F68" s="94">
        <v>2358</v>
      </c>
      <c r="G68" s="94">
        <v>784</v>
      </c>
      <c r="H68" s="94">
        <v>344</v>
      </c>
      <c r="I68" s="94">
        <v>35370</v>
      </c>
      <c r="J68" s="94">
        <v>34475</v>
      </c>
      <c r="K68" s="94">
        <v>216</v>
      </c>
      <c r="L68" s="92" t="s">
        <v>58</v>
      </c>
      <c r="M68" s="92" t="s">
        <v>19</v>
      </c>
      <c r="N68" s="20"/>
    </row>
    <row r="69" spans="1:14" x14ac:dyDescent="0.3">
      <c r="A69" s="87" t="s">
        <v>138</v>
      </c>
      <c r="B69" s="88" t="s">
        <v>40</v>
      </c>
      <c r="C69" s="89">
        <v>45597</v>
      </c>
      <c r="D69" s="88" t="s">
        <v>69</v>
      </c>
      <c r="E69" s="88" t="s">
        <v>70</v>
      </c>
      <c r="F69" s="94">
        <v>3371</v>
      </c>
      <c r="G69" s="94">
        <v>106</v>
      </c>
      <c r="H69" s="94">
        <v>327</v>
      </c>
      <c r="I69" s="94">
        <v>50565</v>
      </c>
      <c r="J69" s="94">
        <v>49816</v>
      </c>
      <c r="K69" s="94">
        <v>176</v>
      </c>
      <c r="L69" s="92" t="s">
        <v>77</v>
      </c>
      <c r="M69" s="92" t="s">
        <v>55</v>
      </c>
      <c r="N69" s="20"/>
    </row>
    <row r="70" spans="1:14" x14ac:dyDescent="0.3">
      <c r="A70" s="87" t="s">
        <v>140</v>
      </c>
      <c r="B70" s="88" t="s">
        <v>14</v>
      </c>
      <c r="C70" s="89">
        <v>45779</v>
      </c>
      <c r="D70" s="88" t="s">
        <v>69</v>
      </c>
      <c r="E70" s="88" t="s">
        <v>70</v>
      </c>
      <c r="F70" s="94">
        <v>1108</v>
      </c>
      <c r="G70" s="94">
        <v>177</v>
      </c>
      <c r="H70" s="94">
        <v>212</v>
      </c>
      <c r="I70" s="94">
        <v>8864</v>
      </c>
      <c r="J70" s="94">
        <v>8710</v>
      </c>
      <c r="K70" s="94">
        <v>97</v>
      </c>
      <c r="L70" s="92" t="s">
        <v>24</v>
      </c>
      <c r="M70" s="92" t="s">
        <v>55</v>
      </c>
      <c r="N70" s="20"/>
    </row>
    <row r="71" spans="1:14" x14ac:dyDescent="0.3">
      <c r="A71" s="87" t="s">
        <v>142</v>
      </c>
      <c r="B71" s="88" t="s">
        <v>14</v>
      </c>
      <c r="C71" s="89">
        <v>45712</v>
      </c>
      <c r="D71" s="88" t="s">
        <v>42</v>
      </c>
      <c r="E71" s="88" t="s">
        <v>43</v>
      </c>
      <c r="F71" s="94">
        <v>2704</v>
      </c>
      <c r="G71" s="94">
        <v>752</v>
      </c>
      <c r="H71" s="94">
        <v>153</v>
      </c>
      <c r="I71" s="94">
        <v>21632</v>
      </c>
      <c r="J71" s="94">
        <v>20792</v>
      </c>
      <c r="K71" s="94">
        <v>127</v>
      </c>
      <c r="L71" s="92" t="s">
        <v>77</v>
      </c>
      <c r="M71" s="92" t="s">
        <v>19</v>
      </c>
      <c r="N71" s="20"/>
    </row>
    <row r="72" spans="1:14" x14ac:dyDescent="0.3">
      <c r="A72" s="87" t="s">
        <v>142</v>
      </c>
      <c r="B72" s="88" t="s">
        <v>14</v>
      </c>
      <c r="C72" s="89">
        <v>45712</v>
      </c>
      <c r="D72" s="88" t="s">
        <v>42</v>
      </c>
      <c r="E72" s="88" t="s">
        <v>43</v>
      </c>
      <c r="F72" s="94">
        <v>2704</v>
      </c>
      <c r="G72" s="94">
        <v>752</v>
      </c>
      <c r="H72" s="94">
        <v>153</v>
      </c>
      <c r="I72" s="94">
        <v>21632</v>
      </c>
      <c r="J72" s="94">
        <v>20792</v>
      </c>
      <c r="K72" s="94">
        <v>127</v>
      </c>
      <c r="L72" s="92" t="s">
        <v>24</v>
      </c>
      <c r="M72" s="92" t="s">
        <v>19</v>
      </c>
      <c r="N72" s="20"/>
    </row>
    <row r="73" spans="1:14" x14ac:dyDescent="0.3">
      <c r="A73" s="87" t="s">
        <v>145</v>
      </c>
      <c r="B73" s="88" t="s">
        <v>14</v>
      </c>
      <c r="C73" s="89">
        <v>45727</v>
      </c>
      <c r="D73" s="88" t="s">
        <v>33</v>
      </c>
      <c r="E73" s="88" t="s">
        <v>34</v>
      </c>
      <c r="F73" s="94">
        <v>1950</v>
      </c>
      <c r="G73" s="94">
        <v>295</v>
      </c>
      <c r="H73" s="94">
        <v>478</v>
      </c>
      <c r="I73" s="94">
        <v>37050</v>
      </c>
      <c r="J73" s="94">
        <v>36272</v>
      </c>
      <c r="K73" s="94">
        <v>119</v>
      </c>
      <c r="L73" s="92" t="s">
        <v>24</v>
      </c>
      <c r="M73" s="92" t="s">
        <v>55</v>
      </c>
      <c r="N73" s="20"/>
    </row>
    <row r="74" spans="1:14" x14ac:dyDescent="0.3">
      <c r="A74" s="87" t="s">
        <v>145</v>
      </c>
      <c r="B74" s="88" t="s">
        <v>14</v>
      </c>
      <c r="C74" s="89">
        <v>45727</v>
      </c>
      <c r="D74" s="88" t="s">
        <v>33</v>
      </c>
      <c r="E74" s="88" t="s">
        <v>34</v>
      </c>
      <c r="F74" s="94">
        <v>1950</v>
      </c>
      <c r="G74" s="94">
        <v>295</v>
      </c>
      <c r="H74" s="94">
        <v>478</v>
      </c>
      <c r="I74" s="94">
        <v>37050</v>
      </c>
      <c r="J74" s="94">
        <v>36272</v>
      </c>
      <c r="K74" s="94">
        <v>119</v>
      </c>
      <c r="L74" s="92" t="s">
        <v>58</v>
      </c>
      <c r="M74" s="92" t="s">
        <v>55</v>
      </c>
      <c r="N74" s="20"/>
    </row>
    <row r="75" spans="1:14" x14ac:dyDescent="0.3">
      <c r="A75" s="87" t="s">
        <v>147</v>
      </c>
      <c r="B75" s="88" t="s">
        <v>14</v>
      </c>
      <c r="C75" s="89">
        <v>45453</v>
      </c>
      <c r="D75" s="88" t="s">
        <v>33</v>
      </c>
      <c r="E75" s="88" t="s">
        <v>34</v>
      </c>
      <c r="F75" s="94">
        <v>2164</v>
      </c>
      <c r="G75" s="94">
        <v>549</v>
      </c>
      <c r="H75" s="94">
        <v>274</v>
      </c>
      <c r="I75" s="94">
        <v>28132</v>
      </c>
      <c r="J75" s="94">
        <v>27361</v>
      </c>
      <c r="K75" s="94">
        <v>177</v>
      </c>
      <c r="L75" s="92" t="s">
        <v>58</v>
      </c>
      <c r="M75" s="92" t="s">
        <v>19</v>
      </c>
      <c r="N75" s="20"/>
    </row>
    <row r="76" spans="1:14" x14ac:dyDescent="0.3">
      <c r="A76" s="87" t="s">
        <v>149</v>
      </c>
      <c r="B76" s="88" t="s">
        <v>577</v>
      </c>
      <c r="C76" s="89">
        <v>45476</v>
      </c>
      <c r="D76" s="88" t="s">
        <v>33</v>
      </c>
      <c r="E76" s="88" t="s">
        <v>34</v>
      </c>
      <c r="F76" s="94">
        <v>2754</v>
      </c>
      <c r="G76" s="94">
        <v>130</v>
      </c>
      <c r="H76" s="94">
        <v>90</v>
      </c>
      <c r="I76" s="94">
        <v>22032</v>
      </c>
      <c r="J76" s="94">
        <v>21288</v>
      </c>
      <c r="K76" s="94">
        <v>112</v>
      </c>
      <c r="L76" s="92" t="s">
        <v>24</v>
      </c>
      <c r="M76" s="92" t="s">
        <v>19</v>
      </c>
      <c r="N76" s="20"/>
    </row>
    <row r="77" spans="1:14" x14ac:dyDescent="0.3">
      <c r="A77" s="87" t="s">
        <v>151</v>
      </c>
      <c r="B77" s="88" t="s">
        <v>40</v>
      </c>
      <c r="C77" s="89">
        <v>45456</v>
      </c>
      <c r="D77" s="88" t="s">
        <v>42</v>
      </c>
      <c r="E77" s="88" t="s">
        <v>43</v>
      </c>
      <c r="F77" s="94">
        <v>2200</v>
      </c>
      <c r="G77" s="94">
        <v>504</v>
      </c>
      <c r="H77" s="94">
        <v>239</v>
      </c>
      <c r="I77" s="94">
        <v>37400</v>
      </c>
      <c r="J77" s="94">
        <v>36938</v>
      </c>
      <c r="K77" s="94">
        <v>225</v>
      </c>
      <c r="L77" s="92" t="s">
        <v>18</v>
      </c>
      <c r="M77" s="92" t="s">
        <v>38</v>
      </c>
      <c r="N77" s="20"/>
    </row>
    <row r="78" spans="1:14" x14ac:dyDescent="0.3">
      <c r="A78" s="87" t="s">
        <v>153</v>
      </c>
      <c r="B78" s="88" t="s">
        <v>40</v>
      </c>
      <c r="C78" s="89">
        <v>45660</v>
      </c>
      <c r="D78" s="88" t="s">
        <v>49</v>
      </c>
      <c r="E78" s="88" t="s">
        <v>50</v>
      </c>
      <c r="F78" s="94">
        <v>947</v>
      </c>
      <c r="G78" s="94">
        <v>338</v>
      </c>
      <c r="H78" s="94">
        <v>350</v>
      </c>
      <c r="I78" s="94">
        <v>10417</v>
      </c>
      <c r="J78" s="94">
        <v>9730</v>
      </c>
      <c r="K78" s="94">
        <v>34</v>
      </c>
      <c r="L78" s="92" t="s">
        <v>24</v>
      </c>
      <c r="M78" s="92" t="s">
        <v>38</v>
      </c>
      <c r="N78" s="20"/>
    </row>
    <row r="79" spans="1:14" x14ac:dyDescent="0.3">
      <c r="A79" s="87" t="s">
        <v>153</v>
      </c>
      <c r="B79" s="88" t="s">
        <v>40</v>
      </c>
      <c r="C79" s="89">
        <v>45660</v>
      </c>
      <c r="D79" s="88" t="s">
        <v>49</v>
      </c>
      <c r="E79" s="88" t="s">
        <v>50</v>
      </c>
      <c r="F79" s="94">
        <v>947</v>
      </c>
      <c r="G79" s="94">
        <v>338</v>
      </c>
      <c r="H79" s="94">
        <v>350</v>
      </c>
      <c r="I79" s="94">
        <v>10417</v>
      </c>
      <c r="J79" s="94">
        <v>9730</v>
      </c>
      <c r="K79" s="94">
        <v>34</v>
      </c>
      <c r="L79" s="92" t="s">
        <v>18</v>
      </c>
      <c r="M79" s="92" t="s">
        <v>38</v>
      </c>
      <c r="N79" s="20"/>
    </row>
    <row r="80" spans="1:14" x14ac:dyDescent="0.3">
      <c r="A80" s="87" t="s">
        <v>155</v>
      </c>
      <c r="B80" s="88" t="s">
        <v>577</v>
      </c>
      <c r="C80" s="89">
        <v>45712</v>
      </c>
      <c r="D80" s="88" t="s">
        <v>42</v>
      </c>
      <c r="E80" s="88" t="s">
        <v>43</v>
      </c>
      <c r="F80" s="94">
        <v>804</v>
      </c>
      <c r="G80" s="94">
        <v>639</v>
      </c>
      <c r="H80" s="94">
        <v>43</v>
      </c>
      <c r="I80" s="94">
        <v>4020</v>
      </c>
      <c r="J80" s="94">
        <v>3144</v>
      </c>
      <c r="K80" s="94">
        <v>11</v>
      </c>
      <c r="L80" s="92" t="s">
        <v>58</v>
      </c>
      <c r="M80" s="92" t="s">
        <v>55</v>
      </c>
      <c r="N80" s="20"/>
    </row>
    <row r="81" spans="1:14" x14ac:dyDescent="0.3">
      <c r="A81" s="87" t="s">
        <v>155</v>
      </c>
      <c r="B81" s="88" t="s">
        <v>577</v>
      </c>
      <c r="C81" s="89">
        <v>45712</v>
      </c>
      <c r="D81" s="88" t="s">
        <v>42</v>
      </c>
      <c r="E81" s="88" t="s">
        <v>43</v>
      </c>
      <c r="F81" s="94">
        <v>804</v>
      </c>
      <c r="G81" s="94">
        <v>639</v>
      </c>
      <c r="H81" s="94">
        <v>43</v>
      </c>
      <c r="I81" s="94">
        <v>4020</v>
      </c>
      <c r="J81" s="94">
        <v>3144</v>
      </c>
      <c r="K81" s="94">
        <v>11</v>
      </c>
      <c r="L81" s="92" t="s">
        <v>44</v>
      </c>
      <c r="M81" s="92" t="s">
        <v>55</v>
      </c>
      <c r="N81" s="20"/>
    </row>
    <row r="82" spans="1:14" x14ac:dyDescent="0.3">
      <c r="A82" s="87" t="s">
        <v>156</v>
      </c>
      <c r="B82" s="88" t="s">
        <v>577</v>
      </c>
      <c r="C82" s="89">
        <v>45729</v>
      </c>
      <c r="D82" s="88" t="s">
        <v>42</v>
      </c>
      <c r="E82" s="88" t="s">
        <v>43</v>
      </c>
      <c r="F82" s="94">
        <v>1686</v>
      </c>
      <c r="G82" s="94">
        <v>904</v>
      </c>
      <c r="H82" s="94">
        <v>472</v>
      </c>
      <c r="I82" s="94">
        <v>18546</v>
      </c>
      <c r="J82" s="94">
        <v>18171</v>
      </c>
      <c r="K82" s="94">
        <v>52</v>
      </c>
      <c r="L82" s="92" t="s">
        <v>24</v>
      </c>
      <c r="M82" s="92" t="s">
        <v>25</v>
      </c>
      <c r="N82" s="20"/>
    </row>
    <row r="83" spans="1:14" x14ac:dyDescent="0.3">
      <c r="A83" s="87" t="s">
        <v>156</v>
      </c>
      <c r="B83" s="88" t="s">
        <v>577</v>
      </c>
      <c r="C83" s="89">
        <v>45729</v>
      </c>
      <c r="D83" s="88" t="s">
        <v>42</v>
      </c>
      <c r="E83" s="88" t="s">
        <v>43</v>
      </c>
      <c r="F83" s="94">
        <v>1686</v>
      </c>
      <c r="G83" s="94">
        <v>904</v>
      </c>
      <c r="H83" s="94">
        <v>472</v>
      </c>
      <c r="I83" s="94">
        <v>18546</v>
      </c>
      <c r="J83" s="94">
        <v>18171</v>
      </c>
      <c r="K83" s="94">
        <v>52</v>
      </c>
      <c r="L83" s="92" t="s">
        <v>77</v>
      </c>
      <c r="M83" s="92" t="s">
        <v>25</v>
      </c>
      <c r="N83" s="20"/>
    </row>
    <row r="84" spans="1:14" x14ac:dyDescent="0.3">
      <c r="A84" s="87" t="s">
        <v>158</v>
      </c>
      <c r="B84" s="88" t="s">
        <v>40</v>
      </c>
      <c r="C84" s="89">
        <v>45460</v>
      </c>
      <c r="D84" s="88" t="s">
        <v>49</v>
      </c>
      <c r="E84" s="88" t="s">
        <v>50</v>
      </c>
      <c r="F84" s="94">
        <v>1226</v>
      </c>
      <c r="G84" s="94">
        <v>119</v>
      </c>
      <c r="H84" s="94">
        <v>7</v>
      </c>
      <c r="I84" s="94">
        <v>14712</v>
      </c>
      <c r="J84" s="94">
        <v>14049</v>
      </c>
      <c r="K84" s="94">
        <v>123</v>
      </c>
      <c r="L84" s="92" t="s">
        <v>18</v>
      </c>
      <c r="M84" s="92" t="s">
        <v>55</v>
      </c>
      <c r="N84" s="20"/>
    </row>
    <row r="85" spans="1:14" x14ac:dyDescent="0.3">
      <c r="A85" s="87" t="s">
        <v>158</v>
      </c>
      <c r="B85" s="88" t="s">
        <v>40</v>
      </c>
      <c r="C85" s="89">
        <v>45460</v>
      </c>
      <c r="D85" s="88" t="s">
        <v>49</v>
      </c>
      <c r="E85" s="88" t="s">
        <v>50</v>
      </c>
      <c r="F85" s="94">
        <v>1226</v>
      </c>
      <c r="G85" s="94">
        <v>119</v>
      </c>
      <c r="H85" s="94">
        <v>7</v>
      </c>
      <c r="I85" s="94">
        <v>14712</v>
      </c>
      <c r="J85" s="94">
        <v>14049</v>
      </c>
      <c r="K85" s="94">
        <v>123</v>
      </c>
      <c r="L85" s="92" t="s">
        <v>44</v>
      </c>
      <c r="M85" s="92" t="s">
        <v>55</v>
      </c>
      <c r="N85" s="20"/>
    </row>
    <row r="86" spans="1:14" x14ac:dyDescent="0.3">
      <c r="A86" s="87" t="s">
        <v>160</v>
      </c>
      <c r="B86" s="88" t="s">
        <v>40</v>
      </c>
      <c r="C86" s="89">
        <v>45644</v>
      </c>
      <c r="D86" s="88" t="s">
        <v>42</v>
      </c>
      <c r="E86" s="88" t="s">
        <v>43</v>
      </c>
      <c r="F86" s="94">
        <v>2946</v>
      </c>
      <c r="G86" s="94">
        <v>498</v>
      </c>
      <c r="H86" s="94">
        <v>367</v>
      </c>
      <c r="I86" s="94">
        <v>29460</v>
      </c>
      <c r="J86" s="94">
        <v>28527</v>
      </c>
      <c r="K86" s="94">
        <v>60</v>
      </c>
      <c r="L86" s="92" t="s">
        <v>58</v>
      </c>
      <c r="M86" s="92" t="s">
        <v>25</v>
      </c>
      <c r="N86" s="20"/>
    </row>
    <row r="87" spans="1:14" x14ac:dyDescent="0.3">
      <c r="A87" s="87" t="s">
        <v>160</v>
      </c>
      <c r="B87" s="88" t="s">
        <v>40</v>
      </c>
      <c r="C87" s="89">
        <v>45644</v>
      </c>
      <c r="D87" s="88" t="s">
        <v>42</v>
      </c>
      <c r="E87" s="88" t="s">
        <v>43</v>
      </c>
      <c r="F87" s="94">
        <v>2946</v>
      </c>
      <c r="G87" s="94">
        <v>498</v>
      </c>
      <c r="H87" s="94">
        <v>367</v>
      </c>
      <c r="I87" s="94">
        <v>29460</v>
      </c>
      <c r="J87" s="94">
        <v>28527</v>
      </c>
      <c r="K87" s="94">
        <v>60</v>
      </c>
      <c r="L87" s="92" t="s">
        <v>77</v>
      </c>
      <c r="M87" s="92" t="s">
        <v>25</v>
      </c>
      <c r="N87" s="20"/>
    </row>
    <row r="88" spans="1:14" x14ac:dyDescent="0.3">
      <c r="A88" s="87" t="s">
        <v>163</v>
      </c>
      <c r="B88" s="88" t="s">
        <v>14</v>
      </c>
      <c r="C88" s="89">
        <v>45586</v>
      </c>
      <c r="D88" s="88" t="s">
        <v>69</v>
      </c>
      <c r="E88" s="88" t="s">
        <v>70</v>
      </c>
      <c r="F88" s="94">
        <v>2825</v>
      </c>
      <c r="G88" s="94">
        <v>535</v>
      </c>
      <c r="H88" s="94">
        <v>295</v>
      </c>
      <c r="I88" s="94">
        <v>45200</v>
      </c>
      <c r="J88" s="94">
        <v>44739</v>
      </c>
      <c r="K88" s="94">
        <v>169</v>
      </c>
      <c r="L88" s="92" t="s">
        <v>58</v>
      </c>
      <c r="M88" s="92" t="s">
        <v>25</v>
      </c>
      <c r="N88" s="20"/>
    </row>
    <row r="89" spans="1:14" x14ac:dyDescent="0.3">
      <c r="A89" s="87" t="s">
        <v>165</v>
      </c>
      <c r="B89" s="88" t="s">
        <v>31</v>
      </c>
      <c r="C89" s="89">
        <v>45762</v>
      </c>
      <c r="D89" s="88" t="s">
        <v>16</v>
      </c>
      <c r="E89" s="88" t="s">
        <v>17</v>
      </c>
      <c r="F89" s="94">
        <v>103</v>
      </c>
      <c r="G89" s="94">
        <v>770</v>
      </c>
      <c r="H89" s="94">
        <v>19</v>
      </c>
      <c r="I89" s="94">
        <v>1030</v>
      </c>
      <c r="J89" s="94">
        <v>410</v>
      </c>
      <c r="K89" s="94">
        <v>262</v>
      </c>
      <c r="L89" s="92" t="s">
        <v>18</v>
      </c>
      <c r="M89" s="92" t="s">
        <v>38</v>
      </c>
      <c r="N89" s="20"/>
    </row>
    <row r="90" spans="1:14" x14ac:dyDescent="0.3">
      <c r="A90" s="87" t="s">
        <v>167</v>
      </c>
      <c r="B90" s="88" t="s">
        <v>31</v>
      </c>
      <c r="C90" s="89">
        <v>45465</v>
      </c>
      <c r="D90" s="88" t="s">
        <v>22</v>
      </c>
      <c r="E90" s="88" t="s">
        <v>23</v>
      </c>
      <c r="F90" s="94">
        <v>2180</v>
      </c>
      <c r="G90" s="94">
        <v>263</v>
      </c>
      <c r="H90" s="94">
        <v>387</v>
      </c>
      <c r="I90" s="94">
        <v>30520</v>
      </c>
      <c r="J90" s="94">
        <v>30059</v>
      </c>
      <c r="K90" s="94">
        <v>174</v>
      </c>
      <c r="L90" s="92" t="s">
        <v>77</v>
      </c>
      <c r="M90" s="92" t="s">
        <v>19</v>
      </c>
      <c r="N90" s="20"/>
    </row>
    <row r="91" spans="1:14" x14ac:dyDescent="0.3">
      <c r="A91" s="87" t="s">
        <v>169</v>
      </c>
      <c r="B91" s="88" t="s">
        <v>31</v>
      </c>
      <c r="C91" s="89">
        <v>45685</v>
      </c>
      <c r="D91" s="88" t="s">
        <v>69</v>
      </c>
      <c r="E91" s="88" t="s">
        <v>70</v>
      </c>
      <c r="F91" s="94">
        <v>904</v>
      </c>
      <c r="G91" s="94">
        <v>973</v>
      </c>
      <c r="H91" s="94">
        <v>63</v>
      </c>
      <c r="I91" s="94">
        <v>11752</v>
      </c>
      <c r="J91" s="94">
        <v>11580</v>
      </c>
      <c r="K91" s="94">
        <v>84</v>
      </c>
      <c r="L91" s="92" t="s">
        <v>58</v>
      </c>
      <c r="M91" s="92" t="s">
        <v>19</v>
      </c>
      <c r="N91" s="20"/>
    </row>
    <row r="92" spans="1:14" x14ac:dyDescent="0.3">
      <c r="A92" s="87" t="s">
        <v>171</v>
      </c>
      <c r="B92" s="88" t="s">
        <v>14</v>
      </c>
      <c r="C92" s="89">
        <v>45540</v>
      </c>
      <c r="D92" s="88" t="s">
        <v>69</v>
      </c>
      <c r="E92" s="88" t="s">
        <v>70</v>
      </c>
      <c r="F92" s="94">
        <v>4886</v>
      </c>
      <c r="G92" s="94">
        <v>983</v>
      </c>
      <c r="H92" s="94">
        <v>409</v>
      </c>
      <c r="I92" s="94">
        <v>43974</v>
      </c>
      <c r="J92" s="94">
        <v>43239</v>
      </c>
      <c r="K92" s="94">
        <v>65</v>
      </c>
      <c r="L92" s="92" t="s">
        <v>24</v>
      </c>
      <c r="M92" s="92" t="s">
        <v>19</v>
      </c>
      <c r="N92" s="20"/>
    </row>
    <row r="93" spans="1:14" x14ac:dyDescent="0.3">
      <c r="A93" s="87" t="s">
        <v>173</v>
      </c>
      <c r="B93" s="88" t="s">
        <v>14</v>
      </c>
      <c r="C93" s="89">
        <v>45618</v>
      </c>
      <c r="D93" s="88" t="s">
        <v>42</v>
      </c>
      <c r="E93" s="88" t="s">
        <v>43</v>
      </c>
      <c r="F93" s="94">
        <v>53</v>
      </c>
      <c r="G93" s="94">
        <v>81</v>
      </c>
      <c r="H93" s="94">
        <v>379</v>
      </c>
      <c r="I93" s="94">
        <v>954</v>
      </c>
      <c r="J93" s="94">
        <v>7</v>
      </c>
      <c r="K93" s="94">
        <v>148</v>
      </c>
      <c r="L93" s="92" t="s">
        <v>77</v>
      </c>
      <c r="M93" s="92" t="s">
        <v>38</v>
      </c>
      <c r="N93" s="20"/>
    </row>
    <row r="94" spans="1:14" x14ac:dyDescent="0.3">
      <c r="A94" s="87" t="s">
        <v>175</v>
      </c>
      <c r="B94" s="88" t="s">
        <v>14</v>
      </c>
      <c r="C94" s="89">
        <v>45504</v>
      </c>
      <c r="D94" s="88" t="s">
        <v>42</v>
      </c>
      <c r="E94" s="88" t="s">
        <v>43</v>
      </c>
      <c r="F94" s="94">
        <v>4507</v>
      </c>
      <c r="G94" s="94">
        <v>217</v>
      </c>
      <c r="H94" s="94">
        <v>13</v>
      </c>
      <c r="I94" s="94">
        <v>90140</v>
      </c>
      <c r="J94" s="94">
        <v>89591</v>
      </c>
      <c r="K94" s="94">
        <v>125</v>
      </c>
      <c r="L94" s="92" t="s">
        <v>18</v>
      </c>
      <c r="M94" s="92" t="s">
        <v>19</v>
      </c>
      <c r="N94" s="20"/>
    </row>
    <row r="95" spans="1:14" x14ac:dyDescent="0.3">
      <c r="A95" s="87" t="s">
        <v>176</v>
      </c>
      <c r="B95" s="88" t="s">
        <v>40</v>
      </c>
      <c r="C95" s="89">
        <v>45521</v>
      </c>
      <c r="D95" s="88" t="s">
        <v>49</v>
      </c>
      <c r="E95" s="88" t="s">
        <v>50</v>
      </c>
      <c r="F95" s="94">
        <v>2878</v>
      </c>
      <c r="G95" s="94">
        <v>248</v>
      </c>
      <c r="H95" s="94">
        <v>416</v>
      </c>
      <c r="I95" s="94">
        <v>43170</v>
      </c>
      <c r="J95" s="94">
        <v>42667</v>
      </c>
      <c r="K95" s="94">
        <v>75</v>
      </c>
      <c r="L95" s="92" t="s">
        <v>77</v>
      </c>
      <c r="M95" s="92" t="s">
        <v>25</v>
      </c>
      <c r="N95" s="20"/>
    </row>
    <row r="96" spans="1:14" x14ac:dyDescent="0.3">
      <c r="A96" s="87" t="s">
        <v>176</v>
      </c>
      <c r="B96" s="88" t="s">
        <v>40</v>
      </c>
      <c r="C96" s="89">
        <v>45521</v>
      </c>
      <c r="D96" s="88" t="s">
        <v>49</v>
      </c>
      <c r="E96" s="88" t="s">
        <v>50</v>
      </c>
      <c r="F96" s="94">
        <v>2878</v>
      </c>
      <c r="G96" s="94">
        <v>248</v>
      </c>
      <c r="H96" s="94">
        <v>416</v>
      </c>
      <c r="I96" s="94">
        <v>43170</v>
      </c>
      <c r="J96" s="94">
        <v>42667</v>
      </c>
      <c r="K96" s="94">
        <v>75</v>
      </c>
      <c r="L96" s="92" t="s">
        <v>44</v>
      </c>
      <c r="M96" s="92" t="s">
        <v>25</v>
      </c>
      <c r="N96" s="20"/>
    </row>
    <row r="97" spans="1:14" x14ac:dyDescent="0.3">
      <c r="A97" s="87" t="s">
        <v>179</v>
      </c>
      <c r="B97" s="88" t="s">
        <v>31</v>
      </c>
      <c r="C97" s="89">
        <v>45744</v>
      </c>
      <c r="D97" s="88" t="s">
        <v>33</v>
      </c>
      <c r="E97" s="88" t="s">
        <v>34</v>
      </c>
      <c r="F97" s="94">
        <v>1881</v>
      </c>
      <c r="G97" s="94">
        <v>501</v>
      </c>
      <c r="H97" s="94">
        <v>99</v>
      </c>
      <c r="I97" s="94">
        <v>20691</v>
      </c>
      <c r="J97" s="94">
        <v>19987</v>
      </c>
      <c r="K97" s="94">
        <v>289</v>
      </c>
      <c r="L97" s="92" t="s">
        <v>77</v>
      </c>
      <c r="M97" s="92" t="s">
        <v>25</v>
      </c>
      <c r="N97" s="20"/>
    </row>
    <row r="98" spans="1:14" x14ac:dyDescent="0.3">
      <c r="A98" s="87" t="s">
        <v>181</v>
      </c>
      <c r="B98" s="88" t="s">
        <v>14</v>
      </c>
      <c r="C98" s="89">
        <v>45499</v>
      </c>
      <c r="D98" s="88" t="s">
        <v>42</v>
      </c>
      <c r="E98" s="88" t="s">
        <v>43</v>
      </c>
      <c r="F98" s="94">
        <v>432</v>
      </c>
      <c r="G98" s="94">
        <v>171</v>
      </c>
      <c r="H98" s="94">
        <v>280</v>
      </c>
      <c r="I98" s="94">
        <v>3024</v>
      </c>
      <c r="J98" s="94">
        <v>2285</v>
      </c>
      <c r="K98" s="94">
        <v>184</v>
      </c>
      <c r="L98" s="92" t="s">
        <v>24</v>
      </c>
      <c r="M98" s="92" t="s">
        <v>38</v>
      </c>
      <c r="N98" s="20"/>
    </row>
    <row r="99" spans="1:14" x14ac:dyDescent="0.3">
      <c r="A99" s="87" t="s">
        <v>183</v>
      </c>
      <c r="B99" s="88" t="s">
        <v>40</v>
      </c>
      <c r="C99" s="89">
        <v>45745</v>
      </c>
      <c r="D99" s="88" t="s">
        <v>42</v>
      </c>
      <c r="E99" s="88" t="s">
        <v>43</v>
      </c>
      <c r="F99" s="94">
        <v>4712</v>
      </c>
      <c r="G99" s="94">
        <v>568</v>
      </c>
      <c r="H99" s="94">
        <v>127</v>
      </c>
      <c r="I99" s="94">
        <v>84816</v>
      </c>
      <c r="J99" s="94">
        <v>84691</v>
      </c>
      <c r="K99" s="94">
        <v>100</v>
      </c>
      <c r="L99" s="92" t="s">
        <v>77</v>
      </c>
      <c r="M99" s="92" t="s">
        <v>19</v>
      </c>
      <c r="N99" s="20"/>
    </row>
    <row r="100" spans="1:14" x14ac:dyDescent="0.3">
      <c r="A100" s="87" t="s">
        <v>185</v>
      </c>
      <c r="B100" s="88" t="s">
        <v>31</v>
      </c>
      <c r="C100" s="89">
        <v>45634</v>
      </c>
      <c r="D100" s="88" t="s">
        <v>33</v>
      </c>
      <c r="E100" s="88" t="s">
        <v>34</v>
      </c>
      <c r="F100" s="94">
        <v>2610</v>
      </c>
      <c r="G100" s="94">
        <v>126</v>
      </c>
      <c r="H100" s="94">
        <v>288</v>
      </c>
      <c r="I100" s="94">
        <v>15660</v>
      </c>
      <c r="J100" s="94">
        <v>15145</v>
      </c>
      <c r="K100" s="94">
        <v>73</v>
      </c>
      <c r="L100" s="92" t="s">
        <v>24</v>
      </c>
      <c r="M100" s="92" t="s">
        <v>19</v>
      </c>
      <c r="N100" s="20"/>
    </row>
    <row r="101" spans="1:14" x14ac:dyDescent="0.3">
      <c r="A101" s="87" t="s">
        <v>187</v>
      </c>
      <c r="B101" s="88" t="s">
        <v>14</v>
      </c>
      <c r="C101" s="89">
        <v>45724</v>
      </c>
      <c r="D101" s="88" t="s">
        <v>22</v>
      </c>
      <c r="E101" s="88" t="s">
        <v>23</v>
      </c>
      <c r="F101" s="94">
        <v>1292</v>
      </c>
      <c r="G101" s="94">
        <v>626</v>
      </c>
      <c r="H101" s="94">
        <v>496</v>
      </c>
      <c r="I101" s="94">
        <v>25840</v>
      </c>
      <c r="J101" s="94">
        <v>24916</v>
      </c>
      <c r="K101" s="94">
        <v>149</v>
      </c>
      <c r="L101" s="92" t="s">
        <v>58</v>
      </c>
      <c r="M101" s="92" t="s">
        <v>55</v>
      </c>
      <c r="N101" s="20"/>
    </row>
    <row r="102" spans="1:14" x14ac:dyDescent="0.3">
      <c r="A102" s="87" t="s">
        <v>187</v>
      </c>
      <c r="B102" s="88" t="s">
        <v>14</v>
      </c>
      <c r="C102" s="89">
        <v>45724</v>
      </c>
      <c r="D102" s="88" t="s">
        <v>22</v>
      </c>
      <c r="E102" s="88" t="s">
        <v>23</v>
      </c>
      <c r="F102" s="94">
        <v>1292</v>
      </c>
      <c r="G102" s="94">
        <v>626</v>
      </c>
      <c r="H102" s="94">
        <v>496</v>
      </c>
      <c r="I102" s="94">
        <v>25840</v>
      </c>
      <c r="J102" s="94">
        <v>24916</v>
      </c>
      <c r="K102" s="94">
        <v>149</v>
      </c>
      <c r="L102" s="92" t="s">
        <v>44</v>
      </c>
      <c r="M102" s="92" t="s">
        <v>55</v>
      </c>
      <c r="N102" s="20"/>
    </row>
    <row r="103" spans="1:14" x14ac:dyDescent="0.3">
      <c r="A103" s="87" t="s">
        <v>188</v>
      </c>
      <c r="B103" s="88" t="s">
        <v>40</v>
      </c>
      <c r="C103" s="89">
        <v>45749</v>
      </c>
      <c r="D103" s="88" t="s">
        <v>69</v>
      </c>
      <c r="E103" s="88" t="s">
        <v>70</v>
      </c>
      <c r="F103" s="94">
        <v>199</v>
      </c>
      <c r="G103" s="94">
        <v>772</v>
      </c>
      <c r="H103" s="94">
        <v>400</v>
      </c>
      <c r="I103" s="94">
        <v>3582</v>
      </c>
      <c r="J103" s="94">
        <v>2988</v>
      </c>
      <c r="K103" s="94">
        <v>43</v>
      </c>
      <c r="L103" s="92" t="s">
        <v>44</v>
      </c>
      <c r="M103" s="92" t="s">
        <v>19</v>
      </c>
      <c r="N103" s="20"/>
    </row>
    <row r="104" spans="1:14" x14ac:dyDescent="0.3">
      <c r="A104" s="87" t="s">
        <v>190</v>
      </c>
      <c r="B104" s="88" t="s">
        <v>577</v>
      </c>
      <c r="C104" s="89">
        <v>45537</v>
      </c>
      <c r="D104" s="88" t="s">
        <v>42</v>
      </c>
      <c r="E104" s="88" t="s">
        <v>43</v>
      </c>
      <c r="F104" s="94">
        <v>2551</v>
      </c>
      <c r="G104" s="94">
        <v>915</v>
      </c>
      <c r="H104" s="94">
        <v>205</v>
      </c>
      <c r="I104" s="94">
        <v>30612</v>
      </c>
      <c r="J104" s="94">
        <v>30360</v>
      </c>
      <c r="K104" s="94">
        <v>227</v>
      </c>
      <c r="L104" s="92" t="s">
        <v>18</v>
      </c>
      <c r="M104" s="92" t="s">
        <v>25</v>
      </c>
      <c r="N104" s="20"/>
    </row>
    <row r="105" spans="1:14" x14ac:dyDescent="0.3">
      <c r="A105" s="87" t="s">
        <v>190</v>
      </c>
      <c r="B105" s="88" t="s">
        <v>577</v>
      </c>
      <c r="C105" s="89">
        <v>45537</v>
      </c>
      <c r="D105" s="88" t="s">
        <v>42</v>
      </c>
      <c r="E105" s="88" t="s">
        <v>43</v>
      </c>
      <c r="F105" s="94">
        <v>2551</v>
      </c>
      <c r="G105" s="94">
        <v>915</v>
      </c>
      <c r="H105" s="94">
        <v>205</v>
      </c>
      <c r="I105" s="94">
        <v>30612</v>
      </c>
      <c r="J105" s="94">
        <v>30360</v>
      </c>
      <c r="K105" s="94">
        <v>227</v>
      </c>
      <c r="L105" s="92" t="s">
        <v>77</v>
      </c>
      <c r="M105" s="92" t="s">
        <v>25</v>
      </c>
      <c r="N105" s="20"/>
    </row>
    <row r="106" spans="1:14" x14ac:dyDescent="0.3">
      <c r="A106" s="87" t="s">
        <v>192</v>
      </c>
      <c r="B106" s="88" t="s">
        <v>577</v>
      </c>
      <c r="C106" s="89">
        <v>45719</v>
      </c>
      <c r="D106" s="88" t="s">
        <v>16</v>
      </c>
      <c r="E106" s="88" t="s">
        <v>17</v>
      </c>
      <c r="F106" s="94">
        <v>296</v>
      </c>
      <c r="G106" s="94">
        <v>60</v>
      </c>
      <c r="H106" s="94">
        <v>141</v>
      </c>
      <c r="I106" s="94">
        <v>5624</v>
      </c>
      <c r="J106" s="94">
        <v>5239</v>
      </c>
      <c r="K106" s="94">
        <v>88</v>
      </c>
      <c r="L106" s="92" t="s">
        <v>44</v>
      </c>
      <c r="M106" s="92" t="s">
        <v>55</v>
      </c>
      <c r="N106" s="20"/>
    </row>
    <row r="107" spans="1:14" x14ac:dyDescent="0.3">
      <c r="A107" s="87" t="s">
        <v>194</v>
      </c>
      <c r="B107" s="88" t="s">
        <v>40</v>
      </c>
      <c r="C107" s="89">
        <v>45583</v>
      </c>
      <c r="D107" s="88" t="s">
        <v>33</v>
      </c>
      <c r="E107" s="88" t="s">
        <v>34</v>
      </c>
      <c r="F107" s="94">
        <v>4126</v>
      </c>
      <c r="G107" s="94">
        <v>426</v>
      </c>
      <c r="H107" s="94">
        <v>486</v>
      </c>
      <c r="I107" s="94">
        <v>78394</v>
      </c>
      <c r="J107" s="94">
        <v>77798</v>
      </c>
      <c r="K107" s="94">
        <v>88</v>
      </c>
      <c r="L107" s="92" t="s">
        <v>24</v>
      </c>
      <c r="M107" s="92" t="s">
        <v>19</v>
      </c>
      <c r="N107" s="20"/>
    </row>
    <row r="108" spans="1:14" x14ac:dyDescent="0.3">
      <c r="A108" s="87" t="s">
        <v>196</v>
      </c>
      <c r="B108" s="88" t="s">
        <v>577</v>
      </c>
      <c r="C108" s="89">
        <v>45593</v>
      </c>
      <c r="D108" s="88" t="s">
        <v>16</v>
      </c>
      <c r="E108" s="88" t="s">
        <v>17</v>
      </c>
      <c r="F108" s="94">
        <v>1855</v>
      </c>
      <c r="G108" s="94">
        <v>200</v>
      </c>
      <c r="H108" s="94">
        <v>174</v>
      </c>
      <c r="I108" s="94">
        <v>16695</v>
      </c>
      <c r="J108" s="94">
        <v>16330</v>
      </c>
      <c r="K108" s="94">
        <v>123</v>
      </c>
      <c r="L108" s="92" t="s">
        <v>24</v>
      </c>
      <c r="M108" s="92" t="s">
        <v>38</v>
      </c>
      <c r="N108" s="20"/>
    </row>
    <row r="109" spans="1:14" x14ac:dyDescent="0.3">
      <c r="A109" s="87" t="s">
        <v>198</v>
      </c>
      <c r="B109" s="88" t="s">
        <v>31</v>
      </c>
      <c r="C109" s="89">
        <v>45505</v>
      </c>
      <c r="D109" s="88" t="s">
        <v>16</v>
      </c>
      <c r="E109" s="88" t="s">
        <v>17</v>
      </c>
      <c r="F109" s="94">
        <v>1674</v>
      </c>
      <c r="G109" s="94">
        <v>929</v>
      </c>
      <c r="H109" s="94">
        <v>37</v>
      </c>
      <c r="I109" s="94">
        <v>21762</v>
      </c>
      <c r="J109" s="94">
        <v>20998</v>
      </c>
      <c r="K109" s="94">
        <v>255</v>
      </c>
      <c r="L109" s="92" t="s">
        <v>58</v>
      </c>
      <c r="M109" s="92" t="s">
        <v>38</v>
      </c>
      <c r="N109" s="20"/>
    </row>
    <row r="110" spans="1:14" x14ac:dyDescent="0.3">
      <c r="A110" s="87" t="s">
        <v>198</v>
      </c>
      <c r="B110" s="88" t="s">
        <v>31</v>
      </c>
      <c r="C110" s="89">
        <v>45505</v>
      </c>
      <c r="D110" s="88" t="s">
        <v>16</v>
      </c>
      <c r="E110" s="88" t="s">
        <v>17</v>
      </c>
      <c r="F110" s="94">
        <v>1674</v>
      </c>
      <c r="G110" s="94">
        <v>929</v>
      </c>
      <c r="H110" s="94">
        <v>37</v>
      </c>
      <c r="I110" s="94">
        <v>21762</v>
      </c>
      <c r="J110" s="94">
        <v>20998</v>
      </c>
      <c r="K110" s="94">
        <v>255</v>
      </c>
      <c r="L110" s="92" t="s">
        <v>77</v>
      </c>
      <c r="M110" s="92" t="s">
        <v>38</v>
      </c>
      <c r="N110" s="20"/>
    </row>
    <row r="111" spans="1:14" x14ac:dyDescent="0.3">
      <c r="A111" s="87" t="s">
        <v>200</v>
      </c>
      <c r="B111" s="88" t="s">
        <v>14</v>
      </c>
      <c r="C111" s="89">
        <v>45603</v>
      </c>
      <c r="D111" s="88" t="s">
        <v>33</v>
      </c>
      <c r="E111" s="88" t="s">
        <v>34</v>
      </c>
      <c r="F111" s="94">
        <v>1121</v>
      </c>
      <c r="G111" s="94">
        <v>135</v>
      </c>
      <c r="H111" s="94">
        <v>18</v>
      </c>
      <c r="I111" s="94">
        <v>15694</v>
      </c>
      <c r="J111" s="94">
        <v>14957</v>
      </c>
      <c r="K111" s="94">
        <v>99</v>
      </c>
      <c r="L111" s="92" t="s">
        <v>18</v>
      </c>
      <c r="M111" s="92" t="s">
        <v>55</v>
      </c>
      <c r="N111" s="20"/>
    </row>
    <row r="112" spans="1:14" x14ac:dyDescent="0.3">
      <c r="A112" s="87" t="s">
        <v>200</v>
      </c>
      <c r="B112" s="88" t="s">
        <v>14</v>
      </c>
      <c r="C112" s="89">
        <v>45603</v>
      </c>
      <c r="D112" s="88" t="s">
        <v>33</v>
      </c>
      <c r="E112" s="88" t="s">
        <v>34</v>
      </c>
      <c r="F112" s="94">
        <v>1121</v>
      </c>
      <c r="G112" s="94">
        <v>135</v>
      </c>
      <c r="H112" s="94">
        <v>18</v>
      </c>
      <c r="I112" s="94">
        <v>15694</v>
      </c>
      <c r="J112" s="94">
        <v>14957</v>
      </c>
      <c r="K112" s="94">
        <v>99</v>
      </c>
      <c r="L112" s="92" t="s">
        <v>24</v>
      </c>
      <c r="M112" s="92" t="s">
        <v>55</v>
      </c>
      <c r="N112" s="20"/>
    </row>
    <row r="113" spans="1:14" x14ac:dyDescent="0.3">
      <c r="A113" s="87" t="s">
        <v>202</v>
      </c>
      <c r="B113" s="88" t="s">
        <v>40</v>
      </c>
      <c r="C113" s="89">
        <v>45720</v>
      </c>
      <c r="D113" s="88" t="s">
        <v>33</v>
      </c>
      <c r="E113" s="88" t="s">
        <v>34</v>
      </c>
      <c r="F113" s="94">
        <v>1249</v>
      </c>
      <c r="G113" s="94">
        <v>116</v>
      </c>
      <c r="H113" s="94">
        <v>420</v>
      </c>
      <c r="I113" s="94">
        <v>8743</v>
      </c>
      <c r="J113" s="94">
        <v>8538</v>
      </c>
      <c r="K113" s="94">
        <v>63</v>
      </c>
      <c r="L113" s="92" t="s">
        <v>24</v>
      </c>
      <c r="M113" s="92" t="s">
        <v>38</v>
      </c>
      <c r="N113" s="20"/>
    </row>
    <row r="114" spans="1:14" x14ac:dyDescent="0.3">
      <c r="A114" s="87" t="s">
        <v>202</v>
      </c>
      <c r="B114" s="88" t="s">
        <v>40</v>
      </c>
      <c r="C114" s="89">
        <v>45720</v>
      </c>
      <c r="D114" s="88" t="s">
        <v>33</v>
      </c>
      <c r="E114" s="88" t="s">
        <v>34</v>
      </c>
      <c r="F114" s="94">
        <v>1249</v>
      </c>
      <c r="G114" s="94">
        <v>116</v>
      </c>
      <c r="H114" s="94">
        <v>420</v>
      </c>
      <c r="I114" s="94">
        <v>8743</v>
      </c>
      <c r="J114" s="94">
        <v>8538</v>
      </c>
      <c r="K114" s="94">
        <v>63</v>
      </c>
      <c r="L114" s="92" t="s">
        <v>77</v>
      </c>
      <c r="M114" s="92" t="s">
        <v>38</v>
      </c>
      <c r="N114" s="20"/>
    </row>
    <row r="115" spans="1:14" x14ac:dyDescent="0.3">
      <c r="A115" s="87" t="s">
        <v>203</v>
      </c>
      <c r="B115" s="88" t="s">
        <v>14</v>
      </c>
      <c r="C115" s="89">
        <v>45460</v>
      </c>
      <c r="D115" s="88" t="s">
        <v>49</v>
      </c>
      <c r="E115" s="88" t="s">
        <v>50</v>
      </c>
      <c r="F115" s="94">
        <v>954</v>
      </c>
      <c r="G115" s="94">
        <v>324</v>
      </c>
      <c r="H115" s="94">
        <v>288</v>
      </c>
      <c r="I115" s="94">
        <v>19080</v>
      </c>
      <c r="J115" s="94">
        <v>18859</v>
      </c>
      <c r="K115" s="94">
        <v>21</v>
      </c>
      <c r="L115" s="92" t="s">
        <v>44</v>
      </c>
      <c r="M115" s="92" t="s">
        <v>38</v>
      </c>
      <c r="N115" s="20"/>
    </row>
    <row r="116" spans="1:14" x14ac:dyDescent="0.3">
      <c r="A116" s="87" t="s">
        <v>204</v>
      </c>
      <c r="B116" s="88" t="s">
        <v>31</v>
      </c>
      <c r="C116" s="89">
        <v>45574</v>
      </c>
      <c r="D116" s="88" t="s">
        <v>42</v>
      </c>
      <c r="E116" s="88" t="s">
        <v>43</v>
      </c>
      <c r="F116" s="94">
        <v>3068</v>
      </c>
      <c r="G116" s="94">
        <v>137</v>
      </c>
      <c r="H116" s="94">
        <v>329</v>
      </c>
      <c r="I116" s="94">
        <v>39884</v>
      </c>
      <c r="J116" s="94">
        <v>39404</v>
      </c>
      <c r="K116" s="94">
        <v>266</v>
      </c>
      <c r="L116" s="92" t="s">
        <v>18</v>
      </c>
      <c r="M116" s="92" t="s">
        <v>38</v>
      </c>
      <c r="N116" s="20"/>
    </row>
    <row r="117" spans="1:14" x14ac:dyDescent="0.3">
      <c r="A117" s="87" t="s">
        <v>204</v>
      </c>
      <c r="B117" s="88" t="s">
        <v>31</v>
      </c>
      <c r="C117" s="89">
        <v>45574</v>
      </c>
      <c r="D117" s="88" t="s">
        <v>42</v>
      </c>
      <c r="E117" s="88" t="s">
        <v>43</v>
      </c>
      <c r="F117" s="94">
        <v>3068</v>
      </c>
      <c r="G117" s="94">
        <v>137</v>
      </c>
      <c r="H117" s="94">
        <v>329</v>
      </c>
      <c r="I117" s="94">
        <v>39884</v>
      </c>
      <c r="J117" s="94">
        <v>39404</v>
      </c>
      <c r="K117" s="94">
        <v>266</v>
      </c>
      <c r="L117" s="92" t="s">
        <v>44</v>
      </c>
      <c r="M117" s="92" t="s">
        <v>38</v>
      </c>
      <c r="N117" s="20"/>
    </row>
    <row r="118" spans="1:14" x14ac:dyDescent="0.3">
      <c r="A118" s="87" t="s">
        <v>206</v>
      </c>
      <c r="B118" s="88" t="s">
        <v>31</v>
      </c>
      <c r="C118" s="89">
        <v>45456</v>
      </c>
      <c r="D118" s="88" t="s">
        <v>33</v>
      </c>
      <c r="E118" s="88" t="s">
        <v>34</v>
      </c>
      <c r="F118" s="94">
        <v>2103</v>
      </c>
      <c r="G118" s="94">
        <v>892</v>
      </c>
      <c r="H118" s="94">
        <v>103</v>
      </c>
      <c r="I118" s="94">
        <v>39957</v>
      </c>
      <c r="J118" s="94">
        <v>39466</v>
      </c>
      <c r="K118" s="94">
        <v>28</v>
      </c>
      <c r="L118" s="92" t="s">
        <v>77</v>
      </c>
      <c r="M118" s="92" t="s">
        <v>25</v>
      </c>
      <c r="N118" s="20"/>
    </row>
    <row r="119" spans="1:14" x14ac:dyDescent="0.3">
      <c r="A119" s="87" t="s">
        <v>206</v>
      </c>
      <c r="B119" s="88" t="s">
        <v>31</v>
      </c>
      <c r="C119" s="89">
        <v>45456</v>
      </c>
      <c r="D119" s="88" t="s">
        <v>33</v>
      </c>
      <c r="E119" s="88" t="s">
        <v>34</v>
      </c>
      <c r="F119" s="94">
        <v>2103</v>
      </c>
      <c r="G119" s="94">
        <v>892</v>
      </c>
      <c r="H119" s="94">
        <v>103</v>
      </c>
      <c r="I119" s="94">
        <v>39957</v>
      </c>
      <c r="J119" s="94">
        <v>39466</v>
      </c>
      <c r="K119" s="94">
        <v>28</v>
      </c>
      <c r="L119" s="92" t="s">
        <v>24</v>
      </c>
      <c r="M119" s="92" t="s">
        <v>25</v>
      </c>
      <c r="N119" s="20"/>
    </row>
    <row r="120" spans="1:14" x14ac:dyDescent="0.3">
      <c r="A120" s="87" t="s">
        <v>207</v>
      </c>
      <c r="B120" s="88" t="s">
        <v>31</v>
      </c>
      <c r="C120" s="89">
        <v>45584</v>
      </c>
      <c r="D120" s="88" t="s">
        <v>33</v>
      </c>
      <c r="E120" s="88" t="s">
        <v>34</v>
      </c>
      <c r="F120" s="94">
        <v>1816</v>
      </c>
      <c r="G120" s="94">
        <v>29</v>
      </c>
      <c r="H120" s="94">
        <v>41</v>
      </c>
      <c r="I120" s="94">
        <v>19976</v>
      </c>
      <c r="J120" s="94">
        <v>19262</v>
      </c>
      <c r="K120" s="94">
        <v>283</v>
      </c>
      <c r="L120" s="92" t="s">
        <v>44</v>
      </c>
      <c r="M120" s="92" t="s">
        <v>38</v>
      </c>
      <c r="N120" s="20"/>
    </row>
    <row r="121" spans="1:14" x14ac:dyDescent="0.3">
      <c r="A121" s="87" t="s">
        <v>207</v>
      </c>
      <c r="B121" s="88" t="s">
        <v>31</v>
      </c>
      <c r="C121" s="89">
        <v>45584</v>
      </c>
      <c r="D121" s="88" t="s">
        <v>33</v>
      </c>
      <c r="E121" s="88" t="s">
        <v>34</v>
      </c>
      <c r="F121" s="94">
        <v>1816</v>
      </c>
      <c r="G121" s="94">
        <v>29</v>
      </c>
      <c r="H121" s="94">
        <v>41</v>
      </c>
      <c r="I121" s="94">
        <v>19976</v>
      </c>
      <c r="J121" s="94">
        <v>19262</v>
      </c>
      <c r="K121" s="94">
        <v>283</v>
      </c>
      <c r="L121" s="92" t="s">
        <v>18</v>
      </c>
      <c r="M121" s="92" t="s">
        <v>38</v>
      </c>
      <c r="N121" s="20"/>
    </row>
    <row r="122" spans="1:14" x14ac:dyDescent="0.3">
      <c r="A122" s="87" t="s">
        <v>210</v>
      </c>
      <c r="B122" s="88" t="s">
        <v>31</v>
      </c>
      <c r="C122" s="89">
        <v>45497</v>
      </c>
      <c r="D122" s="88" t="s">
        <v>49</v>
      </c>
      <c r="E122" s="88" t="s">
        <v>50</v>
      </c>
      <c r="F122" s="94">
        <v>725</v>
      </c>
      <c r="G122" s="94">
        <v>88</v>
      </c>
      <c r="H122" s="94">
        <v>428</v>
      </c>
      <c r="I122" s="94">
        <v>14500</v>
      </c>
      <c r="J122" s="94">
        <v>13637</v>
      </c>
      <c r="K122" s="94">
        <v>200</v>
      </c>
      <c r="L122" s="92" t="s">
        <v>44</v>
      </c>
      <c r="M122" s="92" t="s">
        <v>38</v>
      </c>
      <c r="N122" s="20"/>
    </row>
    <row r="123" spans="1:14" x14ac:dyDescent="0.3">
      <c r="A123" s="87" t="s">
        <v>212</v>
      </c>
      <c r="B123" s="88" t="s">
        <v>577</v>
      </c>
      <c r="C123" s="89">
        <v>45580</v>
      </c>
      <c r="D123" s="88" t="s">
        <v>69</v>
      </c>
      <c r="E123" s="88" t="s">
        <v>70</v>
      </c>
      <c r="F123" s="94">
        <v>1094</v>
      </c>
      <c r="G123" s="94">
        <v>472</v>
      </c>
      <c r="H123" s="94">
        <v>21</v>
      </c>
      <c r="I123" s="94">
        <v>9846</v>
      </c>
      <c r="J123" s="94">
        <v>9609</v>
      </c>
      <c r="K123" s="94">
        <v>112</v>
      </c>
      <c r="L123" s="92" t="s">
        <v>44</v>
      </c>
      <c r="M123" s="92" t="s">
        <v>38</v>
      </c>
      <c r="N123" s="20"/>
    </row>
    <row r="124" spans="1:14" x14ac:dyDescent="0.3">
      <c r="A124" s="87" t="s">
        <v>212</v>
      </c>
      <c r="B124" s="88" t="s">
        <v>577</v>
      </c>
      <c r="C124" s="89">
        <v>45580</v>
      </c>
      <c r="D124" s="88" t="s">
        <v>69</v>
      </c>
      <c r="E124" s="88" t="s">
        <v>70</v>
      </c>
      <c r="F124" s="94">
        <v>1094</v>
      </c>
      <c r="G124" s="94">
        <v>472</v>
      </c>
      <c r="H124" s="94">
        <v>21</v>
      </c>
      <c r="I124" s="94">
        <v>9846</v>
      </c>
      <c r="J124" s="94">
        <v>9609</v>
      </c>
      <c r="K124" s="94">
        <v>112</v>
      </c>
      <c r="L124" s="92" t="s">
        <v>58</v>
      </c>
      <c r="M124" s="92" t="s">
        <v>38</v>
      </c>
      <c r="N124" s="20"/>
    </row>
    <row r="125" spans="1:14" x14ac:dyDescent="0.3">
      <c r="A125" s="87" t="s">
        <v>215</v>
      </c>
      <c r="B125" s="88" t="s">
        <v>40</v>
      </c>
      <c r="C125" s="89">
        <v>45635</v>
      </c>
      <c r="D125" s="88" t="s">
        <v>49</v>
      </c>
      <c r="E125" s="88" t="s">
        <v>50</v>
      </c>
      <c r="F125" s="94">
        <v>1841</v>
      </c>
      <c r="G125" s="94">
        <v>851</v>
      </c>
      <c r="H125" s="94">
        <v>342</v>
      </c>
      <c r="I125" s="94">
        <v>34979</v>
      </c>
      <c r="J125" s="94">
        <v>34154</v>
      </c>
      <c r="K125" s="94">
        <v>255</v>
      </c>
      <c r="L125" s="92" t="s">
        <v>24</v>
      </c>
      <c r="M125" s="92" t="s">
        <v>19</v>
      </c>
      <c r="N125" s="20"/>
    </row>
    <row r="126" spans="1:14" x14ac:dyDescent="0.3">
      <c r="A126" s="87" t="s">
        <v>215</v>
      </c>
      <c r="B126" s="88" t="s">
        <v>40</v>
      </c>
      <c r="C126" s="89">
        <v>45635</v>
      </c>
      <c r="D126" s="88" t="s">
        <v>49</v>
      </c>
      <c r="E126" s="88" t="s">
        <v>50</v>
      </c>
      <c r="F126" s="94">
        <v>1841</v>
      </c>
      <c r="G126" s="94">
        <v>851</v>
      </c>
      <c r="H126" s="94">
        <v>342</v>
      </c>
      <c r="I126" s="94">
        <v>34979</v>
      </c>
      <c r="J126" s="94">
        <v>34154</v>
      </c>
      <c r="K126" s="94">
        <v>255</v>
      </c>
      <c r="L126" s="92" t="s">
        <v>77</v>
      </c>
      <c r="M126" s="92" t="s">
        <v>19</v>
      </c>
      <c r="N126" s="20"/>
    </row>
    <row r="127" spans="1:14" x14ac:dyDescent="0.3">
      <c r="A127" s="87" t="s">
        <v>217</v>
      </c>
      <c r="B127" s="88" t="s">
        <v>31</v>
      </c>
      <c r="C127" s="89">
        <v>45766</v>
      </c>
      <c r="D127" s="88" t="s">
        <v>49</v>
      </c>
      <c r="E127" s="88" t="s">
        <v>50</v>
      </c>
      <c r="F127" s="94">
        <v>4177</v>
      </c>
      <c r="G127" s="94">
        <v>569</v>
      </c>
      <c r="H127" s="94">
        <v>55</v>
      </c>
      <c r="I127" s="94">
        <v>25062</v>
      </c>
      <c r="J127" s="94">
        <v>24847</v>
      </c>
      <c r="K127" s="94">
        <v>230</v>
      </c>
      <c r="L127" s="92" t="s">
        <v>24</v>
      </c>
      <c r="M127" s="92" t="s">
        <v>19</v>
      </c>
      <c r="N127" s="20"/>
    </row>
    <row r="128" spans="1:14" x14ac:dyDescent="0.3">
      <c r="A128" s="87" t="s">
        <v>218</v>
      </c>
      <c r="B128" s="88" t="s">
        <v>577</v>
      </c>
      <c r="C128" s="89">
        <v>45684</v>
      </c>
      <c r="D128" s="88" t="s">
        <v>22</v>
      </c>
      <c r="E128" s="88" t="s">
        <v>23</v>
      </c>
      <c r="F128" s="94">
        <v>3428</v>
      </c>
      <c r="G128" s="94">
        <v>305</v>
      </c>
      <c r="H128" s="94">
        <v>85</v>
      </c>
      <c r="I128" s="94">
        <v>58276</v>
      </c>
      <c r="J128" s="94">
        <v>58052</v>
      </c>
      <c r="K128" s="94">
        <v>242</v>
      </c>
      <c r="L128" s="92" t="s">
        <v>44</v>
      </c>
      <c r="M128" s="92" t="s">
        <v>38</v>
      </c>
      <c r="N128" s="20"/>
    </row>
    <row r="129" spans="1:14" x14ac:dyDescent="0.3">
      <c r="A129" s="87" t="s">
        <v>218</v>
      </c>
      <c r="B129" s="88" t="s">
        <v>577</v>
      </c>
      <c r="C129" s="89">
        <v>45684</v>
      </c>
      <c r="D129" s="88" t="s">
        <v>22</v>
      </c>
      <c r="E129" s="88" t="s">
        <v>23</v>
      </c>
      <c r="F129" s="94">
        <v>3428</v>
      </c>
      <c r="G129" s="94">
        <v>305</v>
      </c>
      <c r="H129" s="94">
        <v>85</v>
      </c>
      <c r="I129" s="94">
        <v>58276</v>
      </c>
      <c r="J129" s="94">
        <v>58052</v>
      </c>
      <c r="K129" s="94">
        <v>242</v>
      </c>
      <c r="L129" s="92" t="s">
        <v>58</v>
      </c>
      <c r="M129" s="92" t="s">
        <v>38</v>
      </c>
      <c r="N129" s="20"/>
    </row>
    <row r="130" spans="1:14" x14ac:dyDescent="0.3">
      <c r="A130" s="87" t="s">
        <v>220</v>
      </c>
      <c r="B130" s="88" t="s">
        <v>14</v>
      </c>
      <c r="C130" s="89">
        <v>45449</v>
      </c>
      <c r="D130" s="88" t="s">
        <v>69</v>
      </c>
      <c r="E130" s="88" t="s">
        <v>70</v>
      </c>
      <c r="F130" s="94">
        <v>1436</v>
      </c>
      <c r="G130" s="94">
        <v>765</v>
      </c>
      <c r="H130" s="94">
        <v>496</v>
      </c>
      <c r="I130" s="94">
        <v>12924</v>
      </c>
      <c r="J130" s="94">
        <v>12701</v>
      </c>
      <c r="K130" s="94">
        <v>197</v>
      </c>
      <c r="L130" s="92" t="s">
        <v>44</v>
      </c>
      <c r="M130" s="92" t="s">
        <v>25</v>
      </c>
      <c r="N130" s="20"/>
    </row>
    <row r="131" spans="1:14" x14ac:dyDescent="0.3">
      <c r="A131" s="87" t="s">
        <v>220</v>
      </c>
      <c r="B131" s="88" t="s">
        <v>14</v>
      </c>
      <c r="C131" s="89">
        <v>45449</v>
      </c>
      <c r="D131" s="88" t="s">
        <v>69</v>
      </c>
      <c r="E131" s="88" t="s">
        <v>70</v>
      </c>
      <c r="F131" s="94">
        <v>1436</v>
      </c>
      <c r="G131" s="94">
        <v>765</v>
      </c>
      <c r="H131" s="94">
        <v>496</v>
      </c>
      <c r="I131" s="94">
        <v>12924</v>
      </c>
      <c r="J131" s="94">
        <v>12701</v>
      </c>
      <c r="K131" s="94">
        <v>197</v>
      </c>
      <c r="L131" s="92" t="s">
        <v>18</v>
      </c>
      <c r="M131" s="92" t="s">
        <v>25</v>
      </c>
      <c r="N131" s="20"/>
    </row>
    <row r="132" spans="1:14" x14ac:dyDescent="0.3">
      <c r="A132" s="87" t="s">
        <v>222</v>
      </c>
      <c r="B132" s="88" t="s">
        <v>40</v>
      </c>
      <c r="C132" s="89">
        <v>45480</v>
      </c>
      <c r="D132" s="88" t="s">
        <v>33</v>
      </c>
      <c r="E132" s="88" t="s">
        <v>34</v>
      </c>
      <c r="F132" s="94">
        <v>302</v>
      </c>
      <c r="G132" s="94">
        <v>47</v>
      </c>
      <c r="H132" s="94">
        <v>430</v>
      </c>
      <c r="I132" s="94">
        <v>5738</v>
      </c>
      <c r="J132" s="94">
        <v>4890</v>
      </c>
      <c r="K132" s="94">
        <v>25</v>
      </c>
      <c r="L132" s="92" t="s">
        <v>24</v>
      </c>
      <c r="M132" s="92" t="s">
        <v>25</v>
      </c>
      <c r="N132" s="20"/>
    </row>
    <row r="133" spans="1:14" x14ac:dyDescent="0.3">
      <c r="A133" s="87" t="s">
        <v>222</v>
      </c>
      <c r="B133" s="88" t="s">
        <v>40</v>
      </c>
      <c r="C133" s="89">
        <v>45480</v>
      </c>
      <c r="D133" s="88" t="s">
        <v>33</v>
      </c>
      <c r="E133" s="88" t="s">
        <v>34</v>
      </c>
      <c r="F133" s="94">
        <v>302</v>
      </c>
      <c r="G133" s="94">
        <v>47</v>
      </c>
      <c r="H133" s="94">
        <v>430</v>
      </c>
      <c r="I133" s="94">
        <v>5738</v>
      </c>
      <c r="J133" s="94">
        <v>4890</v>
      </c>
      <c r="K133" s="94">
        <v>25</v>
      </c>
      <c r="L133" s="92" t="s">
        <v>18</v>
      </c>
      <c r="M133" s="92" t="s">
        <v>25</v>
      </c>
      <c r="N133" s="20"/>
    </row>
    <row r="134" spans="1:14" x14ac:dyDescent="0.3">
      <c r="A134" s="87" t="s">
        <v>224</v>
      </c>
      <c r="B134" s="88" t="s">
        <v>14</v>
      </c>
      <c r="C134" s="89">
        <v>45667</v>
      </c>
      <c r="D134" s="88" t="s">
        <v>49</v>
      </c>
      <c r="E134" s="88" t="s">
        <v>50</v>
      </c>
      <c r="F134" s="94">
        <v>2214</v>
      </c>
      <c r="G134" s="94">
        <v>249</v>
      </c>
      <c r="H134" s="94">
        <v>152</v>
      </c>
      <c r="I134" s="94">
        <v>15498</v>
      </c>
      <c r="J134" s="94">
        <v>14800</v>
      </c>
      <c r="K134" s="94">
        <v>180</v>
      </c>
      <c r="L134" s="92" t="s">
        <v>18</v>
      </c>
      <c r="M134" s="92" t="s">
        <v>25</v>
      </c>
      <c r="N134" s="20"/>
    </row>
    <row r="135" spans="1:14" x14ac:dyDescent="0.3">
      <c r="A135" s="87" t="s">
        <v>226</v>
      </c>
      <c r="B135" s="88" t="s">
        <v>31</v>
      </c>
      <c r="C135" s="89">
        <v>45446</v>
      </c>
      <c r="D135" s="88" t="s">
        <v>49</v>
      </c>
      <c r="E135" s="88" t="s">
        <v>50</v>
      </c>
      <c r="F135" s="94">
        <v>3861</v>
      </c>
      <c r="G135" s="94">
        <v>960</v>
      </c>
      <c r="H135" s="94">
        <v>101</v>
      </c>
      <c r="I135" s="94">
        <v>69498</v>
      </c>
      <c r="J135" s="94">
        <v>68817</v>
      </c>
      <c r="K135" s="94">
        <v>297</v>
      </c>
      <c r="L135" s="92" t="s">
        <v>24</v>
      </c>
      <c r="M135" s="92" t="s">
        <v>25</v>
      </c>
      <c r="N135" s="20"/>
    </row>
    <row r="136" spans="1:14" x14ac:dyDescent="0.3">
      <c r="A136" s="87" t="s">
        <v>228</v>
      </c>
      <c r="B136" s="88" t="s">
        <v>40</v>
      </c>
      <c r="C136" s="89">
        <v>45740</v>
      </c>
      <c r="D136" s="88" t="s">
        <v>49</v>
      </c>
      <c r="E136" s="88" t="s">
        <v>50</v>
      </c>
      <c r="F136" s="94">
        <v>1263</v>
      </c>
      <c r="G136" s="94">
        <v>397</v>
      </c>
      <c r="H136" s="94">
        <v>357</v>
      </c>
      <c r="I136" s="94">
        <v>25260</v>
      </c>
      <c r="J136" s="94">
        <v>24615</v>
      </c>
      <c r="K136" s="94">
        <v>137</v>
      </c>
      <c r="L136" s="92" t="s">
        <v>18</v>
      </c>
      <c r="M136" s="92" t="s">
        <v>25</v>
      </c>
      <c r="N136" s="20"/>
    </row>
    <row r="137" spans="1:14" x14ac:dyDescent="0.3">
      <c r="A137" s="87" t="s">
        <v>230</v>
      </c>
      <c r="B137" s="88" t="s">
        <v>14</v>
      </c>
      <c r="C137" s="89">
        <v>45586</v>
      </c>
      <c r="D137" s="88" t="s">
        <v>33</v>
      </c>
      <c r="E137" s="88" t="s">
        <v>34</v>
      </c>
      <c r="F137" s="94">
        <v>3801</v>
      </c>
      <c r="G137" s="94">
        <v>967</v>
      </c>
      <c r="H137" s="94">
        <v>401</v>
      </c>
      <c r="I137" s="94">
        <v>38010</v>
      </c>
      <c r="J137" s="94">
        <v>37625</v>
      </c>
      <c r="K137" s="94">
        <v>236</v>
      </c>
      <c r="L137" s="92" t="s">
        <v>58</v>
      </c>
      <c r="M137" s="92" t="s">
        <v>55</v>
      </c>
      <c r="N137" s="20"/>
    </row>
    <row r="138" spans="1:14" x14ac:dyDescent="0.3">
      <c r="A138" s="87" t="s">
        <v>231</v>
      </c>
      <c r="B138" s="88" t="s">
        <v>31</v>
      </c>
      <c r="C138" s="89">
        <v>45637</v>
      </c>
      <c r="D138" s="88" t="s">
        <v>69</v>
      </c>
      <c r="E138" s="88" t="s">
        <v>70</v>
      </c>
      <c r="F138" s="94">
        <v>1431</v>
      </c>
      <c r="G138" s="94">
        <v>951</v>
      </c>
      <c r="H138" s="94">
        <v>26</v>
      </c>
      <c r="I138" s="94">
        <v>8586</v>
      </c>
      <c r="J138" s="94">
        <v>8396</v>
      </c>
      <c r="K138" s="94">
        <v>150</v>
      </c>
      <c r="L138" s="92" t="s">
        <v>44</v>
      </c>
      <c r="M138" s="92" t="s">
        <v>19</v>
      </c>
      <c r="N138" s="20"/>
    </row>
    <row r="139" spans="1:14" x14ac:dyDescent="0.3">
      <c r="A139" s="87" t="s">
        <v>231</v>
      </c>
      <c r="B139" s="88" t="s">
        <v>31</v>
      </c>
      <c r="C139" s="89">
        <v>45637</v>
      </c>
      <c r="D139" s="88" t="s">
        <v>69</v>
      </c>
      <c r="E139" s="88" t="s">
        <v>70</v>
      </c>
      <c r="F139" s="94">
        <v>1431</v>
      </c>
      <c r="G139" s="94">
        <v>951</v>
      </c>
      <c r="H139" s="94">
        <v>26</v>
      </c>
      <c r="I139" s="94">
        <v>8586</v>
      </c>
      <c r="J139" s="94">
        <v>8396</v>
      </c>
      <c r="K139" s="94">
        <v>150</v>
      </c>
      <c r="L139" s="92" t="s">
        <v>77</v>
      </c>
      <c r="M139" s="92" t="s">
        <v>19</v>
      </c>
      <c r="N139" s="20"/>
    </row>
    <row r="140" spans="1:14" x14ac:dyDescent="0.3">
      <c r="A140" s="87" t="s">
        <v>233</v>
      </c>
      <c r="B140" s="88" t="s">
        <v>31</v>
      </c>
      <c r="C140" s="89">
        <v>45603</v>
      </c>
      <c r="D140" s="88" t="s">
        <v>49</v>
      </c>
      <c r="E140" s="88" t="s">
        <v>50</v>
      </c>
      <c r="F140" s="94">
        <v>2647</v>
      </c>
      <c r="G140" s="94">
        <v>304</v>
      </c>
      <c r="H140" s="94">
        <v>170</v>
      </c>
      <c r="I140" s="94">
        <v>18529</v>
      </c>
      <c r="J140" s="94">
        <v>17841</v>
      </c>
      <c r="K140" s="94">
        <v>46</v>
      </c>
      <c r="L140" s="92" t="s">
        <v>58</v>
      </c>
      <c r="M140" s="92" t="s">
        <v>25</v>
      </c>
      <c r="N140" s="20"/>
    </row>
    <row r="141" spans="1:14" x14ac:dyDescent="0.3">
      <c r="A141" s="87" t="s">
        <v>234</v>
      </c>
      <c r="B141" s="88" t="s">
        <v>31</v>
      </c>
      <c r="C141" s="89">
        <v>45604</v>
      </c>
      <c r="D141" s="88" t="s">
        <v>22</v>
      </c>
      <c r="E141" s="88" t="s">
        <v>23</v>
      </c>
      <c r="F141" s="94">
        <v>3182</v>
      </c>
      <c r="G141" s="94">
        <v>559</v>
      </c>
      <c r="H141" s="94">
        <v>160</v>
      </c>
      <c r="I141" s="94">
        <v>57276</v>
      </c>
      <c r="J141" s="94">
        <v>56890</v>
      </c>
      <c r="K141" s="94">
        <v>163</v>
      </c>
      <c r="L141" s="92" t="s">
        <v>58</v>
      </c>
      <c r="M141" s="92" t="s">
        <v>25</v>
      </c>
      <c r="N141" s="20"/>
    </row>
    <row r="142" spans="1:14" x14ac:dyDescent="0.3">
      <c r="A142" s="87" t="s">
        <v>234</v>
      </c>
      <c r="B142" s="88" t="s">
        <v>31</v>
      </c>
      <c r="C142" s="89">
        <v>45604</v>
      </c>
      <c r="D142" s="88" t="s">
        <v>22</v>
      </c>
      <c r="E142" s="88" t="s">
        <v>23</v>
      </c>
      <c r="F142" s="94">
        <v>3182</v>
      </c>
      <c r="G142" s="94">
        <v>559</v>
      </c>
      <c r="H142" s="94">
        <v>160</v>
      </c>
      <c r="I142" s="94">
        <v>57276</v>
      </c>
      <c r="J142" s="94">
        <v>56890</v>
      </c>
      <c r="K142" s="94">
        <v>163</v>
      </c>
      <c r="L142" s="92" t="s">
        <v>44</v>
      </c>
      <c r="M142" s="92" t="s">
        <v>25</v>
      </c>
      <c r="N142" s="20"/>
    </row>
    <row r="143" spans="1:14" x14ac:dyDescent="0.3">
      <c r="A143" s="87" t="s">
        <v>236</v>
      </c>
      <c r="B143" s="88" t="s">
        <v>14</v>
      </c>
      <c r="C143" s="89">
        <v>45545</v>
      </c>
      <c r="D143" s="88" t="s">
        <v>49</v>
      </c>
      <c r="E143" s="88" t="s">
        <v>50</v>
      </c>
      <c r="F143" s="94">
        <v>1238</v>
      </c>
      <c r="G143" s="94">
        <v>366</v>
      </c>
      <c r="H143" s="94">
        <v>444</v>
      </c>
      <c r="I143" s="94">
        <v>19808</v>
      </c>
      <c r="J143" s="94">
        <v>19334</v>
      </c>
      <c r="K143" s="94">
        <v>123</v>
      </c>
      <c r="L143" s="92" t="s">
        <v>77</v>
      </c>
      <c r="M143" s="92" t="s">
        <v>38</v>
      </c>
      <c r="N143" s="20"/>
    </row>
    <row r="144" spans="1:14" x14ac:dyDescent="0.3">
      <c r="A144" s="87" t="s">
        <v>238</v>
      </c>
      <c r="B144" s="88" t="s">
        <v>31</v>
      </c>
      <c r="C144" s="89">
        <v>45517</v>
      </c>
      <c r="D144" s="88" t="s">
        <v>49</v>
      </c>
      <c r="E144" s="88" t="s">
        <v>50</v>
      </c>
      <c r="F144" s="94">
        <v>4739</v>
      </c>
      <c r="G144" s="94">
        <v>527</v>
      </c>
      <c r="H144" s="94">
        <v>135</v>
      </c>
      <c r="I144" s="94">
        <v>61607</v>
      </c>
      <c r="J144" s="94">
        <v>61333</v>
      </c>
      <c r="K144" s="94">
        <v>36</v>
      </c>
      <c r="L144" s="92" t="s">
        <v>58</v>
      </c>
      <c r="M144" s="92" t="s">
        <v>25</v>
      </c>
      <c r="N144" s="20"/>
    </row>
    <row r="145" spans="1:14" x14ac:dyDescent="0.3">
      <c r="A145" s="87" t="s">
        <v>238</v>
      </c>
      <c r="B145" s="88" t="s">
        <v>31</v>
      </c>
      <c r="C145" s="89">
        <v>45517</v>
      </c>
      <c r="D145" s="88" t="s">
        <v>49</v>
      </c>
      <c r="E145" s="88" t="s">
        <v>50</v>
      </c>
      <c r="F145" s="94">
        <v>4739</v>
      </c>
      <c r="G145" s="94">
        <v>527</v>
      </c>
      <c r="H145" s="94">
        <v>135</v>
      </c>
      <c r="I145" s="94">
        <v>61607</v>
      </c>
      <c r="J145" s="94">
        <v>61333</v>
      </c>
      <c r="K145" s="94">
        <v>36</v>
      </c>
      <c r="L145" s="92" t="s">
        <v>18</v>
      </c>
      <c r="M145" s="92" t="s">
        <v>25</v>
      </c>
      <c r="N145" s="20"/>
    </row>
    <row r="146" spans="1:14" x14ac:dyDescent="0.3">
      <c r="A146" s="87" t="s">
        <v>240</v>
      </c>
      <c r="B146" s="88" t="s">
        <v>14</v>
      </c>
      <c r="C146" s="89">
        <v>45453</v>
      </c>
      <c r="D146" s="88" t="s">
        <v>33</v>
      </c>
      <c r="E146" s="88" t="s">
        <v>34</v>
      </c>
      <c r="F146" s="94">
        <v>1575</v>
      </c>
      <c r="G146" s="94">
        <v>771</v>
      </c>
      <c r="H146" s="94">
        <v>486</v>
      </c>
      <c r="I146" s="94">
        <v>25200</v>
      </c>
      <c r="J146" s="94">
        <v>24826</v>
      </c>
      <c r="K146" s="94">
        <v>17</v>
      </c>
      <c r="L146" s="92" t="s">
        <v>58</v>
      </c>
      <c r="M146" s="92" t="s">
        <v>38</v>
      </c>
      <c r="N146" s="20"/>
    </row>
    <row r="147" spans="1:14" x14ac:dyDescent="0.3">
      <c r="A147" s="87" t="s">
        <v>241</v>
      </c>
      <c r="B147" s="88" t="s">
        <v>577</v>
      </c>
      <c r="C147" s="89">
        <v>45475</v>
      </c>
      <c r="D147" s="88" t="s">
        <v>42</v>
      </c>
      <c r="E147" s="88" t="s">
        <v>43</v>
      </c>
      <c r="F147" s="94">
        <v>4171</v>
      </c>
      <c r="G147" s="94">
        <v>548</v>
      </c>
      <c r="H147" s="94">
        <v>86</v>
      </c>
      <c r="I147" s="94">
        <v>66736</v>
      </c>
      <c r="J147" s="94">
        <v>66634</v>
      </c>
      <c r="K147" s="94">
        <v>173</v>
      </c>
      <c r="L147" s="92" t="s">
        <v>58</v>
      </c>
      <c r="M147" s="92" t="s">
        <v>38</v>
      </c>
      <c r="N147" s="20"/>
    </row>
    <row r="148" spans="1:14" x14ac:dyDescent="0.3">
      <c r="A148" s="87" t="s">
        <v>243</v>
      </c>
      <c r="B148" s="88" t="s">
        <v>577</v>
      </c>
      <c r="C148" s="89">
        <v>45698</v>
      </c>
      <c r="D148" s="88" t="s">
        <v>69</v>
      </c>
      <c r="E148" s="88" t="s">
        <v>70</v>
      </c>
      <c r="F148" s="94">
        <v>1766</v>
      </c>
      <c r="G148" s="94">
        <v>92</v>
      </c>
      <c r="H148" s="94">
        <v>424</v>
      </c>
      <c r="I148" s="94">
        <v>24724</v>
      </c>
      <c r="J148" s="94">
        <v>24333</v>
      </c>
      <c r="K148" s="94">
        <v>52</v>
      </c>
      <c r="L148" s="92" t="s">
        <v>58</v>
      </c>
      <c r="M148" s="92" t="s">
        <v>19</v>
      </c>
      <c r="N148" s="20"/>
    </row>
    <row r="149" spans="1:14" x14ac:dyDescent="0.3">
      <c r="A149" s="87" t="s">
        <v>245</v>
      </c>
      <c r="B149" s="88" t="s">
        <v>577</v>
      </c>
      <c r="C149" s="89">
        <v>45583</v>
      </c>
      <c r="D149" s="88" t="s">
        <v>69</v>
      </c>
      <c r="E149" s="88" t="s">
        <v>70</v>
      </c>
      <c r="F149" s="94">
        <v>4450</v>
      </c>
      <c r="G149" s="94">
        <v>983</v>
      </c>
      <c r="H149" s="94">
        <v>143</v>
      </c>
      <c r="I149" s="94">
        <v>75650</v>
      </c>
      <c r="J149" s="94">
        <v>75008</v>
      </c>
      <c r="K149" s="94">
        <v>12</v>
      </c>
      <c r="L149" s="92" t="s">
        <v>18</v>
      </c>
      <c r="M149" s="92" t="s">
        <v>25</v>
      </c>
      <c r="N149" s="20"/>
    </row>
    <row r="150" spans="1:14" x14ac:dyDescent="0.3">
      <c r="A150" s="87" t="s">
        <v>245</v>
      </c>
      <c r="B150" s="88" t="s">
        <v>577</v>
      </c>
      <c r="C150" s="89">
        <v>45583</v>
      </c>
      <c r="D150" s="88" t="s">
        <v>69</v>
      </c>
      <c r="E150" s="88" t="s">
        <v>70</v>
      </c>
      <c r="F150" s="94">
        <v>4450</v>
      </c>
      <c r="G150" s="94">
        <v>983</v>
      </c>
      <c r="H150" s="94">
        <v>143</v>
      </c>
      <c r="I150" s="94">
        <v>75650</v>
      </c>
      <c r="J150" s="94">
        <v>75008</v>
      </c>
      <c r="K150" s="94">
        <v>12</v>
      </c>
      <c r="L150" s="92" t="s">
        <v>58</v>
      </c>
      <c r="M150" s="92" t="s">
        <v>25</v>
      </c>
      <c r="N150" s="20"/>
    </row>
    <row r="151" spans="1:14" x14ac:dyDescent="0.3">
      <c r="A151" s="87" t="s">
        <v>246</v>
      </c>
      <c r="B151" s="88" t="s">
        <v>14</v>
      </c>
      <c r="C151" s="89">
        <v>45553</v>
      </c>
      <c r="D151" s="88" t="s">
        <v>16</v>
      </c>
      <c r="E151" s="88" t="s">
        <v>17</v>
      </c>
      <c r="F151" s="94">
        <v>1000</v>
      </c>
      <c r="G151" s="94">
        <v>978</v>
      </c>
      <c r="H151" s="94">
        <v>162</v>
      </c>
      <c r="I151" s="94">
        <v>6000</v>
      </c>
      <c r="J151" s="94">
        <v>5221</v>
      </c>
      <c r="K151" s="94">
        <v>223</v>
      </c>
      <c r="L151" s="92" t="s">
        <v>44</v>
      </c>
      <c r="M151" s="92" t="s">
        <v>38</v>
      </c>
      <c r="N151" s="20"/>
    </row>
    <row r="152" spans="1:14" x14ac:dyDescent="0.3">
      <c r="A152" s="87" t="s">
        <v>246</v>
      </c>
      <c r="B152" s="88" t="s">
        <v>14</v>
      </c>
      <c r="C152" s="89">
        <v>45553</v>
      </c>
      <c r="D152" s="88" t="s">
        <v>16</v>
      </c>
      <c r="E152" s="88" t="s">
        <v>17</v>
      </c>
      <c r="F152" s="94">
        <v>1000</v>
      </c>
      <c r="G152" s="94">
        <v>978</v>
      </c>
      <c r="H152" s="94">
        <v>162</v>
      </c>
      <c r="I152" s="94">
        <v>6000</v>
      </c>
      <c r="J152" s="94">
        <v>5221</v>
      </c>
      <c r="K152" s="94">
        <v>223</v>
      </c>
      <c r="L152" s="92" t="s">
        <v>24</v>
      </c>
      <c r="M152" s="92" t="s">
        <v>38</v>
      </c>
      <c r="N152" s="20"/>
    </row>
    <row r="153" spans="1:14" x14ac:dyDescent="0.3">
      <c r="A153" s="87" t="s">
        <v>248</v>
      </c>
      <c r="B153" s="88" t="s">
        <v>40</v>
      </c>
      <c r="C153" s="89">
        <v>45454</v>
      </c>
      <c r="D153" s="88" t="s">
        <v>49</v>
      </c>
      <c r="E153" s="88" t="s">
        <v>50</v>
      </c>
      <c r="F153" s="94">
        <v>3689</v>
      </c>
      <c r="G153" s="94">
        <v>48</v>
      </c>
      <c r="H153" s="94">
        <v>306</v>
      </c>
      <c r="I153" s="94">
        <v>40579</v>
      </c>
      <c r="J153" s="94">
        <v>39588</v>
      </c>
      <c r="K153" s="94">
        <v>212</v>
      </c>
      <c r="L153" s="92" t="s">
        <v>44</v>
      </c>
      <c r="M153" s="92" t="s">
        <v>19</v>
      </c>
      <c r="N153" s="20"/>
    </row>
    <row r="154" spans="1:14" x14ac:dyDescent="0.3">
      <c r="A154" s="87" t="s">
        <v>250</v>
      </c>
      <c r="B154" s="88" t="s">
        <v>577</v>
      </c>
      <c r="C154" s="89">
        <v>45739</v>
      </c>
      <c r="D154" s="88" t="s">
        <v>33</v>
      </c>
      <c r="E154" s="88" t="s">
        <v>34</v>
      </c>
      <c r="F154" s="94">
        <v>3655</v>
      </c>
      <c r="G154" s="94">
        <v>568</v>
      </c>
      <c r="H154" s="94">
        <v>286</v>
      </c>
      <c r="I154" s="94">
        <v>32895</v>
      </c>
      <c r="J154" s="94">
        <v>32015</v>
      </c>
      <c r="K154" s="94">
        <v>199</v>
      </c>
      <c r="L154" s="92" t="s">
        <v>44</v>
      </c>
      <c r="M154" s="92" t="s">
        <v>55</v>
      </c>
      <c r="N154" s="20"/>
    </row>
    <row r="155" spans="1:14" x14ac:dyDescent="0.3">
      <c r="A155" s="87" t="s">
        <v>252</v>
      </c>
      <c r="B155" s="88" t="s">
        <v>31</v>
      </c>
      <c r="C155" s="89">
        <v>45457</v>
      </c>
      <c r="D155" s="88" t="s">
        <v>42</v>
      </c>
      <c r="E155" s="88" t="s">
        <v>43</v>
      </c>
      <c r="F155" s="94">
        <v>498</v>
      </c>
      <c r="G155" s="94">
        <v>38</v>
      </c>
      <c r="H155" s="94">
        <v>42</v>
      </c>
      <c r="I155" s="94">
        <v>4482</v>
      </c>
      <c r="J155" s="94">
        <v>3647</v>
      </c>
      <c r="K155" s="94">
        <v>32</v>
      </c>
      <c r="L155" s="92" t="s">
        <v>58</v>
      </c>
      <c r="M155" s="92" t="s">
        <v>55</v>
      </c>
      <c r="N155" s="20"/>
    </row>
    <row r="156" spans="1:14" x14ac:dyDescent="0.3">
      <c r="A156" s="87" t="s">
        <v>252</v>
      </c>
      <c r="B156" s="88" t="s">
        <v>31</v>
      </c>
      <c r="C156" s="89">
        <v>45457</v>
      </c>
      <c r="D156" s="88" t="s">
        <v>42</v>
      </c>
      <c r="E156" s="88" t="s">
        <v>43</v>
      </c>
      <c r="F156" s="94">
        <v>498</v>
      </c>
      <c r="G156" s="94">
        <v>38</v>
      </c>
      <c r="H156" s="94">
        <v>42</v>
      </c>
      <c r="I156" s="94">
        <v>4482</v>
      </c>
      <c r="J156" s="94">
        <v>3647</v>
      </c>
      <c r="K156" s="94">
        <v>32</v>
      </c>
      <c r="L156" s="92" t="s">
        <v>77</v>
      </c>
      <c r="M156" s="92" t="s">
        <v>55</v>
      </c>
      <c r="N156" s="20"/>
    </row>
    <row r="157" spans="1:14" x14ac:dyDescent="0.3">
      <c r="A157" s="87" t="s">
        <v>254</v>
      </c>
      <c r="B157" s="88" t="s">
        <v>31</v>
      </c>
      <c r="C157" s="89">
        <v>45692</v>
      </c>
      <c r="D157" s="88" t="s">
        <v>49</v>
      </c>
      <c r="E157" s="88" t="s">
        <v>50</v>
      </c>
      <c r="F157" s="94">
        <v>4619</v>
      </c>
      <c r="G157" s="94">
        <v>821</v>
      </c>
      <c r="H157" s="94">
        <v>499</v>
      </c>
      <c r="I157" s="94">
        <v>69285</v>
      </c>
      <c r="J157" s="94">
        <v>69141</v>
      </c>
      <c r="K157" s="94">
        <v>298</v>
      </c>
      <c r="L157" s="92" t="s">
        <v>24</v>
      </c>
      <c r="M157" s="92" t="s">
        <v>19</v>
      </c>
      <c r="N157" s="20"/>
    </row>
    <row r="158" spans="1:14" x14ac:dyDescent="0.3">
      <c r="A158" s="87" t="s">
        <v>256</v>
      </c>
      <c r="B158" s="88" t="s">
        <v>577</v>
      </c>
      <c r="C158" s="89">
        <v>45464</v>
      </c>
      <c r="D158" s="88" t="s">
        <v>49</v>
      </c>
      <c r="E158" s="88" t="s">
        <v>50</v>
      </c>
      <c r="F158" s="94">
        <v>4832</v>
      </c>
      <c r="G158" s="94">
        <v>893</v>
      </c>
      <c r="H158" s="94">
        <v>10</v>
      </c>
      <c r="I158" s="94">
        <v>91808</v>
      </c>
      <c r="J158" s="94">
        <v>91296</v>
      </c>
      <c r="K158" s="94">
        <v>182</v>
      </c>
      <c r="L158" s="92" t="s">
        <v>18</v>
      </c>
      <c r="M158" s="92" t="s">
        <v>38</v>
      </c>
      <c r="N158" s="20"/>
    </row>
    <row r="159" spans="1:14" x14ac:dyDescent="0.3">
      <c r="A159" s="87" t="s">
        <v>256</v>
      </c>
      <c r="B159" s="88" t="s">
        <v>577</v>
      </c>
      <c r="C159" s="89">
        <v>45464</v>
      </c>
      <c r="D159" s="88" t="s">
        <v>49</v>
      </c>
      <c r="E159" s="88" t="s">
        <v>50</v>
      </c>
      <c r="F159" s="94">
        <v>4832</v>
      </c>
      <c r="G159" s="94">
        <v>893</v>
      </c>
      <c r="H159" s="94">
        <v>10</v>
      </c>
      <c r="I159" s="94">
        <v>91808</v>
      </c>
      <c r="J159" s="94">
        <v>91296</v>
      </c>
      <c r="K159" s="94">
        <v>182</v>
      </c>
      <c r="L159" s="92" t="s">
        <v>58</v>
      </c>
      <c r="M159" s="92" t="s">
        <v>38</v>
      </c>
      <c r="N159" s="20"/>
    </row>
    <row r="160" spans="1:14" x14ac:dyDescent="0.3">
      <c r="A160" s="87" t="s">
        <v>258</v>
      </c>
      <c r="B160" s="88" t="s">
        <v>14</v>
      </c>
      <c r="C160" s="89">
        <v>45741</v>
      </c>
      <c r="D160" s="88" t="s">
        <v>69</v>
      </c>
      <c r="E160" s="88" t="s">
        <v>70</v>
      </c>
      <c r="F160" s="94">
        <v>4050</v>
      </c>
      <c r="G160" s="94">
        <v>871</v>
      </c>
      <c r="H160" s="94">
        <v>347</v>
      </c>
      <c r="I160" s="94">
        <v>52650</v>
      </c>
      <c r="J160" s="94">
        <v>51755</v>
      </c>
      <c r="K160" s="94">
        <v>209</v>
      </c>
      <c r="L160" s="92" t="s">
        <v>58</v>
      </c>
      <c r="M160" s="92" t="s">
        <v>19</v>
      </c>
      <c r="N160" s="20"/>
    </row>
    <row r="161" spans="1:14" x14ac:dyDescent="0.3">
      <c r="A161" s="87" t="s">
        <v>258</v>
      </c>
      <c r="B161" s="88" t="s">
        <v>14</v>
      </c>
      <c r="C161" s="89">
        <v>45741</v>
      </c>
      <c r="D161" s="88" t="s">
        <v>69</v>
      </c>
      <c r="E161" s="88" t="s">
        <v>70</v>
      </c>
      <c r="F161" s="94">
        <v>4050</v>
      </c>
      <c r="G161" s="94">
        <v>871</v>
      </c>
      <c r="H161" s="94">
        <v>347</v>
      </c>
      <c r="I161" s="94">
        <v>52650</v>
      </c>
      <c r="J161" s="94">
        <v>51755</v>
      </c>
      <c r="K161" s="94">
        <v>209</v>
      </c>
      <c r="L161" s="92" t="s">
        <v>77</v>
      </c>
      <c r="M161" s="92" t="s">
        <v>19</v>
      </c>
      <c r="N161" s="20"/>
    </row>
    <row r="162" spans="1:14" x14ac:dyDescent="0.3">
      <c r="A162" s="87" t="s">
        <v>260</v>
      </c>
      <c r="B162" s="88" t="s">
        <v>14</v>
      </c>
      <c r="C162" s="89">
        <v>45512</v>
      </c>
      <c r="D162" s="88" t="s">
        <v>33</v>
      </c>
      <c r="E162" s="88" t="s">
        <v>34</v>
      </c>
      <c r="F162" s="94">
        <v>3649</v>
      </c>
      <c r="G162" s="94">
        <v>215</v>
      </c>
      <c r="H162" s="94">
        <v>413</v>
      </c>
      <c r="I162" s="94">
        <v>25543</v>
      </c>
      <c r="J162" s="94">
        <v>24963</v>
      </c>
      <c r="K162" s="94">
        <v>167</v>
      </c>
      <c r="L162" s="92" t="s">
        <v>24</v>
      </c>
      <c r="M162" s="92" t="s">
        <v>19</v>
      </c>
      <c r="N162" s="20"/>
    </row>
    <row r="163" spans="1:14" x14ac:dyDescent="0.3">
      <c r="A163" s="87" t="s">
        <v>260</v>
      </c>
      <c r="B163" s="88" t="s">
        <v>14</v>
      </c>
      <c r="C163" s="89">
        <v>45512</v>
      </c>
      <c r="D163" s="88" t="s">
        <v>33</v>
      </c>
      <c r="E163" s="88" t="s">
        <v>34</v>
      </c>
      <c r="F163" s="94">
        <v>3649</v>
      </c>
      <c r="G163" s="94">
        <v>215</v>
      </c>
      <c r="H163" s="94">
        <v>413</v>
      </c>
      <c r="I163" s="94">
        <v>25543</v>
      </c>
      <c r="J163" s="94">
        <v>24963</v>
      </c>
      <c r="K163" s="94">
        <v>167</v>
      </c>
      <c r="L163" s="92" t="s">
        <v>58</v>
      </c>
      <c r="M163" s="92" t="s">
        <v>19</v>
      </c>
      <c r="N163" s="20"/>
    </row>
    <row r="164" spans="1:14" x14ac:dyDescent="0.3">
      <c r="A164" s="87" t="s">
        <v>262</v>
      </c>
      <c r="B164" s="88" t="s">
        <v>31</v>
      </c>
      <c r="C164" s="89">
        <v>45502</v>
      </c>
      <c r="D164" s="88" t="s">
        <v>16</v>
      </c>
      <c r="E164" s="88" t="s">
        <v>17</v>
      </c>
      <c r="F164" s="94">
        <v>3523</v>
      </c>
      <c r="G164" s="94">
        <v>753</v>
      </c>
      <c r="H164" s="94">
        <v>482</v>
      </c>
      <c r="I164" s="94">
        <v>38753</v>
      </c>
      <c r="J164" s="94">
        <v>38579</v>
      </c>
      <c r="K164" s="94">
        <v>270</v>
      </c>
      <c r="L164" s="92" t="s">
        <v>77</v>
      </c>
      <c r="M164" s="92" t="s">
        <v>25</v>
      </c>
      <c r="N164" s="20"/>
    </row>
    <row r="165" spans="1:14" x14ac:dyDescent="0.3">
      <c r="A165" s="87" t="s">
        <v>262</v>
      </c>
      <c r="B165" s="88" t="s">
        <v>31</v>
      </c>
      <c r="C165" s="89">
        <v>45502</v>
      </c>
      <c r="D165" s="88" t="s">
        <v>16</v>
      </c>
      <c r="E165" s="88" t="s">
        <v>17</v>
      </c>
      <c r="F165" s="94">
        <v>3523</v>
      </c>
      <c r="G165" s="94">
        <v>753</v>
      </c>
      <c r="H165" s="94">
        <v>482</v>
      </c>
      <c r="I165" s="94">
        <v>38753</v>
      </c>
      <c r="J165" s="94">
        <v>38579</v>
      </c>
      <c r="K165" s="94">
        <v>270</v>
      </c>
      <c r="L165" s="92" t="s">
        <v>58</v>
      </c>
      <c r="M165" s="92" t="s">
        <v>25</v>
      </c>
      <c r="N165" s="20"/>
    </row>
    <row r="166" spans="1:14" x14ac:dyDescent="0.3">
      <c r="A166" s="87" t="s">
        <v>265</v>
      </c>
      <c r="B166" s="88" t="s">
        <v>577</v>
      </c>
      <c r="C166" s="89">
        <v>45619</v>
      </c>
      <c r="D166" s="88" t="s">
        <v>49</v>
      </c>
      <c r="E166" s="88" t="s">
        <v>50</v>
      </c>
      <c r="F166" s="94">
        <v>2719</v>
      </c>
      <c r="G166" s="94">
        <v>17</v>
      </c>
      <c r="H166" s="94">
        <v>285</v>
      </c>
      <c r="I166" s="94">
        <v>40785</v>
      </c>
      <c r="J166" s="94">
        <v>40281</v>
      </c>
      <c r="K166" s="94">
        <v>40</v>
      </c>
      <c r="L166" s="92" t="s">
        <v>24</v>
      </c>
      <c r="M166" s="92" t="s">
        <v>38</v>
      </c>
      <c r="N166" s="20"/>
    </row>
    <row r="167" spans="1:14" x14ac:dyDescent="0.3">
      <c r="A167" s="87" t="s">
        <v>265</v>
      </c>
      <c r="B167" s="88" t="s">
        <v>577</v>
      </c>
      <c r="C167" s="89">
        <v>45619</v>
      </c>
      <c r="D167" s="88" t="s">
        <v>49</v>
      </c>
      <c r="E167" s="88" t="s">
        <v>50</v>
      </c>
      <c r="F167" s="94">
        <v>2719</v>
      </c>
      <c r="G167" s="94">
        <v>17</v>
      </c>
      <c r="H167" s="94">
        <v>285</v>
      </c>
      <c r="I167" s="94">
        <v>40785</v>
      </c>
      <c r="J167" s="94">
        <v>40281</v>
      </c>
      <c r="K167" s="94">
        <v>40</v>
      </c>
      <c r="L167" s="92" t="s">
        <v>58</v>
      </c>
      <c r="M167" s="92" t="s">
        <v>38</v>
      </c>
      <c r="N167" s="20"/>
    </row>
    <row r="168" spans="1:14" x14ac:dyDescent="0.3">
      <c r="A168" s="87" t="s">
        <v>267</v>
      </c>
      <c r="B168" s="88" t="s">
        <v>14</v>
      </c>
      <c r="C168" s="89">
        <v>45570</v>
      </c>
      <c r="D168" s="88" t="s">
        <v>33</v>
      </c>
      <c r="E168" s="88" t="s">
        <v>34</v>
      </c>
      <c r="F168" s="94">
        <v>1957</v>
      </c>
      <c r="G168" s="94">
        <v>877</v>
      </c>
      <c r="H168" s="94">
        <v>238</v>
      </c>
      <c r="I168" s="94">
        <v>17613</v>
      </c>
      <c r="J168" s="94">
        <v>16865</v>
      </c>
      <c r="K168" s="94">
        <v>297</v>
      </c>
      <c r="L168" s="92" t="s">
        <v>24</v>
      </c>
      <c r="M168" s="92" t="s">
        <v>38</v>
      </c>
      <c r="N168" s="20"/>
    </row>
    <row r="169" spans="1:14" x14ac:dyDescent="0.3">
      <c r="A169" s="87" t="s">
        <v>267</v>
      </c>
      <c r="B169" s="88" t="s">
        <v>14</v>
      </c>
      <c r="C169" s="89">
        <v>45570</v>
      </c>
      <c r="D169" s="88" t="s">
        <v>33</v>
      </c>
      <c r="E169" s="88" t="s">
        <v>34</v>
      </c>
      <c r="F169" s="94">
        <v>1957</v>
      </c>
      <c r="G169" s="94">
        <v>877</v>
      </c>
      <c r="H169" s="94">
        <v>238</v>
      </c>
      <c r="I169" s="94">
        <v>17613</v>
      </c>
      <c r="J169" s="94">
        <v>16865</v>
      </c>
      <c r="K169" s="94">
        <v>297</v>
      </c>
      <c r="L169" s="92" t="s">
        <v>18</v>
      </c>
      <c r="M169" s="92" t="s">
        <v>38</v>
      </c>
      <c r="N169" s="20"/>
    </row>
    <row r="170" spans="1:14" x14ac:dyDescent="0.3">
      <c r="A170" s="87" t="s">
        <v>269</v>
      </c>
      <c r="B170" s="88" t="s">
        <v>14</v>
      </c>
      <c r="C170" s="89">
        <v>45567</v>
      </c>
      <c r="D170" s="88" t="s">
        <v>42</v>
      </c>
      <c r="E170" s="88" t="s">
        <v>43</v>
      </c>
      <c r="F170" s="94">
        <v>4419</v>
      </c>
      <c r="G170" s="94">
        <v>236</v>
      </c>
      <c r="H170" s="94">
        <v>369</v>
      </c>
      <c r="I170" s="94">
        <v>44190</v>
      </c>
      <c r="J170" s="94">
        <v>43582</v>
      </c>
      <c r="K170" s="94">
        <v>10</v>
      </c>
      <c r="L170" s="92" t="s">
        <v>44</v>
      </c>
      <c r="M170" s="92" t="s">
        <v>55</v>
      </c>
      <c r="N170" s="20"/>
    </row>
    <row r="171" spans="1:14" x14ac:dyDescent="0.3">
      <c r="A171" s="87" t="s">
        <v>271</v>
      </c>
      <c r="B171" s="88" t="s">
        <v>14</v>
      </c>
      <c r="C171" s="89">
        <v>45610</v>
      </c>
      <c r="D171" s="88" t="s">
        <v>33</v>
      </c>
      <c r="E171" s="88" t="s">
        <v>34</v>
      </c>
      <c r="F171" s="94">
        <v>4000</v>
      </c>
      <c r="G171" s="94">
        <v>689</v>
      </c>
      <c r="H171" s="94">
        <v>488</v>
      </c>
      <c r="I171" s="94">
        <v>40000</v>
      </c>
      <c r="J171" s="94">
        <v>39569</v>
      </c>
      <c r="K171" s="94">
        <v>44</v>
      </c>
      <c r="L171" s="92" t="s">
        <v>77</v>
      </c>
      <c r="M171" s="92" t="s">
        <v>38</v>
      </c>
      <c r="N171" s="20"/>
    </row>
    <row r="172" spans="1:14" x14ac:dyDescent="0.3">
      <c r="A172" s="87" t="s">
        <v>271</v>
      </c>
      <c r="B172" s="88" t="s">
        <v>14</v>
      </c>
      <c r="C172" s="89">
        <v>45610</v>
      </c>
      <c r="D172" s="88" t="s">
        <v>33</v>
      </c>
      <c r="E172" s="88" t="s">
        <v>34</v>
      </c>
      <c r="F172" s="94">
        <v>4000</v>
      </c>
      <c r="G172" s="94">
        <v>689</v>
      </c>
      <c r="H172" s="94">
        <v>488</v>
      </c>
      <c r="I172" s="94">
        <v>40000</v>
      </c>
      <c r="J172" s="94">
        <v>39569</v>
      </c>
      <c r="K172" s="94">
        <v>44</v>
      </c>
      <c r="L172" s="92" t="s">
        <v>24</v>
      </c>
      <c r="M172" s="92" t="s">
        <v>38</v>
      </c>
      <c r="N172" s="20"/>
    </row>
    <row r="173" spans="1:14" x14ac:dyDescent="0.3">
      <c r="A173" s="87" t="s">
        <v>273</v>
      </c>
      <c r="B173" s="88" t="s">
        <v>14</v>
      </c>
      <c r="C173" s="89">
        <v>45788</v>
      </c>
      <c r="D173" s="88" t="s">
        <v>49</v>
      </c>
      <c r="E173" s="88" t="s">
        <v>50</v>
      </c>
      <c r="F173" s="94">
        <v>2493</v>
      </c>
      <c r="G173" s="94">
        <v>97</v>
      </c>
      <c r="H173" s="94">
        <v>44</v>
      </c>
      <c r="I173" s="94">
        <v>42381</v>
      </c>
      <c r="J173" s="94">
        <v>41991</v>
      </c>
      <c r="K173" s="94">
        <v>242</v>
      </c>
      <c r="L173" s="92" t="s">
        <v>18</v>
      </c>
      <c r="M173" s="92" t="s">
        <v>19</v>
      </c>
      <c r="N173" s="20"/>
    </row>
    <row r="174" spans="1:14" x14ac:dyDescent="0.3">
      <c r="A174" s="87" t="s">
        <v>273</v>
      </c>
      <c r="B174" s="88" t="s">
        <v>14</v>
      </c>
      <c r="C174" s="89">
        <v>45788</v>
      </c>
      <c r="D174" s="88" t="s">
        <v>49</v>
      </c>
      <c r="E174" s="88" t="s">
        <v>50</v>
      </c>
      <c r="F174" s="94">
        <v>2493</v>
      </c>
      <c r="G174" s="94">
        <v>97</v>
      </c>
      <c r="H174" s="94">
        <v>44</v>
      </c>
      <c r="I174" s="94">
        <v>42381</v>
      </c>
      <c r="J174" s="94">
        <v>41991</v>
      </c>
      <c r="K174" s="94">
        <v>242</v>
      </c>
      <c r="L174" s="92" t="s">
        <v>58</v>
      </c>
      <c r="M174" s="92" t="s">
        <v>19</v>
      </c>
      <c r="N174" s="20"/>
    </row>
    <row r="175" spans="1:14" x14ac:dyDescent="0.3">
      <c r="A175" s="87" t="s">
        <v>275</v>
      </c>
      <c r="B175" s="88" t="s">
        <v>577</v>
      </c>
      <c r="C175" s="89">
        <v>45734</v>
      </c>
      <c r="D175" s="88" t="s">
        <v>16</v>
      </c>
      <c r="E175" s="88" t="s">
        <v>17</v>
      </c>
      <c r="F175" s="94">
        <v>3704</v>
      </c>
      <c r="G175" s="94">
        <v>186</v>
      </c>
      <c r="H175" s="94">
        <v>458</v>
      </c>
      <c r="I175" s="94">
        <v>25928</v>
      </c>
      <c r="J175" s="94">
        <v>25081</v>
      </c>
      <c r="K175" s="94">
        <v>131</v>
      </c>
      <c r="L175" s="92" t="s">
        <v>58</v>
      </c>
      <c r="M175" s="92" t="s">
        <v>19</v>
      </c>
      <c r="N175" s="20"/>
    </row>
    <row r="176" spans="1:14" x14ac:dyDescent="0.3">
      <c r="A176" s="87" t="s">
        <v>277</v>
      </c>
      <c r="B176" s="88" t="s">
        <v>14</v>
      </c>
      <c r="C176" s="89">
        <v>45600</v>
      </c>
      <c r="D176" s="88" t="s">
        <v>49</v>
      </c>
      <c r="E176" s="88" t="s">
        <v>50</v>
      </c>
      <c r="F176" s="94">
        <v>1606</v>
      </c>
      <c r="G176" s="94">
        <v>451</v>
      </c>
      <c r="H176" s="94">
        <v>405</v>
      </c>
      <c r="I176" s="94">
        <v>20878</v>
      </c>
      <c r="J176" s="94">
        <v>20190</v>
      </c>
      <c r="K176" s="94">
        <v>219</v>
      </c>
      <c r="L176" s="92" t="s">
        <v>18</v>
      </c>
      <c r="M176" s="92" t="s">
        <v>25</v>
      </c>
      <c r="N176" s="20"/>
    </row>
    <row r="177" spans="1:14" x14ac:dyDescent="0.3">
      <c r="A177" s="87" t="s">
        <v>277</v>
      </c>
      <c r="B177" s="88" t="s">
        <v>14</v>
      </c>
      <c r="C177" s="89">
        <v>45600</v>
      </c>
      <c r="D177" s="88" t="s">
        <v>49</v>
      </c>
      <c r="E177" s="88" t="s">
        <v>50</v>
      </c>
      <c r="F177" s="94">
        <v>1606</v>
      </c>
      <c r="G177" s="94">
        <v>451</v>
      </c>
      <c r="H177" s="94">
        <v>405</v>
      </c>
      <c r="I177" s="94">
        <v>20878</v>
      </c>
      <c r="J177" s="94">
        <v>20190</v>
      </c>
      <c r="K177" s="94">
        <v>219</v>
      </c>
      <c r="L177" s="92" t="s">
        <v>58</v>
      </c>
      <c r="M177" s="92" t="s">
        <v>25</v>
      </c>
      <c r="N177" s="20"/>
    </row>
    <row r="178" spans="1:14" x14ac:dyDescent="0.3">
      <c r="A178" s="87" t="s">
        <v>279</v>
      </c>
      <c r="B178" s="88" t="s">
        <v>40</v>
      </c>
      <c r="C178" s="89">
        <v>45600</v>
      </c>
      <c r="D178" s="88" t="s">
        <v>49</v>
      </c>
      <c r="E178" s="88" t="s">
        <v>50</v>
      </c>
      <c r="F178" s="94">
        <v>4551</v>
      </c>
      <c r="G178" s="94">
        <v>714</v>
      </c>
      <c r="H178" s="94">
        <v>207</v>
      </c>
      <c r="I178" s="94">
        <v>68265</v>
      </c>
      <c r="J178" s="94">
        <v>67754</v>
      </c>
      <c r="K178" s="94">
        <v>57</v>
      </c>
      <c r="L178" s="92" t="s">
        <v>44</v>
      </c>
      <c r="M178" s="92" t="s">
        <v>25</v>
      </c>
      <c r="N178" s="20"/>
    </row>
    <row r="179" spans="1:14" x14ac:dyDescent="0.3">
      <c r="A179" s="87" t="s">
        <v>280</v>
      </c>
      <c r="B179" s="88" t="s">
        <v>31</v>
      </c>
      <c r="C179" s="89">
        <v>45695</v>
      </c>
      <c r="D179" s="88" t="s">
        <v>16</v>
      </c>
      <c r="E179" s="88" t="s">
        <v>17</v>
      </c>
      <c r="F179" s="94">
        <v>1970</v>
      </c>
      <c r="G179" s="94">
        <v>675</v>
      </c>
      <c r="H179" s="94">
        <v>478</v>
      </c>
      <c r="I179" s="94">
        <v>9850</v>
      </c>
      <c r="J179" s="94">
        <v>8924</v>
      </c>
      <c r="K179" s="94">
        <v>117</v>
      </c>
      <c r="L179" s="92" t="s">
        <v>44</v>
      </c>
      <c r="M179" s="92" t="s">
        <v>55</v>
      </c>
      <c r="N179" s="20"/>
    </row>
    <row r="180" spans="1:14" x14ac:dyDescent="0.3">
      <c r="A180" s="87" t="s">
        <v>282</v>
      </c>
      <c r="B180" s="88" t="s">
        <v>40</v>
      </c>
      <c r="C180" s="89">
        <v>45586</v>
      </c>
      <c r="D180" s="88" t="s">
        <v>33</v>
      </c>
      <c r="E180" s="88" t="s">
        <v>34</v>
      </c>
      <c r="F180" s="94">
        <v>780</v>
      </c>
      <c r="G180" s="94">
        <v>928</v>
      </c>
      <c r="H180" s="94">
        <v>301</v>
      </c>
      <c r="I180" s="94">
        <v>8580</v>
      </c>
      <c r="J180" s="94">
        <v>8081</v>
      </c>
      <c r="K180" s="94">
        <v>91</v>
      </c>
      <c r="L180" s="92" t="s">
        <v>18</v>
      </c>
      <c r="M180" s="92" t="s">
        <v>55</v>
      </c>
      <c r="N180" s="20"/>
    </row>
    <row r="181" spans="1:14" x14ac:dyDescent="0.3">
      <c r="A181" s="87" t="s">
        <v>282</v>
      </c>
      <c r="B181" s="88" t="s">
        <v>40</v>
      </c>
      <c r="C181" s="89">
        <v>45586</v>
      </c>
      <c r="D181" s="88" t="s">
        <v>33</v>
      </c>
      <c r="E181" s="88" t="s">
        <v>34</v>
      </c>
      <c r="F181" s="94">
        <v>780</v>
      </c>
      <c r="G181" s="94">
        <v>928</v>
      </c>
      <c r="H181" s="94">
        <v>301</v>
      </c>
      <c r="I181" s="94">
        <v>8580</v>
      </c>
      <c r="J181" s="94">
        <v>8081</v>
      </c>
      <c r="K181" s="94">
        <v>91</v>
      </c>
      <c r="L181" s="92" t="s">
        <v>24</v>
      </c>
      <c r="M181" s="92" t="s">
        <v>55</v>
      </c>
      <c r="N181" s="20"/>
    </row>
    <row r="182" spans="1:14" x14ac:dyDescent="0.3">
      <c r="A182" s="87" t="s">
        <v>283</v>
      </c>
      <c r="B182" s="88" t="s">
        <v>31</v>
      </c>
      <c r="C182" s="89">
        <v>45502</v>
      </c>
      <c r="D182" s="88" t="s">
        <v>33</v>
      </c>
      <c r="E182" s="88" t="s">
        <v>34</v>
      </c>
      <c r="F182" s="94">
        <v>498</v>
      </c>
      <c r="G182" s="94">
        <v>701</v>
      </c>
      <c r="H182" s="94">
        <v>412</v>
      </c>
      <c r="I182" s="94">
        <v>4980</v>
      </c>
      <c r="J182" s="94">
        <v>4185</v>
      </c>
      <c r="K182" s="94">
        <v>185</v>
      </c>
      <c r="L182" s="92" t="s">
        <v>77</v>
      </c>
      <c r="M182" s="92" t="s">
        <v>55</v>
      </c>
      <c r="N182" s="20"/>
    </row>
    <row r="183" spans="1:14" x14ac:dyDescent="0.3">
      <c r="A183" s="87" t="s">
        <v>283</v>
      </c>
      <c r="B183" s="88" t="s">
        <v>31</v>
      </c>
      <c r="C183" s="89">
        <v>45502</v>
      </c>
      <c r="D183" s="88" t="s">
        <v>33</v>
      </c>
      <c r="E183" s="88" t="s">
        <v>34</v>
      </c>
      <c r="F183" s="94">
        <v>498</v>
      </c>
      <c r="G183" s="94">
        <v>701</v>
      </c>
      <c r="H183" s="94">
        <v>412</v>
      </c>
      <c r="I183" s="94">
        <v>4980</v>
      </c>
      <c r="J183" s="94">
        <v>4185</v>
      </c>
      <c r="K183" s="94">
        <v>185</v>
      </c>
      <c r="L183" s="92" t="s">
        <v>58</v>
      </c>
      <c r="M183" s="92" t="s">
        <v>55</v>
      </c>
      <c r="N183" s="20"/>
    </row>
    <row r="184" spans="1:14" x14ac:dyDescent="0.3">
      <c r="A184" s="87" t="s">
        <v>284</v>
      </c>
      <c r="B184" s="88" t="s">
        <v>31</v>
      </c>
      <c r="C184" s="89">
        <v>45567</v>
      </c>
      <c r="D184" s="88" t="s">
        <v>22</v>
      </c>
      <c r="E184" s="88" t="s">
        <v>23</v>
      </c>
      <c r="F184" s="94">
        <v>3432</v>
      </c>
      <c r="G184" s="94">
        <v>869</v>
      </c>
      <c r="H184" s="94">
        <v>123</v>
      </c>
      <c r="I184" s="94">
        <v>54912</v>
      </c>
      <c r="J184" s="94">
        <v>53916</v>
      </c>
      <c r="K184" s="94">
        <v>264</v>
      </c>
      <c r="L184" s="92" t="s">
        <v>24</v>
      </c>
      <c r="M184" s="92" t="s">
        <v>25</v>
      </c>
      <c r="N184" s="20"/>
    </row>
    <row r="185" spans="1:14" x14ac:dyDescent="0.3">
      <c r="A185" s="87" t="s">
        <v>284</v>
      </c>
      <c r="B185" s="88" t="s">
        <v>31</v>
      </c>
      <c r="C185" s="89">
        <v>45567</v>
      </c>
      <c r="D185" s="88" t="s">
        <v>22</v>
      </c>
      <c r="E185" s="88" t="s">
        <v>23</v>
      </c>
      <c r="F185" s="94">
        <v>3432</v>
      </c>
      <c r="G185" s="94">
        <v>869</v>
      </c>
      <c r="H185" s="94">
        <v>123</v>
      </c>
      <c r="I185" s="94">
        <v>54912</v>
      </c>
      <c r="J185" s="94">
        <v>53916</v>
      </c>
      <c r="K185" s="94">
        <v>264</v>
      </c>
      <c r="L185" s="92" t="s">
        <v>44</v>
      </c>
      <c r="M185" s="92" t="s">
        <v>25</v>
      </c>
      <c r="N185" s="20"/>
    </row>
    <row r="186" spans="1:14" x14ac:dyDescent="0.3">
      <c r="A186" s="87" t="s">
        <v>286</v>
      </c>
      <c r="B186" s="88" t="s">
        <v>31</v>
      </c>
      <c r="C186" s="89">
        <v>45457</v>
      </c>
      <c r="D186" s="88" t="s">
        <v>33</v>
      </c>
      <c r="E186" s="88" t="s">
        <v>34</v>
      </c>
      <c r="F186" s="94">
        <v>4363</v>
      </c>
      <c r="G186" s="94">
        <v>649</v>
      </c>
      <c r="H186" s="94">
        <v>140</v>
      </c>
      <c r="I186" s="94">
        <v>21815</v>
      </c>
      <c r="J186" s="94">
        <v>21481</v>
      </c>
      <c r="K186" s="94">
        <v>157</v>
      </c>
      <c r="L186" s="92" t="s">
        <v>18</v>
      </c>
      <c r="M186" s="92" t="s">
        <v>25</v>
      </c>
      <c r="N186" s="20"/>
    </row>
    <row r="187" spans="1:14" x14ac:dyDescent="0.3">
      <c r="A187" s="87" t="s">
        <v>286</v>
      </c>
      <c r="B187" s="88" t="s">
        <v>31</v>
      </c>
      <c r="C187" s="89">
        <v>45457</v>
      </c>
      <c r="D187" s="88" t="s">
        <v>33</v>
      </c>
      <c r="E187" s="88" t="s">
        <v>34</v>
      </c>
      <c r="F187" s="94">
        <v>4363</v>
      </c>
      <c r="G187" s="94">
        <v>649</v>
      </c>
      <c r="H187" s="94">
        <v>140</v>
      </c>
      <c r="I187" s="94">
        <v>21815</v>
      </c>
      <c r="J187" s="94">
        <v>21481</v>
      </c>
      <c r="K187" s="94">
        <v>157</v>
      </c>
      <c r="L187" s="92" t="s">
        <v>24</v>
      </c>
      <c r="M187" s="92" t="s">
        <v>25</v>
      </c>
      <c r="N187" s="20"/>
    </row>
    <row r="188" spans="1:14" x14ac:dyDescent="0.3">
      <c r="A188" s="87" t="s">
        <v>287</v>
      </c>
      <c r="B188" s="88" t="s">
        <v>577</v>
      </c>
      <c r="C188" s="89">
        <v>45753</v>
      </c>
      <c r="D188" s="88" t="s">
        <v>42</v>
      </c>
      <c r="E188" s="88" t="s">
        <v>43</v>
      </c>
      <c r="F188" s="94">
        <v>736</v>
      </c>
      <c r="G188" s="94">
        <v>771</v>
      </c>
      <c r="H188" s="94">
        <v>225</v>
      </c>
      <c r="I188" s="94">
        <v>5152</v>
      </c>
      <c r="J188" s="94">
        <v>4706</v>
      </c>
      <c r="K188" s="94">
        <v>19</v>
      </c>
      <c r="L188" s="92" t="s">
        <v>58</v>
      </c>
      <c r="M188" s="92" t="s">
        <v>38</v>
      </c>
      <c r="N188" s="20"/>
    </row>
    <row r="189" spans="1:14" x14ac:dyDescent="0.3">
      <c r="A189" s="87" t="s">
        <v>289</v>
      </c>
      <c r="B189" s="88" t="s">
        <v>14</v>
      </c>
      <c r="C189" s="89">
        <v>45543</v>
      </c>
      <c r="D189" s="88" t="s">
        <v>42</v>
      </c>
      <c r="E189" s="88" t="s">
        <v>43</v>
      </c>
      <c r="F189" s="94">
        <v>3811</v>
      </c>
      <c r="G189" s="94">
        <v>866</v>
      </c>
      <c r="H189" s="94">
        <v>216</v>
      </c>
      <c r="I189" s="94">
        <v>34299</v>
      </c>
      <c r="J189" s="94">
        <v>34088</v>
      </c>
      <c r="K189" s="94">
        <v>233</v>
      </c>
      <c r="L189" s="92" t="s">
        <v>58</v>
      </c>
      <c r="M189" s="92" t="s">
        <v>38</v>
      </c>
      <c r="N189" s="20"/>
    </row>
    <row r="190" spans="1:14" x14ac:dyDescent="0.3">
      <c r="A190" s="87" t="s">
        <v>291</v>
      </c>
      <c r="B190" s="88" t="s">
        <v>31</v>
      </c>
      <c r="C190" s="89">
        <v>45744</v>
      </c>
      <c r="D190" s="88" t="s">
        <v>42</v>
      </c>
      <c r="E190" s="88" t="s">
        <v>43</v>
      </c>
      <c r="F190" s="94">
        <v>4158</v>
      </c>
      <c r="G190" s="94">
        <v>167</v>
      </c>
      <c r="H190" s="94">
        <v>241</v>
      </c>
      <c r="I190" s="94">
        <v>45738</v>
      </c>
      <c r="J190" s="94">
        <v>45183</v>
      </c>
      <c r="K190" s="94">
        <v>142</v>
      </c>
      <c r="L190" s="92" t="s">
        <v>24</v>
      </c>
      <c r="M190" s="92" t="s">
        <v>25</v>
      </c>
      <c r="N190" s="20"/>
    </row>
    <row r="191" spans="1:14" x14ac:dyDescent="0.3">
      <c r="A191" s="87" t="s">
        <v>292</v>
      </c>
      <c r="B191" s="88" t="s">
        <v>40</v>
      </c>
      <c r="C191" s="89">
        <v>45684</v>
      </c>
      <c r="D191" s="88" t="s">
        <v>16</v>
      </c>
      <c r="E191" s="88" t="s">
        <v>17</v>
      </c>
      <c r="F191" s="94">
        <v>3452</v>
      </c>
      <c r="G191" s="94">
        <v>652</v>
      </c>
      <c r="H191" s="94">
        <v>442</v>
      </c>
      <c r="I191" s="94">
        <v>65588</v>
      </c>
      <c r="J191" s="94">
        <v>65049</v>
      </c>
      <c r="K191" s="94">
        <v>158</v>
      </c>
      <c r="L191" s="92" t="s">
        <v>18</v>
      </c>
      <c r="M191" s="92" t="s">
        <v>19</v>
      </c>
      <c r="N191" s="20"/>
    </row>
    <row r="192" spans="1:14" x14ac:dyDescent="0.3">
      <c r="A192" s="87" t="s">
        <v>292</v>
      </c>
      <c r="B192" s="88" t="s">
        <v>40</v>
      </c>
      <c r="C192" s="89">
        <v>45684</v>
      </c>
      <c r="D192" s="88" t="s">
        <v>16</v>
      </c>
      <c r="E192" s="88" t="s">
        <v>17</v>
      </c>
      <c r="F192" s="94">
        <v>3452</v>
      </c>
      <c r="G192" s="94">
        <v>652</v>
      </c>
      <c r="H192" s="94">
        <v>442</v>
      </c>
      <c r="I192" s="94">
        <v>65588</v>
      </c>
      <c r="J192" s="94">
        <v>65049</v>
      </c>
      <c r="K192" s="94">
        <v>158</v>
      </c>
      <c r="L192" s="92" t="s">
        <v>58</v>
      </c>
      <c r="M192" s="92" t="s">
        <v>19</v>
      </c>
      <c r="N192" s="20"/>
    </row>
    <row r="193" spans="1:14" x14ac:dyDescent="0.3">
      <c r="A193" s="87" t="s">
        <v>293</v>
      </c>
      <c r="B193" s="88" t="s">
        <v>14</v>
      </c>
      <c r="C193" s="89">
        <v>45667</v>
      </c>
      <c r="D193" s="88" t="s">
        <v>49</v>
      </c>
      <c r="E193" s="88" t="s">
        <v>50</v>
      </c>
      <c r="F193" s="94">
        <v>3092</v>
      </c>
      <c r="G193" s="94">
        <v>106</v>
      </c>
      <c r="H193" s="94">
        <v>291</v>
      </c>
      <c r="I193" s="94">
        <v>27828</v>
      </c>
      <c r="J193" s="94">
        <v>27217</v>
      </c>
      <c r="K193" s="94">
        <v>102</v>
      </c>
      <c r="L193" s="92" t="s">
        <v>58</v>
      </c>
      <c r="M193" s="92" t="s">
        <v>55</v>
      </c>
      <c r="N193" s="20"/>
    </row>
    <row r="194" spans="1:14" x14ac:dyDescent="0.3">
      <c r="A194" s="87" t="s">
        <v>294</v>
      </c>
      <c r="B194" s="88" t="s">
        <v>14</v>
      </c>
      <c r="C194" s="89">
        <v>45494</v>
      </c>
      <c r="D194" s="88" t="s">
        <v>22</v>
      </c>
      <c r="E194" s="88" t="s">
        <v>23</v>
      </c>
      <c r="F194" s="94">
        <v>2147</v>
      </c>
      <c r="G194" s="94">
        <v>430</v>
      </c>
      <c r="H194" s="94">
        <v>393</v>
      </c>
      <c r="I194" s="94">
        <v>17176</v>
      </c>
      <c r="J194" s="94">
        <v>16483</v>
      </c>
      <c r="K194" s="94">
        <v>170</v>
      </c>
      <c r="L194" s="92" t="s">
        <v>77</v>
      </c>
      <c r="M194" s="92" t="s">
        <v>55</v>
      </c>
      <c r="N194" s="20"/>
    </row>
    <row r="195" spans="1:14" x14ac:dyDescent="0.3">
      <c r="A195" s="87" t="s">
        <v>295</v>
      </c>
      <c r="B195" s="88" t="s">
        <v>577</v>
      </c>
      <c r="C195" s="89">
        <v>45564</v>
      </c>
      <c r="D195" s="88" t="s">
        <v>16</v>
      </c>
      <c r="E195" s="88" t="s">
        <v>17</v>
      </c>
      <c r="F195" s="94">
        <v>2936</v>
      </c>
      <c r="G195" s="94">
        <v>439</v>
      </c>
      <c r="H195" s="94">
        <v>44</v>
      </c>
      <c r="I195" s="94">
        <v>38168</v>
      </c>
      <c r="J195" s="94">
        <v>37571</v>
      </c>
      <c r="K195" s="94">
        <v>22</v>
      </c>
      <c r="L195" s="92" t="s">
        <v>18</v>
      </c>
      <c r="M195" s="92" t="s">
        <v>38</v>
      </c>
      <c r="N195" s="20"/>
    </row>
    <row r="196" spans="1:14" x14ac:dyDescent="0.3">
      <c r="A196" s="87" t="s">
        <v>297</v>
      </c>
      <c r="B196" s="88" t="s">
        <v>31</v>
      </c>
      <c r="C196" s="89">
        <v>45586</v>
      </c>
      <c r="D196" s="88" t="s">
        <v>16</v>
      </c>
      <c r="E196" s="88" t="s">
        <v>17</v>
      </c>
      <c r="F196" s="94">
        <v>4840</v>
      </c>
      <c r="G196" s="94">
        <v>658</v>
      </c>
      <c r="H196" s="94">
        <v>211</v>
      </c>
      <c r="I196" s="94">
        <v>43560</v>
      </c>
      <c r="J196" s="94">
        <v>43225</v>
      </c>
      <c r="K196" s="94">
        <v>57</v>
      </c>
      <c r="L196" s="92" t="s">
        <v>18</v>
      </c>
      <c r="M196" s="92" t="s">
        <v>25</v>
      </c>
      <c r="N196" s="20"/>
    </row>
    <row r="197" spans="1:14" x14ac:dyDescent="0.3">
      <c r="A197" s="87" t="s">
        <v>297</v>
      </c>
      <c r="B197" s="88" t="s">
        <v>31</v>
      </c>
      <c r="C197" s="89">
        <v>45586</v>
      </c>
      <c r="D197" s="88" t="s">
        <v>16</v>
      </c>
      <c r="E197" s="88" t="s">
        <v>17</v>
      </c>
      <c r="F197" s="94">
        <v>4840</v>
      </c>
      <c r="G197" s="94">
        <v>658</v>
      </c>
      <c r="H197" s="94">
        <v>211</v>
      </c>
      <c r="I197" s="94">
        <v>43560</v>
      </c>
      <c r="J197" s="94">
        <v>43225</v>
      </c>
      <c r="K197" s="94">
        <v>57</v>
      </c>
      <c r="L197" s="92" t="s">
        <v>24</v>
      </c>
      <c r="M197" s="92" t="s">
        <v>25</v>
      </c>
      <c r="N197" s="20"/>
    </row>
    <row r="198" spans="1:14" x14ac:dyDescent="0.3">
      <c r="A198" s="87" t="s">
        <v>298</v>
      </c>
      <c r="B198" s="88" t="s">
        <v>31</v>
      </c>
      <c r="C198" s="89">
        <v>45720</v>
      </c>
      <c r="D198" s="88" t="s">
        <v>33</v>
      </c>
      <c r="E198" s="88" t="s">
        <v>34</v>
      </c>
      <c r="F198" s="94">
        <v>1947</v>
      </c>
      <c r="G198" s="94">
        <v>842</v>
      </c>
      <c r="H198" s="94">
        <v>101</v>
      </c>
      <c r="I198" s="94">
        <v>21417</v>
      </c>
      <c r="J198" s="94">
        <v>20967</v>
      </c>
      <c r="K198" s="94">
        <v>186</v>
      </c>
      <c r="L198" s="92" t="s">
        <v>24</v>
      </c>
      <c r="M198" s="92" t="s">
        <v>25</v>
      </c>
      <c r="N198" s="20"/>
    </row>
    <row r="199" spans="1:14" x14ac:dyDescent="0.3">
      <c r="A199" s="87" t="s">
        <v>299</v>
      </c>
      <c r="B199" s="88" t="s">
        <v>40</v>
      </c>
      <c r="C199" s="89">
        <v>45694</v>
      </c>
      <c r="D199" s="88" t="s">
        <v>49</v>
      </c>
      <c r="E199" s="88" t="s">
        <v>50</v>
      </c>
      <c r="F199" s="94">
        <v>2072</v>
      </c>
      <c r="G199" s="94">
        <v>532</v>
      </c>
      <c r="H199" s="94">
        <v>71</v>
      </c>
      <c r="I199" s="94">
        <v>37296</v>
      </c>
      <c r="J199" s="94">
        <v>36467</v>
      </c>
      <c r="K199" s="94">
        <v>25</v>
      </c>
      <c r="L199" s="92" t="s">
        <v>18</v>
      </c>
      <c r="M199" s="92" t="s">
        <v>38</v>
      </c>
      <c r="N199" s="20"/>
    </row>
    <row r="200" spans="1:14" x14ac:dyDescent="0.3">
      <c r="A200" s="87" t="s">
        <v>301</v>
      </c>
      <c r="B200" s="88" t="s">
        <v>14</v>
      </c>
      <c r="C200" s="89">
        <v>45771</v>
      </c>
      <c r="D200" s="88" t="s">
        <v>16</v>
      </c>
      <c r="E200" s="88" t="s">
        <v>17</v>
      </c>
      <c r="F200" s="94">
        <v>3731</v>
      </c>
      <c r="G200" s="94">
        <v>115</v>
      </c>
      <c r="H200" s="94">
        <v>135</v>
      </c>
      <c r="I200" s="94">
        <v>55965</v>
      </c>
      <c r="J200" s="94">
        <v>55436</v>
      </c>
      <c r="K200" s="94">
        <v>103</v>
      </c>
      <c r="L200" s="92" t="s">
        <v>77</v>
      </c>
      <c r="M200" s="92" t="s">
        <v>55</v>
      </c>
      <c r="N200" s="20"/>
    </row>
    <row r="201" spans="1:14" x14ac:dyDescent="0.3">
      <c r="A201" s="87" t="s">
        <v>303</v>
      </c>
      <c r="B201" s="88" t="s">
        <v>40</v>
      </c>
      <c r="C201" s="89">
        <v>45624</v>
      </c>
      <c r="D201" s="88" t="s">
        <v>22</v>
      </c>
      <c r="E201" s="88" t="s">
        <v>23</v>
      </c>
      <c r="F201" s="94">
        <v>4213</v>
      </c>
      <c r="G201" s="94">
        <v>253</v>
      </c>
      <c r="H201" s="94">
        <v>434</v>
      </c>
      <c r="I201" s="94">
        <v>75834</v>
      </c>
      <c r="J201" s="94">
        <v>75437</v>
      </c>
      <c r="K201" s="94">
        <v>272</v>
      </c>
      <c r="L201" s="92" t="s">
        <v>44</v>
      </c>
      <c r="M201" s="92" t="s">
        <v>38</v>
      </c>
      <c r="N201" s="20"/>
    </row>
    <row r="202" spans="1:14" x14ac:dyDescent="0.3">
      <c r="A202" s="87" t="s">
        <v>305</v>
      </c>
      <c r="B202" s="88" t="s">
        <v>31</v>
      </c>
      <c r="C202" s="89">
        <v>45484</v>
      </c>
      <c r="D202" s="88" t="s">
        <v>22</v>
      </c>
      <c r="E202" s="88" t="s">
        <v>23</v>
      </c>
      <c r="F202" s="94">
        <v>3134</v>
      </c>
      <c r="G202" s="94">
        <v>888</v>
      </c>
      <c r="H202" s="94">
        <v>444</v>
      </c>
      <c r="I202" s="94">
        <v>21938</v>
      </c>
      <c r="J202" s="94">
        <v>21337</v>
      </c>
      <c r="K202" s="94">
        <v>130</v>
      </c>
      <c r="L202" s="92" t="s">
        <v>18</v>
      </c>
      <c r="M202" s="92" t="s">
        <v>55</v>
      </c>
      <c r="N202" s="20"/>
    </row>
    <row r="203" spans="1:14" x14ac:dyDescent="0.3">
      <c r="A203" s="87" t="s">
        <v>305</v>
      </c>
      <c r="B203" s="88" t="s">
        <v>31</v>
      </c>
      <c r="C203" s="89">
        <v>45484</v>
      </c>
      <c r="D203" s="88" t="s">
        <v>22</v>
      </c>
      <c r="E203" s="88" t="s">
        <v>23</v>
      </c>
      <c r="F203" s="94">
        <v>3134</v>
      </c>
      <c r="G203" s="94">
        <v>888</v>
      </c>
      <c r="H203" s="94">
        <v>444</v>
      </c>
      <c r="I203" s="94">
        <v>21938</v>
      </c>
      <c r="J203" s="94">
        <v>21337</v>
      </c>
      <c r="K203" s="94">
        <v>130</v>
      </c>
      <c r="L203" s="92" t="s">
        <v>24</v>
      </c>
      <c r="M203" s="92" t="s">
        <v>55</v>
      </c>
      <c r="N203" s="20"/>
    </row>
    <row r="204" spans="1:14" x14ac:dyDescent="0.3">
      <c r="A204" s="87" t="s">
        <v>307</v>
      </c>
      <c r="B204" s="88" t="s">
        <v>40</v>
      </c>
      <c r="C204" s="89">
        <v>45504</v>
      </c>
      <c r="D204" s="88" t="s">
        <v>69</v>
      </c>
      <c r="E204" s="88" t="s">
        <v>70</v>
      </c>
      <c r="F204" s="94">
        <v>3008</v>
      </c>
      <c r="G204" s="94">
        <v>94</v>
      </c>
      <c r="H204" s="94">
        <v>37</v>
      </c>
      <c r="I204" s="94">
        <v>15040</v>
      </c>
      <c r="J204" s="94">
        <v>14639</v>
      </c>
      <c r="K204" s="94">
        <v>277</v>
      </c>
      <c r="L204" s="92" t="s">
        <v>77</v>
      </c>
      <c r="M204" s="92" t="s">
        <v>19</v>
      </c>
      <c r="N204" s="20"/>
    </row>
    <row r="205" spans="1:14" x14ac:dyDescent="0.3">
      <c r="A205" s="87" t="s">
        <v>308</v>
      </c>
      <c r="B205" s="88" t="s">
        <v>14</v>
      </c>
      <c r="C205" s="89">
        <v>45745</v>
      </c>
      <c r="D205" s="88" t="s">
        <v>49</v>
      </c>
      <c r="E205" s="88" t="s">
        <v>50</v>
      </c>
      <c r="F205" s="94">
        <v>305</v>
      </c>
      <c r="G205" s="94">
        <v>187</v>
      </c>
      <c r="H205" s="94">
        <v>243</v>
      </c>
      <c r="I205" s="94">
        <v>4575</v>
      </c>
      <c r="J205" s="94">
        <v>3704</v>
      </c>
      <c r="K205" s="94">
        <v>234</v>
      </c>
      <c r="L205" s="92" t="s">
        <v>24</v>
      </c>
      <c r="M205" s="92" t="s">
        <v>55</v>
      </c>
      <c r="N205" s="20"/>
    </row>
    <row r="206" spans="1:14" x14ac:dyDescent="0.3">
      <c r="A206" s="87" t="s">
        <v>308</v>
      </c>
      <c r="B206" s="88" t="s">
        <v>14</v>
      </c>
      <c r="C206" s="89">
        <v>45745</v>
      </c>
      <c r="D206" s="88" t="s">
        <v>49</v>
      </c>
      <c r="E206" s="88" t="s">
        <v>50</v>
      </c>
      <c r="F206" s="94">
        <v>305</v>
      </c>
      <c r="G206" s="94">
        <v>187</v>
      </c>
      <c r="H206" s="94">
        <v>243</v>
      </c>
      <c r="I206" s="94">
        <v>4575</v>
      </c>
      <c r="J206" s="94">
        <v>3704</v>
      </c>
      <c r="K206" s="94">
        <v>234</v>
      </c>
      <c r="L206" s="92" t="s">
        <v>44</v>
      </c>
      <c r="M206" s="92" t="s">
        <v>55</v>
      </c>
      <c r="N206" s="20"/>
    </row>
    <row r="207" spans="1:14" x14ac:dyDescent="0.3">
      <c r="A207" s="87" t="s">
        <v>309</v>
      </c>
      <c r="B207" s="88" t="s">
        <v>577</v>
      </c>
      <c r="C207" s="89">
        <v>45594</v>
      </c>
      <c r="D207" s="88" t="s">
        <v>22</v>
      </c>
      <c r="E207" s="88" t="s">
        <v>23</v>
      </c>
      <c r="F207" s="94">
        <v>2746</v>
      </c>
      <c r="G207" s="94">
        <v>156</v>
      </c>
      <c r="H207" s="94">
        <v>203</v>
      </c>
      <c r="I207" s="94">
        <v>32952</v>
      </c>
      <c r="J207" s="94">
        <v>32147</v>
      </c>
      <c r="K207" s="94">
        <v>147</v>
      </c>
      <c r="L207" s="92" t="s">
        <v>24</v>
      </c>
      <c r="M207" s="92" t="s">
        <v>25</v>
      </c>
      <c r="N207" s="20"/>
    </row>
    <row r="208" spans="1:14" x14ac:dyDescent="0.3">
      <c r="A208" s="87" t="s">
        <v>309</v>
      </c>
      <c r="B208" s="88" t="s">
        <v>577</v>
      </c>
      <c r="C208" s="89">
        <v>45594</v>
      </c>
      <c r="D208" s="88" t="s">
        <v>22</v>
      </c>
      <c r="E208" s="88" t="s">
        <v>23</v>
      </c>
      <c r="F208" s="94">
        <v>2746</v>
      </c>
      <c r="G208" s="94">
        <v>156</v>
      </c>
      <c r="H208" s="94">
        <v>203</v>
      </c>
      <c r="I208" s="94">
        <v>32952</v>
      </c>
      <c r="J208" s="94">
        <v>32147</v>
      </c>
      <c r="K208" s="94">
        <v>147</v>
      </c>
      <c r="L208" s="92" t="s">
        <v>58</v>
      </c>
      <c r="M208" s="92" t="s">
        <v>25</v>
      </c>
      <c r="N208" s="20"/>
    </row>
    <row r="209" spans="1:14" x14ac:dyDescent="0.3">
      <c r="A209" s="87" t="s">
        <v>311</v>
      </c>
      <c r="B209" s="88" t="s">
        <v>40</v>
      </c>
      <c r="C209" s="89">
        <v>45488</v>
      </c>
      <c r="D209" s="88" t="s">
        <v>49</v>
      </c>
      <c r="E209" s="88" t="s">
        <v>50</v>
      </c>
      <c r="F209" s="94">
        <v>2291</v>
      </c>
      <c r="G209" s="94">
        <v>78</v>
      </c>
      <c r="H209" s="94">
        <v>485</v>
      </c>
      <c r="I209" s="94">
        <v>18328</v>
      </c>
      <c r="J209" s="94">
        <v>18101</v>
      </c>
      <c r="K209" s="94">
        <v>10</v>
      </c>
      <c r="L209" s="92" t="s">
        <v>77</v>
      </c>
      <c r="M209" s="92" t="s">
        <v>19</v>
      </c>
      <c r="N209" s="20"/>
    </row>
    <row r="210" spans="1:14" x14ac:dyDescent="0.3">
      <c r="A210" s="87" t="s">
        <v>313</v>
      </c>
      <c r="B210" s="88" t="s">
        <v>14</v>
      </c>
      <c r="C210" s="89">
        <v>45535</v>
      </c>
      <c r="D210" s="88" t="s">
        <v>49</v>
      </c>
      <c r="E210" s="88" t="s">
        <v>50</v>
      </c>
      <c r="F210" s="94">
        <v>3170</v>
      </c>
      <c r="G210" s="94">
        <v>857</v>
      </c>
      <c r="H210" s="94">
        <v>379</v>
      </c>
      <c r="I210" s="94">
        <v>19020</v>
      </c>
      <c r="J210" s="94">
        <v>18559</v>
      </c>
      <c r="K210" s="94">
        <v>240</v>
      </c>
      <c r="L210" s="92" t="s">
        <v>18</v>
      </c>
      <c r="M210" s="92" t="s">
        <v>38</v>
      </c>
      <c r="N210" s="20"/>
    </row>
    <row r="211" spans="1:14" x14ac:dyDescent="0.3">
      <c r="A211" s="87" t="s">
        <v>315</v>
      </c>
      <c r="B211" s="88" t="s">
        <v>577</v>
      </c>
      <c r="C211" s="89">
        <v>45741</v>
      </c>
      <c r="D211" s="88" t="s">
        <v>33</v>
      </c>
      <c r="E211" s="88" t="s">
        <v>34</v>
      </c>
      <c r="F211" s="94">
        <v>2070</v>
      </c>
      <c r="G211" s="94">
        <v>275</v>
      </c>
      <c r="H211" s="94">
        <v>386</v>
      </c>
      <c r="I211" s="94">
        <v>39330</v>
      </c>
      <c r="J211" s="94">
        <v>38627</v>
      </c>
      <c r="K211" s="94">
        <v>114</v>
      </c>
      <c r="L211" s="92" t="s">
        <v>18</v>
      </c>
      <c r="M211" s="92" t="s">
        <v>55</v>
      </c>
      <c r="N211" s="20"/>
    </row>
    <row r="212" spans="1:14" x14ac:dyDescent="0.3">
      <c r="A212" s="87" t="s">
        <v>316</v>
      </c>
      <c r="B212" s="88" t="s">
        <v>577</v>
      </c>
      <c r="C212" s="89">
        <v>45567</v>
      </c>
      <c r="D212" s="88" t="s">
        <v>42</v>
      </c>
      <c r="E212" s="88" t="s">
        <v>43</v>
      </c>
      <c r="F212" s="94">
        <v>80</v>
      </c>
      <c r="G212" s="94">
        <v>362</v>
      </c>
      <c r="H212" s="94">
        <v>80</v>
      </c>
      <c r="I212" s="94">
        <v>1040</v>
      </c>
      <c r="J212" s="94">
        <v>349</v>
      </c>
      <c r="K212" s="94">
        <v>117</v>
      </c>
      <c r="L212" s="92" t="s">
        <v>24</v>
      </c>
      <c r="M212" s="92" t="s">
        <v>25</v>
      </c>
      <c r="N212" s="20"/>
    </row>
    <row r="213" spans="1:14" x14ac:dyDescent="0.3">
      <c r="A213" s="87" t="s">
        <v>316</v>
      </c>
      <c r="B213" s="88" t="s">
        <v>577</v>
      </c>
      <c r="C213" s="89">
        <v>45567</v>
      </c>
      <c r="D213" s="88" t="s">
        <v>42</v>
      </c>
      <c r="E213" s="88" t="s">
        <v>43</v>
      </c>
      <c r="F213" s="94">
        <v>80</v>
      </c>
      <c r="G213" s="94">
        <v>362</v>
      </c>
      <c r="H213" s="94">
        <v>80</v>
      </c>
      <c r="I213" s="94">
        <v>1040</v>
      </c>
      <c r="J213" s="94">
        <v>349</v>
      </c>
      <c r="K213" s="94">
        <v>117</v>
      </c>
      <c r="L213" s="92" t="s">
        <v>58</v>
      </c>
      <c r="M213" s="92" t="s">
        <v>25</v>
      </c>
      <c r="N213" s="20"/>
    </row>
    <row r="214" spans="1:14" x14ac:dyDescent="0.3">
      <c r="A214" s="87" t="s">
        <v>317</v>
      </c>
      <c r="B214" s="88" t="s">
        <v>577</v>
      </c>
      <c r="C214" s="89">
        <v>45593</v>
      </c>
      <c r="D214" s="88" t="s">
        <v>33</v>
      </c>
      <c r="E214" s="88" t="s">
        <v>34</v>
      </c>
      <c r="F214" s="94">
        <v>4929</v>
      </c>
      <c r="G214" s="94">
        <v>749</v>
      </c>
      <c r="H214" s="94">
        <v>452</v>
      </c>
      <c r="I214" s="94">
        <v>93651</v>
      </c>
      <c r="J214" s="94">
        <v>92810</v>
      </c>
      <c r="K214" s="94">
        <v>66</v>
      </c>
      <c r="L214" s="92" t="s">
        <v>44</v>
      </c>
      <c r="M214" s="92" t="s">
        <v>19</v>
      </c>
      <c r="N214" s="20"/>
    </row>
    <row r="215" spans="1:14" x14ac:dyDescent="0.3">
      <c r="A215" s="87" t="s">
        <v>317</v>
      </c>
      <c r="B215" s="88" t="s">
        <v>577</v>
      </c>
      <c r="C215" s="89">
        <v>45593</v>
      </c>
      <c r="D215" s="88" t="s">
        <v>33</v>
      </c>
      <c r="E215" s="88" t="s">
        <v>34</v>
      </c>
      <c r="F215" s="94">
        <v>4929</v>
      </c>
      <c r="G215" s="94">
        <v>749</v>
      </c>
      <c r="H215" s="94">
        <v>452</v>
      </c>
      <c r="I215" s="94">
        <v>93651</v>
      </c>
      <c r="J215" s="94">
        <v>92810</v>
      </c>
      <c r="K215" s="94">
        <v>66</v>
      </c>
      <c r="L215" s="92" t="s">
        <v>58</v>
      </c>
      <c r="M215" s="92" t="s">
        <v>19</v>
      </c>
      <c r="N215" s="20"/>
    </row>
    <row r="216" spans="1:14" x14ac:dyDescent="0.3">
      <c r="A216" s="87" t="s">
        <v>318</v>
      </c>
      <c r="B216" s="88" t="s">
        <v>31</v>
      </c>
      <c r="C216" s="89">
        <v>45516</v>
      </c>
      <c r="D216" s="88" t="s">
        <v>42</v>
      </c>
      <c r="E216" s="88" t="s">
        <v>43</v>
      </c>
      <c r="F216" s="94">
        <v>1878</v>
      </c>
      <c r="G216" s="94">
        <v>62</v>
      </c>
      <c r="H216" s="94">
        <v>179</v>
      </c>
      <c r="I216" s="94">
        <v>37560</v>
      </c>
      <c r="J216" s="94">
        <v>36874</v>
      </c>
      <c r="K216" s="94">
        <v>142</v>
      </c>
      <c r="L216" s="92" t="s">
        <v>77</v>
      </c>
      <c r="M216" s="92" t="s">
        <v>19</v>
      </c>
      <c r="N216" s="20"/>
    </row>
    <row r="217" spans="1:14" x14ac:dyDescent="0.3">
      <c r="A217" s="87" t="s">
        <v>318</v>
      </c>
      <c r="B217" s="88" t="s">
        <v>31</v>
      </c>
      <c r="C217" s="89">
        <v>45516</v>
      </c>
      <c r="D217" s="88" t="s">
        <v>42</v>
      </c>
      <c r="E217" s="88" t="s">
        <v>43</v>
      </c>
      <c r="F217" s="94">
        <v>1878</v>
      </c>
      <c r="G217" s="94">
        <v>62</v>
      </c>
      <c r="H217" s="94">
        <v>179</v>
      </c>
      <c r="I217" s="94">
        <v>37560</v>
      </c>
      <c r="J217" s="94">
        <v>36874</v>
      </c>
      <c r="K217" s="94">
        <v>142</v>
      </c>
      <c r="L217" s="92" t="s">
        <v>44</v>
      </c>
      <c r="M217" s="92" t="s">
        <v>19</v>
      </c>
      <c r="N217" s="20"/>
    </row>
    <row r="218" spans="1:14" x14ac:dyDescent="0.3">
      <c r="A218" s="87" t="s">
        <v>319</v>
      </c>
      <c r="B218" s="88" t="s">
        <v>577</v>
      </c>
      <c r="C218" s="89">
        <v>45448</v>
      </c>
      <c r="D218" s="88" t="s">
        <v>16</v>
      </c>
      <c r="E218" s="88" t="s">
        <v>17</v>
      </c>
      <c r="F218" s="94">
        <v>3065</v>
      </c>
      <c r="G218" s="94">
        <v>772</v>
      </c>
      <c r="H218" s="94">
        <v>142</v>
      </c>
      <c r="I218" s="94">
        <v>18390</v>
      </c>
      <c r="J218" s="94">
        <v>17875</v>
      </c>
      <c r="K218" s="94">
        <v>200</v>
      </c>
      <c r="L218" s="92" t="s">
        <v>58</v>
      </c>
      <c r="M218" s="92" t="s">
        <v>19</v>
      </c>
      <c r="N218" s="20"/>
    </row>
    <row r="219" spans="1:14" x14ac:dyDescent="0.3">
      <c r="A219" s="87" t="s">
        <v>321</v>
      </c>
      <c r="B219" s="88" t="s">
        <v>31</v>
      </c>
      <c r="C219" s="89">
        <v>45586</v>
      </c>
      <c r="D219" s="88" t="s">
        <v>16</v>
      </c>
      <c r="E219" s="88" t="s">
        <v>17</v>
      </c>
      <c r="F219" s="94">
        <v>3256</v>
      </c>
      <c r="G219" s="94">
        <v>459</v>
      </c>
      <c r="H219" s="94">
        <v>266</v>
      </c>
      <c r="I219" s="94">
        <v>26048</v>
      </c>
      <c r="J219" s="94">
        <v>25529</v>
      </c>
      <c r="K219" s="94">
        <v>143</v>
      </c>
      <c r="L219" s="92" t="s">
        <v>18</v>
      </c>
      <c r="M219" s="92" t="s">
        <v>38</v>
      </c>
      <c r="N219" s="20"/>
    </row>
    <row r="220" spans="1:14" x14ac:dyDescent="0.3">
      <c r="A220" s="87" t="s">
        <v>321</v>
      </c>
      <c r="B220" s="88" t="s">
        <v>31</v>
      </c>
      <c r="C220" s="89">
        <v>45586</v>
      </c>
      <c r="D220" s="88" t="s">
        <v>16</v>
      </c>
      <c r="E220" s="88" t="s">
        <v>17</v>
      </c>
      <c r="F220" s="94">
        <v>3256</v>
      </c>
      <c r="G220" s="94">
        <v>459</v>
      </c>
      <c r="H220" s="94">
        <v>266</v>
      </c>
      <c r="I220" s="94">
        <v>26048</v>
      </c>
      <c r="J220" s="94">
        <v>25529</v>
      </c>
      <c r="K220" s="94">
        <v>143</v>
      </c>
      <c r="L220" s="92" t="s">
        <v>58</v>
      </c>
      <c r="M220" s="92" t="s">
        <v>38</v>
      </c>
      <c r="N220" s="20"/>
    </row>
    <row r="221" spans="1:14" x14ac:dyDescent="0.3">
      <c r="A221" s="87" t="s">
        <v>322</v>
      </c>
      <c r="B221" s="88" t="s">
        <v>31</v>
      </c>
      <c r="C221" s="89">
        <v>45762</v>
      </c>
      <c r="D221" s="88" t="s">
        <v>69</v>
      </c>
      <c r="E221" s="88" t="s">
        <v>70</v>
      </c>
      <c r="F221" s="94">
        <v>4133</v>
      </c>
      <c r="G221" s="94">
        <v>466</v>
      </c>
      <c r="H221" s="94">
        <v>327</v>
      </c>
      <c r="I221" s="94">
        <v>24798</v>
      </c>
      <c r="J221" s="94">
        <v>24620</v>
      </c>
      <c r="K221" s="94">
        <v>176</v>
      </c>
      <c r="L221" s="92" t="s">
        <v>58</v>
      </c>
      <c r="M221" s="92" t="s">
        <v>25</v>
      </c>
      <c r="N221" s="20"/>
    </row>
    <row r="222" spans="1:14" x14ac:dyDescent="0.3">
      <c r="A222" s="87" t="s">
        <v>323</v>
      </c>
      <c r="B222" s="88" t="s">
        <v>14</v>
      </c>
      <c r="C222" s="89">
        <v>45459</v>
      </c>
      <c r="D222" s="88" t="s">
        <v>69</v>
      </c>
      <c r="E222" s="88" t="s">
        <v>70</v>
      </c>
      <c r="F222" s="94">
        <v>1702</v>
      </c>
      <c r="G222" s="94">
        <v>750</v>
      </c>
      <c r="H222" s="94">
        <v>179</v>
      </c>
      <c r="I222" s="94">
        <v>34040</v>
      </c>
      <c r="J222" s="94">
        <v>33174</v>
      </c>
      <c r="K222" s="94">
        <v>76</v>
      </c>
      <c r="L222" s="92" t="s">
        <v>44</v>
      </c>
      <c r="M222" s="92" t="s">
        <v>38</v>
      </c>
      <c r="N222" s="20"/>
    </row>
    <row r="223" spans="1:14" x14ac:dyDescent="0.3">
      <c r="A223" s="87" t="s">
        <v>325</v>
      </c>
      <c r="B223" s="88" t="s">
        <v>577</v>
      </c>
      <c r="C223" s="89">
        <v>45526</v>
      </c>
      <c r="D223" s="88" t="s">
        <v>42</v>
      </c>
      <c r="E223" s="88" t="s">
        <v>43</v>
      </c>
      <c r="F223" s="94">
        <v>4295</v>
      </c>
      <c r="G223" s="94">
        <v>853</v>
      </c>
      <c r="H223" s="94">
        <v>325</v>
      </c>
      <c r="I223" s="94">
        <v>85900</v>
      </c>
      <c r="J223" s="94">
        <v>85788</v>
      </c>
      <c r="K223" s="94">
        <v>290</v>
      </c>
      <c r="L223" s="92" t="s">
        <v>44</v>
      </c>
      <c r="M223" s="92" t="s">
        <v>25</v>
      </c>
      <c r="N223" s="20"/>
    </row>
    <row r="224" spans="1:14" x14ac:dyDescent="0.3">
      <c r="A224" s="87" t="s">
        <v>325</v>
      </c>
      <c r="B224" s="88" t="s">
        <v>577</v>
      </c>
      <c r="C224" s="89">
        <v>45526</v>
      </c>
      <c r="D224" s="88" t="s">
        <v>42</v>
      </c>
      <c r="E224" s="88" t="s">
        <v>43</v>
      </c>
      <c r="F224" s="94">
        <v>4295</v>
      </c>
      <c r="G224" s="94">
        <v>853</v>
      </c>
      <c r="H224" s="94">
        <v>325</v>
      </c>
      <c r="I224" s="94">
        <v>85900</v>
      </c>
      <c r="J224" s="94">
        <v>85788</v>
      </c>
      <c r="K224" s="94">
        <v>290</v>
      </c>
      <c r="L224" s="92" t="s">
        <v>18</v>
      </c>
      <c r="M224" s="92" t="s">
        <v>25</v>
      </c>
      <c r="N224" s="20"/>
    </row>
    <row r="225" spans="1:14" x14ac:dyDescent="0.3">
      <c r="A225" s="87" t="s">
        <v>327</v>
      </c>
      <c r="B225" s="88" t="s">
        <v>31</v>
      </c>
      <c r="C225" s="89">
        <v>45499</v>
      </c>
      <c r="D225" s="88" t="s">
        <v>49</v>
      </c>
      <c r="E225" s="88" t="s">
        <v>50</v>
      </c>
      <c r="F225" s="94">
        <v>3559</v>
      </c>
      <c r="G225" s="94">
        <v>59</v>
      </c>
      <c r="H225" s="94">
        <v>289</v>
      </c>
      <c r="I225" s="94">
        <v>35590</v>
      </c>
      <c r="J225" s="94">
        <v>35105</v>
      </c>
      <c r="K225" s="94">
        <v>122</v>
      </c>
      <c r="L225" s="92" t="s">
        <v>44</v>
      </c>
      <c r="M225" s="92" t="s">
        <v>38</v>
      </c>
      <c r="N225" s="20"/>
    </row>
    <row r="226" spans="1:14" x14ac:dyDescent="0.3">
      <c r="A226" s="87" t="s">
        <v>327</v>
      </c>
      <c r="B226" s="88" t="s">
        <v>31</v>
      </c>
      <c r="C226" s="89">
        <v>45499</v>
      </c>
      <c r="D226" s="88" t="s">
        <v>49</v>
      </c>
      <c r="E226" s="88" t="s">
        <v>50</v>
      </c>
      <c r="F226" s="94">
        <v>3559</v>
      </c>
      <c r="G226" s="94">
        <v>59</v>
      </c>
      <c r="H226" s="94">
        <v>289</v>
      </c>
      <c r="I226" s="94">
        <v>35590</v>
      </c>
      <c r="J226" s="94">
        <v>35105</v>
      </c>
      <c r="K226" s="94">
        <v>122</v>
      </c>
      <c r="L226" s="92" t="s">
        <v>58</v>
      </c>
      <c r="M226" s="92" t="s">
        <v>38</v>
      </c>
      <c r="N226" s="20"/>
    </row>
    <row r="227" spans="1:14" x14ac:dyDescent="0.3">
      <c r="A227" s="87" t="s">
        <v>328</v>
      </c>
      <c r="B227" s="88" t="s">
        <v>40</v>
      </c>
      <c r="C227" s="89">
        <v>45769</v>
      </c>
      <c r="D227" s="88" t="s">
        <v>49</v>
      </c>
      <c r="E227" s="88" t="s">
        <v>50</v>
      </c>
      <c r="F227" s="94">
        <v>4804</v>
      </c>
      <c r="G227" s="94">
        <v>550</v>
      </c>
      <c r="H227" s="94">
        <v>270</v>
      </c>
      <c r="I227" s="94">
        <v>28824</v>
      </c>
      <c r="J227" s="94">
        <v>28370</v>
      </c>
      <c r="K227" s="94">
        <v>47</v>
      </c>
      <c r="L227" s="92" t="s">
        <v>18</v>
      </c>
      <c r="M227" s="92" t="s">
        <v>55</v>
      </c>
      <c r="N227" s="20"/>
    </row>
    <row r="228" spans="1:14" x14ac:dyDescent="0.3">
      <c r="A228" s="87" t="s">
        <v>328</v>
      </c>
      <c r="B228" s="88" t="s">
        <v>40</v>
      </c>
      <c r="C228" s="89">
        <v>45769</v>
      </c>
      <c r="D228" s="88" t="s">
        <v>49</v>
      </c>
      <c r="E228" s="88" t="s">
        <v>50</v>
      </c>
      <c r="F228" s="94">
        <v>4804</v>
      </c>
      <c r="G228" s="94">
        <v>550</v>
      </c>
      <c r="H228" s="94">
        <v>270</v>
      </c>
      <c r="I228" s="94">
        <v>28824</v>
      </c>
      <c r="J228" s="94">
        <v>28370</v>
      </c>
      <c r="K228" s="94">
        <v>47</v>
      </c>
      <c r="L228" s="92" t="s">
        <v>58</v>
      </c>
      <c r="M228" s="92" t="s">
        <v>55</v>
      </c>
      <c r="N228" s="20"/>
    </row>
    <row r="229" spans="1:14" x14ac:dyDescent="0.3">
      <c r="A229" s="87" t="s">
        <v>330</v>
      </c>
      <c r="B229" s="88" t="s">
        <v>14</v>
      </c>
      <c r="C229" s="89">
        <v>45658</v>
      </c>
      <c r="D229" s="88" t="s">
        <v>69</v>
      </c>
      <c r="E229" s="88" t="s">
        <v>70</v>
      </c>
      <c r="F229" s="94">
        <v>754</v>
      </c>
      <c r="G229" s="94">
        <v>197</v>
      </c>
      <c r="H229" s="94">
        <v>257</v>
      </c>
      <c r="I229" s="94">
        <v>6786</v>
      </c>
      <c r="J229" s="94">
        <v>6221</v>
      </c>
      <c r="K229" s="94">
        <v>212</v>
      </c>
      <c r="L229" s="92" t="s">
        <v>77</v>
      </c>
      <c r="M229" s="92" t="s">
        <v>38</v>
      </c>
      <c r="N229" s="20"/>
    </row>
    <row r="230" spans="1:14" x14ac:dyDescent="0.3">
      <c r="A230" s="87" t="s">
        <v>330</v>
      </c>
      <c r="B230" s="88" t="s">
        <v>14</v>
      </c>
      <c r="C230" s="89">
        <v>45658</v>
      </c>
      <c r="D230" s="88" t="s">
        <v>69</v>
      </c>
      <c r="E230" s="88" t="s">
        <v>70</v>
      </c>
      <c r="F230" s="94">
        <v>754</v>
      </c>
      <c r="G230" s="94">
        <v>197</v>
      </c>
      <c r="H230" s="94">
        <v>257</v>
      </c>
      <c r="I230" s="94">
        <v>6786</v>
      </c>
      <c r="J230" s="94">
        <v>6221</v>
      </c>
      <c r="K230" s="94">
        <v>212</v>
      </c>
      <c r="L230" s="92" t="s">
        <v>44</v>
      </c>
      <c r="M230" s="92" t="s">
        <v>38</v>
      </c>
      <c r="N230" s="20"/>
    </row>
    <row r="231" spans="1:14" x14ac:dyDescent="0.3">
      <c r="A231" s="87" t="s">
        <v>332</v>
      </c>
      <c r="B231" s="88" t="s">
        <v>31</v>
      </c>
      <c r="C231" s="89">
        <v>45574</v>
      </c>
      <c r="D231" s="88" t="s">
        <v>42</v>
      </c>
      <c r="E231" s="88" t="s">
        <v>43</v>
      </c>
      <c r="F231" s="94">
        <v>985</v>
      </c>
      <c r="G231" s="94">
        <v>932</v>
      </c>
      <c r="H231" s="94">
        <v>287</v>
      </c>
      <c r="I231" s="94">
        <v>6895</v>
      </c>
      <c r="J231" s="94">
        <v>6757</v>
      </c>
      <c r="K231" s="94">
        <v>64</v>
      </c>
      <c r="L231" s="92" t="s">
        <v>18</v>
      </c>
      <c r="M231" s="92" t="s">
        <v>25</v>
      </c>
      <c r="N231" s="20"/>
    </row>
    <row r="232" spans="1:14" x14ac:dyDescent="0.3">
      <c r="A232" s="87" t="s">
        <v>332</v>
      </c>
      <c r="B232" s="88" t="s">
        <v>31</v>
      </c>
      <c r="C232" s="89">
        <v>45574</v>
      </c>
      <c r="D232" s="88" t="s">
        <v>42</v>
      </c>
      <c r="E232" s="88" t="s">
        <v>43</v>
      </c>
      <c r="F232" s="94">
        <v>985</v>
      </c>
      <c r="G232" s="94">
        <v>932</v>
      </c>
      <c r="H232" s="94">
        <v>287</v>
      </c>
      <c r="I232" s="94">
        <v>6895</v>
      </c>
      <c r="J232" s="94">
        <v>6757</v>
      </c>
      <c r="K232" s="94">
        <v>64</v>
      </c>
      <c r="L232" s="92" t="s">
        <v>24</v>
      </c>
      <c r="M232" s="92" t="s">
        <v>25</v>
      </c>
      <c r="N232" s="20"/>
    </row>
    <row r="233" spans="1:14" x14ac:dyDescent="0.3">
      <c r="A233" s="87" t="s">
        <v>333</v>
      </c>
      <c r="B233" s="88" t="s">
        <v>577</v>
      </c>
      <c r="C233" s="89">
        <v>45647</v>
      </c>
      <c r="D233" s="88" t="s">
        <v>49</v>
      </c>
      <c r="E233" s="88" t="s">
        <v>50</v>
      </c>
      <c r="F233" s="94">
        <v>2283</v>
      </c>
      <c r="G233" s="94">
        <v>210</v>
      </c>
      <c r="H233" s="94">
        <v>130</v>
      </c>
      <c r="I233" s="94">
        <v>22830</v>
      </c>
      <c r="J233" s="94">
        <v>22617</v>
      </c>
      <c r="K233" s="94">
        <v>143</v>
      </c>
      <c r="L233" s="92" t="s">
        <v>24</v>
      </c>
      <c r="M233" s="92" t="s">
        <v>38</v>
      </c>
      <c r="N233" s="20"/>
    </row>
    <row r="234" spans="1:14" x14ac:dyDescent="0.3">
      <c r="A234" s="87" t="s">
        <v>333</v>
      </c>
      <c r="B234" s="88" t="s">
        <v>577</v>
      </c>
      <c r="C234" s="89">
        <v>45647</v>
      </c>
      <c r="D234" s="88" t="s">
        <v>49</v>
      </c>
      <c r="E234" s="88" t="s">
        <v>50</v>
      </c>
      <c r="F234" s="94">
        <v>2283</v>
      </c>
      <c r="G234" s="94">
        <v>210</v>
      </c>
      <c r="H234" s="94">
        <v>130</v>
      </c>
      <c r="I234" s="94">
        <v>22830</v>
      </c>
      <c r="J234" s="94">
        <v>22617</v>
      </c>
      <c r="K234" s="94">
        <v>143</v>
      </c>
      <c r="L234" s="92" t="s">
        <v>58</v>
      </c>
      <c r="M234" s="92" t="s">
        <v>38</v>
      </c>
      <c r="N234" s="20"/>
    </row>
    <row r="235" spans="1:14" x14ac:dyDescent="0.3">
      <c r="A235" s="87" t="s">
        <v>335</v>
      </c>
      <c r="B235" s="88" t="s">
        <v>40</v>
      </c>
      <c r="C235" s="89">
        <v>45587</v>
      </c>
      <c r="D235" s="88" t="s">
        <v>42</v>
      </c>
      <c r="E235" s="88" t="s">
        <v>43</v>
      </c>
      <c r="F235" s="94">
        <v>3352</v>
      </c>
      <c r="G235" s="94">
        <v>941</v>
      </c>
      <c r="H235" s="94">
        <v>482</v>
      </c>
      <c r="I235" s="94">
        <v>43576</v>
      </c>
      <c r="J235" s="94">
        <v>43338</v>
      </c>
      <c r="K235" s="94">
        <v>240</v>
      </c>
      <c r="L235" s="92" t="s">
        <v>44</v>
      </c>
      <c r="M235" s="92" t="s">
        <v>38</v>
      </c>
      <c r="N235" s="20"/>
    </row>
    <row r="236" spans="1:14" x14ac:dyDescent="0.3">
      <c r="A236" s="87" t="s">
        <v>337</v>
      </c>
      <c r="B236" s="88" t="s">
        <v>577</v>
      </c>
      <c r="C236" s="89">
        <v>45496</v>
      </c>
      <c r="D236" s="88" t="s">
        <v>33</v>
      </c>
      <c r="E236" s="88" t="s">
        <v>34</v>
      </c>
      <c r="F236" s="94">
        <v>4775</v>
      </c>
      <c r="G236" s="94">
        <v>173</v>
      </c>
      <c r="H236" s="94">
        <v>206</v>
      </c>
      <c r="I236" s="94">
        <v>47750</v>
      </c>
      <c r="J236" s="94">
        <v>47544</v>
      </c>
      <c r="K236" s="94">
        <v>187</v>
      </c>
      <c r="L236" s="92" t="s">
        <v>58</v>
      </c>
      <c r="M236" s="92" t="s">
        <v>55</v>
      </c>
      <c r="N236" s="20"/>
    </row>
    <row r="237" spans="1:14" x14ac:dyDescent="0.3">
      <c r="A237" s="87" t="s">
        <v>337</v>
      </c>
      <c r="B237" s="88" t="s">
        <v>577</v>
      </c>
      <c r="C237" s="89">
        <v>45496</v>
      </c>
      <c r="D237" s="88" t="s">
        <v>33</v>
      </c>
      <c r="E237" s="88" t="s">
        <v>34</v>
      </c>
      <c r="F237" s="94">
        <v>4775</v>
      </c>
      <c r="G237" s="94">
        <v>173</v>
      </c>
      <c r="H237" s="94">
        <v>206</v>
      </c>
      <c r="I237" s="94">
        <v>47750</v>
      </c>
      <c r="J237" s="94">
        <v>47544</v>
      </c>
      <c r="K237" s="94">
        <v>187</v>
      </c>
      <c r="L237" s="92" t="s">
        <v>44</v>
      </c>
      <c r="M237" s="92" t="s">
        <v>55</v>
      </c>
      <c r="N237" s="20"/>
    </row>
    <row r="238" spans="1:14" x14ac:dyDescent="0.3">
      <c r="A238" s="87" t="s">
        <v>339</v>
      </c>
      <c r="B238" s="88" t="s">
        <v>31</v>
      </c>
      <c r="C238" s="89">
        <v>45515</v>
      </c>
      <c r="D238" s="88" t="s">
        <v>33</v>
      </c>
      <c r="E238" s="88" t="s">
        <v>34</v>
      </c>
      <c r="F238" s="94">
        <v>1762</v>
      </c>
      <c r="G238" s="94">
        <v>405</v>
      </c>
      <c r="H238" s="94">
        <v>423</v>
      </c>
      <c r="I238" s="94">
        <v>22906</v>
      </c>
      <c r="J238" s="94">
        <v>21925</v>
      </c>
      <c r="K238" s="94">
        <v>25</v>
      </c>
      <c r="L238" s="92" t="s">
        <v>77</v>
      </c>
      <c r="M238" s="92" t="s">
        <v>25</v>
      </c>
      <c r="N238" s="20"/>
    </row>
    <row r="239" spans="1:14" x14ac:dyDescent="0.3">
      <c r="A239" s="87" t="s">
        <v>341</v>
      </c>
      <c r="B239" s="88" t="s">
        <v>40</v>
      </c>
      <c r="C239" s="89">
        <v>45621</v>
      </c>
      <c r="D239" s="88" t="s">
        <v>33</v>
      </c>
      <c r="E239" s="88" t="s">
        <v>34</v>
      </c>
      <c r="F239" s="94">
        <v>2120</v>
      </c>
      <c r="G239" s="94">
        <v>158</v>
      </c>
      <c r="H239" s="94">
        <v>488</v>
      </c>
      <c r="I239" s="94">
        <v>12720</v>
      </c>
      <c r="J239" s="94">
        <v>12085</v>
      </c>
      <c r="K239" s="94">
        <v>17</v>
      </c>
      <c r="L239" s="92" t="s">
        <v>58</v>
      </c>
      <c r="M239" s="92" t="s">
        <v>25</v>
      </c>
      <c r="N239" s="20"/>
    </row>
    <row r="240" spans="1:14" x14ac:dyDescent="0.3">
      <c r="A240" s="87" t="s">
        <v>341</v>
      </c>
      <c r="B240" s="88" t="s">
        <v>40</v>
      </c>
      <c r="C240" s="89">
        <v>45621</v>
      </c>
      <c r="D240" s="88" t="s">
        <v>33</v>
      </c>
      <c r="E240" s="88" t="s">
        <v>34</v>
      </c>
      <c r="F240" s="94">
        <v>2120</v>
      </c>
      <c r="G240" s="94">
        <v>158</v>
      </c>
      <c r="H240" s="94">
        <v>488</v>
      </c>
      <c r="I240" s="94">
        <v>12720</v>
      </c>
      <c r="J240" s="94">
        <v>12085</v>
      </c>
      <c r="K240" s="94">
        <v>17</v>
      </c>
      <c r="L240" s="92" t="s">
        <v>44</v>
      </c>
      <c r="M240" s="92" t="s">
        <v>25</v>
      </c>
      <c r="N240" s="20"/>
    </row>
    <row r="241" spans="1:14" x14ac:dyDescent="0.3">
      <c r="A241" s="87" t="s">
        <v>342</v>
      </c>
      <c r="B241" s="88" t="s">
        <v>14</v>
      </c>
      <c r="C241" s="89">
        <v>45528</v>
      </c>
      <c r="D241" s="88" t="s">
        <v>69</v>
      </c>
      <c r="E241" s="88" t="s">
        <v>70</v>
      </c>
      <c r="F241" s="94">
        <v>1082</v>
      </c>
      <c r="G241" s="94">
        <v>209</v>
      </c>
      <c r="H241" s="94">
        <v>484</v>
      </c>
      <c r="I241" s="94">
        <v>19476</v>
      </c>
      <c r="J241" s="94">
        <v>18654</v>
      </c>
      <c r="K241" s="94">
        <v>20</v>
      </c>
      <c r="L241" s="92" t="s">
        <v>58</v>
      </c>
      <c r="M241" s="92" t="s">
        <v>55</v>
      </c>
      <c r="N241" s="20"/>
    </row>
    <row r="242" spans="1:14" x14ac:dyDescent="0.3">
      <c r="A242" s="87" t="s">
        <v>344</v>
      </c>
      <c r="B242" s="88" t="s">
        <v>14</v>
      </c>
      <c r="C242" s="89">
        <v>45707</v>
      </c>
      <c r="D242" s="88" t="s">
        <v>22</v>
      </c>
      <c r="E242" s="88" t="s">
        <v>23</v>
      </c>
      <c r="F242" s="94">
        <v>4671</v>
      </c>
      <c r="G242" s="94">
        <v>876</v>
      </c>
      <c r="H242" s="94">
        <v>366</v>
      </c>
      <c r="I242" s="94">
        <v>51381</v>
      </c>
      <c r="J242" s="94">
        <v>50565</v>
      </c>
      <c r="K242" s="94">
        <v>245</v>
      </c>
      <c r="L242" s="92" t="s">
        <v>18</v>
      </c>
      <c r="M242" s="92" t="s">
        <v>25</v>
      </c>
      <c r="N242" s="20"/>
    </row>
    <row r="243" spans="1:14" x14ac:dyDescent="0.3">
      <c r="A243" s="87" t="s">
        <v>346</v>
      </c>
      <c r="B243" s="88" t="s">
        <v>40</v>
      </c>
      <c r="C243" s="89">
        <v>45748</v>
      </c>
      <c r="D243" s="88" t="s">
        <v>33</v>
      </c>
      <c r="E243" s="88" t="s">
        <v>34</v>
      </c>
      <c r="F243" s="94">
        <v>3430</v>
      </c>
      <c r="G243" s="94">
        <v>566</v>
      </c>
      <c r="H243" s="94">
        <v>164</v>
      </c>
      <c r="I243" s="94">
        <v>48020</v>
      </c>
      <c r="J243" s="94">
        <v>47305</v>
      </c>
      <c r="K243" s="94">
        <v>120</v>
      </c>
      <c r="L243" s="92" t="s">
        <v>44</v>
      </c>
      <c r="M243" s="92" t="s">
        <v>25</v>
      </c>
      <c r="N243" s="20"/>
    </row>
    <row r="244" spans="1:14" x14ac:dyDescent="0.3">
      <c r="A244" s="87" t="s">
        <v>348</v>
      </c>
      <c r="B244" s="88" t="s">
        <v>31</v>
      </c>
      <c r="C244" s="89">
        <v>45755</v>
      </c>
      <c r="D244" s="88" t="s">
        <v>49</v>
      </c>
      <c r="E244" s="88" t="s">
        <v>50</v>
      </c>
      <c r="F244" s="94">
        <v>4501</v>
      </c>
      <c r="G244" s="94">
        <v>375</v>
      </c>
      <c r="H244" s="94">
        <v>323</v>
      </c>
      <c r="I244" s="94">
        <v>22505</v>
      </c>
      <c r="J244" s="94">
        <v>21836</v>
      </c>
      <c r="K244" s="94">
        <v>132</v>
      </c>
      <c r="L244" s="92" t="s">
        <v>24</v>
      </c>
      <c r="M244" s="92" t="s">
        <v>55</v>
      </c>
      <c r="N244" s="20"/>
    </row>
    <row r="245" spans="1:14" x14ac:dyDescent="0.3">
      <c r="A245" s="87" t="s">
        <v>350</v>
      </c>
      <c r="B245" s="88" t="s">
        <v>577</v>
      </c>
      <c r="C245" s="89">
        <v>45715</v>
      </c>
      <c r="D245" s="88" t="s">
        <v>22</v>
      </c>
      <c r="E245" s="88" t="s">
        <v>23</v>
      </c>
      <c r="F245" s="94">
        <v>4934</v>
      </c>
      <c r="G245" s="94">
        <v>971</v>
      </c>
      <c r="H245" s="94">
        <v>156</v>
      </c>
      <c r="I245" s="94">
        <v>39472</v>
      </c>
      <c r="J245" s="94">
        <v>39025</v>
      </c>
      <c r="K245" s="94">
        <v>169</v>
      </c>
      <c r="L245" s="92" t="s">
        <v>77</v>
      </c>
      <c r="M245" s="92" t="s">
        <v>25</v>
      </c>
      <c r="N245" s="20"/>
    </row>
    <row r="246" spans="1:14" x14ac:dyDescent="0.3">
      <c r="A246" s="87" t="s">
        <v>350</v>
      </c>
      <c r="B246" s="88" t="s">
        <v>577</v>
      </c>
      <c r="C246" s="89">
        <v>45715</v>
      </c>
      <c r="D246" s="88" t="s">
        <v>22</v>
      </c>
      <c r="E246" s="88" t="s">
        <v>23</v>
      </c>
      <c r="F246" s="94">
        <v>4934</v>
      </c>
      <c r="G246" s="94">
        <v>971</v>
      </c>
      <c r="H246" s="94">
        <v>156</v>
      </c>
      <c r="I246" s="94">
        <v>39472</v>
      </c>
      <c r="J246" s="94">
        <v>39025</v>
      </c>
      <c r="K246" s="94">
        <v>169</v>
      </c>
      <c r="L246" s="92" t="s">
        <v>58</v>
      </c>
      <c r="M246" s="92" t="s">
        <v>25</v>
      </c>
      <c r="N246" s="20"/>
    </row>
    <row r="247" spans="1:14" x14ac:dyDescent="0.3">
      <c r="A247" s="87" t="s">
        <v>351</v>
      </c>
      <c r="B247" s="88" t="s">
        <v>14</v>
      </c>
      <c r="C247" s="89">
        <v>45637</v>
      </c>
      <c r="D247" s="88" t="s">
        <v>22</v>
      </c>
      <c r="E247" s="88" t="s">
        <v>23</v>
      </c>
      <c r="F247" s="94">
        <v>3239</v>
      </c>
      <c r="G247" s="94">
        <v>43</v>
      </c>
      <c r="H247" s="94">
        <v>211</v>
      </c>
      <c r="I247" s="94">
        <v>22673</v>
      </c>
      <c r="J247" s="94">
        <v>22171</v>
      </c>
      <c r="K247" s="94">
        <v>230</v>
      </c>
      <c r="L247" s="92" t="s">
        <v>44</v>
      </c>
      <c r="M247" s="92" t="s">
        <v>25</v>
      </c>
      <c r="N247" s="20"/>
    </row>
    <row r="248" spans="1:14" x14ac:dyDescent="0.3">
      <c r="A248" s="87" t="s">
        <v>351</v>
      </c>
      <c r="B248" s="88" t="s">
        <v>14</v>
      </c>
      <c r="C248" s="89">
        <v>45637</v>
      </c>
      <c r="D248" s="88" t="s">
        <v>22</v>
      </c>
      <c r="E248" s="88" t="s">
        <v>23</v>
      </c>
      <c r="F248" s="94">
        <v>3239</v>
      </c>
      <c r="G248" s="94">
        <v>43</v>
      </c>
      <c r="H248" s="94">
        <v>211</v>
      </c>
      <c r="I248" s="94">
        <v>22673</v>
      </c>
      <c r="J248" s="94">
        <v>22171</v>
      </c>
      <c r="K248" s="94">
        <v>230</v>
      </c>
      <c r="L248" s="92" t="s">
        <v>58</v>
      </c>
      <c r="M248" s="92" t="s">
        <v>25</v>
      </c>
      <c r="N248" s="20"/>
    </row>
    <row r="249" spans="1:14" x14ac:dyDescent="0.3">
      <c r="A249" s="87" t="s">
        <v>352</v>
      </c>
      <c r="B249" s="88" t="s">
        <v>14</v>
      </c>
      <c r="C249" s="89">
        <v>45704</v>
      </c>
      <c r="D249" s="88" t="s">
        <v>16</v>
      </c>
      <c r="E249" s="88" t="s">
        <v>17</v>
      </c>
      <c r="F249" s="94">
        <v>1076</v>
      </c>
      <c r="G249" s="94">
        <v>313</v>
      </c>
      <c r="H249" s="94">
        <v>306</v>
      </c>
      <c r="I249" s="94">
        <v>11836</v>
      </c>
      <c r="J249" s="94">
        <v>11596</v>
      </c>
      <c r="K249" s="94">
        <v>104</v>
      </c>
      <c r="L249" s="92" t="s">
        <v>77</v>
      </c>
      <c r="M249" s="92" t="s">
        <v>25</v>
      </c>
      <c r="N249" s="20"/>
    </row>
    <row r="250" spans="1:14" x14ac:dyDescent="0.3">
      <c r="A250" s="87" t="s">
        <v>353</v>
      </c>
      <c r="B250" s="88" t="s">
        <v>31</v>
      </c>
      <c r="C250" s="89">
        <v>45624</v>
      </c>
      <c r="D250" s="88" t="s">
        <v>22</v>
      </c>
      <c r="E250" s="88" t="s">
        <v>23</v>
      </c>
      <c r="F250" s="94">
        <v>4771</v>
      </c>
      <c r="G250" s="94">
        <v>818</v>
      </c>
      <c r="H250" s="94">
        <v>56</v>
      </c>
      <c r="I250" s="94">
        <v>57252</v>
      </c>
      <c r="J250" s="94">
        <v>56378</v>
      </c>
      <c r="K250" s="94">
        <v>150</v>
      </c>
      <c r="L250" s="92" t="s">
        <v>18</v>
      </c>
      <c r="M250" s="92" t="s">
        <v>25</v>
      </c>
      <c r="N250" s="20"/>
    </row>
    <row r="251" spans="1:14" x14ac:dyDescent="0.3">
      <c r="A251" s="87" t="s">
        <v>354</v>
      </c>
      <c r="B251" s="88" t="s">
        <v>40</v>
      </c>
      <c r="C251" s="89">
        <v>45608</v>
      </c>
      <c r="D251" s="88" t="s">
        <v>22</v>
      </c>
      <c r="E251" s="88" t="s">
        <v>23</v>
      </c>
      <c r="F251" s="94">
        <v>2418</v>
      </c>
      <c r="G251" s="94">
        <v>754</v>
      </c>
      <c r="H251" s="94">
        <v>54</v>
      </c>
      <c r="I251" s="94">
        <v>43524</v>
      </c>
      <c r="J251" s="94">
        <v>42743</v>
      </c>
      <c r="K251" s="94">
        <v>182</v>
      </c>
      <c r="L251" s="92" t="s">
        <v>24</v>
      </c>
      <c r="M251" s="92" t="s">
        <v>55</v>
      </c>
      <c r="N251" s="20"/>
    </row>
    <row r="252" spans="1:14" x14ac:dyDescent="0.3">
      <c r="A252" s="87" t="s">
        <v>354</v>
      </c>
      <c r="B252" s="88" t="s">
        <v>40</v>
      </c>
      <c r="C252" s="89">
        <v>45608</v>
      </c>
      <c r="D252" s="88" t="s">
        <v>22</v>
      </c>
      <c r="E252" s="88" t="s">
        <v>23</v>
      </c>
      <c r="F252" s="94">
        <v>2418</v>
      </c>
      <c r="G252" s="94">
        <v>754</v>
      </c>
      <c r="H252" s="94">
        <v>54</v>
      </c>
      <c r="I252" s="94">
        <v>43524</v>
      </c>
      <c r="J252" s="94">
        <v>42743</v>
      </c>
      <c r="K252" s="94">
        <v>182</v>
      </c>
      <c r="L252" s="92" t="s">
        <v>44</v>
      </c>
      <c r="M252" s="92" t="s">
        <v>55</v>
      </c>
      <c r="N252" s="20"/>
    </row>
    <row r="253" spans="1:14" x14ac:dyDescent="0.3">
      <c r="A253" s="87" t="s">
        <v>356</v>
      </c>
      <c r="B253" s="88" t="s">
        <v>577</v>
      </c>
      <c r="C253" s="89">
        <v>45629</v>
      </c>
      <c r="D253" s="88" t="s">
        <v>69</v>
      </c>
      <c r="E253" s="88" t="s">
        <v>70</v>
      </c>
      <c r="F253" s="94">
        <v>3809</v>
      </c>
      <c r="G253" s="94">
        <v>273</v>
      </c>
      <c r="H253" s="94">
        <v>200</v>
      </c>
      <c r="I253" s="94">
        <v>34281</v>
      </c>
      <c r="J253" s="94">
        <v>33534</v>
      </c>
      <c r="K253" s="94">
        <v>83</v>
      </c>
      <c r="L253" s="92" t="s">
        <v>44</v>
      </c>
      <c r="M253" s="92" t="s">
        <v>38</v>
      </c>
      <c r="N253" s="20"/>
    </row>
    <row r="254" spans="1:14" x14ac:dyDescent="0.3">
      <c r="A254" s="87" t="s">
        <v>358</v>
      </c>
      <c r="B254" s="88" t="s">
        <v>14</v>
      </c>
      <c r="C254" s="89">
        <v>45775</v>
      </c>
      <c r="D254" s="88" t="s">
        <v>22</v>
      </c>
      <c r="E254" s="88" t="s">
        <v>23</v>
      </c>
      <c r="F254" s="94">
        <v>3577</v>
      </c>
      <c r="G254" s="94">
        <v>596</v>
      </c>
      <c r="H254" s="94">
        <v>493</v>
      </c>
      <c r="I254" s="94">
        <v>67963</v>
      </c>
      <c r="J254" s="94">
        <v>67839</v>
      </c>
      <c r="K254" s="94">
        <v>53</v>
      </c>
      <c r="L254" s="92" t="s">
        <v>58</v>
      </c>
      <c r="M254" s="92" t="s">
        <v>55</v>
      </c>
      <c r="N254" s="20"/>
    </row>
    <row r="255" spans="1:14" x14ac:dyDescent="0.3">
      <c r="A255" s="87" t="s">
        <v>358</v>
      </c>
      <c r="B255" s="88" t="s">
        <v>14</v>
      </c>
      <c r="C255" s="89">
        <v>45775</v>
      </c>
      <c r="D255" s="88" t="s">
        <v>22</v>
      </c>
      <c r="E255" s="88" t="s">
        <v>23</v>
      </c>
      <c r="F255" s="94">
        <v>3577</v>
      </c>
      <c r="G255" s="94">
        <v>596</v>
      </c>
      <c r="H255" s="94">
        <v>493</v>
      </c>
      <c r="I255" s="94">
        <v>67963</v>
      </c>
      <c r="J255" s="94">
        <v>67839</v>
      </c>
      <c r="K255" s="94">
        <v>53</v>
      </c>
      <c r="L255" s="92" t="s">
        <v>44</v>
      </c>
      <c r="M255" s="92" t="s">
        <v>55</v>
      </c>
      <c r="N255" s="20"/>
    </row>
    <row r="256" spans="1:14" x14ac:dyDescent="0.3">
      <c r="A256" s="87" t="s">
        <v>360</v>
      </c>
      <c r="B256" s="88" t="s">
        <v>577</v>
      </c>
      <c r="C256" s="89">
        <v>45657</v>
      </c>
      <c r="D256" s="88" t="s">
        <v>69</v>
      </c>
      <c r="E256" s="88" t="s">
        <v>70</v>
      </c>
      <c r="F256" s="94">
        <v>1018</v>
      </c>
      <c r="G256" s="94">
        <v>447</v>
      </c>
      <c r="H256" s="94">
        <v>332</v>
      </c>
      <c r="I256" s="94">
        <v>18324</v>
      </c>
      <c r="J256" s="94">
        <v>18164</v>
      </c>
      <c r="K256" s="94">
        <v>38</v>
      </c>
      <c r="L256" s="92" t="s">
        <v>18</v>
      </c>
      <c r="M256" s="92" t="s">
        <v>55</v>
      </c>
      <c r="N256" s="20"/>
    </row>
    <row r="257" spans="1:14" x14ac:dyDescent="0.3">
      <c r="A257" s="87" t="s">
        <v>360</v>
      </c>
      <c r="B257" s="88" t="s">
        <v>577</v>
      </c>
      <c r="C257" s="89">
        <v>45657</v>
      </c>
      <c r="D257" s="88" t="s">
        <v>69</v>
      </c>
      <c r="E257" s="88" t="s">
        <v>70</v>
      </c>
      <c r="F257" s="94">
        <v>1018</v>
      </c>
      <c r="G257" s="94">
        <v>447</v>
      </c>
      <c r="H257" s="94">
        <v>332</v>
      </c>
      <c r="I257" s="94">
        <v>18324</v>
      </c>
      <c r="J257" s="94">
        <v>18164</v>
      </c>
      <c r="K257" s="94">
        <v>38</v>
      </c>
      <c r="L257" s="92" t="s">
        <v>24</v>
      </c>
      <c r="M257" s="92" t="s">
        <v>55</v>
      </c>
      <c r="N257" s="20"/>
    </row>
    <row r="258" spans="1:14" x14ac:dyDescent="0.3">
      <c r="A258" s="87" t="s">
        <v>362</v>
      </c>
      <c r="B258" s="88" t="s">
        <v>40</v>
      </c>
      <c r="C258" s="89">
        <v>45518</v>
      </c>
      <c r="D258" s="88" t="s">
        <v>42</v>
      </c>
      <c r="E258" s="88" t="s">
        <v>43</v>
      </c>
      <c r="F258" s="94">
        <v>3073</v>
      </c>
      <c r="G258" s="94">
        <v>553</v>
      </c>
      <c r="H258" s="94">
        <v>174</v>
      </c>
      <c r="I258" s="94">
        <v>52241</v>
      </c>
      <c r="J258" s="94">
        <v>51605</v>
      </c>
      <c r="K258" s="94">
        <v>246</v>
      </c>
      <c r="L258" s="92" t="s">
        <v>24</v>
      </c>
      <c r="M258" s="92" t="s">
        <v>55</v>
      </c>
      <c r="N258" s="20"/>
    </row>
    <row r="259" spans="1:14" x14ac:dyDescent="0.3">
      <c r="A259" s="87" t="s">
        <v>362</v>
      </c>
      <c r="B259" s="88" t="s">
        <v>40</v>
      </c>
      <c r="C259" s="89">
        <v>45518</v>
      </c>
      <c r="D259" s="88" t="s">
        <v>42</v>
      </c>
      <c r="E259" s="88" t="s">
        <v>43</v>
      </c>
      <c r="F259" s="94">
        <v>3073</v>
      </c>
      <c r="G259" s="94">
        <v>553</v>
      </c>
      <c r="H259" s="94">
        <v>174</v>
      </c>
      <c r="I259" s="94">
        <v>52241</v>
      </c>
      <c r="J259" s="94">
        <v>51605</v>
      </c>
      <c r="K259" s="94">
        <v>246</v>
      </c>
      <c r="L259" s="92" t="s">
        <v>58</v>
      </c>
      <c r="M259" s="92" t="s">
        <v>55</v>
      </c>
      <c r="N259" s="20"/>
    </row>
    <row r="260" spans="1:14" x14ac:dyDescent="0.3">
      <c r="A260" s="87" t="s">
        <v>364</v>
      </c>
      <c r="B260" s="88" t="s">
        <v>14</v>
      </c>
      <c r="C260" s="89">
        <v>45631</v>
      </c>
      <c r="D260" s="88" t="s">
        <v>69</v>
      </c>
      <c r="E260" s="88" t="s">
        <v>70</v>
      </c>
      <c r="F260" s="94">
        <v>1330</v>
      </c>
      <c r="G260" s="94">
        <v>925</v>
      </c>
      <c r="H260" s="94">
        <v>35</v>
      </c>
      <c r="I260" s="94">
        <v>15960</v>
      </c>
      <c r="J260" s="94">
        <v>15379</v>
      </c>
      <c r="K260" s="94">
        <v>229</v>
      </c>
      <c r="L260" s="92" t="s">
        <v>77</v>
      </c>
      <c r="M260" s="92" t="s">
        <v>55</v>
      </c>
      <c r="N260" s="20"/>
    </row>
    <row r="261" spans="1:14" x14ac:dyDescent="0.3">
      <c r="A261" s="87" t="s">
        <v>364</v>
      </c>
      <c r="B261" s="88" t="s">
        <v>14</v>
      </c>
      <c r="C261" s="89">
        <v>45631</v>
      </c>
      <c r="D261" s="88" t="s">
        <v>69</v>
      </c>
      <c r="E261" s="88" t="s">
        <v>70</v>
      </c>
      <c r="F261" s="94">
        <v>1330</v>
      </c>
      <c r="G261" s="94">
        <v>925</v>
      </c>
      <c r="H261" s="94">
        <v>35</v>
      </c>
      <c r="I261" s="94">
        <v>15960</v>
      </c>
      <c r="J261" s="94">
        <v>15379</v>
      </c>
      <c r="K261" s="94">
        <v>229</v>
      </c>
      <c r="L261" s="92" t="s">
        <v>44</v>
      </c>
      <c r="M261" s="92" t="s">
        <v>55</v>
      </c>
      <c r="N261" s="20"/>
    </row>
    <row r="262" spans="1:14" x14ac:dyDescent="0.3">
      <c r="A262" s="87" t="s">
        <v>366</v>
      </c>
      <c r="B262" s="88" t="s">
        <v>40</v>
      </c>
      <c r="C262" s="89">
        <v>45465</v>
      </c>
      <c r="D262" s="88" t="s">
        <v>22</v>
      </c>
      <c r="E262" s="88" t="s">
        <v>23</v>
      </c>
      <c r="F262" s="94">
        <v>3828</v>
      </c>
      <c r="G262" s="94">
        <v>148</v>
      </c>
      <c r="H262" s="94">
        <v>253</v>
      </c>
      <c r="I262" s="94">
        <v>30624</v>
      </c>
      <c r="J262" s="94">
        <v>30229</v>
      </c>
      <c r="K262" s="94">
        <v>235</v>
      </c>
      <c r="L262" s="92" t="s">
        <v>18</v>
      </c>
      <c r="M262" s="92" t="s">
        <v>55</v>
      </c>
      <c r="N262" s="20"/>
    </row>
    <row r="263" spans="1:14" x14ac:dyDescent="0.3">
      <c r="A263" s="87" t="s">
        <v>366</v>
      </c>
      <c r="B263" s="88" t="s">
        <v>40</v>
      </c>
      <c r="C263" s="89">
        <v>45465</v>
      </c>
      <c r="D263" s="88" t="s">
        <v>22</v>
      </c>
      <c r="E263" s="88" t="s">
        <v>23</v>
      </c>
      <c r="F263" s="94">
        <v>3828</v>
      </c>
      <c r="G263" s="94">
        <v>148</v>
      </c>
      <c r="H263" s="94">
        <v>253</v>
      </c>
      <c r="I263" s="94">
        <v>30624</v>
      </c>
      <c r="J263" s="94">
        <v>30229</v>
      </c>
      <c r="K263" s="94">
        <v>235</v>
      </c>
      <c r="L263" s="92" t="s">
        <v>58</v>
      </c>
      <c r="M263" s="92" t="s">
        <v>55</v>
      </c>
      <c r="N263" s="20"/>
    </row>
    <row r="264" spans="1:14" x14ac:dyDescent="0.3">
      <c r="A264" s="87" t="s">
        <v>367</v>
      </c>
      <c r="B264" s="88" t="s">
        <v>31</v>
      </c>
      <c r="C264" s="89">
        <v>45674</v>
      </c>
      <c r="D264" s="88" t="s">
        <v>16</v>
      </c>
      <c r="E264" s="88" t="s">
        <v>17</v>
      </c>
      <c r="F264" s="94">
        <v>142</v>
      </c>
      <c r="G264" s="94">
        <v>784</v>
      </c>
      <c r="H264" s="94">
        <v>183</v>
      </c>
      <c r="I264" s="94">
        <v>1704</v>
      </c>
      <c r="J264" s="94">
        <v>995</v>
      </c>
      <c r="K264" s="94">
        <v>154</v>
      </c>
      <c r="L264" s="92" t="s">
        <v>18</v>
      </c>
      <c r="M264" s="92" t="s">
        <v>19</v>
      </c>
      <c r="N264" s="20"/>
    </row>
    <row r="265" spans="1:14" x14ac:dyDescent="0.3">
      <c r="A265" s="87" t="s">
        <v>369</v>
      </c>
      <c r="B265" s="88" t="s">
        <v>40</v>
      </c>
      <c r="C265" s="89">
        <v>45463</v>
      </c>
      <c r="D265" s="88" t="s">
        <v>69</v>
      </c>
      <c r="E265" s="88" t="s">
        <v>70</v>
      </c>
      <c r="F265" s="94">
        <v>3798</v>
      </c>
      <c r="G265" s="94">
        <v>31</v>
      </c>
      <c r="H265" s="94">
        <v>279</v>
      </c>
      <c r="I265" s="94">
        <v>75960</v>
      </c>
      <c r="J265" s="94">
        <v>75813</v>
      </c>
      <c r="K265" s="94">
        <v>266</v>
      </c>
      <c r="L265" s="92" t="s">
        <v>24</v>
      </c>
      <c r="M265" s="92" t="s">
        <v>25</v>
      </c>
      <c r="N265" s="20"/>
    </row>
    <row r="266" spans="1:14" x14ac:dyDescent="0.3">
      <c r="A266" s="87" t="s">
        <v>371</v>
      </c>
      <c r="B266" s="88" t="s">
        <v>31</v>
      </c>
      <c r="C266" s="89">
        <v>45483</v>
      </c>
      <c r="D266" s="88" t="s">
        <v>42</v>
      </c>
      <c r="E266" s="88" t="s">
        <v>43</v>
      </c>
      <c r="F266" s="94">
        <v>3099</v>
      </c>
      <c r="G266" s="94">
        <v>694</v>
      </c>
      <c r="H266" s="94">
        <v>171</v>
      </c>
      <c r="I266" s="94">
        <v>43386</v>
      </c>
      <c r="J266" s="94">
        <v>42921</v>
      </c>
      <c r="K266" s="94">
        <v>52</v>
      </c>
      <c r="L266" s="92" t="s">
        <v>77</v>
      </c>
      <c r="M266" s="92" t="s">
        <v>55</v>
      </c>
      <c r="N266" s="20"/>
    </row>
    <row r="267" spans="1:14" x14ac:dyDescent="0.3">
      <c r="A267" s="87" t="s">
        <v>373</v>
      </c>
      <c r="B267" s="88" t="s">
        <v>31</v>
      </c>
      <c r="C267" s="89">
        <v>45603</v>
      </c>
      <c r="D267" s="88" t="s">
        <v>69</v>
      </c>
      <c r="E267" s="88" t="s">
        <v>70</v>
      </c>
      <c r="F267" s="94">
        <v>129</v>
      </c>
      <c r="G267" s="94">
        <v>643</v>
      </c>
      <c r="H267" s="94">
        <v>136</v>
      </c>
      <c r="I267" s="94">
        <v>1290</v>
      </c>
      <c r="J267" s="94">
        <v>839</v>
      </c>
      <c r="K267" s="94">
        <v>238</v>
      </c>
      <c r="L267" s="92" t="s">
        <v>58</v>
      </c>
      <c r="M267" s="92" t="s">
        <v>55</v>
      </c>
      <c r="N267" s="20"/>
    </row>
    <row r="268" spans="1:14" x14ac:dyDescent="0.3">
      <c r="A268" s="87" t="s">
        <v>373</v>
      </c>
      <c r="B268" s="88" t="s">
        <v>31</v>
      </c>
      <c r="C268" s="89">
        <v>45603</v>
      </c>
      <c r="D268" s="88" t="s">
        <v>69</v>
      </c>
      <c r="E268" s="88" t="s">
        <v>70</v>
      </c>
      <c r="F268" s="94">
        <v>129</v>
      </c>
      <c r="G268" s="94">
        <v>643</v>
      </c>
      <c r="H268" s="94">
        <v>136</v>
      </c>
      <c r="I268" s="94">
        <v>1290</v>
      </c>
      <c r="J268" s="94">
        <v>839</v>
      </c>
      <c r="K268" s="94">
        <v>238</v>
      </c>
      <c r="L268" s="92" t="s">
        <v>77</v>
      </c>
      <c r="M268" s="92" t="s">
        <v>55</v>
      </c>
      <c r="N268" s="20"/>
    </row>
    <row r="269" spans="1:14" x14ac:dyDescent="0.3">
      <c r="A269" s="87" t="s">
        <v>374</v>
      </c>
      <c r="B269" s="88" t="s">
        <v>40</v>
      </c>
      <c r="C269" s="89">
        <v>45488</v>
      </c>
      <c r="D269" s="88" t="s">
        <v>42</v>
      </c>
      <c r="E269" s="88" t="s">
        <v>43</v>
      </c>
      <c r="F269" s="94">
        <v>3796</v>
      </c>
      <c r="G269" s="94">
        <v>667</v>
      </c>
      <c r="H269" s="94">
        <v>395</v>
      </c>
      <c r="I269" s="94">
        <v>64532</v>
      </c>
      <c r="J269" s="94">
        <v>63550</v>
      </c>
      <c r="K269" s="94">
        <v>292</v>
      </c>
      <c r="L269" s="92" t="s">
        <v>58</v>
      </c>
      <c r="M269" s="92" t="s">
        <v>19</v>
      </c>
      <c r="N269" s="20"/>
    </row>
    <row r="270" spans="1:14" x14ac:dyDescent="0.3">
      <c r="A270" s="87" t="s">
        <v>375</v>
      </c>
      <c r="B270" s="88" t="s">
        <v>577</v>
      </c>
      <c r="C270" s="89">
        <v>45629</v>
      </c>
      <c r="D270" s="88" t="s">
        <v>22</v>
      </c>
      <c r="E270" s="88" t="s">
        <v>23</v>
      </c>
      <c r="F270" s="94">
        <v>3711</v>
      </c>
      <c r="G270" s="94">
        <v>352</v>
      </c>
      <c r="H270" s="94">
        <v>290</v>
      </c>
      <c r="I270" s="94">
        <v>48243</v>
      </c>
      <c r="J270" s="94">
        <v>47579</v>
      </c>
      <c r="K270" s="94">
        <v>11</v>
      </c>
      <c r="L270" s="92" t="s">
        <v>58</v>
      </c>
      <c r="M270" s="92" t="s">
        <v>55</v>
      </c>
      <c r="N270" s="20"/>
    </row>
    <row r="271" spans="1:14" x14ac:dyDescent="0.3">
      <c r="A271" s="87" t="s">
        <v>375</v>
      </c>
      <c r="B271" s="88" t="s">
        <v>577</v>
      </c>
      <c r="C271" s="89">
        <v>45629</v>
      </c>
      <c r="D271" s="88" t="s">
        <v>22</v>
      </c>
      <c r="E271" s="88" t="s">
        <v>23</v>
      </c>
      <c r="F271" s="94">
        <v>3711</v>
      </c>
      <c r="G271" s="94">
        <v>352</v>
      </c>
      <c r="H271" s="94">
        <v>290</v>
      </c>
      <c r="I271" s="94">
        <v>48243</v>
      </c>
      <c r="J271" s="94">
        <v>47579</v>
      </c>
      <c r="K271" s="94">
        <v>11</v>
      </c>
      <c r="L271" s="92" t="s">
        <v>77</v>
      </c>
      <c r="M271" s="92" t="s">
        <v>55</v>
      </c>
      <c r="N271" s="20"/>
    </row>
    <row r="272" spans="1:14" x14ac:dyDescent="0.3">
      <c r="A272" s="87" t="s">
        <v>376</v>
      </c>
      <c r="B272" s="88" t="s">
        <v>577</v>
      </c>
      <c r="C272" s="89">
        <v>45737</v>
      </c>
      <c r="D272" s="88" t="s">
        <v>49</v>
      </c>
      <c r="E272" s="88" t="s">
        <v>50</v>
      </c>
      <c r="F272" s="94">
        <v>606</v>
      </c>
      <c r="G272" s="94">
        <v>789</v>
      </c>
      <c r="H272" s="94">
        <v>470</v>
      </c>
      <c r="I272" s="94">
        <v>7878</v>
      </c>
      <c r="J272" s="94">
        <v>7389</v>
      </c>
      <c r="K272" s="94">
        <v>239</v>
      </c>
      <c r="L272" s="92" t="s">
        <v>18</v>
      </c>
      <c r="M272" s="92" t="s">
        <v>25</v>
      </c>
      <c r="N272" s="20"/>
    </row>
    <row r="273" spans="1:14" x14ac:dyDescent="0.3">
      <c r="A273" s="87" t="s">
        <v>378</v>
      </c>
      <c r="B273" s="88" t="s">
        <v>40</v>
      </c>
      <c r="C273" s="89">
        <v>45504</v>
      </c>
      <c r="D273" s="88" t="s">
        <v>49</v>
      </c>
      <c r="E273" s="88" t="s">
        <v>50</v>
      </c>
      <c r="F273" s="94">
        <v>4689</v>
      </c>
      <c r="G273" s="94">
        <v>134</v>
      </c>
      <c r="H273" s="94">
        <v>403</v>
      </c>
      <c r="I273" s="94">
        <v>51579</v>
      </c>
      <c r="J273" s="94">
        <v>50924</v>
      </c>
      <c r="K273" s="94">
        <v>173</v>
      </c>
      <c r="L273" s="92" t="s">
        <v>77</v>
      </c>
      <c r="M273" s="92" t="s">
        <v>19</v>
      </c>
      <c r="N273" s="20"/>
    </row>
    <row r="274" spans="1:14" x14ac:dyDescent="0.3">
      <c r="A274" s="87" t="s">
        <v>379</v>
      </c>
      <c r="B274" s="88" t="s">
        <v>31</v>
      </c>
      <c r="C274" s="89">
        <v>45643</v>
      </c>
      <c r="D274" s="88" t="s">
        <v>33</v>
      </c>
      <c r="E274" s="88" t="s">
        <v>34</v>
      </c>
      <c r="F274" s="94">
        <v>360</v>
      </c>
      <c r="G274" s="94">
        <v>590</v>
      </c>
      <c r="H274" s="94">
        <v>393</v>
      </c>
      <c r="I274" s="94">
        <v>4680</v>
      </c>
      <c r="J274" s="94">
        <v>4322</v>
      </c>
      <c r="K274" s="94">
        <v>208</v>
      </c>
      <c r="L274" s="92" t="s">
        <v>58</v>
      </c>
      <c r="M274" s="92" t="s">
        <v>25</v>
      </c>
      <c r="N274" s="20"/>
    </row>
    <row r="275" spans="1:14" x14ac:dyDescent="0.3">
      <c r="A275" s="87" t="s">
        <v>379</v>
      </c>
      <c r="B275" s="88" t="s">
        <v>31</v>
      </c>
      <c r="C275" s="89">
        <v>45643</v>
      </c>
      <c r="D275" s="88" t="s">
        <v>33</v>
      </c>
      <c r="E275" s="88" t="s">
        <v>34</v>
      </c>
      <c r="F275" s="94">
        <v>360</v>
      </c>
      <c r="G275" s="94">
        <v>590</v>
      </c>
      <c r="H275" s="94">
        <v>393</v>
      </c>
      <c r="I275" s="94">
        <v>4680</v>
      </c>
      <c r="J275" s="94">
        <v>4322</v>
      </c>
      <c r="K275" s="94">
        <v>208</v>
      </c>
      <c r="L275" s="92" t="s">
        <v>77</v>
      </c>
      <c r="M275" s="92" t="s">
        <v>25</v>
      </c>
      <c r="N275" s="20"/>
    </row>
    <row r="276" spans="1:14" x14ac:dyDescent="0.3">
      <c r="A276" s="87" t="s">
        <v>381</v>
      </c>
      <c r="B276" s="88" t="s">
        <v>14</v>
      </c>
      <c r="C276" s="89">
        <v>45501</v>
      </c>
      <c r="D276" s="88" t="s">
        <v>49</v>
      </c>
      <c r="E276" s="88" t="s">
        <v>50</v>
      </c>
      <c r="F276" s="94">
        <v>3215</v>
      </c>
      <c r="G276" s="94">
        <v>960</v>
      </c>
      <c r="H276" s="94">
        <v>202</v>
      </c>
      <c r="I276" s="94">
        <v>32150</v>
      </c>
      <c r="J276" s="94">
        <v>31404</v>
      </c>
      <c r="K276" s="94">
        <v>251</v>
      </c>
      <c r="L276" s="92" t="s">
        <v>58</v>
      </c>
      <c r="M276" s="92" t="s">
        <v>38</v>
      </c>
      <c r="N276" s="20"/>
    </row>
    <row r="277" spans="1:14" x14ac:dyDescent="0.3">
      <c r="A277" s="87" t="s">
        <v>383</v>
      </c>
      <c r="B277" s="88" t="s">
        <v>31</v>
      </c>
      <c r="C277" s="89">
        <v>45668</v>
      </c>
      <c r="D277" s="88" t="s">
        <v>42</v>
      </c>
      <c r="E277" s="88" t="s">
        <v>43</v>
      </c>
      <c r="F277" s="94">
        <v>4523</v>
      </c>
      <c r="G277" s="94">
        <v>61</v>
      </c>
      <c r="H277" s="94">
        <v>157</v>
      </c>
      <c r="I277" s="94">
        <v>49753</v>
      </c>
      <c r="J277" s="94">
        <v>49329</v>
      </c>
      <c r="K277" s="94">
        <v>71</v>
      </c>
      <c r="L277" s="92" t="s">
        <v>18</v>
      </c>
      <c r="M277" s="92" t="s">
        <v>55</v>
      </c>
      <c r="N277" s="20"/>
    </row>
    <row r="278" spans="1:14" x14ac:dyDescent="0.3">
      <c r="A278" s="87" t="s">
        <v>383</v>
      </c>
      <c r="B278" s="88" t="s">
        <v>31</v>
      </c>
      <c r="C278" s="89">
        <v>45668</v>
      </c>
      <c r="D278" s="88" t="s">
        <v>42</v>
      </c>
      <c r="E278" s="88" t="s">
        <v>43</v>
      </c>
      <c r="F278" s="94">
        <v>4523</v>
      </c>
      <c r="G278" s="94">
        <v>61</v>
      </c>
      <c r="H278" s="94">
        <v>157</v>
      </c>
      <c r="I278" s="94">
        <v>49753</v>
      </c>
      <c r="J278" s="94">
        <v>49329</v>
      </c>
      <c r="K278" s="94">
        <v>71</v>
      </c>
      <c r="L278" s="92" t="s">
        <v>44</v>
      </c>
      <c r="M278" s="92" t="s">
        <v>55</v>
      </c>
      <c r="N278" s="20"/>
    </row>
    <row r="279" spans="1:14" x14ac:dyDescent="0.3">
      <c r="A279" s="87" t="s">
        <v>385</v>
      </c>
      <c r="B279" s="88" t="s">
        <v>40</v>
      </c>
      <c r="C279" s="89">
        <v>45528</v>
      </c>
      <c r="D279" s="88" t="s">
        <v>42</v>
      </c>
      <c r="E279" s="88" t="s">
        <v>43</v>
      </c>
      <c r="F279" s="94">
        <v>4292</v>
      </c>
      <c r="G279" s="94">
        <v>51</v>
      </c>
      <c r="H279" s="94">
        <v>392</v>
      </c>
      <c r="I279" s="94">
        <v>55796</v>
      </c>
      <c r="J279" s="94">
        <v>54826</v>
      </c>
      <c r="K279" s="94">
        <v>264</v>
      </c>
      <c r="L279" s="92" t="s">
        <v>44</v>
      </c>
      <c r="M279" s="92" t="s">
        <v>19</v>
      </c>
      <c r="N279" s="20"/>
    </row>
    <row r="280" spans="1:14" x14ac:dyDescent="0.3">
      <c r="A280" s="87" t="s">
        <v>385</v>
      </c>
      <c r="B280" s="88" t="s">
        <v>40</v>
      </c>
      <c r="C280" s="89">
        <v>45528</v>
      </c>
      <c r="D280" s="88" t="s">
        <v>42</v>
      </c>
      <c r="E280" s="88" t="s">
        <v>43</v>
      </c>
      <c r="F280" s="94">
        <v>4292</v>
      </c>
      <c r="G280" s="94">
        <v>51</v>
      </c>
      <c r="H280" s="94">
        <v>392</v>
      </c>
      <c r="I280" s="94">
        <v>55796</v>
      </c>
      <c r="J280" s="94">
        <v>54826</v>
      </c>
      <c r="K280" s="94">
        <v>264</v>
      </c>
      <c r="L280" s="92" t="s">
        <v>58</v>
      </c>
      <c r="M280" s="92" t="s">
        <v>19</v>
      </c>
      <c r="N280" s="20"/>
    </row>
    <row r="281" spans="1:14" x14ac:dyDescent="0.3">
      <c r="A281" s="87" t="s">
        <v>386</v>
      </c>
      <c r="B281" s="88" t="s">
        <v>14</v>
      </c>
      <c r="C281" s="89">
        <v>45648</v>
      </c>
      <c r="D281" s="88" t="s">
        <v>16</v>
      </c>
      <c r="E281" s="88" t="s">
        <v>17</v>
      </c>
      <c r="F281" s="94">
        <v>1644</v>
      </c>
      <c r="G281" s="94">
        <v>546</v>
      </c>
      <c r="H281" s="94">
        <v>150</v>
      </c>
      <c r="I281" s="94">
        <v>27948</v>
      </c>
      <c r="J281" s="94">
        <v>27184</v>
      </c>
      <c r="K281" s="94">
        <v>300</v>
      </c>
      <c r="L281" s="92" t="s">
        <v>18</v>
      </c>
      <c r="M281" s="92" t="s">
        <v>19</v>
      </c>
      <c r="N281" s="20"/>
    </row>
    <row r="282" spans="1:14" x14ac:dyDescent="0.3">
      <c r="A282" s="87" t="s">
        <v>386</v>
      </c>
      <c r="B282" s="88" t="s">
        <v>14</v>
      </c>
      <c r="C282" s="89">
        <v>45648</v>
      </c>
      <c r="D282" s="88" t="s">
        <v>16</v>
      </c>
      <c r="E282" s="88" t="s">
        <v>17</v>
      </c>
      <c r="F282" s="94">
        <v>1644</v>
      </c>
      <c r="G282" s="94">
        <v>546</v>
      </c>
      <c r="H282" s="94">
        <v>150</v>
      </c>
      <c r="I282" s="94">
        <v>27948</v>
      </c>
      <c r="J282" s="94">
        <v>27184</v>
      </c>
      <c r="K282" s="94">
        <v>300</v>
      </c>
      <c r="L282" s="92" t="s">
        <v>44</v>
      </c>
      <c r="M282" s="92" t="s">
        <v>19</v>
      </c>
      <c r="N282" s="20"/>
    </row>
    <row r="283" spans="1:14" x14ac:dyDescent="0.3">
      <c r="A283" s="87" t="s">
        <v>388</v>
      </c>
      <c r="B283" s="88" t="s">
        <v>577</v>
      </c>
      <c r="C283" s="89">
        <v>45449</v>
      </c>
      <c r="D283" s="88" t="s">
        <v>16</v>
      </c>
      <c r="E283" s="88" t="s">
        <v>17</v>
      </c>
      <c r="F283" s="94">
        <v>2728</v>
      </c>
      <c r="G283" s="94">
        <v>533</v>
      </c>
      <c r="H283" s="94">
        <v>215</v>
      </c>
      <c r="I283" s="94">
        <v>40920</v>
      </c>
      <c r="J283" s="94">
        <v>40816</v>
      </c>
      <c r="K283" s="94">
        <v>137</v>
      </c>
      <c r="L283" s="92" t="s">
        <v>18</v>
      </c>
      <c r="M283" s="92" t="s">
        <v>25</v>
      </c>
      <c r="N283" s="20"/>
    </row>
    <row r="284" spans="1:14" x14ac:dyDescent="0.3">
      <c r="A284" s="87" t="s">
        <v>389</v>
      </c>
      <c r="B284" s="88" t="s">
        <v>40</v>
      </c>
      <c r="C284" s="89">
        <v>45740</v>
      </c>
      <c r="D284" s="88" t="s">
        <v>16</v>
      </c>
      <c r="E284" s="88" t="s">
        <v>17</v>
      </c>
      <c r="F284" s="94">
        <v>3360</v>
      </c>
      <c r="G284" s="94">
        <v>525</v>
      </c>
      <c r="H284" s="94">
        <v>500</v>
      </c>
      <c r="I284" s="94">
        <v>60480</v>
      </c>
      <c r="J284" s="94">
        <v>59610</v>
      </c>
      <c r="K284" s="94">
        <v>192</v>
      </c>
      <c r="L284" s="92" t="s">
        <v>18</v>
      </c>
      <c r="M284" s="92" t="s">
        <v>19</v>
      </c>
      <c r="N284" s="20"/>
    </row>
    <row r="285" spans="1:14" x14ac:dyDescent="0.3">
      <c r="A285" s="87" t="s">
        <v>389</v>
      </c>
      <c r="B285" s="88" t="s">
        <v>40</v>
      </c>
      <c r="C285" s="89">
        <v>45740</v>
      </c>
      <c r="D285" s="88" t="s">
        <v>16</v>
      </c>
      <c r="E285" s="88" t="s">
        <v>17</v>
      </c>
      <c r="F285" s="94">
        <v>3360</v>
      </c>
      <c r="G285" s="94">
        <v>525</v>
      </c>
      <c r="H285" s="94">
        <v>500</v>
      </c>
      <c r="I285" s="94">
        <v>60480</v>
      </c>
      <c r="J285" s="94">
        <v>59610</v>
      </c>
      <c r="K285" s="94">
        <v>192</v>
      </c>
      <c r="L285" s="92" t="s">
        <v>58</v>
      </c>
      <c r="M285" s="92" t="s">
        <v>19</v>
      </c>
      <c r="N285" s="20"/>
    </row>
    <row r="286" spans="1:14" x14ac:dyDescent="0.3">
      <c r="A286" s="87" t="s">
        <v>390</v>
      </c>
      <c r="B286" s="88" t="s">
        <v>577</v>
      </c>
      <c r="C286" s="89">
        <v>45569</v>
      </c>
      <c r="D286" s="88" t="s">
        <v>22</v>
      </c>
      <c r="E286" s="88" t="s">
        <v>23</v>
      </c>
      <c r="F286" s="94">
        <v>1963</v>
      </c>
      <c r="G286" s="94">
        <v>213</v>
      </c>
      <c r="H286" s="94">
        <v>19</v>
      </c>
      <c r="I286" s="94">
        <v>39260</v>
      </c>
      <c r="J286" s="94">
        <v>38771</v>
      </c>
      <c r="K286" s="94">
        <v>145</v>
      </c>
      <c r="L286" s="92" t="s">
        <v>58</v>
      </c>
      <c r="M286" s="92" t="s">
        <v>19</v>
      </c>
      <c r="N286" s="20"/>
    </row>
    <row r="287" spans="1:14" x14ac:dyDescent="0.3">
      <c r="A287" s="87" t="s">
        <v>392</v>
      </c>
      <c r="B287" s="88" t="s">
        <v>577</v>
      </c>
      <c r="C287" s="89">
        <v>45629</v>
      </c>
      <c r="D287" s="88" t="s">
        <v>33</v>
      </c>
      <c r="E287" s="88" t="s">
        <v>34</v>
      </c>
      <c r="F287" s="94">
        <v>4285</v>
      </c>
      <c r="G287" s="94">
        <v>886</v>
      </c>
      <c r="H287" s="94">
        <v>376</v>
      </c>
      <c r="I287" s="94">
        <v>55705</v>
      </c>
      <c r="J287" s="94">
        <v>55556</v>
      </c>
      <c r="K287" s="94">
        <v>51</v>
      </c>
      <c r="L287" s="92" t="s">
        <v>24</v>
      </c>
      <c r="M287" s="92" t="s">
        <v>55</v>
      </c>
      <c r="N287" s="20"/>
    </row>
    <row r="288" spans="1:14" x14ac:dyDescent="0.3">
      <c r="A288" s="87" t="s">
        <v>392</v>
      </c>
      <c r="B288" s="88" t="s">
        <v>577</v>
      </c>
      <c r="C288" s="89">
        <v>45629</v>
      </c>
      <c r="D288" s="88" t="s">
        <v>33</v>
      </c>
      <c r="E288" s="88" t="s">
        <v>34</v>
      </c>
      <c r="F288" s="94">
        <v>4285</v>
      </c>
      <c r="G288" s="94">
        <v>886</v>
      </c>
      <c r="H288" s="94">
        <v>376</v>
      </c>
      <c r="I288" s="94">
        <v>55705</v>
      </c>
      <c r="J288" s="94">
        <v>55556</v>
      </c>
      <c r="K288" s="94">
        <v>51</v>
      </c>
      <c r="L288" s="92" t="s">
        <v>77</v>
      </c>
      <c r="M288" s="92" t="s">
        <v>55</v>
      </c>
      <c r="N288" s="20"/>
    </row>
    <row r="289" spans="1:14" x14ac:dyDescent="0.3">
      <c r="A289" s="87" t="s">
        <v>393</v>
      </c>
      <c r="B289" s="88" t="s">
        <v>31</v>
      </c>
      <c r="C289" s="89">
        <v>45625</v>
      </c>
      <c r="D289" s="88" t="s">
        <v>69</v>
      </c>
      <c r="E289" s="88" t="s">
        <v>70</v>
      </c>
      <c r="F289" s="94">
        <v>1176</v>
      </c>
      <c r="G289" s="94">
        <v>464</v>
      </c>
      <c r="H289" s="94">
        <v>394</v>
      </c>
      <c r="I289" s="94">
        <v>14112</v>
      </c>
      <c r="J289" s="94">
        <v>13588</v>
      </c>
      <c r="K289" s="94">
        <v>272</v>
      </c>
      <c r="L289" s="92" t="s">
        <v>77</v>
      </c>
      <c r="M289" s="92" t="s">
        <v>19</v>
      </c>
      <c r="N289" s="20"/>
    </row>
    <row r="290" spans="1:14" x14ac:dyDescent="0.3">
      <c r="A290" s="87" t="s">
        <v>395</v>
      </c>
      <c r="B290" s="88" t="s">
        <v>14</v>
      </c>
      <c r="C290" s="89">
        <v>45546</v>
      </c>
      <c r="D290" s="88" t="s">
        <v>49</v>
      </c>
      <c r="E290" s="88" t="s">
        <v>50</v>
      </c>
      <c r="F290" s="94">
        <v>4858</v>
      </c>
      <c r="G290" s="94">
        <v>317</v>
      </c>
      <c r="H290" s="94">
        <v>129</v>
      </c>
      <c r="I290" s="94">
        <v>53438</v>
      </c>
      <c r="J290" s="94">
        <v>52687</v>
      </c>
      <c r="K290" s="94">
        <v>223</v>
      </c>
      <c r="L290" s="92" t="s">
        <v>77</v>
      </c>
      <c r="M290" s="92" t="s">
        <v>19</v>
      </c>
      <c r="N290" s="20"/>
    </row>
    <row r="291" spans="1:14" x14ac:dyDescent="0.3">
      <c r="A291" s="87" t="s">
        <v>395</v>
      </c>
      <c r="B291" s="88" t="s">
        <v>14</v>
      </c>
      <c r="C291" s="89">
        <v>45546</v>
      </c>
      <c r="D291" s="88" t="s">
        <v>49</v>
      </c>
      <c r="E291" s="88" t="s">
        <v>50</v>
      </c>
      <c r="F291" s="94">
        <v>4858</v>
      </c>
      <c r="G291" s="94">
        <v>317</v>
      </c>
      <c r="H291" s="94">
        <v>129</v>
      </c>
      <c r="I291" s="94">
        <v>53438</v>
      </c>
      <c r="J291" s="94">
        <v>52687</v>
      </c>
      <c r="K291" s="94">
        <v>223</v>
      </c>
      <c r="L291" s="92" t="s">
        <v>44</v>
      </c>
      <c r="M291" s="92" t="s">
        <v>19</v>
      </c>
      <c r="N291" s="20"/>
    </row>
    <row r="292" spans="1:14" x14ac:dyDescent="0.3">
      <c r="A292" s="87" t="s">
        <v>397</v>
      </c>
      <c r="B292" s="88" t="s">
        <v>577</v>
      </c>
      <c r="C292" s="89">
        <v>45567</v>
      </c>
      <c r="D292" s="88" t="s">
        <v>33</v>
      </c>
      <c r="E292" s="88" t="s">
        <v>34</v>
      </c>
      <c r="F292" s="94">
        <v>4350</v>
      </c>
      <c r="G292" s="94">
        <v>771</v>
      </c>
      <c r="H292" s="94">
        <v>7</v>
      </c>
      <c r="I292" s="94">
        <v>60900</v>
      </c>
      <c r="J292" s="94">
        <v>60592</v>
      </c>
      <c r="K292" s="94">
        <v>195</v>
      </c>
      <c r="L292" s="92" t="s">
        <v>77</v>
      </c>
      <c r="M292" s="92" t="s">
        <v>25</v>
      </c>
      <c r="N292" s="20"/>
    </row>
    <row r="293" spans="1:14" x14ac:dyDescent="0.3">
      <c r="A293" s="87" t="s">
        <v>397</v>
      </c>
      <c r="B293" s="88" t="s">
        <v>577</v>
      </c>
      <c r="C293" s="89">
        <v>45567</v>
      </c>
      <c r="D293" s="88" t="s">
        <v>33</v>
      </c>
      <c r="E293" s="88" t="s">
        <v>34</v>
      </c>
      <c r="F293" s="94">
        <v>4350</v>
      </c>
      <c r="G293" s="94">
        <v>771</v>
      </c>
      <c r="H293" s="94">
        <v>7</v>
      </c>
      <c r="I293" s="94">
        <v>60900</v>
      </c>
      <c r="J293" s="94">
        <v>60592</v>
      </c>
      <c r="K293" s="94">
        <v>195</v>
      </c>
      <c r="L293" s="92" t="s">
        <v>58</v>
      </c>
      <c r="M293" s="92" t="s">
        <v>25</v>
      </c>
      <c r="N293" s="20"/>
    </row>
    <row r="294" spans="1:14" x14ac:dyDescent="0.3">
      <c r="A294" s="87" t="s">
        <v>398</v>
      </c>
      <c r="B294" s="88" t="s">
        <v>31</v>
      </c>
      <c r="C294" s="89">
        <v>45519</v>
      </c>
      <c r="D294" s="88" t="s">
        <v>42</v>
      </c>
      <c r="E294" s="88" t="s">
        <v>43</v>
      </c>
      <c r="F294" s="94">
        <v>914</v>
      </c>
      <c r="G294" s="94">
        <v>464</v>
      </c>
      <c r="H294" s="94">
        <v>246</v>
      </c>
      <c r="I294" s="94">
        <v>11882</v>
      </c>
      <c r="J294" s="94">
        <v>11500</v>
      </c>
      <c r="K294" s="94">
        <v>282</v>
      </c>
      <c r="L294" s="92" t="s">
        <v>24</v>
      </c>
      <c r="M294" s="92" t="s">
        <v>38</v>
      </c>
      <c r="N294" s="20"/>
    </row>
    <row r="295" spans="1:14" x14ac:dyDescent="0.3">
      <c r="A295" s="87" t="s">
        <v>398</v>
      </c>
      <c r="B295" s="88" t="s">
        <v>31</v>
      </c>
      <c r="C295" s="89">
        <v>45519</v>
      </c>
      <c r="D295" s="88" t="s">
        <v>42</v>
      </c>
      <c r="E295" s="88" t="s">
        <v>43</v>
      </c>
      <c r="F295" s="94">
        <v>914</v>
      </c>
      <c r="G295" s="94">
        <v>464</v>
      </c>
      <c r="H295" s="94">
        <v>246</v>
      </c>
      <c r="I295" s="94">
        <v>11882</v>
      </c>
      <c r="J295" s="94">
        <v>11500</v>
      </c>
      <c r="K295" s="94">
        <v>282</v>
      </c>
      <c r="L295" s="92" t="s">
        <v>44</v>
      </c>
      <c r="M295" s="92" t="s">
        <v>38</v>
      </c>
      <c r="N295" s="20"/>
    </row>
    <row r="296" spans="1:14" x14ac:dyDescent="0.3">
      <c r="A296" s="87" t="s">
        <v>400</v>
      </c>
      <c r="B296" s="88" t="s">
        <v>31</v>
      </c>
      <c r="C296" s="89">
        <v>45645</v>
      </c>
      <c r="D296" s="88" t="s">
        <v>22</v>
      </c>
      <c r="E296" s="88" t="s">
        <v>23</v>
      </c>
      <c r="F296" s="94">
        <v>1813</v>
      </c>
      <c r="G296" s="94">
        <v>623</v>
      </c>
      <c r="H296" s="94">
        <v>72</v>
      </c>
      <c r="I296" s="94">
        <v>19943</v>
      </c>
      <c r="J296" s="94">
        <v>18959</v>
      </c>
      <c r="K296" s="94">
        <v>85</v>
      </c>
      <c r="L296" s="92" t="s">
        <v>44</v>
      </c>
      <c r="M296" s="92" t="s">
        <v>38</v>
      </c>
      <c r="N296" s="20"/>
    </row>
    <row r="297" spans="1:14" x14ac:dyDescent="0.3">
      <c r="A297" s="87" t="s">
        <v>400</v>
      </c>
      <c r="B297" s="88" t="s">
        <v>31</v>
      </c>
      <c r="C297" s="89">
        <v>45645</v>
      </c>
      <c r="D297" s="88" t="s">
        <v>22</v>
      </c>
      <c r="E297" s="88" t="s">
        <v>23</v>
      </c>
      <c r="F297" s="94">
        <v>1813</v>
      </c>
      <c r="G297" s="94">
        <v>623</v>
      </c>
      <c r="H297" s="94">
        <v>72</v>
      </c>
      <c r="I297" s="94">
        <v>19943</v>
      </c>
      <c r="J297" s="94">
        <v>18959</v>
      </c>
      <c r="K297" s="94">
        <v>85</v>
      </c>
      <c r="L297" s="92" t="s">
        <v>24</v>
      </c>
      <c r="M297" s="92" t="s">
        <v>38</v>
      </c>
      <c r="N297" s="20"/>
    </row>
    <row r="298" spans="1:14" x14ac:dyDescent="0.3">
      <c r="A298" s="87" t="s">
        <v>402</v>
      </c>
      <c r="B298" s="88" t="s">
        <v>14</v>
      </c>
      <c r="C298" s="89">
        <v>45587</v>
      </c>
      <c r="D298" s="88" t="s">
        <v>16</v>
      </c>
      <c r="E298" s="88" t="s">
        <v>17</v>
      </c>
      <c r="F298" s="94">
        <v>4782</v>
      </c>
      <c r="G298" s="94">
        <v>721</v>
      </c>
      <c r="H298" s="94">
        <v>82</v>
      </c>
      <c r="I298" s="94">
        <v>86076</v>
      </c>
      <c r="J298" s="94">
        <v>85339</v>
      </c>
      <c r="K298" s="94">
        <v>19</v>
      </c>
      <c r="L298" s="92" t="s">
        <v>77</v>
      </c>
      <c r="M298" s="92" t="s">
        <v>25</v>
      </c>
      <c r="N298" s="20"/>
    </row>
    <row r="299" spans="1:14" x14ac:dyDescent="0.3">
      <c r="A299" s="87" t="s">
        <v>403</v>
      </c>
      <c r="B299" s="88" t="s">
        <v>14</v>
      </c>
      <c r="C299" s="89">
        <v>45549</v>
      </c>
      <c r="D299" s="88" t="s">
        <v>49</v>
      </c>
      <c r="E299" s="88" t="s">
        <v>50</v>
      </c>
      <c r="F299" s="94">
        <v>1048</v>
      </c>
      <c r="G299" s="94">
        <v>374</v>
      </c>
      <c r="H299" s="94">
        <v>450</v>
      </c>
      <c r="I299" s="94">
        <v>9432</v>
      </c>
      <c r="J299" s="94">
        <v>8882</v>
      </c>
      <c r="K299" s="94">
        <v>158</v>
      </c>
      <c r="L299" s="92" t="s">
        <v>44</v>
      </c>
      <c r="M299" s="92" t="s">
        <v>25</v>
      </c>
      <c r="N299" s="20"/>
    </row>
    <row r="300" spans="1:14" x14ac:dyDescent="0.3">
      <c r="A300" s="87" t="s">
        <v>403</v>
      </c>
      <c r="B300" s="88" t="s">
        <v>14</v>
      </c>
      <c r="C300" s="89">
        <v>45549</v>
      </c>
      <c r="D300" s="88" t="s">
        <v>49</v>
      </c>
      <c r="E300" s="88" t="s">
        <v>50</v>
      </c>
      <c r="F300" s="94">
        <v>1048</v>
      </c>
      <c r="G300" s="94">
        <v>374</v>
      </c>
      <c r="H300" s="94">
        <v>450</v>
      </c>
      <c r="I300" s="94">
        <v>9432</v>
      </c>
      <c r="J300" s="94">
        <v>8882</v>
      </c>
      <c r="K300" s="94">
        <v>158</v>
      </c>
      <c r="L300" s="92" t="s">
        <v>18</v>
      </c>
      <c r="M300" s="92" t="s">
        <v>25</v>
      </c>
      <c r="N300" s="20"/>
    </row>
    <row r="301" spans="1:14" x14ac:dyDescent="0.3">
      <c r="A301" s="87" t="s">
        <v>405</v>
      </c>
      <c r="B301" s="88" t="s">
        <v>577</v>
      </c>
      <c r="C301" s="89">
        <v>45626</v>
      </c>
      <c r="D301" s="88" t="s">
        <v>42</v>
      </c>
      <c r="E301" s="88" t="s">
        <v>43</v>
      </c>
      <c r="F301" s="94">
        <v>2509</v>
      </c>
      <c r="G301" s="94">
        <v>324</v>
      </c>
      <c r="H301" s="94">
        <v>171</v>
      </c>
      <c r="I301" s="94">
        <v>35126</v>
      </c>
      <c r="J301" s="94">
        <v>34685</v>
      </c>
      <c r="K301" s="94">
        <v>277</v>
      </c>
      <c r="L301" s="92" t="s">
        <v>77</v>
      </c>
      <c r="M301" s="92" t="s">
        <v>25</v>
      </c>
      <c r="N301" s="20"/>
    </row>
    <row r="302" spans="1:14" x14ac:dyDescent="0.3">
      <c r="A302" s="87" t="s">
        <v>406</v>
      </c>
      <c r="B302" s="88" t="s">
        <v>40</v>
      </c>
      <c r="C302" s="89">
        <v>45754</v>
      </c>
      <c r="D302" s="88" t="s">
        <v>16</v>
      </c>
      <c r="E302" s="88" t="s">
        <v>17</v>
      </c>
      <c r="F302" s="94">
        <v>3718</v>
      </c>
      <c r="G302" s="94">
        <v>385</v>
      </c>
      <c r="H302" s="94">
        <v>310</v>
      </c>
      <c r="I302" s="94">
        <v>70642</v>
      </c>
      <c r="J302" s="94">
        <v>69749</v>
      </c>
      <c r="K302" s="94">
        <v>233</v>
      </c>
      <c r="L302" s="92" t="s">
        <v>44</v>
      </c>
      <c r="M302" s="92" t="s">
        <v>19</v>
      </c>
      <c r="N302" s="20"/>
    </row>
    <row r="303" spans="1:14" x14ac:dyDescent="0.3">
      <c r="A303" s="87" t="s">
        <v>408</v>
      </c>
      <c r="B303" s="88" t="s">
        <v>14</v>
      </c>
      <c r="C303" s="89">
        <v>45672</v>
      </c>
      <c r="D303" s="88" t="s">
        <v>16</v>
      </c>
      <c r="E303" s="88" t="s">
        <v>17</v>
      </c>
      <c r="F303" s="94">
        <v>802</v>
      </c>
      <c r="G303" s="94">
        <v>262</v>
      </c>
      <c r="H303" s="94">
        <v>244</v>
      </c>
      <c r="I303" s="94">
        <v>14436</v>
      </c>
      <c r="J303" s="94">
        <v>14280</v>
      </c>
      <c r="K303" s="94">
        <v>49</v>
      </c>
      <c r="L303" s="92" t="s">
        <v>18</v>
      </c>
      <c r="M303" s="92" t="s">
        <v>55</v>
      </c>
      <c r="N303" s="20"/>
    </row>
    <row r="304" spans="1:14" x14ac:dyDescent="0.3">
      <c r="A304" s="87" t="s">
        <v>408</v>
      </c>
      <c r="B304" s="88" t="s">
        <v>14</v>
      </c>
      <c r="C304" s="89">
        <v>45672</v>
      </c>
      <c r="D304" s="88" t="s">
        <v>16</v>
      </c>
      <c r="E304" s="88" t="s">
        <v>17</v>
      </c>
      <c r="F304" s="94">
        <v>802</v>
      </c>
      <c r="G304" s="94">
        <v>262</v>
      </c>
      <c r="H304" s="94">
        <v>244</v>
      </c>
      <c r="I304" s="94">
        <v>14436</v>
      </c>
      <c r="J304" s="94">
        <v>14280</v>
      </c>
      <c r="K304" s="94">
        <v>49</v>
      </c>
      <c r="L304" s="92" t="s">
        <v>77</v>
      </c>
      <c r="M304" s="92" t="s">
        <v>55</v>
      </c>
      <c r="N304" s="20"/>
    </row>
    <row r="305" spans="1:14" x14ac:dyDescent="0.3">
      <c r="A305" s="87" t="s">
        <v>410</v>
      </c>
      <c r="B305" s="88" t="s">
        <v>40</v>
      </c>
      <c r="C305" s="89">
        <v>45445</v>
      </c>
      <c r="D305" s="88" t="s">
        <v>49</v>
      </c>
      <c r="E305" s="88" t="s">
        <v>50</v>
      </c>
      <c r="F305" s="94">
        <v>1871</v>
      </c>
      <c r="G305" s="94">
        <v>252</v>
      </c>
      <c r="H305" s="94">
        <v>335</v>
      </c>
      <c r="I305" s="94">
        <v>29936</v>
      </c>
      <c r="J305" s="94">
        <v>29576</v>
      </c>
      <c r="K305" s="94">
        <v>288</v>
      </c>
      <c r="L305" s="92" t="s">
        <v>44</v>
      </c>
      <c r="M305" s="92" t="s">
        <v>25</v>
      </c>
      <c r="N305" s="20"/>
    </row>
    <row r="306" spans="1:14" x14ac:dyDescent="0.3">
      <c r="A306" s="87" t="s">
        <v>412</v>
      </c>
      <c r="B306" s="88" t="s">
        <v>31</v>
      </c>
      <c r="C306" s="89">
        <v>45617</v>
      </c>
      <c r="D306" s="88" t="s">
        <v>42</v>
      </c>
      <c r="E306" s="88" t="s">
        <v>43</v>
      </c>
      <c r="F306" s="94">
        <v>3773</v>
      </c>
      <c r="G306" s="94">
        <v>299</v>
      </c>
      <c r="H306" s="94">
        <v>38</v>
      </c>
      <c r="I306" s="94">
        <v>71687</v>
      </c>
      <c r="J306" s="94">
        <v>71447</v>
      </c>
      <c r="K306" s="94">
        <v>286</v>
      </c>
      <c r="L306" s="92" t="s">
        <v>44</v>
      </c>
      <c r="M306" s="92" t="s">
        <v>55</v>
      </c>
      <c r="N306" s="20"/>
    </row>
    <row r="307" spans="1:14" x14ac:dyDescent="0.3">
      <c r="A307" s="87" t="s">
        <v>414</v>
      </c>
      <c r="B307" s="88" t="s">
        <v>31</v>
      </c>
      <c r="C307" s="89">
        <v>45658</v>
      </c>
      <c r="D307" s="88" t="s">
        <v>42</v>
      </c>
      <c r="E307" s="88" t="s">
        <v>43</v>
      </c>
      <c r="F307" s="94">
        <v>2234</v>
      </c>
      <c r="G307" s="94">
        <v>653</v>
      </c>
      <c r="H307" s="94">
        <v>432</v>
      </c>
      <c r="I307" s="94">
        <v>11170</v>
      </c>
      <c r="J307" s="94">
        <v>10569</v>
      </c>
      <c r="K307" s="94">
        <v>198</v>
      </c>
      <c r="L307" s="92" t="s">
        <v>77</v>
      </c>
      <c r="M307" s="92" t="s">
        <v>55</v>
      </c>
      <c r="N307" s="20"/>
    </row>
    <row r="308" spans="1:14" x14ac:dyDescent="0.3">
      <c r="A308" s="87" t="s">
        <v>414</v>
      </c>
      <c r="B308" s="88" t="s">
        <v>31</v>
      </c>
      <c r="C308" s="89">
        <v>45658</v>
      </c>
      <c r="D308" s="88" t="s">
        <v>42</v>
      </c>
      <c r="E308" s="88" t="s">
        <v>43</v>
      </c>
      <c r="F308" s="94">
        <v>2234</v>
      </c>
      <c r="G308" s="94">
        <v>653</v>
      </c>
      <c r="H308" s="94">
        <v>432</v>
      </c>
      <c r="I308" s="94">
        <v>11170</v>
      </c>
      <c r="J308" s="94">
        <v>10569</v>
      </c>
      <c r="K308" s="94">
        <v>198</v>
      </c>
      <c r="L308" s="92" t="s">
        <v>58</v>
      </c>
      <c r="M308" s="92" t="s">
        <v>55</v>
      </c>
      <c r="N308" s="20"/>
    </row>
    <row r="309" spans="1:14" x14ac:dyDescent="0.3">
      <c r="A309" s="87" t="s">
        <v>415</v>
      </c>
      <c r="B309" s="88" t="s">
        <v>14</v>
      </c>
      <c r="C309" s="89">
        <v>45771</v>
      </c>
      <c r="D309" s="88" t="s">
        <v>69</v>
      </c>
      <c r="E309" s="88" t="s">
        <v>70</v>
      </c>
      <c r="F309" s="94">
        <v>3820</v>
      </c>
      <c r="G309" s="94">
        <v>697</v>
      </c>
      <c r="H309" s="94">
        <v>268</v>
      </c>
      <c r="I309" s="94">
        <v>45840</v>
      </c>
      <c r="J309" s="94">
        <v>45631</v>
      </c>
      <c r="K309" s="94">
        <v>171</v>
      </c>
      <c r="L309" s="92" t="s">
        <v>58</v>
      </c>
      <c r="M309" s="92" t="s">
        <v>19</v>
      </c>
      <c r="N309" s="20"/>
    </row>
    <row r="310" spans="1:14" x14ac:dyDescent="0.3">
      <c r="A310" s="87" t="s">
        <v>415</v>
      </c>
      <c r="B310" s="88" t="s">
        <v>14</v>
      </c>
      <c r="C310" s="89">
        <v>45771</v>
      </c>
      <c r="D310" s="88" t="s">
        <v>69</v>
      </c>
      <c r="E310" s="88" t="s">
        <v>70</v>
      </c>
      <c r="F310" s="94">
        <v>3820</v>
      </c>
      <c r="G310" s="94">
        <v>697</v>
      </c>
      <c r="H310" s="94">
        <v>268</v>
      </c>
      <c r="I310" s="94">
        <v>45840</v>
      </c>
      <c r="J310" s="94">
        <v>45631</v>
      </c>
      <c r="K310" s="94">
        <v>171</v>
      </c>
      <c r="L310" s="92" t="s">
        <v>77</v>
      </c>
      <c r="M310" s="92" t="s">
        <v>19</v>
      </c>
      <c r="N310" s="20"/>
    </row>
    <row r="311" spans="1:14" x14ac:dyDescent="0.3">
      <c r="A311" s="87" t="s">
        <v>416</v>
      </c>
      <c r="B311" s="88" t="s">
        <v>14</v>
      </c>
      <c r="C311" s="89">
        <v>45467</v>
      </c>
      <c r="D311" s="88" t="s">
        <v>22</v>
      </c>
      <c r="E311" s="88" t="s">
        <v>23</v>
      </c>
      <c r="F311" s="94">
        <v>941</v>
      </c>
      <c r="G311" s="94">
        <v>121</v>
      </c>
      <c r="H311" s="94">
        <v>458</v>
      </c>
      <c r="I311" s="94">
        <v>14115</v>
      </c>
      <c r="J311" s="94">
        <v>13838</v>
      </c>
      <c r="K311" s="94">
        <v>87</v>
      </c>
      <c r="L311" s="92" t="s">
        <v>24</v>
      </c>
      <c r="M311" s="92" t="s">
        <v>25</v>
      </c>
      <c r="N311" s="20"/>
    </row>
    <row r="312" spans="1:14" x14ac:dyDescent="0.3">
      <c r="A312" s="87" t="s">
        <v>416</v>
      </c>
      <c r="B312" s="88" t="s">
        <v>14</v>
      </c>
      <c r="C312" s="89">
        <v>45467</v>
      </c>
      <c r="D312" s="88" t="s">
        <v>22</v>
      </c>
      <c r="E312" s="88" t="s">
        <v>23</v>
      </c>
      <c r="F312" s="94">
        <v>941</v>
      </c>
      <c r="G312" s="94">
        <v>121</v>
      </c>
      <c r="H312" s="94">
        <v>458</v>
      </c>
      <c r="I312" s="94">
        <v>14115</v>
      </c>
      <c r="J312" s="94">
        <v>13838</v>
      </c>
      <c r="K312" s="94">
        <v>87</v>
      </c>
      <c r="L312" s="92" t="s">
        <v>18</v>
      </c>
      <c r="M312" s="92" t="s">
        <v>25</v>
      </c>
      <c r="N312" s="20"/>
    </row>
    <row r="313" spans="1:14" x14ac:dyDescent="0.3">
      <c r="A313" s="87" t="s">
        <v>417</v>
      </c>
      <c r="B313" s="88" t="s">
        <v>14</v>
      </c>
      <c r="C313" s="89">
        <v>45655</v>
      </c>
      <c r="D313" s="88" t="s">
        <v>42</v>
      </c>
      <c r="E313" s="88" t="s">
        <v>43</v>
      </c>
      <c r="F313" s="94">
        <v>4274</v>
      </c>
      <c r="G313" s="94">
        <v>340</v>
      </c>
      <c r="H313" s="94">
        <v>281</v>
      </c>
      <c r="I313" s="94">
        <v>34192</v>
      </c>
      <c r="J313" s="94">
        <v>33446</v>
      </c>
      <c r="K313" s="94">
        <v>129</v>
      </c>
      <c r="L313" s="92" t="s">
        <v>58</v>
      </c>
      <c r="M313" s="92" t="s">
        <v>38</v>
      </c>
      <c r="N313" s="20"/>
    </row>
    <row r="314" spans="1:14" x14ac:dyDescent="0.3">
      <c r="A314" s="87" t="s">
        <v>417</v>
      </c>
      <c r="B314" s="88" t="s">
        <v>14</v>
      </c>
      <c r="C314" s="89">
        <v>45655</v>
      </c>
      <c r="D314" s="88" t="s">
        <v>42</v>
      </c>
      <c r="E314" s="88" t="s">
        <v>43</v>
      </c>
      <c r="F314" s="94">
        <v>4274</v>
      </c>
      <c r="G314" s="94">
        <v>340</v>
      </c>
      <c r="H314" s="94">
        <v>281</v>
      </c>
      <c r="I314" s="94">
        <v>34192</v>
      </c>
      <c r="J314" s="94">
        <v>33446</v>
      </c>
      <c r="K314" s="94">
        <v>129</v>
      </c>
      <c r="L314" s="92" t="s">
        <v>77</v>
      </c>
      <c r="M314" s="92" t="s">
        <v>38</v>
      </c>
      <c r="N314" s="20"/>
    </row>
    <row r="315" spans="1:14" x14ac:dyDescent="0.3">
      <c r="A315" s="87" t="s">
        <v>419</v>
      </c>
      <c r="B315" s="88" t="s">
        <v>577</v>
      </c>
      <c r="C315" s="89">
        <v>45467</v>
      </c>
      <c r="D315" s="88" t="s">
        <v>69</v>
      </c>
      <c r="E315" s="88" t="s">
        <v>70</v>
      </c>
      <c r="F315" s="94">
        <v>2949</v>
      </c>
      <c r="G315" s="94">
        <v>476</v>
      </c>
      <c r="H315" s="94">
        <v>403</v>
      </c>
      <c r="I315" s="94">
        <v>44235</v>
      </c>
      <c r="J315" s="94">
        <v>43705</v>
      </c>
      <c r="K315" s="94">
        <v>135</v>
      </c>
      <c r="L315" s="92" t="s">
        <v>44</v>
      </c>
      <c r="M315" s="92" t="s">
        <v>19</v>
      </c>
      <c r="N315" s="20"/>
    </row>
    <row r="316" spans="1:14" x14ac:dyDescent="0.3">
      <c r="A316" s="87" t="s">
        <v>419</v>
      </c>
      <c r="B316" s="88" t="s">
        <v>577</v>
      </c>
      <c r="C316" s="89">
        <v>45467</v>
      </c>
      <c r="D316" s="88" t="s">
        <v>69</v>
      </c>
      <c r="E316" s="88" t="s">
        <v>70</v>
      </c>
      <c r="F316" s="94">
        <v>2949</v>
      </c>
      <c r="G316" s="94">
        <v>476</v>
      </c>
      <c r="H316" s="94">
        <v>403</v>
      </c>
      <c r="I316" s="94">
        <v>44235</v>
      </c>
      <c r="J316" s="94">
        <v>43705</v>
      </c>
      <c r="K316" s="94">
        <v>135</v>
      </c>
      <c r="L316" s="92" t="s">
        <v>77</v>
      </c>
      <c r="M316" s="92" t="s">
        <v>19</v>
      </c>
      <c r="N316" s="20"/>
    </row>
    <row r="317" spans="1:14" x14ac:dyDescent="0.3">
      <c r="A317" s="87" t="s">
        <v>420</v>
      </c>
      <c r="B317" s="88" t="s">
        <v>14</v>
      </c>
      <c r="C317" s="89">
        <v>45735</v>
      </c>
      <c r="D317" s="88" t="s">
        <v>69</v>
      </c>
      <c r="E317" s="88" t="s">
        <v>70</v>
      </c>
      <c r="F317" s="94">
        <v>3160</v>
      </c>
      <c r="G317" s="94">
        <v>204</v>
      </c>
      <c r="H317" s="94">
        <v>297</v>
      </c>
      <c r="I317" s="94">
        <v>44240</v>
      </c>
      <c r="J317" s="94">
        <v>43666</v>
      </c>
      <c r="K317" s="94">
        <v>49</v>
      </c>
      <c r="L317" s="92" t="s">
        <v>58</v>
      </c>
      <c r="M317" s="92" t="s">
        <v>19</v>
      </c>
      <c r="N317" s="20"/>
    </row>
    <row r="318" spans="1:14" x14ac:dyDescent="0.3">
      <c r="A318" s="87" t="s">
        <v>420</v>
      </c>
      <c r="B318" s="88" t="s">
        <v>14</v>
      </c>
      <c r="C318" s="89">
        <v>45735</v>
      </c>
      <c r="D318" s="88" t="s">
        <v>69</v>
      </c>
      <c r="E318" s="88" t="s">
        <v>70</v>
      </c>
      <c r="F318" s="94">
        <v>3160</v>
      </c>
      <c r="G318" s="94">
        <v>204</v>
      </c>
      <c r="H318" s="94">
        <v>297</v>
      </c>
      <c r="I318" s="94">
        <v>44240</v>
      </c>
      <c r="J318" s="94">
        <v>43666</v>
      </c>
      <c r="K318" s="94">
        <v>49</v>
      </c>
      <c r="L318" s="92" t="s">
        <v>44</v>
      </c>
      <c r="M318" s="92" t="s">
        <v>19</v>
      </c>
      <c r="N318" s="20"/>
    </row>
    <row r="319" spans="1:14" x14ac:dyDescent="0.3">
      <c r="A319" s="87" t="s">
        <v>422</v>
      </c>
      <c r="B319" s="88" t="s">
        <v>577</v>
      </c>
      <c r="C319" s="89">
        <v>45707</v>
      </c>
      <c r="D319" s="88" t="s">
        <v>49</v>
      </c>
      <c r="E319" s="88" t="s">
        <v>50</v>
      </c>
      <c r="F319" s="94">
        <v>257</v>
      </c>
      <c r="G319" s="94">
        <v>966</v>
      </c>
      <c r="H319" s="94">
        <v>398</v>
      </c>
      <c r="I319" s="94">
        <v>3341</v>
      </c>
      <c r="J319" s="94">
        <v>2753</v>
      </c>
      <c r="K319" s="94">
        <v>287</v>
      </c>
      <c r="L319" s="92" t="s">
        <v>44</v>
      </c>
      <c r="M319" s="92" t="s">
        <v>19</v>
      </c>
      <c r="N319" s="20"/>
    </row>
    <row r="320" spans="1:14" x14ac:dyDescent="0.3">
      <c r="A320" s="87" t="s">
        <v>422</v>
      </c>
      <c r="B320" s="88" t="s">
        <v>577</v>
      </c>
      <c r="C320" s="89">
        <v>45707</v>
      </c>
      <c r="D320" s="88" t="s">
        <v>49</v>
      </c>
      <c r="E320" s="88" t="s">
        <v>50</v>
      </c>
      <c r="F320" s="94">
        <v>257</v>
      </c>
      <c r="G320" s="94">
        <v>966</v>
      </c>
      <c r="H320" s="94">
        <v>398</v>
      </c>
      <c r="I320" s="94">
        <v>3341</v>
      </c>
      <c r="J320" s="94">
        <v>2753</v>
      </c>
      <c r="K320" s="94">
        <v>287</v>
      </c>
      <c r="L320" s="92" t="s">
        <v>18</v>
      </c>
      <c r="M320" s="92" t="s">
        <v>19</v>
      </c>
      <c r="N320" s="20"/>
    </row>
    <row r="321" spans="1:14" x14ac:dyDescent="0.3">
      <c r="A321" s="87" t="s">
        <v>423</v>
      </c>
      <c r="B321" s="88" t="s">
        <v>14</v>
      </c>
      <c r="C321" s="89">
        <v>45491</v>
      </c>
      <c r="D321" s="88" t="s">
        <v>42</v>
      </c>
      <c r="E321" s="88" t="s">
        <v>43</v>
      </c>
      <c r="F321" s="94">
        <v>2120</v>
      </c>
      <c r="G321" s="94">
        <v>38</v>
      </c>
      <c r="H321" s="94">
        <v>212</v>
      </c>
      <c r="I321" s="94">
        <v>12720</v>
      </c>
      <c r="J321" s="94">
        <v>12564</v>
      </c>
      <c r="K321" s="94">
        <v>21</v>
      </c>
      <c r="L321" s="92" t="s">
        <v>44</v>
      </c>
      <c r="M321" s="92" t="s">
        <v>19</v>
      </c>
      <c r="N321" s="20"/>
    </row>
    <row r="322" spans="1:14" x14ac:dyDescent="0.3">
      <c r="A322" s="87" t="s">
        <v>423</v>
      </c>
      <c r="B322" s="88" t="s">
        <v>14</v>
      </c>
      <c r="C322" s="89">
        <v>45491</v>
      </c>
      <c r="D322" s="88" t="s">
        <v>42</v>
      </c>
      <c r="E322" s="88" t="s">
        <v>43</v>
      </c>
      <c r="F322" s="94">
        <v>2120</v>
      </c>
      <c r="G322" s="94">
        <v>38</v>
      </c>
      <c r="H322" s="94">
        <v>212</v>
      </c>
      <c r="I322" s="94">
        <v>12720</v>
      </c>
      <c r="J322" s="94">
        <v>12564</v>
      </c>
      <c r="K322" s="94">
        <v>21</v>
      </c>
      <c r="L322" s="92" t="s">
        <v>18</v>
      </c>
      <c r="M322" s="92" t="s">
        <v>19</v>
      </c>
      <c r="N322" s="20"/>
    </row>
    <row r="323" spans="1:14" x14ac:dyDescent="0.3">
      <c r="A323" s="87" t="s">
        <v>425</v>
      </c>
      <c r="B323" s="88" t="s">
        <v>577</v>
      </c>
      <c r="C323" s="89">
        <v>45719</v>
      </c>
      <c r="D323" s="88" t="s">
        <v>69</v>
      </c>
      <c r="E323" s="88" t="s">
        <v>70</v>
      </c>
      <c r="F323" s="94">
        <v>3874</v>
      </c>
      <c r="G323" s="94">
        <v>884</v>
      </c>
      <c r="H323" s="94">
        <v>19</v>
      </c>
      <c r="I323" s="94">
        <v>38740</v>
      </c>
      <c r="J323" s="94">
        <v>38552</v>
      </c>
      <c r="K323" s="94">
        <v>219</v>
      </c>
      <c r="L323" s="92" t="s">
        <v>58</v>
      </c>
      <c r="M323" s="92" t="s">
        <v>55</v>
      </c>
      <c r="N323" s="20"/>
    </row>
    <row r="324" spans="1:14" x14ac:dyDescent="0.3">
      <c r="A324" s="87" t="s">
        <v>426</v>
      </c>
      <c r="B324" s="88" t="s">
        <v>40</v>
      </c>
      <c r="C324" s="89">
        <v>45778</v>
      </c>
      <c r="D324" s="88" t="s">
        <v>42</v>
      </c>
      <c r="E324" s="88" t="s">
        <v>43</v>
      </c>
      <c r="F324" s="94">
        <v>2696</v>
      </c>
      <c r="G324" s="94">
        <v>628</v>
      </c>
      <c r="H324" s="94">
        <v>443</v>
      </c>
      <c r="I324" s="94">
        <v>45832</v>
      </c>
      <c r="J324" s="94">
        <v>45632</v>
      </c>
      <c r="K324" s="94">
        <v>248</v>
      </c>
      <c r="L324" s="92" t="s">
        <v>18</v>
      </c>
      <c r="M324" s="92" t="s">
        <v>38</v>
      </c>
      <c r="N324" s="20"/>
    </row>
    <row r="325" spans="1:14" x14ac:dyDescent="0.3">
      <c r="A325" s="87" t="s">
        <v>428</v>
      </c>
      <c r="B325" s="88" t="s">
        <v>31</v>
      </c>
      <c r="C325" s="89">
        <v>45649</v>
      </c>
      <c r="D325" s="88" t="s">
        <v>49</v>
      </c>
      <c r="E325" s="88" t="s">
        <v>50</v>
      </c>
      <c r="F325" s="94">
        <v>521</v>
      </c>
      <c r="G325" s="94">
        <v>746</v>
      </c>
      <c r="H325" s="94">
        <v>315</v>
      </c>
      <c r="I325" s="94">
        <v>4168</v>
      </c>
      <c r="J325" s="94">
        <v>3399</v>
      </c>
      <c r="K325" s="94">
        <v>282</v>
      </c>
      <c r="L325" s="92" t="s">
        <v>18</v>
      </c>
      <c r="M325" s="92" t="s">
        <v>19</v>
      </c>
      <c r="N325" s="20"/>
    </row>
    <row r="326" spans="1:14" x14ac:dyDescent="0.3">
      <c r="A326" s="87" t="s">
        <v>429</v>
      </c>
      <c r="B326" s="88" t="s">
        <v>40</v>
      </c>
      <c r="C326" s="89">
        <v>45783</v>
      </c>
      <c r="D326" s="88" t="s">
        <v>49</v>
      </c>
      <c r="E326" s="88" t="s">
        <v>50</v>
      </c>
      <c r="F326" s="94">
        <v>4872</v>
      </c>
      <c r="G326" s="94">
        <v>925</v>
      </c>
      <c r="H326" s="94">
        <v>176</v>
      </c>
      <c r="I326" s="94">
        <v>82824</v>
      </c>
      <c r="J326" s="94">
        <v>82543</v>
      </c>
      <c r="K326" s="94">
        <v>89</v>
      </c>
      <c r="L326" s="92" t="s">
        <v>18</v>
      </c>
      <c r="M326" s="92" t="s">
        <v>19</v>
      </c>
      <c r="N326" s="20"/>
    </row>
    <row r="327" spans="1:14" x14ac:dyDescent="0.3">
      <c r="A327" s="87" t="s">
        <v>429</v>
      </c>
      <c r="B327" s="88" t="s">
        <v>40</v>
      </c>
      <c r="C327" s="89">
        <v>45783</v>
      </c>
      <c r="D327" s="88" t="s">
        <v>49</v>
      </c>
      <c r="E327" s="88" t="s">
        <v>50</v>
      </c>
      <c r="F327" s="94">
        <v>4872</v>
      </c>
      <c r="G327" s="94">
        <v>925</v>
      </c>
      <c r="H327" s="94">
        <v>176</v>
      </c>
      <c r="I327" s="94">
        <v>82824</v>
      </c>
      <c r="J327" s="94">
        <v>82543</v>
      </c>
      <c r="K327" s="94">
        <v>89</v>
      </c>
      <c r="L327" s="92" t="s">
        <v>44</v>
      </c>
      <c r="M327" s="92" t="s">
        <v>19</v>
      </c>
      <c r="N327" s="20"/>
    </row>
    <row r="328" spans="1:14" x14ac:dyDescent="0.3">
      <c r="A328" s="87" t="s">
        <v>431</v>
      </c>
      <c r="B328" s="88" t="s">
        <v>577</v>
      </c>
      <c r="C328" s="89">
        <v>45502</v>
      </c>
      <c r="D328" s="88" t="s">
        <v>33</v>
      </c>
      <c r="E328" s="88" t="s">
        <v>34</v>
      </c>
      <c r="F328" s="94">
        <v>1509</v>
      </c>
      <c r="G328" s="94">
        <v>88</v>
      </c>
      <c r="H328" s="94">
        <v>163</v>
      </c>
      <c r="I328" s="94">
        <v>30180</v>
      </c>
      <c r="J328" s="94">
        <v>29689</v>
      </c>
      <c r="K328" s="94">
        <v>119</v>
      </c>
      <c r="L328" s="92" t="s">
        <v>44</v>
      </c>
      <c r="M328" s="92" t="s">
        <v>19</v>
      </c>
      <c r="N328" s="20"/>
    </row>
    <row r="329" spans="1:14" x14ac:dyDescent="0.3">
      <c r="A329" s="87" t="s">
        <v>432</v>
      </c>
      <c r="B329" s="88" t="s">
        <v>40</v>
      </c>
      <c r="C329" s="89">
        <v>45629</v>
      </c>
      <c r="D329" s="88" t="s">
        <v>49</v>
      </c>
      <c r="E329" s="88" t="s">
        <v>50</v>
      </c>
      <c r="F329" s="94">
        <v>4606</v>
      </c>
      <c r="G329" s="94">
        <v>931</v>
      </c>
      <c r="H329" s="94">
        <v>230</v>
      </c>
      <c r="I329" s="94">
        <v>92120</v>
      </c>
      <c r="J329" s="94">
        <v>91440</v>
      </c>
      <c r="K329" s="94">
        <v>56</v>
      </c>
      <c r="L329" s="92" t="s">
        <v>77</v>
      </c>
      <c r="M329" s="92" t="s">
        <v>38</v>
      </c>
      <c r="N329" s="20"/>
    </row>
    <row r="330" spans="1:14" x14ac:dyDescent="0.3">
      <c r="A330" s="87" t="s">
        <v>432</v>
      </c>
      <c r="B330" s="88" t="s">
        <v>40</v>
      </c>
      <c r="C330" s="89">
        <v>45629</v>
      </c>
      <c r="D330" s="88" t="s">
        <v>49</v>
      </c>
      <c r="E330" s="88" t="s">
        <v>50</v>
      </c>
      <c r="F330" s="94">
        <v>4606</v>
      </c>
      <c r="G330" s="94">
        <v>931</v>
      </c>
      <c r="H330" s="94">
        <v>230</v>
      </c>
      <c r="I330" s="94">
        <v>92120</v>
      </c>
      <c r="J330" s="94">
        <v>91440</v>
      </c>
      <c r="K330" s="94">
        <v>56</v>
      </c>
      <c r="L330" s="92" t="s">
        <v>24</v>
      </c>
      <c r="M330" s="92" t="s">
        <v>38</v>
      </c>
      <c r="N330" s="20"/>
    </row>
    <row r="331" spans="1:14" x14ac:dyDescent="0.3">
      <c r="A331" s="87" t="s">
        <v>433</v>
      </c>
      <c r="B331" s="88" t="s">
        <v>40</v>
      </c>
      <c r="C331" s="89">
        <v>45454</v>
      </c>
      <c r="D331" s="88" t="s">
        <v>42</v>
      </c>
      <c r="E331" s="88" t="s">
        <v>43</v>
      </c>
      <c r="F331" s="94">
        <v>1869</v>
      </c>
      <c r="G331" s="94">
        <v>453</v>
      </c>
      <c r="H331" s="94">
        <v>490</v>
      </c>
      <c r="I331" s="94">
        <v>14952</v>
      </c>
      <c r="J331" s="94">
        <v>14309</v>
      </c>
      <c r="K331" s="94">
        <v>275</v>
      </c>
      <c r="L331" s="92" t="s">
        <v>77</v>
      </c>
      <c r="M331" s="92" t="s">
        <v>19</v>
      </c>
      <c r="N331" s="20"/>
    </row>
    <row r="332" spans="1:14" x14ac:dyDescent="0.3">
      <c r="A332" s="87" t="s">
        <v>433</v>
      </c>
      <c r="B332" s="88" t="s">
        <v>40</v>
      </c>
      <c r="C332" s="89">
        <v>45454</v>
      </c>
      <c r="D332" s="88" t="s">
        <v>42</v>
      </c>
      <c r="E332" s="88" t="s">
        <v>43</v>
      </c>
      <c r="F332" s="94">
        <v>1869</v>
      </c>
      <c r="G332" s="94">
        <v>453</v>
      </c>
      <c r="H332" s="94">
        <v>490</v>
      </c>
      <c r="I332" s="94">
        <v>14952</v>
      </c>
      <c r="J332" s="94">
        <v>14309</v>
      </c>
      <c r="K332" s="94">
        <v>275</v>
      </c>
      <c r="L332" s="92" t="s">
        <v>58</v>
      </c>
      <c r="M332" s="92" t="s">
        <v>19</v>
      </c>
      <c r="N332" s="20"/>
    </row>
    <row r="333" spans="1:14" x14ac:dyDescent="0.3">
      <c r="A333" s="87" t="s">
        <v>434</v>
      </c>
      <c r="B333" s="88" t="s">
        <v>14</v>
      </c>
      <c r="C333" s="89">
        <v>45685</v>
      </c>
      <c r="D333" s="88" t="s">
        <v>16</v>
      </c>
      <c r="E333" s="88" t="s">
        <v>17</v>
      </c>
      <c r="F333" s="94">
        <v>1188</v>
      </c>
      <c r="G333" s="94">
        <v>470</v>
      </c>
      <c r="H333" s="94">
        <v>174</v>
      </c>
      <c r="I333" s="94">
        <v>7128</v>
      </c>
      <c r="J333" s="94">
        <v>6145</v>
      </c>
      <c r="K333" s="94">
        <v>270</v>
      </c>
      <c r="L333" s="92" t="s">
        <v>58</v>
      </c>
      <c r="M333" s="92" t="s">
        <v>25</v>
      </c>
      <c r="N333" s="20"/>
    </row>
    <row r="334" spans="1:14" x14ac:dyDescent="0.3">
      <c r="A334" s="87" t="s">
        <v>434</v>
      </c>
      <c r="B334" s="88" t="s">
        <v>14</v>
      </c>
      <c r="C334" s="89">
        <v>45685</v>
      </c>
      <c r="D334" s="88" t="s">
        <v>16</v>
      </c>
      <c r="E334" s="88" t="s">
        <v>17</v>
      </c>
      <c r="F334" s="94">
        <v>1188</v>
      </c>
      <c r="G334" s="94">
        <v>470</v>
      </c>
      <c r="H334" s="94">
        <v>174</v>
      </c>
      <c r="I334" s="94">
        <v>7128</v>
      </c>
      <c r="J334" s="94">
        <v>6145</v>
      </c>
      <c r="K334" s="94">
        <v>270</v>
      </c>
      <c r="L334" s="92" t="s">
        <v>24</v>
      </c>
      <c r="M334" s="92" t="s">
        <v>25</v>
      </c>
      <c r="N334" s="20"/>
    </row>
    <row r="335" spans="1:14" x14ac:dyDescent="0.3">
      <c r="A335" s="87" t="s">
        <v>435</v>
      </c>
      <c r="B335" s="88" t="s">
        <v>31</v>
      </c>
      <c r="C335" s="89">
        <v>45445</v>
      </c>
      <c r="D335" s="88" t="s">
        <v>33</v>
      </c>
      <c r="E335" s="88" t="s">
        <v>34</v>
      </c>
      <c r="F335" s="94">
        <v>84</v>
      </c>
      <c r="G335" s="94">
        <v>897</v>
      </c>
      <c r="H335" s="94">
        <v>85</v>
      </c>
      <c r="I335" s="94">
        <v>588</v>
      </c>
      <c r="J335" s="94">
        <v>8</v>
      </c>
      <c r="K335" s="94">
        <v>12</v>
      </c>
      <c r="L335" s="92" t="s">
        <v>58</v>
      </c>
      <c r="M335" s="92" t="s">
        <v>25</v>
      </c>
      <c r="N335" s="20"/>
    </row>
    <row r="336" spans="1:14" x14ac:dyDescent="0.3">
      <c r="A336" s="87" t="s">
        <v>436</v>
      </c>
      <c r="B336" s="88" t="s">
        <v>40</v>
      </c>
      <c r="C336" s="89">
        <v>45739</v>
      </c>
      <c r="D336" s="88" t="s">
        <v>69</v>
      </c>
      <c r="E336" s="88" t="s">
        <v>70</v>
      </c>
      <c r="F336" s="94">
        <v>4453</v>
      </c>
      <c r="G336" s="94">
        <v>111</v>
      </c>
      <c r="H336" s="94">
        <v>420</v>
      </c>
      <c r="I336" s="94">
        <v>31171</v>
      </c>
      <c r="J336" s="94">
        <v>30565</v>
      </c>
      <c r="K336" s="94">
        <v>23</v>
      </c>
      <c r="L336" s="92" t="s">
        <v>44</v>
      </c>
      <c r="M336" s="92" t="s">
        <v>55</v>
      </c>
      <c r="N336" s="20"/>
    </row>
    <row r="337" spans="1:14" x14ac:dyDescent="0.3">
      <c r="A337" s="87" t="s">
        <v>436</v>
      </c>
      <c r="B337" s="88" t="s">
        <v>40</v>
      </c>
      <c r="C337" s="89">
        <v>45739</v>
      </c>
      <c r="D337" s="88" t="s">
        <v>69</v>
      </c>
      <c r="E337" s="88" t="s">
        <v>70</v>
      </c>
      <c r="F337" s="94">
        <v>4453</v>
      </c>
      <c r="G337" s="94">
        <v>111</v>
      </c>
      <c r="H337" s="94">
        <v>420</v>
      </c>
      <c r="I337" s="94">
        <v>31171</v>
      </c>
      <c r="J337" s="94">
        <v>30565</v>
      </c>
      <c r="K337" s="94">
        <v>23</v>
      </c>
      <c r="L337" s="92" t="s">
        <v>24</v>
      </c>
      <c r="M337" s="92" t="s">
        <v>55</v>
      </c>
      <c r="N337" s="20"/>
    </row>
    <row r="338" spans="1:14" x14ac:dyDescent="0.3">
      <c r="A338" s="87" t="s">
        <v>437</v>
      </c>
      <c r="B338" s="88" t="s">
        <v>40</v>
      </c>
      <c r="C338" s="89">
        <v>45573</v>
      </c>
      <c r="D338" s="88" t="s">
        <v>16</v>
      </c>
      <c r="E338" s="88" t="s">
        <v>17</v>
      </c>
      <c r="F338" s="94">
        <v>1814</v>
      </c>
      <c r="G338" s="94">
        <v>653</v>
      </c>
      <c r="H338" s="94">
        <v>363</v>
      </c>
      <c r="I338" s="94">
        <v>25396</v>
      </c>
      <c r="J338" s="94">
        <v>25286</v>
      </c>
      <c r="K338" s="94">
        <v>39</v>
      </c>
      <c r="L338" s="92" t="s">
        <v>58</v>
      </c>
      <c r="M338" s="92" t="s">
        <v>19</v>
      </c>
      <c r="N338" s="20"/>
    </row>
    <row r="339" spans="1:14" x14ac:dyDescent="0.3">
      <c r="A339" s="87" t="s">
        <v>439</v>
      </c>
      <c r="B339" s="88" t="s">
        <v>14</v>
      </c>
      <c r="C339" s="89">
        <v>45608</v>
      </c>
      <c r="D339" s="88" t="s">
        <v>49</v>
      </c>
      <c r="E339" s="88" t="s">
        <v>50</v>
      </c>
      <c r="F339" s="94">
        <v>3338</v>
      </c>
      <c r="G339" s="94">
        <v>277</v>
      </c>
      <c r="H339" s="94">
        <v>118</v>
      </c>
      <c r="I339" s="94">
        <v>60084</v>
      </c>
      <c r="J339" s="94">
        <v>59842</v>
      </c>
      <c r="K339" s="94">
        <v>252</v>
      </c>
      <c r="L339" s="92" t="s">
        <v>58</v>
      </c>
      <c r="M339" s="92" t="s">
        <v>19</v>
      </c>
      <c r="N339" s="20"/>
    </row>
    <row r="340" spans="1:14" x14ac:dyDescent="0.3">
      <c r="A340" s="87" t="s">
        <v>440</v>
      </c>
      <c r="B340" s="88" t="s">
        <v>40</v>
      </c>
      <c r="C340" s="89">
        <v>45790</v>
      </c>
      <c r="D340" s="88" t="s">
        <v>49</v>
      </c>
      <c r="E340" s="88" t="s">
        <v>50</v>
      </c>
      <c r="F340" s="94">
        <v>602</v>
      </c>
      <c r="G340" s="94">
        <v>594</v>
      </c>
      <c r="H340" s="94">
        <v>156</v>
      </c>
      <c r="I340" s="94">
        <v>4214</v>
      </c>
      <c r="J340" s="94">
        <v>3363</v>
      </c>
      <c r="K340" s="94">
        <v>164</v>
      </c>
      <c r="L340" s="92" t="s">
        <v>18</v>
      </c>
      <c r="M340" s="92" t="s">
        <v>38</v>
      </c>
      <c r="N340" s="20"/>
    </row>
    <row r="341" spans="1:14" x14ac:dyDescent="0.3">
      <c r="A341" s="87" t="s">
        <v>442</v>
      </c>
      <c r="B341" s="88" t="s">
        <v>14</v>
      </c>
      <c r="C341" s="89">
        <v>45463</v>
      </c>
      <c r="D341" s="88" t="s">
        <v>42</v>
      </c>
      <c r="E341" s="88" t="s">
        <v>43</v>
      </c>
      <c r="F341" s="94">
        <v>4672</v>
      </c>
      <c r="G341" s="94">
        <v>325</v>
      </c>
      <c r="H341" s="94">
        <v>32</v>
      </c>
      <c r="I341" s="94">
        <v>88768</v>
      </c>
      <c r="J341" s="94">
        <v>87833</v>
      </c>
      <c r="K341" s="94">
        <v>118</v>
      </c>
      <c r="L341" s="92" t="s">
        <v>77</v>
      </c>
      <c r="M341" s="92" t="s">
        <v>38</v>
      </c>
      <c r="N341" s="20"/>
    </row>
    <row r="342" spans="1:14" x14ac:dyDescent="0.3">
      <c r="A342" s="87" t="s">
        <v>442</v>
      </c>
      <c r="B342" s="88" t="s">
        <v>14</v>
      </c>
      <c r="C342" s="89">
        <v>45463</v>
      </c>
      <c r="D342" s="88" t="s">
        <v>42</v>
      </c>
      <c r="E342" s="88" t="s">
        <v>43</v>
      </c>
      <c r="F342" s="94">
        <v>4672</v>
      </c>
      <c r="G342" s="94">
        <v>325</v>
      </c>
      <c r="H342" s="94">
        <v>32</v>
      </c>
      <c r="I342" s="94">
        <v>88768</v>
      </c>
      <c r="J342" s="94">
        <v>87833</v>
      </c>
      <c r="K342" s="94">
        <v>118</v>
      </c>
      <c r="L342" s="92" t="s">
        <v>18</v>
      </c>
      <c r="M342" s="92" t="s">
        <v>38</v>
      </c>
      <c r="N342" s="20"/>
    </row>
    <row r="343" spans="1:14" x14ac:dyDescent="0.3">
      <c r="A343" s="87" t="s">
        <v>443</v>
      </c>
      <c r="B343" s="88" t="s">
        <v>31</v>
      </c>
      <c r="C343" s="89">
        <v>45511</v>
      </c>
      <c r="D343" s="88" t="s">
        <v>42</v>
      </c>
      <c r="E343" s="88" t="s">
        <v>43</v>
      </c>
      <c r="F343" s="94">
        <v>1741</v>
      </c>
      <c r="G343" s="94">
        <v>164</v>
      </c>
      <c r="H343" s="94">
        <v>318</v>
      </c>
      <c r="I343" s="94">
        <v>8705</v>
      </c>
      <c r="J343" s="94">
        <v>8272</v>
      </c>
      <c r="K343" s="94">
        <v>121</v>
      </c>
      <c r="L343" s="92" t="s">
        <v>18</v>
      </c>
      <c r="M343" s="92" t="s">
        <v>25</v>
      </c>
      <c r="N343" s="20"/>
    </row>
    <row r="344" spans="1:14" x14ac:dyDescent="0.3">
      <c r="A344" s="87" t="s">
        <v>445</v>
      </c>
      <c r="B344" s="88" t="s">
        <v>31</v>
      </c>
      <c r="C344" s="89">
        <v>45455</v>
      </c>
      <c r="D344" s="88" t="s">
        <v>22</v>
      </c>
      <c r="E344" s="88" t="s">
        <v>23</v>
      </c>
      <c r="F344" s="94">
        <v>246</v>
      </c>
      <c r="G344" s="94">
        <v>149</v>
      </c>
      <c r="H344" s="94">
        <v>130</v>
      </c>
      <c r="I344" s="94">
        <v>4674</v>
      </c>
      <c r="J344" s="94">
        <v>4390</v>
      </c>
      <c r="K344" s="94">
        <v>217</v>
      </c>
      <c r="L344" s="92" t="s">
        <v>44</v>
      </c>
      <c r="M344" s="92" t="s">
        <v>25</v>
      </c>
      <c r="N344" s="20"/>
    </row>
    <row r="345" spans="1:14" x14ac:dyDescent="0.3">
      <c r="A345" s="87" t="s">
        <v>445</v>
      </c>
      <c r="B345" s="88" t="s">
        <v>31</v>
      </c>
      <c r="C345" s="89">
        <v>45455</v>
      </c>
      <c r="D345" s="88" t="s">
        <v>22</v>
      </c>
      <c r="E345" s="88" t="s">
        <v>23</v>
      </c>
      <c r="F345" s="94">
        <v>246</v>
      </c>
      <c r="G345" s="94">
        <v>149</v>
      </c>
      <c r="H345" s="94">
        <v>130</v>
      </c>
      <c r="I345" s="94">
        <v>4674</v>
      </c>
      <c r="J345" s="94">
        <v>4390</v>
      </c>
      <c r="K345" s="94">
        <v>217</v>
      </c>
      <c r="L345" s="92" t="s">
        <v>77</v>
      </c>
      <c r="M345" s="92" t="s">
        <v>25</v>
      </c>
      <c r="N345" s="20"/>
    </row>
    <row r="346" spans="1:14" x14ac:dyDescent="0.3">
      <c r="A346" s="87" t="s">
        <v>447</v>
      </c>
      <c r="B346" s="88" t="s">
        <v>31</v>
      </c>
      <c r="C346" s="89">
        <v>45474</v>
      </c>
      <c r="D346" s="88" t="s">
        <v>33</v>
      </c>
      <c r="E346" s="88" t="s">
        <v>34</v>
      </c>
      <c r="F346" s="94">
        <v>4808</v>
      </c>
      <c r="G346" s="94">
        <v>772</v>
      </c>
      <c r="H346" s="94">
        <v>320</v>
      </c>
      <c r="I346" s="94">
        <v>72120</v>
      </c>
      <c r="J346" s="94">
        <v>71696</v>
      </c>
      <c r="K346" s="94">
        <v>195</v>
      </c>
      <c r="L346" s="92" t="s">
        <v>44</v>
      </c>
      <c r="M346" s="92" t="s">
        <v>55</v>
      </c>
      <c r="N346" s="20"/>
    </row>
    <row r="347" spans="1:14" x14ac:dyDescent="0.3">
      <c r="A347" s="87" t="s">
        <v>447</v>
      </c>
      <c r="B347" s="88" t="s">
        <v>31</v>
      </c>
      <c r="C347" s="89">
        <v>45474</v>
      </c>
      <c r="D347" s="88" t="s">
        <v>33</v>
      </c>
      <c r="E347" s="88" t="s">
        <v>34</v>
      </c>
      <c r="F347" s="94">
        <v>4808</v>
      </c>
      <c r="G347" s="94">
        <v>772</v>
      </c>
      <c r="H347" s="94">
        <v>320</v>
      </c>
      <c r="I347" s="94">
        <v>72120</v>
      </c>
      <c r="J347" s="94">
        <v>71696</v>
      </c>
      <c r="K347" s="94">
        <v>195</v>
      </c>
      <c r="L347" s="92" t="s">
        <v>18</v>
      </c>
      <c r="M347" s="92" t="s">
        <v>55</v>
      </c>
      <c r="N347" s="20"/>
    </row>
    <row r="348" spans="1:14" x14ac:dyDescent="0.3">
      <c r="A348" s="87" t="s">
        <v>449</v>
      </c>
      <c r="B348" s="88" t="s">
        <v>31</v>
      </c>
      <c r="C348" s="89">
        <v>45476</v>
      </c>
      <c r="D348" s="88" t="s">
        <v>42</v>
      </c>
      <c r="E348" s="88" t="s">
        <v>43</v>
      </c>
      <c r="F348" s="94">
        <v>4799</v>
      </c>
      <c r="G348" s="94">
        <v>694</v>
      </c>
      <c r="H348" s="94">
        <v>289</v>
      </c>
      <c r="I348" s="94">
        <v>43191</v>
      </c>
      <c r="J348" s="94">
        <v>42228</v>
      </c>
      <c r="K348" s="94">
        <v>118</v>
      </c>
      <c r="L348" s="92" t="s">
        <v>44</v>
      </c>
      <c r="M348" s="92" t="s">
        <v>25</v>
      </c>
      <c r="N348" s="20"/>
    </row>
    <row r="349" spans="1:14" x14ac:dyDescent="0.3">
      <c r="A349" s="87" t="s">
        <v>450</v>
      </c>
      <c r="B349" s="88" t="s">
        <v>40</v>
      </c>
      <c r="C349" s="89">
        <v>45488</v>
      </c>
      <c r="D349" s="88" t="s">
        <v>16</v>
      </c>
      <c r="E349" s="88" t="s">
        <v>17</v>
      </c>
      <c r="F349" s="94">
        <v>3663</v>
      </c>
      <c r="G349" s="94">
        <v>17</v>
      </c>
      <c r="H349" s="94">
        <v>295</v>
      </c>
      <c r="I349" s="94">
        <v>51282</v>
      </c>
      <c r="J349" s="94">
        <v>50567</v>
      </c>
      <c r="K349" s="94">
        <v>84</v>
      </c>
      <c r="L349" s="92" t="s">
        <v>18</v>
      </c>
      <c r="M349" s="92" t="s">
        <v>19</v>
      </c>
      <c r="N349" s="20"/>
    </row>
    <row r="350" spans="1:14" x14ac:dyDescent="0.3">
      <c r="A350" s="87" t="s">
        <v>451</v>
      </c>
      <c r="B350" s="88" t="s">
        <v>31</v>
      </c>
      <c r="C350" s="89">
        <v>45778</v>
      </c>
      <c r="D350" s="88" t="s">
        <v>22</v>
      </c>
      <c r="E350" s="88" t="s">
        <v>23</v>
      </c>
      <c r="F350" s="94">
        <v>1430</v>
      </c>
      <c r="G350" s="94">
        <v>376</v>
      </c>
      <c r="H350" s="94">
        <v>33</v>
      </c>
      <c r="I350" s="94">
        <v>21450</v>
      </c>
      <c r="J350" s="94">
        <v>20509</v>
      </c>
      <c r="K350" s="94">
        <v>251</v>
      </c>
      <c r="L350" s="92" t="s">
        <v>77</v>
      </c>
      <c r="M350" s="92" t="s">
        <v>38</v>
      </c>
      <c r="N350" s="20"/>
    </row>
    <row r="351" spans="1:14" x14ac:dyDescent="0.3">
      <c r="A351" s="87" t="s">
        <v>452</v>
      </c>
      <c r="B351" s="88" t="s">
        <v>14</v>
      </c>
      <c r="C351" s="89">
        <v>45776</v>
      </c>
      <c r="D351" s="88" t="s">
        <v>33</v>
      </c>
      <c r="E351" s="88" t="s">
        <v>34</v>
      </c>
      <c r="F351" s="94">
        <v>249</v>
      </c>
      <c r="G351" s="94">
        <v>592</v>
      </c>
      <c r="H351" s="94">
        <v>230</v>
      </c>
      <c r="I351" s="94">
        <v>1494</v>
      </c>
      <c r="J351" s="94">
        <v>1044</v>
      </c>
      <c r="K351" s="94">
        <v>201</v>
      </c>
      <c r="L351" s="92" t="s">
        <v>24</v>
      </c>
      <c r="M351" s="92" t="s">
        <v>55</v>
      </c>
      <c r="N351" s="20"/>
    </row>
    <row r="352" spans="1:14" x14ac:dyDescent="0.3">
      <c r="A352" s="87" t="s">
        <v>452</v>
      </c>
      <c r="B352" s="88" t="s">
        <v>14</v>
      </c>
      <c r="C352" s="89">
        <v>45776</v>
      </c>
      <c r="D352" s="88" t="s">
        <v>33</v>
      </c>
      <c r="E352" s="88" t="s">
        <v>34</v>
      </c>
      <c r="F352" s="94">
        <v>249</v>
      </c>
      <c r="G352" s="94">
        <v>592</v>
      </c>
      <c r="H352" s="94">
        <v>230</v>
      </c>
      <c r="I352" s="94">
        <v>1494</v>
      </c>
      <c r="J352" s="94">
        <v>1044</v>
      </c>
      <c r="K352" s="94">
        <v>201</v>
      </c>
      <c r="L352" s="92" t="s">
        <v>44</v>
      </c>
      <c r="M352" s="92" t="s">
        <v>55</v>
      </c>
      <c r="N352" s="20"/>
    </row>
    <row r="353" spans="1:14" x14ac:dyDescent="0.3">
      <c r="A353" s="87" t="s">
        <v>454</v>
      </c>
      <c r="B353" s="88" t="s">
        <v>40</v>
      </c>
      <c r="C353" s="89">
        <v>45724</v>
      </c>
      <c r="D353" s="88" t="s">
        <v>49</v>
      </c>
      <c r="E353" s="88" t="s">
        <v>50</v>
      </c>
      <c r="F353" s="94">
        <v>2382</v>
      </c>
      <c r="G353" s="94">
        <v>265</v>
      </c>
      <c r="H353" s="94">
        <v>134</v>
      </c>
      <c r="I353" s="94">
        <v>38112</v>
      </c>
      <c r="J353" s="94">
        <v>37437</v>
      </c>
      <c r="K353" s="94">
        <v>249</v>
      </c>
      <c r="L353" s="92" t="s">
        <v>77</v>
      </c>
      <c r="M353" s="92" t="s">
        <v>25</v>
      </c>
      <c r="N353" s="20"/>
    </row>
    <row r="354" spans="1:14" x14ac:dyDescent="0.3">
      <c r="A354" s="87" t="s">
        <v>454</v>
      </c>
      <c r="B354" s="88" t="s">
        <v>40</v>
      </c>
      <c r="C354" s="89">
        <v>45724</v>
      </c>
      <c r="D354" s="88" t="s">
        <v>49</v>
      </c>
      <c r="E354" s="88" t="s">
        <v>50</v>
      </c>
      <c r="F354" s="94">
        <v>2382</v>
      </c>
      <c r="G354" s="94">
        <v>265</v>
      </c>
      <c r="H354" s="94">
        <v>134</v>
      </c>
      <c r="I354" s="94">
        <v>38112</v>
      </c>
      <c r="J354" s="94">
        <v>37437</v>
      </c>
      <c r="K354" s="94">
        <v>249</v>
      </c>
      <c r="L354" s="92" t="s">
        <v>44</v>
      </c>
      <c r="M354" s="92" t="s">
        <v>25</v>
      </c>
      <c r="N354" s="20"/>
    </row>
    <row r="355" spans="1:14" x14ac:dyDescent="0.3">
      <c r="A355" s="87" t="s">
        <v>455</v>
      </c>
      <c r="B355" s="88" t="s">
        <v>40</v>
      </c>
      <c r="C355" s="89">
        <v>45444</v>
      </c>
      <c r="D355" s="88" t="s">
        <v>22</v>
      </c>
      <c r="E355" s="88" t="s">
        <v>23</v>
      </c>
      <c r="F355" s="94">
        <v>1272</v>
      </c>
      <c r="G355" s="94">
        <v>465</v>
      </c>
      <c r="H355" s="94">
        <v>99</v>
      </c>
      <c r="I355" s="94">
        <v>24168</v>
      </c>
      <c r="J355" s="94">
        <v>23719</v>
      </c>
      <c r="K355" s="94">
        <v>42</v>
      </c>
      <c r="L355" s="92" t="s">
        <v>24</v>
      </c>
      <c r="M355" s="92" t="s">
        <v>25</v>
      </c>
      <c r="N355" s="20"/>
    </row>
    <row r="356" spans="1:14" x14ac:dyDescent="0.3">
      <c r="A356" s="87" t="s">
        <v>455</v>
      </c>
      <c r="B356" s="88" t="s">
        <v>40</v>
      </c>
      <c r="C356" s="89">
        <v>45444</v>
      </c>
      <c r="D356" s="88" t="s">
        <v>22</v>
      </c>
      <c r="E356" s="88" t="s">
        <v>23</v>
      </c>
      <c r="F356" s="94">
        <v>1272</v>
      </c>
      <c r="G356" s="94">
        <v>465</v>
      </c>
      <c r="H356" s="94">
        <v>99</v>
      </c>
      <c r="I356" s="94">
        <v>24168</v>
      </c>
      <c r="J356" s="94">
        <v>23719</v>
      </c>
      <c r="K356" s="94">
        <v>42</v>
      </c>
      <c r="L356" s="92" t="s">
        <v>77</v>
      </c>
      <c r="M356" s="92" t="s">
        <v>25</v>
      </c>
      <c r="N356" s="20"/>
    </row>
    <row r="357" spans="1:14" x14ac:dyDescent="0.3">
      <c r="A357" s="87" t="s">
        <v>457</v>
      </c>
      <c r="B357" s="88" t="s">
        <v>40</v>
      </c>
      <c r="C357" s="89">
        <v>45648</v>
      </c>
      <c r="D357" s="88" t="s">
        <v>49</v>
      </c>
      <c r="E357" s="88" t="s">
        <v>50</v>
      </c>
      <c r="F357" s="94">
        <v>3196</v>
      </c>
      <c r="G357" s="94">
        <v>941</v>
      </c>
      <c r="H357" s="94">
        <v>376</v>
      </c>
      <c r="I357" s="94">
        <v>35156</v>
      </c>
      <c r="J357" s="94">
        <v>34444</v>
      </c>
      <c r="K357" s="94">
        <v>241</v>
      </c>
      <c r="L357" s="92" t="s">
        <v>58</v>
      </c>
      <c r="M357" s="92" t="s">
        <v>55</v>
      </c>
      <c r="N357" s="20"/>
    </row>
    <row r="358" spans="1:14" x14ac:dyDescent="0.3">
      <c r="A358" s="87" t="s">
        <v>457</v>
      </c>
      <c r="B358" s="88" t="s">
        <v>40</v>
      </c>
      <c r="C358" s="89">
        <v>45648</v>
      </c>
      <c r="D358" s="88" t="s">
        <v>49</v>
      </c>
      <c r="E358" s="88" t="s">
        <v>50</v>
      </c>
      <c r="F358" s="94">
        <v>3196</v>
      </c>
      <c r="G358" s="94">
        <v>941</v>
      </c>
      <c r="H358" s="94">
        <v>376</v>
      </c>
      <c r="I358" s="94">
        <v>35156</v>
      </c>
      <c r="J358" s="94">
        <v>34444</v>
      </c>
      <c r="K358" s="94">
        <v>241</v>
      </c>
      <c r="L358" s="92" t="s">
        <v>44</v>
      </c>
      <c r="M358" s="92" t="s">
        <v>55</v>
      </c>
      <c r="N358" s="20"/>
    </row>
    <row r="359" spans="1:14" x14ac:dyDescent="0.3">
      <c r="A359" s="87" t="s">
        <v>458</v>
      </c>
      <c r="B359" s="88" t="s">
        <v>40</v>
      </c>
      <c r="C359" s="89">
        <v>45523</v>
      </c>
      <c r="D359" s="88" t="s">
        <v>22</v>
      </c>
      <c r="E359" s="88" t="s">
        <v>23</v>
      </c>
      <c r="F359" s="94">
        <v>1257</v>
      </c>
      <c r="G359" s="94">
        <v>19</v>
      </c>
      <c r="H359" s="94">
        <v>351</v>
      </c>
      <c r="I359" s="94">
        <v>12570</v>
      </c>
      <c r="J359" s="94">
        <v>11660</v>
      </c>
      <c r="K359" s="94">
        <v>194</v>
      </c>
      <c r="L359" s="92" t="s">
        <v>58</v>
      </c>
      <c r="M359" s="92" t="s">
        <v>19</v>
      </c>
      <c r="N359" s="20"/>
    </row>
    <row r="360" spans="1:14" x14ac:dyDescent="0.3">
      <c r="A360" s="87" t="s">
        <v>459</v>
      </c>
      <c r="B360" s="88" t="s">
        <v>31</v>
      </c>
      <c r="C360" s="89">
        <v>45587</v>
      </c>
      <c r="D360" s="88" t="s">
        <v>33</v>
      </c>
      <c r="E360" s="88" t="s">
        <v>34</v>
      </c>
      <c r="F360" s="94">
        <v>3770</v>
      </c>
      <c r="G360" s="94">
        <v>917</v>
      </c>
      <c r="H360" s="94">
        <v>129</v>
      </c>
      <c r="I360" s="94">
        <v>71630</v>
      </c>
      <c r="J360" s="94">
        <v>71322</v>
      </c>
      <c r="K360" s="94">
        <v>76</v>
      </c>
      <c r="L360" s="92" t="s">
        <v>18</v>
      </c>
      <c r="M360" s="92" t="s">
        <v>55</v>
      </c>
      <c r="N360" s="20"/>
    </row>
    <row r="361" spans="1:14" x14ac:dyDescent="0.3">
      <c r="A361" s="87" t="s">
        <v>459</v>
      </c>
      <c r="B361" s="88" t="s">
        <v>31</v>
      </c>
      <c r="C361" s="89">
        <v>45587</v>
      </c>
      <c r="D361" s="88" t="s">
        <v>33</v>
      </c>
      <c r="E361" s="88" t="s">
        <v>34</v>
      </c>
      <c r="F361" s="94">
        <v>3770</v>
      </c>
      <c r="G361" s="94">
        <v>917</v>
      </c>
      <c r="H361" s="94">
        <v>129</v>
      </c>
      <c r="I361" s="94">
        <v>71630</v>
      </c>
      <c r="J361" s="94">
        <v>71322</v>
      </c>
      <c r="K361" s="94">
        <v>76</v>
      </c>
      <c r="L361" s="92" t="s">
        <v>44</v>
      </c>
      <c r="M361" s="92" t="s">
        <v>55</v>
      </c>
      <c r="N361" s="20"/>
    </row>
    <row r="362" spans="1:14" x14ac:dyDescent="0.3">
      <c r="A362" s="87" t="s">
        <v>460</v>
      </c>
      <c r="B362" s="88" t="s">
        <v>14</v>
      </c>
      <c r="C362" s="89">
        <v>45489</v>
      </c>
      <c r="D362" s="88" t="s">
        <v>22</v>
      </c>
      <c r="E362" s="88" t="s">
        <v>23</v>
      </c>
      <c r="F362" s="94">
        <v>4725</v>
      </c>
      <c r="G362" s="94">
        <v>400</v>
      </c>
      <c r="H362" s="94">
        <v>362</v>
      </c>
      <c r="I362" s="94">
        <v>75600</v>
      </c>
      <c r="J362" s="94">
        <v>74927</v>
      </c>
      <c r="K362" s="94">
        <v>43</v>
      </c>
      <c r="L362" s="92" t="s">
        <v>44</v>
      </c>
      <c r="M362" s="92" t="s">
        <v>19</v>
      </c>
      <c r="N362" s="20"/>
    </row>
    <row r="363" spans="1:14" x14ac:dyDescent="0.3">
      <c r="A363" s="87" t="s">
        <v>460</v>
      </c>
      <c r="B363" s="88" t="s">
        <v>14</v>
      </c>
      <c r="C363" s="89">
        <v>45489</v>
      </c>
      <c r="D363" s="88" t="s">
        <v>22</v>
      </c>
      <c r="E363" s="88" t="s">
        <v>23</v>
      </c>
      <c r="F363" s="94">
        <v>4725</v>
      </c>
      <c r="G363" s="94">
        <v>400</v>
      </c>
      <c r="H363" s="94">
        <v>362</v>
      </c>
      <c r="I363" s="94">
        <v>75600</v>
      </c>
      <c r="J363" s="94">
        <v>74927</v>
      </c>
      <c r="K363" s="94">
        <v>43</v>
      </c>
      <c r="L363" s="92" t="s">
        <v>24</v>
      </c>
      <c r="M363" s="92" t="s">
        <v>19</v>
      </c>
      <c r="N363" s="20"/>
    </row>
    <row r="364" spans="1:14" x14ac:dyDescent="0.3">
      <c r="A364" s="87" t="s">
        <v>462</v>
      </c>
      <c r="B364" s="88" t="s">
        <v>577</v>
      </c>
      <c r="C364" s="89">
        <v>45712</v>
      </c>
      <c r="D364" s="88" t="s">
        <v>22</v>
      </c>
      <c r="E364" s="88" t="s">
        <v>23</v>
      </c>
      <c r="F364" s="94">
        <v>4188</v>
      </c>
      <c r="G364" s="94">
        <v>942</v>
      </c>
      <c r="H364" s="94">
        <v>118</v>
      </c>
      <c r="I364" s="94">
        <v>20940</v>
      </c>
      <c r="J364" s="94">
        <v>20471</v>
      </c>
      <c r="K364" s="94">
        <v>102</v>
      </c>
      <c r="L364" s="92" t="s">
        <v>58</v>
      </c>
      <c r="M364" s="92" t="s">
        <v>25</v>
      </c>
      <c r="N364" s="20"/>
    </row>
    <row r="365" spans="1:14" x14ac:dyDescent="0.3">
      <c r="A365" s="87" t="s">
        <v>463</v>
      </c>
      <c r="B365" s="88" t="s">
        <v>14</v>
      </c>
      <c r="C365" s="89">
        <v>45530</v>
      </c>
      <c r="D365" s="88" t="s">
        <v>42</v>
      </c>
      <c r="E365" s="88" t="s">
        <v>43</v>
      </c>
      <c r="F365" s="94">
        <v>929</v>
      </c>
      <c r="G365" s="94">
        <v>192</v>
      </c>
      <c r="H365" s="94">
        <v>322</v>
      </c>
      <c r="I365" s="94">
        <v>16722</v>
      </c>
      <c r="J365" s="94">
        <v>15996</v>
      </c>
      <c r="K365" s="94">
        <v>145</v>
      </c>
      <c r="L365" s="92" t="s">
        <v>24</v>
      </c>
      <c r="M365" s="92" t="s">
        <v>38</v>
      </c>
      <c r="N365" s="20"/>
    </row>
    <row r="366" spans="1:14" x14ac:dyDescent="0.3">
      <c r="A366" s="87" t="s">
        <v>464</v>
      </c>
      <c r="B366" s="88" t="s">
        <v>40</v>
      </c>
      <c r="C366" s="89">
        <v>45675</v>
      </c>
      <c r="D366" s="88" t="s">
        <v>33</v>
      </c>
      <c r="E366" s="88" t="s">
        <v>34</v>
      </c>
      <c r="F366" s="94">
        <v>4321</v>
      </c>
      <c r="G366" s="94">
        <v>874</v>
      </c>
      <c r="H366" s="94">
        <v>172</v>
      </c>
      <c r="I366" s="94">
        <v>30247</v>
      </c>
      <c r="J366" s="94">
        <v>29254</v>
      </c>
      <c r="K366" s="94">
        <v>122</v>
      </c>
      <c r="L366" s="92" t="s">
        <v>18</v>
      </c>
      <c r="M366" s="92" t="s">
        <v>38</v>
      </c>
      <c r="N366" s="20"/>
    </row>
    <row r="367" spans="1:14" x14ac:dyDescent="0.3">
      <c r="A367" s="87" t="s">
        <v>464</v>
      </c>
      <c r="B367" s="88" t="s">
        <v>40</v>
      </c>
      <c r="C367" s="89">
        <v>45675</v>
      </c>
      <c r="D367" s="88" t="s">
        <v>33</v>
      </c>
      <c r="E367" s="88" t="s">
        <v>34</v>
      </c>
      <c r="F367" s="94">
        <v>4321</v>
      </c>
      <c r="G367" s="94">
        <v>874</v>
      </c>
      <c r="H367" s="94">
        <v>172</v>
      </c>
      <c r="I367" s="94">
        <v>30247</v>
      </c>
      <c r="J367" s="94">
        <v>29254</v>
      </c>
      <c r="K367" s="94">
        <v>122</v>
      </c>
      <c r="L367" s="92" t="s">
        <v>24</v>
      </c>
      <c r="M367" s="92" t="s">
        <v>38</v>
      </c>
      <c r="N367" s="20"/>
    </row>
    <row r="368" spans="1:14" x14ac:dyDescent="0.3">
      <c r="A368" s="87" t="s">
        <v>466</v>
      </c>
      <c r="B368" s="88" t="s">
        <v>40</v>
      </c>
      <c r="C368" s="89">
        <v>45480</v>
      </c>
      <c r="D368" s="88" t="s">
        <v>16</v>
      </c>
      <c r="E368" s="88" t="s">
        <v>17</v>
      </c>
      <c r="F368" s="94">
        <v>4767</v>
      </c>
      <c r="G368" s="94">
        <v>190</v>
      </c>
      <c r="H368" s="94">
        <v>340</v>
      </c>
      <c r="I368" s="94">
        <v>28602</v>
      </c>
      <c r="J368" s="94">
        <v>28044</v>
      </c>
      <c r="K368" s="94">
        <v>210</v>
      </c>
      <c r="L368" s="92" t="s">
        <v>77</v>
      </c>
      <c r="M368" s="92" t="s">
        <v>55</v>
      </c>
      <c r="N368" s="20"/>
    </row>
    <row r="369" spans="1:14" x14ac:dyDescent="0.3">
      <c r="A369" s="87" t="s">
        <v>467</v>
      </c>
      <c r="B369" s="88" t="s">
        <v>14</v>
      </c>
      <c r="C369" s="89">
        <v>45722</v>
      </c>
      <c r="D369" s="88" t="s">
        <v>49</v>
      </c>
      <c r="E369" s="88" t="s">
        <v>50</v>
      </c>
      <c r="F369" s="94">
        <v>3592</v>
      </c>
      <c r="G369" s="94">
        <v>911</v>
      </c>
      <c r="H369" s="94">
        <v>375</v>
      </c>
      <c r="I369" s="94">
        <v>50288</v>
      </c>
      <c r="J369" s="94">
        <v>49490</v>
      </c>
      <c r="K369" s="94">
        <v>32</v>
      </c>
      <c r="L369" s="92" t="s">
        <v>58</v>
      </c>
      <c r="M369" s="92" t="s">
        <v>25</v>
      </c>
      <c r="N369" s="20"/>
    </row>
    <row r="370" spans="1:14" x14ac:dyDescent="0.3">
      <c r="A370" s="87" t="s">
        <v>469</v>
      </c>
      <c r="B370" s="88" t="s">
        <v>577</v>
      </c>
      <c r="C370" s="89">
        <v>45590</v>
      </c>
      <c r="D370" s="88" t="s">
        <v>69</v>
      </c>
      <c r="E370" s="88" t="s">
        <v>70</v>
      </c>
      <c r="F370" s="94">
        <v>4661</v>
      </c>
      <c r="G370" s="94">
        <v>935</v>
      </c>
      <c r="H370" s="94">
        <v>433</v>
      </c>
      <c r="I370" s="94">
        <v>23305</v>
      </c>
      <c r="J370" s="94">
        <v>22583</v>
      </c>
      <c r="K370" s="94">
        <v>63</v>
      </c>
      <c r="L370" s="92" t="s">
        <v>58</v>
      </c>
      <c r="M370" s="92" t="s">
        <v>19</v>
      </c>
      <c r="N370" s="20"/>
    </row>
    <row r="371" spans="1:14" x14ac:dyDescent="0.3">
      <c r="A371" s="87" t="s">
        <v>469</v>
      </c>
      <c r="B371" s="88" t="s">
        <v>577</v>
      </c>
      <c r="C371" s="89">
        <v>45590</v>
      </c>
      <c r="D371" s="88" t="s">
        <v>69</v>
      </c>
      <c r="E371" s="88" t="s">
        <v>70</v>
      </c>
      <c r="F371" s="94">
        <v>4661</v>
      </c>
      <c r="G371" s="94">
        <v>935</v>
      </c>
      <c r="H371" s="94">
        <v>433</v>
      </c>
      <c r="I371" s="94">
        <v>23305</v>
      </c>
      <c r="J371" s="94">
        <v>22583</v>
      </c>
      <c r="K371" s="94">
        <v>63</v>
      </c>
      <c r="L371" s="92" t="s">
        <v>77</v>
      </c>
      <c r="M371" s="92" t="s">
        <v>19</v>
      </c>
      <c r="N371" s="20"/>
    </row>
    <row r="372" spans="1:14" x14ac:dyDescent="0.3">
      <c r="A372" s="87" t="s">
        <v>471</v>
      </c>
      <c r="B372" s="88" t="s">
        <v>40</v>
      </c>
      <c r="C372" s="89">
        <v>45669</v>
      </c>
      <c r="D372" s="88" t="s">
        <v>16</v>
      </c>
      <c r="E372" s="88" t="s">
        <v>17</v>
      </c>
      <c r="F372" s="94">
        <v>4134</v>
      </c>
      <c r="G372" s="94">
        <v>824</v>
      </c>
      <c r="H372" s="94">
        <v>99</v>
      </c>
      <c r="I372" s="94">
        <v>41340</v>
      </c>
      <c r="J372" s="94">
        <v>41050</v>
      </c>
      <c r="K372" s="94">
        <v>177</v>
      </c>
      <c r="L372" s="92" t="s">
        <v>24</v>
      </c>
      <c r="M372" s="92" t="s">
        <v>25</v>
      </c>
      <c r="N372" s="20"/>
    </row>
    <row r="373" spans="1:14" x14ac:dyDescent="0.3">
      <c r="A373" s="87" t="s">
        <v>473</v>
      </c>
      <c r="B373" s="88" t="s">
        <v>40</v>
      </c>
      <c r="C373" s="89">
        <v>45576</v>
      </c>
      <c r="D373" s="88" t="s">
        <v>49</v>
      </c>
      <c r="E373" s="88" t="s">
        <v>50</v>
      </c>
      <c r="F373" s="94">
        <v>400</v>
      </c>
      <c r="G373" s="94">
        <v>680</v>
      </c>
      <c r="H373" s="94">
        <v>434</v>
      </c>
      <c r="I373" s="94">
        <v>6400</v>
      </c>
      <c r="J373" s="94">
        <v>5472</v>
      </c>
      <c r="K373" s="94">
        <v>160</v>
      </c>
      <c r="L373" s="92" t="s">
        <v>18</v>
      </c>
      <c r="M373" s="92" t="s">
        <v>25</v>
      </c>
      <c r="N373" s="20"/>
    </row>
    <row r="374" spans="1:14" x14ac:dyDescent="0.3">
      <c r="A374" s="87" t="s">
        <v>473</v>
      </c>
      <c r="B374" s="88" t="s">
        <v>40</v>
      </c>
      <c r="C374" s="89">
        <v>45576</v>
      </c>
      <c r="D374" s="88" t="s">
        <v>49</v>
      </c>
      <c r="E374" s="88" t="s">
        <v>50</v>
      </c>
      <c r="F374" s="94">
        <v>400</v>
      </c>
      <c r="G374" s="94">
        <v>680</v>
      </c>
      <c r="H374" s="94">
        <v>434</v>
      </c>
      <c r="I374" s="94">
        <v>6400</v>
      </c>
      <c r="J374" s="94">
        <v>5472</v>
      </c>
      <c r="K374" s="94">
        <v>160</v>
      </c>
      <c r="L374" s="92" t="s">
        <v>44</v>
      </c>
      <c r="M374" s="92" t="s">
        <v>25</v>
      </c>
      <c r="N374" s="20"/>
    </row>
    <row r="375" spans="1:14" x14ac:dyDescent="0.3">
      <c r="A375" s="87" t="s">
        <v>475</v>
      </c>
      <c r="B375" s="88" t="s">
        <v>40</v>
      </c>
      <c r="C375" s="89">
        <v>45531</v>
      </c>
      <c r="D375" s="88" t="s">
        <v>16</v>
      </c>
      <c r="E375" s="88" t="s">
        <v>17</v>
      </c>
      <c r="F375" s="94">
        <v>3960</v>
      </c>
      <c r="G375" s="94">
        <v>266</v>
      </c>
      <c r="H375" s="94">
        <v>8</v>
      </c>
      <c r="I375" s="94">
        <v>35640</v>
      </c>
      <c r="J375" s="94">
        <v>34850</v>
      </c>
      <c r="K375" s="94">
        <v>208</v>
      </c>
      <c r="L375" s="92" t="s">
        <v>44</v>
      </c>
      <c r="M375" s="92" t="s">
        <v>55</v>
      </c>
      <c r="N375" s="20"/>
    </row>
    <row r="376" spans="1:14" x14ac:dyDescent="0.3">
      <c r="A376" s="87" t="s">
        <v>475</v>
      </c>
      <c r="B376" s="88" t="s">
        <v>40</v>
      </c>
      <c r="C376" s="89">
        <v>45531</v>
      </c>
      <c r="D376" s="88" t="s">
        <v>16</v>
      </c>
      <c r="E376" s="88" t="s">
        <v>17</v>
      </c>
      <c r="F376" s="94">
        <v>3960</v>
      </c>
      <c r="G376" s="94">
        <v>266</v>
      </c>
      <c r="H376" s="94">
        <v>8</v>
      </c>
      <c r="I376" s="94">
        <v>35640</v>
      </c>
      <c r="J376" s="94">
        <v>34850</v>
      </c>
      <c r="K376" s="94">
        <v>208</v>
      </c>
      <c r="L376" s="92" t="s">
        <v>24</v>
      </c>
      <c r="M376" s="92" t="s">
        <v>55</v>
      </c>
      <c r="N376" s="20"/>
    </row>
    <row r="377" spans="1:14" x14ac:dyDescent="0.3">
      <c r="A377" s="87" t="s">
        <v>477</v>
      </c>
      <c r="B377" s="88" t="s">
        <v>40</v>
      </c>
      <c r="C377" s="89">
        <v>45690</v>
      </c>
      <c r="D377" s="88" t="s">
        <v>33</v>
      </c>
      <c r="E377" s="88" t="s">
        <v>34</v>
      </c>
      <c r="F377" s="94">
        <v>886</v>
      </c>
      <c r="G377" s="94">
        <v>126</v>
      </c>
      <c r="H377" s="94">
        <v>153</v>
      </c>
      <c r="I377" s="94">
        <v>4430</v>
      </c>
      <c r="J377" s="94">
        <v>4037</v>
      </c>
      <c r="K377" s="94">
        <v>212</v>
      </c>
      <c r="L377" s="92" t="s">
        <v>18</v>
      </c>
      <c r="M377" s="92" t="s">
        <v>38</v>
      </c>
      <c r="N377" s="20"/>
    </row>
    <row r="378" spans="1:14" x14ac:dyDescent="0.3">
      <c r="A378" s="87" t="s">
        <v>478</v>
      </c>
      <c r="B378" s="88" t="s">
        <v>14</v>
      </c>
      <c r="C378" s="89">
        <v>45491</v>
      </c>
      <c r="D378" s="88" t="s">
        <v>49</v>
      </c>
      <c r="E378" s="88" t="s">
        <v>50</v>
      </c>
      <c r="F378" s="94">
        <v>827</v>
      </c>
      <c r="G378" s="94">
        <v>77</v>
      </c>
      <c r="H378" s="94">
        <v>402</v>
      </c>
      <c r="I378" s="94">
        <v>14886</v>
      </c>
      <c r="J378" s="94">
        <v>14129</v>
      </c>
      <c r="K378" s="94">
        <v>254</v>
      </c>
      <c r="L378" s="92" t="s">
        <v>58</v>
      </c>
      <c r="M378" s="92" t="s">
        <v>25</v>
      </c>
      <c r="N378" s="20"/>
    </row>
    <row r="379" spans="1:14" x14ac:dyDescent="0.3">
      <c r="A379" s="87" t="s">
        <v>479</v>
      </c>
      <c r="B379" s="88" t="s">
        <v>40</v>
      </c>
      <c r="C379" s="89">
        <v>45465</v>
      </c>
      <c r="D379" s="88" t="s">
        <v>16</v>
      </c>
      <c r="E379" s="88" t="s">
        <v>17</v>
      </c>
      <c r="F379" s="94">
        <v>3813</v>
      </c>
      <c r="G379" s="94">
        <v>935</v>
      </c>
      <c r="H379" s="94">
        <v>274</v>
      </c>
      <c r="I379" s="94">
        <v>68634</v>
      </c>
      <c r="J379" s="94">
        <v>68488</v>
      </c>
      <c r="K379" s="94">
        <v>251</v>
      </c>
      <c r="L379" s="92" t="s">
        <v>77</v>
      </c>
      <c r="M379" s="92" t="s">
        <v>19</v>
      </c>
      <c r="N379" s="20"/>
    </row>
    <row r="380" spans="1:14" x14ac:dyDescent="0.3">
      <c r="A380" s="87" t="s">
        <v>479</v>
      </c>
      <c r="B380" s="88" t="s">
        <v>40</v>
      </c>
      <c r="C380" s="89">
        <v>45465</v>
      </c>
      <c r="D380" s="88" t="s">
        <v>16</v>
      </c>
      <c r="E380" s="88" t="s">
        <v>17</v>
      </c>
      <c r="F380" s="94">
        <v>3813</v>
      </c>
      <c r="G380" s="94">
        <v>935</v>
      </c>
      <c r="H380" s="94">
        <v>274</v>
      </c>
      <c r="I380" s="94">
        <v>68634</v>
      </c>
      <c r="J380" s="94">
        <v>68488</v>
      </c>
      <c r="K380" s="94">
        <v>251</v>
      </c>
      <c r="L380" s="92" t="s">
        <v>44</v>
      </c>
      <c r="M380" s="92" t="s">
        <v>19</v>
      </c>
      <c r="N380" s="20"/>
    </row>
    <row r="381" spans="1:14" x14ac:dyDescent="0.3">
      <c r="A381" s="87" t="s">
        <v>480</v>
      </c>
      <c r="B381" s="88" t="s">
        <v>31</v>
      </c>
      <c r="C381" s="89">
        <v>45743</v>
      </c>
      <c r="D381" s="88" t="s">
        <v>42</v>
      </c>
      <c r="E381" s="88" t="s">
        <v>43</v>
      </c>
      <c r="F381" s="94">
        <v>1377</v>
      </c>
      <c r="G381" s="94">
        <v>796</v>
      </c>
      <c r="H381" s="94">
        <v>387</v>
      </c>
      <c r="I381" s="94">
        <v>22032</v>
      </c>
      <c r="J381" s="94">
        <v>21869</v>
      </c>
      <c r="K381" s="94">
        <v>189</v>
      </c>
      <c r="L381" s="92" t="s">
        <v>77</v>
      </c>
      <c r="M381" s="92" t="s">
        <v>38</v>
      </c>
      <c r="N381" s="20"/>
    </row>
    <row r="382" spans="1:14" x14ac:dyDescent="0.3">
      <c r="A382" s="87" t="s">
        <v>480</v>
      </c>
      <c r="B382" s="88" t="s">
        <v>31</v>
      </c>
      <c r="C382" s="89">
        <v>45743</v>
      </c>
      <c r="D382" s="88" t="s">
        <v>42</v>
      </c>
      <c r="E382" s="88" t="s">
        <v>43</v>
      </c>
      <c r="F382" s="94">
        <v>1377</v>
      </c>
      <c r="G382" s="94">
        <v>796</v>
      </c>
      <c r="H382" s="94">
        <v>387</v>
      </c>
      <c r="I382" s="94">
        <v>22032</v>
      </c>
      <c r="J382" s="94">
        <v>21869</v>
      </c>
      <c r="K382" s="94">
        <v>189</v>
      </c>
      <c r="L382" s="92" t="s">
        <v>24</v>
      </c>
      <c r="M382" s="92" t="s">
        <v>38</v>
      </c>
      <c r="N382" s="20"/>
    </row>
    <row r="383" spans="1:14" x14ac:dyDescent="0.3">
      <c r="A383" s="87" t="s">
        <v>482</v>
      </c>
      <c r="B383" s="88" t="s">
        <v>40</v>
      </c>
      <c r="C383" s="89">
        <v>45775</v>
      </c>
      <c r="D383" s="88" t="s">
        <v>42</v>
      </c>
      <c r="E383" s="88" t="s">
        <v>43</v>
      </c>
      <c r="F383" s="94">
        <v>2089</v>
      </c>
      <c r="G383" s="94">
        <v>476</v>
      </c>
      <c r="H383" s="94">
        <v>69</v>
      </c>
      <c r="I383" s="94">
        <v>16712</v>
      </c>
      <c r="J383" s="94">
        <v>16309</v>
      </c>
      <c r="K383" s="94">
        <v>64</v>
      </c>
      <c r="L383" s="92" t="s">
        <v>58</v>
      </c>
      <c r="M383" s="92" t="s">
        <v>19</v>
      </c>
      <c r="N383" s="20"/>
    </row>
    <row r="384" spans="1:14" x14ac:dyDescent="0.3">
      <c r="A384" s="87" t="s">
        <v>482</v>
      </c>
      <c r="B384" s="88" t="s">
        <v>40</v>
      </c>
      <c r="C384" s="89">
        <v>45775</v>
      </c>
      <c r="D384" s="88" t="s">
        <v>42</v>
      </c>
      <c r="E384" s="88" t="s">
        <v>43</v>
      </c>
      <c r="F384" s="94">
        <v>2089</v>
      </c>
      <c r="G384" s="94">
        <v>476</v>
      </c>
      <c r="H384" s="94">
        <v>69</v>
      </c>
      <c r="I384" s="94">
        <v>16712</v>
      </c>
      <c r="J384" s="94">
        <v>16309</v>
      </c>
      <c r="K384" s="94">
        <v>64</v>
      </c>
      <c r="L384" s="92" t="s">
        <v>18</v>
      </c>
      <c r="M384" s="92" t="s">
        <v>19</v>
      </c>
      <c r="N384" s="20"/>
    </row>
    <row r="385" spans="1:14" x14ac:dyDescent="0.3">
      <c r="A385" s="87" t="s">
        <v>483</v>
      </c>
      <c r="B385" s="88" t="s">
        <v>14</v>
      </c>
      <c r="C385" s="89">
        <v>45507</v>
      </c>
      <c r="D385" s="88" t="s">
        <v>16</v>
      </c>
      <c r="E385" s="88" t="s">
        <v>17</v>
      </c>
      <c r="F385" s="94">
        <v>3791</v>
      </c>
      <c r="G385" s="94">
        <v>593</v>
      </c>
      <c r="H385" s="94">
        <v>228</v>
      </c>
      <c r="I385" s="94">
        <v>53074</v>
      </c>
      <c r="J385" s="94">
        <v>52613</v>
      </c>
      <c r="K385" s="94">
        <v>205</v>
      </c>
      <c r="L385" s="92" t="s">
        <v>58</v>
      </c>
      <c r="M385" s="92" t="s">
        <v>19</v>
      </c>
      <c r="N385" s="20"/>
    </row>
    <row r="386" spans="1:14" x14ac:dyDescent="0.3">
      <c r="A386" s="87" t="s">
        <v>483</v>
      </c>
      <c r="B386" s="88" t="s">
        <v>14</v>
      </c>
      <c r="C386" s="89">
        <v>45507</v>
      </c>
      <c r="D386" s="88" t="s">
        <v>16</v>
      </c>
      <c r="E386" s="88" t="s">
        <v>17</v>
      </c>
      <c r="F386" s="94">
        <v>3791</v>
      </c>
      <c r="G386" s="94">
        <v>593</v>
      </c>
      <c r="H386" s="94">
        <v>228</v>
      </c>
      <c r="I386" s="94">
        <v>53074</v>
      </c>
      <c r="J386" s="94">
        <v>52613</v>
      </c>
      <c r="K386" s="94">
        <v>205</v>
      </c>
      <c r="L386" s="92" t="s">
        <v>77</v>
      </c>
      <c r="M386" s="92" t="s">
        <v>19</v>
      </c>
      <c r="N386" s="20"/>
    </row>
    <row r="387" spans="1:14" x14ac:dyDescent="0.3">
      <c r="A387" s="87" t="s">
        <v>485</v>
      </c>
      <c r="B387" s="88" t="s">
        <v>14</v>
      </c>
      <c r="C387" s="89">
        <v>45671</v>
      </c>
      <c r="D387" s="88" t="s">
        <v>49</v>
      </c>
      <c r="E387" s="88" t="s">
        <v>50</v>
      </c>
      <c r="F387" s="94">
        <v>2692</v>
      </c>
      <c r="G387" s="94">
        <v>115</v>
      </c>
      <c r="H387" s="94">
        <v>64</v>
      </c>
      <c r="I387" s="94">
        <v>21536</v>
      </c>
      <c r="J387" s="94">
        <v>21120</v>
      </c>
      <c r="K387" s="94">
        <v>224</v>
      </c>
      <c r="L387" s="92" t="s">
        <v>77</v>
      </c>
      <c r="M387" s="92" t="s">
        <v>55</v>
      </c>
      <c r="N387" s="20"/>
    </row>
    <row r="388" spans="1:14" x14ac:dyDescent="0.3">
      <c r="A388" s="87" t="s">
        <v>485</v>
      </c>
      <c r="B388" s="88" t="s">
        <v>14</v>
      </c>
      <c r="C388" s="89">
        <v>45671</v>
      </c>
      <c r="D388" s="88" t="s">
        <v>49</v>
      </c>
      <c r="E388" s="88" t="s">
        <v>50</v>
      </c>
      <c r="F388" s="94">
        <v>2692</v>
      </c>
      <c r="G388" s="94">
        <v>115</v>
      </c>
      <c r="H388" s="94">
        <v>64</v>
      </c>
      <c r="I388" s="94">
        <v>21536</v>
      </c>
      <c r="J388" s="94">
        <v>21120</v>
      </c>
      <c r="K388" s="94">
        <v>224</v>
      </c>
      <c r="L388" s="92" t="s">
        <v>44</v>
      </c>
      <c r="M388" s="92" t="s">
        <v>55</v>
      </c>
      <c r="N388" s="20"/>
    </row>
    <row r="389" spans="1:14" x14ac:dyDescent="0.3">
      <c r="A389" s="87" t="s">
        <v>487</v>
      </c>
      <c r="B389" s="88" t="s">
        <v>40</v>
      </c>
      <c r="C389" s="89">
        <v>45750</v>
      </c>
      <c r="D389" s="88" t="s">
        <v>33</v>
      </c>
      <c r="E389" s="88" t="s">
        <v>34</v>
      </c>
      <c r="F389" s="94">
        <v>3767</v>
      </c>
      <c r="G389" s="94">
        <v>514</v>
      </c>
      <c r="H389" s="94">
        <v>238</v>
      </c>
      <c r="I389" s="94">
        <v>37670</v>
      </c>
      <c r="J389" s="94">
        <v>36807</v>
      </c>
      <c r="K389" s="94">
        <v>226</v>
      </c>
      <c r="L389" s="92" t="s">
        <v>58</v>
      </c>
      <c r="M389" s="92" t="s">
        <v>19</v>
      </c>
      <c r="N389" s="20"/>
    </row>
    <row r="390" spans="1:14" x14ac:dyDescent="0.3">
      <c r="A390" s="87" t="s">
        <v>487</v>
      </c>
      <c r="B390" s="88" t="s">
        <v>40</v>
      </c>
      <c r="C390" s="89">
        <v>45750</v>
      </c>
      <c r="D390" s="88" t="s">
        <v>33</v>
      </c>
      <c r="E390" s="88" t="s">
        <v>34</v>
      </c>
      <c r="F390" s="94">
        <v>3767</v>
      </c>
      <c r="G390" s="94">
        <v>514</v>
      </c>
      <c r="H390" s="94">
        <v>238</v>
      </c>
      <c r="I390" s="94">
        <v>37670</v>
      </c>
      <c r="J390" s="94">
        <v>36807</v>
      </c>
      <c r="K390" s="94">
        <v>226</v>
      </c>
      <c r="L390" s="92" t="s">
        <v>77</v>
      </c>
      <c r="M390" s="92" t="s">
        <v>19</v>
      </c>
      <c r="N390" s="20"/>
    </row>
    <row r="391" spans="1:14" x14ac:dyDescent="0.3">
      <c r="A391" s="87" t="s">
        <v>488</v>
      </c>
      <c r="B391" s="88" t="s">
        <v>577</v>
      </c>
      <c r="C391" s="89">
        <v>45553</v>
      </c>
      <c r="D391" s="88" t="s">
        <v>42</v>
      </c>
      <c r="E391" s="88" t="s">
        <v>43</v>
      </c>
      <c r="F391" s="94">
        <v>2143</v>
      </c>
      <c r="G391" s="94">
        <v>12</v>
      </c>
      <c r="H391" s="94">
        <v>204</v>
      </c>
      <c r="I391" s="94">
        <v>40717</v>
      </c>
      <c r="J391" s="94">
        <v>40125</v>
      </c>
      <c r="K391" s="94">
        <v>248</v>
      </c>
      <c r="L391" s="92" t="s">
        <v>77</v>
      </c>
      <c r="M391" s="92" t="s">
        <v>55</v>
      </c>
      <c r="N391" s="20"/>
    </row>
    <row r="392" spans="1:14" x14ac:dyDescent="0.3">
      <c r="A392" s="87" t="s">
        <v>488</v>
      </c>
      <c r="B392" s="88" t="s">
        <v>577</v>
      </c>
      <c r="C392" s="89">
        <v>45553</v>
      </c>
      <c r="D392" s="88" t="s">
        <v>42</v>
      </c>
      <c r="E392" s="88" t="s">
        <v>43</v>
      </c>
      <c r="F392" s="94">
        <v>2143</v>
      </c>
      <c r="G392" s="94">
        <v>12</v>
      </c>
      <c r="H392" s="94">
        <v>204</v>
      </c>
      <c r="I392" s="94">
        <v>40717</v>
      </c>
      <c r="J392" s="94">
        <v>40125</v>
      </c>
      <c r="K392" s="94">
        <v>248</v>
      </c>
      <c r="L392" s="92" t="s">
        <v>18</v>
      </c>
      <c r="M392" s="92" t="s">
        <v>55</v>
      </c>
      <c r="N392" s="20"/>
    </row>
    <row r="393" spans="1:14" x14ac:dyDescent="0.3">
      <c r="A393" s="87" t="s">
        <v>489</v>
      </c>
      <c r="B393" s="88" t="s">
        <v>40</v>
      </c>
      <c r="C393" s="89">
        <v>45753</v>
      </c>
      <c r="D393" s="88" t="s">
        <v>49</v>
      </c>
      <c r="E393" s="88" t="s">
        <v>50</v>
      </c>
      <c r="F393" s="94">
        <v>3090</v>
      </c>
      <c r="G393" s="94">
        <v>697</v>
      </c>
      <c r="H393" s="94">
        <v>164</v>
      </c>
      <c r="I393" s="94">
        <v>49440</v>
      </c>
      <c r="J393" s="94">
        <v>48524</v>
      </c>
      <c r="K393" s="94">
        <v>25</v>
      </c>
      <c r="L393" s="92" t="s">
        <v>77</v>
      </c>
      <c r="M393" s="92" t="s">
        <v>55</v>
      </c>
      <c r="N393" s="20"/>
    </row>
    <row r="394" spans="1:14" x14ac:dyDescent="0.3">
      <c r="A394" s="87" t="s">
        <v>489</v>
      </c>
      <c r="B394" s="88" t="s">
        <v>40</v>
      </c>
      <c r="C394" s="89">
        <v>45753</v>
      </c>
      <c r="D394" s="88" t="s">
        <v>49</v>
      </c>
      <c r="E394" s="88" t="s">
        <v>50</v>
      </c>
      <c r="F394" s="94">
        <v>3090</v>
      </c>
      <c r="G394" s="94">
        <v>697</v>
      </c>
      <c r="H394" s="94">
        <v>164</v>
      </c>
      <c r="I394" s="94">
        <v>49440</v>
      </c>
      <c r="J394" s="94">
        <v>48524</v>
      </c>
      <c r="K394" s="94">
        <v>25</v>
      </c>
      <c r="L394" s="92" t="s">
        <v>58</v>
      </c>
      <c r="M394" s="92" t="s">
        <v>55</v>
      </c>
      <c r="N394" s="20"/>
    </row>
    <row r="395" spans="1:14" x14ac:dyDescent="0.3">
      <c r="A395" s="87" t="s">
        <v>490</v>
      </c>
      <c r="B395" s="88" t="s">
        <v>31</v>
      </c>
      <c r="C395" s="89">
        <v>45509</v>
      </c>
      <c r="D395" s="88" t="s">
        <v>33</v>
      </c>
      <c r="E395" s="88" t="s">
        <v>34</v>
      </c>
      <c r="F395" s="94">
        <v>3601</v>
      </c>
      <c r="G395" s="94">
        <v>695</v>
      </c>
      <c r="H395" s="94">
        <v>75</v>
      </c>
      <c r="I395" s="94">
        <v>21606</v>
      </c>
      <c r="J395" s="94">
        <v>21454</v>
      </c>
      <c r="K395" s="94">
        <v>172</v>
      </c>
      <c r="L395" s="92" t="s">
        <v>58</v>
      </c>
      <c r="M395" s="92" t="s">
        <v>25</v>
      </c>
      <c r="N395" s="20"/>
    </row>
    <row r="396" spans="1:14" x14ac:dyDescent="0.3">
      <c r="A396" s="87" t="s">
        <v>492</v>
      </c>
      <c r="B396" s="88" t="s">
        <v>40</v>
      </c>
      <c r="C396" s="89">
        <v>45698</v>
      </c>
      <c r="D396" s="88" t="s">
        <v>22</v>
      </c>
      <c r="E396" s="88" t="s">
        <v>23</v>
      </c>
      <c r="F396" s="94">
        <v>562</v>
      </c>
      <c r="G396" s="94">
        <v>158</v>
      </c>
      <c r="H396" s="94">
        <v>149</v>
      </c>
      <c r="I396" s="94">
        <v>3372</v>
      </c>
      <c r="J396" s="94">
        <v>2940</v>
      </c>
      <c r="K396" s="94">
        <v>93</v>
      </c>
      <c r="L396" s="92" t="s">
        <v>77</v>
      </c>
      <c r="M396" s="92" t="s">
        <v>55</v>
      </c>
      <c r="N396" s="20"/>
    </row>
    <row r="397" spans="1:14" x14ac:dyDescent="0.3">
      <c r="A397" s="87" t="s">
        <v>492</v>
      </c>
      <c r="B397" s="88" t="s">
        <v>40</v>
      </c>
      <c r="C397" s="89">
        <v>45698</v>
      </c>
      <c r="D397" s="88" t="s">
        <v>22</v>
      </c>
      <c r="E397" s="88" t="s">
        <v>23</v>
      </c>
      <c r="F397" s="94">
        <v>562</v>
      </c>
      <c r="G397" s="94">
        <v>158</v>
      </c>
      <c r="H397" s="94">
        <v>149</v>
      </c>
      <c r="I397" s="94">
        <v>3372</v>
      </c>
      <c r="J397" s="94">
        <v>2940</v>
      </c>
      <c r="K397" s="94">
        <v>93</v>
      </c>
      <c r="L397" s="92" t="s">
        <v>18</v>
      </c>
      <c r="M397" s="92" t="s">
        <v>55</v>
      </c>
      <c r="N397" s="20"/>
    </row>
    <row r="398" spans="1:14" x14ac:dyDescent="0.3">
      <c r="A398" s="87" t="s">
        <v>493</v>
      </c>
      <c r="B398" s="88" t="s">
        <v>31</v>
      </c>
      <c r="C398" s="89">
        <v>45700</v>
      </c>
      <c r="D398" s="88" t="s">
        <v>33</v>
      </c>
      <c r="E398" s="88" t="s">
        <v>34</v>
      </c>
      <c r="F398" s="94">
        <v>4332</v>
      </c>
      <c r="G398" s="94">
        <v>771</v>
      </c>
      <c r="H398" s="94">
        <v>219</v>
      </c>
      <c r="I398" s="94">
        <v>60648</v>
      </c>
      <c r="J398" s="94">
        <v>60397</v>
      </c>
      <c r="K398" s="94">
        <v>10</v>
      </c>
      <c r="L398" s="92" t="s">
        <v>24</v>
      </c>
      <c r="M398" s="92" t="s">
        <v>38</v>
      </c>
      <c r="N398" s="20"/>
    </row>
    <row r="399" spans="1:14" x14ac:dyDescent="0.3">
      <c r="A399" s="87" t="s">
        <v>495</v>
      </c>
      <c r="B399" s="88" t="s">
        <v>31</v>
      </c>
      <c r="C399" s="89">
        <v>45592</v>
      </c>
      <c r="D399" s="88" t="s">
        <v>49</v>
      </c>
      <c r="E399" s="88" t="s">
        <v>50</v>
      </c>
      <c r="F399" s="94">
        <v>4853</v>
      </c>
      <c r="G399" s="94">
        <v>837</v>
      </c>
      <c r="H399" s="94">
        <v>340</v>
      </c>
      <c r="I399" s="94">
        <v>72795</v>
      </c>
      <c r="J399" s="94">
        <v>72237</v>
      </c>
      <c r="K399" s="94">
        <v>170</v>
      </c>
      <c r="L399" s="92" t="s">
        <v>18</v>
      </c>
      <c r="M399" s="92" t="s">
        <v>25</v>
      </c>
      <c r="N399" s="20"/>
    </row>
    <row r="400" spans="1:14" x14ac:dyDescent="0.3">
      <c r="A400" s="87" t="s">
        <v>497</v>
      </c>
      <c r="B400" s="88" t="s">
        <v>577</v>
      </c>
      <c r="C400" s="89">
        <v>45675</v>
      </c>
      <c r="D400" s="88" t="s">
        <v>49</v>
      </c>
      <c r="E400" s="88" t="s">
        <v>50</v>
      </c>
      <c r="F400" s="94">
        <v>1206</v>
      </c>
      <c r="G400" s="94">
        <v>238</v>
      </c>
      <c r="H400" s="94">
        <v>36</v>
      </c>
      <c r="I400" s="94">
        <v>9648</v>
      </c>
      <c r="J400" s="94">
        <v>9417</v>
      </c>
      <c r="K400" s="94">
        <v>237</v>
      </c>
      <c r="L400" s="92" t="s">
        <v>18</v>
      </c>
      <c r="M400" s="92" t="s">
        <v>38</v>
      </c>
      <c r="N400" s="20"/>
    </row>
    <row r="401" spans="1:14" x14ac:dyDescent="0.3">
      <c r="A401" s="87" t="s">
        <v>497</v>
      </c>
      <c r="B401" s="88" t="s">
        <v>577</v>
      </c>
      <c r="C401" s="89">
        <v>45675</v>
      </c>
      <c r="D401" s="88" t="s">
        <v>49</v>
      </c>
      <c r="E401" s="88" t="s">
        <v>50</v>
      </c>
      <c r="F401" s="94">
        <v>1206</v>
      </c>
      <c r="G401" s="94">
        <v>238</v>
      </c>
      <c r="H401" s="94">
        <v>36</v>
      </c>
      <c r="I401" s="94">
        <v>9648</v>
      </c>
      <c r="J401" s="94">
        <v>9417</v>
      </c>
      <c r="K401" s="94">
        <v>237</v>
      </c>
      <c r="L401" s="92" t="s">
        <v>58</v>
      </c>
      <c r="M401" s="92" t="s">
        <v>38</v>
      </c>
      <c r="N401" s="20"/>
    </row>
    <row r="402" spans="1:14" x14ac:dyDescent="0.3">
      <c r="A402" s="87" t="s">
        <v>498</v>
      </c>
      <c r="B402" s="88" t="s">
        <v>31</v>
      </c>
      <c r="C402" s="89">
        <v>45524</v>
      </c>
      <c r="D402" s="88" t="s">
        <v>16</v>
      </c>
      <c r="E402" s="88" t="s">
        <v>17</v>
      </c>
      <c r="F402" s="94">
        <v>2603</v>
      </c>
      <c r="G402" s="94">
        <v>690</v>
      </c>
      <c r="H402" s="94">
        <v>205</v>
      </c>
      <c r="I402" s="94">
        <v>13015</v>
      </c>
      <c r="J402" s="94">
        <v>12130</v>
      </c>
      <c r="K402" s="94">
        <v>20</v>
      </c>
      <c r="L402" s="92" t="s">
        <v>44</v>
      </c>
      <c r="M402" s="92" t="s">
        <v>19</v>
      </c>
      <c r="N402" s="20"/>
    </row>
    <row r="403" spans="1:14" x14ac:dyDescent="0.3">
      <c r="A403" s="87" t="s">
        <v>500</v>
      </c>
      <c r="B403" s="88" t="s">
        <v>14</v>
      </c>
      <c r="C403" s="89">
        <v>45687</v>
      </c>
      <c r="D403" s="88" t="s">
        <v>49</v>
      </c>
      <c r="E403" s="88" t="s">
        <v>50</v>
      </c>
      <c r="F403" s="94">
        <v>59</v>
      </c>
      <c r="G403" s="94">
        <v>163</v>
      </c>
      <c r="H403" s="94">
        <v>93</v>
      </c>
      <c r="I403" s="94">
        <v>590</v>
      </c>
      <c r="J403" s="94">
        <v>475</v>
      </c>
      <c r="K403" s="94">
        <v>293</v>
      </c>
      <c r="L403" s="92" t="s">
        <v>44</v>
      </c>
      <c r="M403" s="92" t="s">
        <v>55</v>
      </c>
      <c r="N403" s="20"/>
    </row>
    <row r="404" spans="1:14" x14ac:dyDescent="0.3">
      <c r="A404" s="87" t="s">
        <v>502</v>
      </c>
      <c r="B404" s="88" t="s">
        <v>14</v>
      </c>
      <c r="C404" s="89">
        <v>45708</v>
      </c>
      <c r="D404" s="88" t="s">
        <v>42</v>
      </c>
      <c r="E404" s="88" t="s">
        <v>43</v>
      </c>
      <c r="F404" s="94">
        <v>1877</v>
      </c>
      <c r="G404" s="94">
        <v>745</v>
      </c>
      <c r="H404" s="94">
        <v>225</v>
      </c>
      <c r="I404" s="94">
        <v>11262</v>
      </c>
      <c r="J404" s="94">
        <v>10967</v>
      </c>
      <c r="K404" s="94">
        <v>41</v>
      </c>
      <c r="L404" s="92" t="s">
        <v>58</v>
      </c>
      <c r="M404" s="92" t="s">
        <v>19</v>
      </c>
      <c r="N404" s="20"/>
    </row>
    <row r="405" spans="1:14" x14ac:dyDescent="0.3">
      <c r="A405" s="87" t="s">
        <v>502</v>
      </c>
      <c r="B405" s="88" t="s">
        <v>14</v>
      </c>
      <c r="C405" s="89">
        <v>45708</v>
      </c>
      <c r="D405" s="88" t="s">
        <v>42</v>
      </c>
      <c r="E405" s="88" t="s">
        <v>43</v>
      </c>
      <c r="F405" s="94">
        <v>1877</v>
      </c>
      <c r="G405" s="94">
        <v>745</v>
      </c>
      <c r="H405" s="94">
        <v>225</v>
      </c>
      <c r="I405" s="94">
        <v>11262</v>
      </c>
      <c r="J405" s="94">
        <v>10967</v>
      </c>
      <c r="K405" s="94">
        <v>41</v>
      </c>
      <c r="L405" s="92" t="s">
        <v>18</v>
      </c>
      <c r="M405" s="92" t="s">
        <v>19</v>
      </c>
      <c r="N405" s="20"/>
    </row>
    <row r="406" spans="1:14" x14ac:dyDescent="0.3">
      <c r="A406" s="87" t="s">
        <v>504</v>
      </c>
      <c r="B406" s="88" t="s">
        <v>40</v>
      </c>
      <c r="C406" s="89">
        <v>45621</v>
      </c>
      <c r="D406" s="88" t="s">
        <v>33</v>
      </c>
      <c r="E406" s="88" t="s">
        <v>34</v>
      </c>
      <c r="F406" s="94">
        <v>4182</v>
      </c>
      <c r="G406" s="94">
        <v>640</v>
      </c>
      <c r="H406" s="94">
        <v>240</v>
      </c>
      <c r="I406" s="94">
        <v>50184</v>
      </c>
      <c r="J406" s="94">
        <v>49351</v>
      </c>
      <c r="K406" s="94">
        <v>10</v>
      </c>
      <c r="L406" s="92" t="s">
        <v>18</v>
      </c>
      <c r="M406" s="92" t="s">
        <v>38</v>
      </c>
      <c r="N406" s="20"/>
    </row>
    <row r="407" spans="1:14" x14ac:dyDescent="0.3">
      <c r="A407" s="87" t="s">
        <v>504</v>
      </c>
      <c r="B407" s="88" t="s">
        <v>40</v>
      </c>
      <c r="C407" s="89">
        <v>45621</v>
      </c>
      <c r="D407" s="88" t="s">
        <v>33</v>
      </c>
      <c r="E407" s="88" t="s">
        <v>34</v>
      </c>
      <c r="F407" s="94">
        <v>4182</v>
      </c>
      <c r="G407" s="94">
        <v>640</v>
      </c>
      <c r="H407" s="94">
        <v>240</v>
      </c>
      <c r="I407" s="94">
        <v>50184</v>
      </c>
      <c r="J407" s="94">
        <v>49351</v>
      </c>
      <c r="K407" s="94">
        <v>10</v>
      </c>
      <c r="L407" s="92" t="s">
        <v>58</v>
      </c>
      <c r="M407" s="92" t="s">
        <v>38</v>
      </c>
      <c r="N407" s="20"/>
    </row>
    <row r="408" spans="1:14" x14ac:dyDescent="0.3">
      <c r="A408" s="87" t="s">
        <v>505</v>
      </c>
      <c r="B408" s="88" t="s">
        <v>14</v>
      </c>
      <c r="C408" s="89">
        <v>45569</v>
      </c>
      <c r="D408" s="88" t="s">
        <v>16</v>
      </c>
      <c r="E408" s="88" t="s">
        <v>17</v>
      </c>
      <c r="F408" s="94">
        <v>4187</v>
      </c>
      <c r="G408" s="94">
        <v>66</v>
      </c>
      <c r="H408" s="94">
        <v>31</v>
      </c>
      <c r="I408" s="94">
        <v>66992</v>
      </c>
      <c r="J408" s="94">
        <v>66614</v>
      </c>
      <c r="K408" s="94">
        <v>62</v>
      </c>
      <c r="L408" s="92" t="s">
        <v>58</v>
      </c>
      <c r="M408" s="92" t="s">
        <v>55</v>
      </c>
      <c r="N408" s="20"/>
    </row>
    <row r="409" spans="1:14" x14ac:dyDescent="0.3">
      <c r="A409" s="87" t="s">
        <v>506</v>
      </c>
      <c r="B409" s="88" t="s">
        <v>31</v>
      </c>
      <c r="C409" s="89">
        <v>45760</v>
      </c>
      <c r="D409" s="88" t="s">
        <v>16</v>
      </c>
      <c r="E409" s="88" t="s">
        <v>17</v>
      </c>
      <c r="F409" s="94">
        <v>4579</v>
      </c>
      <c r="G409" s="94">
        <v>125</v>
      </c>
      <c r="H409" s="94">
        <v>300</v>
      </c>
      <c r="I409" s="94">
        <v>59527</v>
      </c>
      <c r="J409" s="94">
        <v>59400</v>
      </c>
      <c r="K409" s="94">
        <v>269</v>
      </c>
      <c r="L409" s="92" t="s">
        <v>58</v>
      </c>
      <c r="M409" s="92" t="s">
        <v>19</v>
      </c>
      <c r="N409" s="20"/>
    </row>
    <row r="410" spans="1:14" x14ac:dyDescent="0.3">
      <c r="A410" s="87" t="s">
        <v>506</v>
      </c>
      <c r="B410" s="88" t="s">
        <v>31</v>
      </c>
      <c r="C410" s="89">
        <v>45760</v>
      </c>
      <c r="D410" s="88" t="s">
        <v>16</v>
      </c>
      <c r="E410" s="88" t="s">
        <v>17</v>
      </c>
      <c r="F410" s="94">
        <v>4579</v>
      </c>
      <c r="G410" s="94">
        <v>125</v>
      </c>
      <c r="H410" s="94">
        <v>300</v>
      </c>
      <c r="I410" s="94">
        <v>59527</v>
      </c>
      <c r="J410" s="94">
        <v>59400</v>
      </c>
      <c r="K410" s="94">
        <v>269</v>
      </c>
      <c r="L410" s="92" t="s">
        <v>24</v>
      </c>
      <c r="M410" s="92" t="s">
        <v>19</v>
      </c>
      <c r="N410" s="20"/>
    </row>
    <row r="411" spans="1:14" x14ac:dyDescent="0.3">
      <c r="A411" s="87" t="s">
        <v>508</v>
      </c>
      <c r="B411" s="88" t="s">
        <v>31</v>
      </c>
      <c r="C411" s="89">
        <v>45601</v>
      </c>
      <c r="D411" s="88" t="s">
        <v>69</v>
      </c>
      <c r="E411" s="88" t="s">
        <v>70</v>
      </c>
      <c r="F411" s="94">
        <v>4561</v>
      </c>
      <c r="G411" s="94">
        <v>51</v>
      </c>
      <c r="H411" s="94">
        <v>441</v>
      </c>
      <c r="I411" s="94">
        <v>22805</v>
      </c>
      <c r="J411" s="94">
        <v>21890</v>
      </c>
      <c r="K411" s="94">
        <v>45</v>
      </c>
      <c r="L411" s="92" t="s">
        <v>58</v>
      </c>
      <c r="M411" s="92" t="s">
        <v>25</v>
      </c>
      <c r="N411" s="20"/>
    </row>
    <row r="412" spans="1:14" x14ac:dyDescent="0.3">
      <c r="A412" s="87" t="s">
        <v>510</v>
      </c>
      <c r="B412" s="88" t="s">
        <v>577</v>
      </c>
      <c r="C412" s="89">
        <v>45672</v>
      </c>
      <c r="D412" s="88" t="s">
        <v>16</v>
      </c>
      <c r="E412" s="88" t="s">
        <v>17</v>
      </c>
      <c r="F412" s="94">
        <v>3774</v>
      </c>
      <c r="G412" s="94">
        <v>239</v>
      </c>
      <c r="H412" s="94">
        <v>39</v>
      </c>
      <c r="I412" s="94">
        <v>60384</v>
      </c>
      <c r="J412" s="94">
        <v>59490</v>
      </c>
      <c r="K412" s="94">
        <v>241</v>
      </c>
      <c r="L412" s="92" t="s">
        <v>77</v>
      </c>
      <c r="M412" s="92" t="s">
        <v>38</v>
      </c>
      <c r="N412" s="20"/>
    </row>
    <row r="413" spans="1:14" x14ac:dyDescent="0.3">
      <c r="A413" s="87" t="s">
        <v>511</v>
      </c>
      <c r="B413" s="88" t="s">
        <v>31</v>
      </c>
      <c r="C413" s="89">
        <v>45582</v>
      </c>
      <c r="D413" s="88" t="s">
        <v>69</v>
      </c>
      <c r="E413" s="88" t="s">
        <v>70</v>
      </c>
      <c r="F413" s="94">
        <v>3575</v>
      </c>
      <c r="G413" s="94">
        <v>749</v>
      </c>
      <c r="H413" s="94">
        <v>111</v>
      </c>
      <c r="I413" s="94">
        <v>21450</v>
      </c>
      <c r="J413" s="94">
        <v>20785</v>
      </c>
      <c r="K413" s="94">
        <v>195</v>
      </c>
      <c r="L413" s="92" t="s">
        <v>77</v>
      </c>
      <c r="M413" s="92" t="s">
        <v>38</v>
      </c>
      <c r="N413" s="20"/>
    </row>
    <row r="414" spans="1:14" x14ac:dyDescent="0.3">
      <c r="A414" s="87" t="s">
        <v>513</v>
      </c>
      <c r="B414" s="88" t="s">
        <v>31</v>
      </c>
      <c r="C414" s="89">
        <v>45743</v>
      </c>
      <c r="D414" s="88" t="s">
        <v>22</v>
      </c>
      <c r="E414" s="88" t="s">
        <v>23</v>
      </c>
      <c r="F414" s="94">
        <v>4941</v>
      </c>
      <c r="G414" s="94">
        <v>414</v>
      </c>
      <c r="H414" s="94">
        <v>266</v>
      </c>
      <c r="I414" s="94">
        <v>39528</v>
      </c>
      <c r="J414" s="94">
        <v>39154</v>
      </c>
      <c r="K414" s="94">
        <v>217</v>
      </c>
      <c r="L414" s="92" t="s">
        <v>18</v>
      </c>
      <c r="M414" s="92" t="s">
        <v>25</v>
      </c>
      <c r="N414" s="20"/>
    </row>
    <row r="415" spans="1:14" x14ac:dyDescent="0.3">
      <c r="A415" s="87" t="s">
        <v>514</v>
      </c>
      <c r="B415" s="88" t="s">
        <v>577</v>
      </c>
      <c r="C415" s="89">
        <v>45577</v>
      </c>
      <c r="D415" s="88" t="s">
        <v>33</v>
      </c>
      <c r="E415" s="88" t="s">
        <v>34</v>
      </c>
      <c r="F415" s="94">
        <v>3641</v>
      </c>
      <c r="G415" s="94">
        <v>226</v>
      </c>
      <c r="H415" s="94">
        <v>46</v>
      </c>
      <c r="I415" s="94">
        <v>40051</v>
      </c>
      <c r="J415" s="94">
        <v>39319</v>
      </c>
      <c r="K415" s="94">
        <v>296</v>
      </c>
      <c r="L415" s="92" t="s">
        <v>44</v>
      </c>
      <c r="M415" s="92" t="s">
        <v>25</v>
      </c>
      <c r="N415" s="20"/>
    </row>
    <row r="416" spans="1:14" x14ac:dyDescent="0.3">
      <c r="A416" s="87" t="s">
        <v>516</v>
      </c>
      <c r="B416" s="88" t="s">
        <v>14</v>
      </c>
      <c r="C416" s="89">
        <v>45658</v>
      </c>
      <c r="D416" s="88" t="s">
        <v>42</v>
      </c>
      <c r="E416" s="88" t="s">
        <v>43</v>
      </c>
      <c r="F416" s="94">
        <v>3535</v>
      </c>
      <c r="G416" s="94">
        <v>494</v>
      </c>
      <c r="H416" s="94">
        <v>152</v>
      </c>
      <c r="I416" s="94">
        <v>53025</v>
      </c>
      <c r="J416" s="94">
        <v>52791</v>
      </c>
      <c r="K416" s="94">
        <v>44</v>
      </c>
      <c r="L416" s="92" t="s">
        <v>44</v>
      </c>
      <c r="M416" s="92" t="s">
        <v>25</v>
      </c>
      <c r="N416" s="20"/>
    </row>
    <row r="417" spans="1:14" x14ac:dyDescent="0.3">
      <c r="A417" s="87" t="s">
        <v>516</v>
      </c>
      <c r="B417" s="88" t="s">
        <v>14</v>
      </c>
      <c r="C417" s="89">
        <v>45658</v>
      </c>
      <c r="D417" s="88" t="s">
        <v>42</v>
      </c>
      <c r="E417" s="88" t="s">
        <v>43</v>
      </c>
      <c r="F417" s="94">
        <v>3535</v>
      </c>
      <c r="G417" s="94">
        <v>494</v>
      </c>
      <c r="H417" s="94">
        <v>152</v>
      </c>
      <c r="I417" s="94">
        <v>53025</v>
      </c>
      <c r="J417" s="94">
        <v>52791</v>
      </c>
      <c r="K417" s="94">
        <v>44</v>
      </c>
      <c r="L417" s="92" t="s">
        <v>58</v>
      </c>
      <c r="M417" s="92" t="s">
        <v>25</v>
      </c>
      <c r="N417" s="20"/>
    </row>
    <row r="418" spans="1:14" x14ac:dyDescent="0.3">
      <c r="A418" s="87" t="s">
        <v>517</v>
      </c>
      <c r="B418" s="88" t="s">
        <v>40</v>
      </c>
      <c r="C418" s="89">
        <v>45509</v>
      </c>
      <c r="D418" s="88" t="s">
        <v>16</v>
      </c>
      <c r="E418" s="88" t="s">
        <v>17</v>
      </c>
      <c r="F418" s="94">
        <v>1741</v>
      </c>
      <c r="G418" s="94">
        <v>831</v>
      </c>
      <c r="H418" s="94">
        <v>345</v>
      </c>
      <c r="I418" s="94">
        <v>17410</v>
      </c>
      <c r="J418" s="94">
        <v>16844</v>
      </c>
      <c r="K418" s="94">
        <v>58</v>
      </c>
      <c r="L418" s="92" t="s">
        <v>24</v>
      </c>
      <c r="M418" s="92" t="s">
        <v>55</v>
      </c>
      <c r="N418" s="20"/>
    </row>
    <row r="419" spans="1:14" x14ac:dyDescent="0.3">
      <c r="A419" s="87" t="s">
        <v>517</v>
      </c>
      <c r="B419" s="88" t="s">
        <v>40</v>
      </c>
      <c r="C419" s="89">
        <v>45509</v>
      </c>
      <c r="D419" s="88" t="s">
        <v>16</v>
      </c>
      <c r="E419" s="88" t="s">
        <v>17</v>
      </c>
      <c r="F419" s="94">
        <v>1741</v>
      </c>
      <c r="G419" s="94">
        <v>831</v>
      </c>
      <c r="H419" s="94">
        <v>345</v>
      </c>
      <c r="I419" s="94">
        <v>17410</v>
      </c>
      <c r="J419" s="94">
        <v>16844</v>
      </c>
      <c r="K419" s="94">
        <v>58</v>
      </c>
      <c r="L419" s="92" t="s">
        <v>77</v>
      </c>
      <c r="M419" s="92" t="s">
        <v>55</v>
      </c>
      <c r="N419" s="20"/>
    </row>
    <row r="420" spans="1:14" x14ac:dyDescent="0.3">
      <c r="A420" s="87" t="s">
        <v>518</v>
      </c>
      <c r="B420" s="88" t="s">
        <v>14</v>
      </c>
      <c r="C420" s="89">
        <v>45450</v>
      </c>
      <c r="D420" s="88" t="s">
        <v>42</v>
      </c>
      <c r="E420" s="88" t="s">
        <v>43</v>
      </c>
      <c r="F420" s="94">
        <v>1556</v>
      </c>
      <c r="G420" s="94">
        <v>195</v>
      </c>
      <c r="H420" s="94">
        <v>131</v>
      </c>
      <c r="I420" s="94">
        <v>9336</v>
      </c>
      <c r="J420" s="94">
        <v>8875</v>
      </c>
      <c r="K420" s="94">
        <v>137</v>
      </c>
      <c r="L420" s="92" t="s">
        <v>24</v>
      </c>
      <c r="M420" s="92" t="s">
        <v>25</v>
      </c>
      <c r="N420" s="20"/>
    </row>
    <row r="421" spans="1:14" x14ac:dyDescent="0.3">
      <c r="A421" s="87" t="s">
        <v>520</v>
      </c>
      <c r="B421" s="88" t="s">
        <v>40</v>
      </c>
      <c r="C421" s="89">
        <v>45753</v>
      </c>
      <c r="D421" s="88" t="s">
        <v>49</v>
      </c>
      <c r="E421" s="88" t="s">
        <v>50</v>
      </c>
      <c r="F421" s="94">
        <v>4236</v>
      </c>
      <c r="G421" s="94">
        <v>711</v>
      </c>
      <c r="H421" s="94">
        <v>298</v>
      </c>
      <c r="I421" s="94">
        <v>21180</v>
      </c>
      <c r="J421" s="94">
        <v>20516</v>
      </c>
      <c r="K421" s="94">
        <v>238</v>
      </c>
      <c r="L421" s="92" t="s">
        <v>44</v>
      </c>
      <c r="M421" s="92" t="s">
        <v>55</v>
      </c>
      <c r="N421" s="20"/>
    </row>
    <row r="422" spans="1:14" x14ac:dyDescent="0.3">
      <c r="A422" s="87" t="s">
        <v>520</v>
      </c>
      <c r="B422" s="88" t="s">
        <v>40</v>
      </c>
      <c r="C422" s="89">
        <v>45753</v>
      </c>
      <c r="D422" s="88" t="s">
        <v>49</v>
      </c>
      <c r="E422" s="88" t="s">
        <v>50</v>
      </c>
      <c r="F422" s="94">
        <v>4236</v>
      </c>
      <c r="G422" s="94">
        <v>711</v>
      </c>
      <c r="H422" s="94">
        <v>298</v>
      </c>
      <c r="I422" s="94">
        <v>21180</v>
      </c>
      <c r="J422" s="94">
        <v>20516</v>
      </c>
      <c r="K422" s="94">
        <v>238</v>
      </c>
      <c r="L422" s="92" t="s">
        <v>18</v>
      </c>
      <c r="M422" s="92" t="s">
        <v>55</v>
      </c>
      <c r="N422" s="20"/>
    </row>
    <row r="423" spans="1:14" x14ac:dyDescent="0.3">
      <c r="A423" s="87" t="s">
        <v>521</v>
      </c>
      <c r="B423" s="88" t="s">
        <v>14</v>
      </c>
      <c r="C423" s="89">
        <v>45622</v>
      </c>
      <c r="D423" s="88" t="s">
        <v>22</v>
      </c>
      <c r="E423" s="88" t="s">
        <v>23</v>
      </c>
      <c r="F423" s="94">
        <v>4516</v>
      </c>
      <c r="G423" s="94">
        <v>836</v>
      </c>
      <c r="H423" s="94">
        <v>169</v>
      </c>
      <c r="I423" s="94">
        <v>49676</v>
      </c>
      <c r="J423" s="94">
        <v>49257</v>
      </c>
      <c r="K423" s="94">
        <v>282</v>
      </c>
      <c r="L423" s="92" t="s">
        <v>44</v>
      </c>
      <c r="M423" s="92" t="s">
        <v>19</v>
      </c>
      <c r="N423" s="20"/>
    </row>
    <row r="424" spans="1:14" x14ac:dyDescent="0.3">
      <c r="A424" s="87" t="s">
        <v>523</v>
      </c>
      <c r="B424" s="88" t="s">
        <v>577</v>
      </c>
      <c r="C424" s="89">
        <v>45537</v>
      </c>
      <c r="D424" s="88" t="s">
        <v>49</v>
      </c>
      <c r="E424" s="88" t="s">
        <v>50</v>
      </c>
      <c r="F424" s="94">
        <v>4905</v>
      </c>
      <c r="G424" s="94">
        <v>845</v>
      </c>
      <c r="H424" s="94">
        <v>129</v>
      </c>
      <c r="I424" s="94">
        <v>98100</v>
      </c>
      <c r="J424" s="94">
        <v>97772</v>
      </c>
      <c r="K424" s="94">
        <v>279</v>
      </c>
      <c r="L424" s="92" t="s">
        <v>44</v>
      </c>
      <c r="M424" s="92" t="s">
        <v>55</v>
      </c>
      <c r="N424" s="20"/>
    </row>
    <row r="425" spans="1:14" x14ac:dyDescent="0.3">
      <c r="A425" s="87" t="s">
        <v>524</v>
      </c>
      <c r="B425" s="88" t="s">
        <v>577</v>
      </c>
      <c r="C425" s="89">
        <v>45586</v>
      </c>
      <c r="D425" s="88" t="s">
        <v>69</v>
      </c>
      <c r="E425" s="88" t="s">
        <v>70</v>
      </c>
      <c r="F425" s="94">
        <v>4275</v>
      </c>
      <c r="G425" s="94">
        <v>680</v>
      </c>
      <c r="H425" s="94">
        <v>385</v>
      </c>
      <c r="I425" s="94">
        <v>64125</v>
      </c>
      <c r="J425" s="94">
        <v>63650</v>
      </c>
      <c r="K425" s="94">
        <v>104</v>
      </c>
      <c r="L425" s="92" t="s">
        <v>58</v>
      </c>
      <c r="M425" s="92" t="s">
        <v>55</v>
      </c>
      <c r="N425" s="20"/>
    </row>
    <row r="426" spans="1:14" x14ac:dyDescent="0.3">
      <c r="A426" s="87" t="s">
        <v>525</v>
      </c>
      <c r="B426" s="88" t="s">
        <v>577</v>
      </c>
      <c r="C426" s="89">
        <v>45738</v>
      </c>
      <c r="D426" s="88" t="s">
        <v>49</v>
      </c>
      <c r="E426" s="88" t="s">
        <v>50</v>
      </c>
      <c r="F426" s="94">
        <v>3166</v>
      </c>
      <c r="G426" s="94">
        <v>90</v>
      </c>
      <c r="H426" s="94">
        <v>341</v>
      </c>
      <c r="I426" s="94">
        <v>56988</v>
      </c>
      <c r="J426" s="94">
        <v>56125</v>
      </c>
      <c r="K426" s="94">
        <v>135</v>
      </c>
      <c r="L426" s="92" t="s">
        <v>24</v>
      </c>
      <c r="M426" s="92" t="s">
        <v>25</v>
      </c>
      <c r="N426" s="20"/>
    </row>
    <row r="427" spans="1:14" x14ac:dyDescent="0.3">
      <c r="A427" s="87" t="s">
        <v>525</v>
      </c>
      <c r="B427" s="88" t="s">
        <v>577</v>
      </c>
      <c r="C427" s="89">
        <v>45738</v>
      </c>
      <c r="D427" s="88" t="s">
        <v>49</v>
      </c>
      <c r="E427" s="88" t="s">
        <v>50</v>
      </c>
      <c r="F427" s="94">
        <v>3166</v>
      </c>
      <c r="G427" s="94">
        <v>90</v>
      </c>
      <c r="H427" s="94">
        <v>341</v>
      </c>
      <c r="I427" s="94">
        <v>56988</v>
      </c>
      <c r="J427" s="94">
        <v>56125</v>
      </c>
      <c r="K427" s="94">
        <v>135</v>
      </c>
      <c r="L427" s="92" t="s">
        <v>58</v>
      </c>
      <c r="M427" s="92" t="s">
        <v>25</v>
      </c>
      <c r="N427" s="20"/>
    </row>
    <row r="428" spans="1:14" x14ac:dyDescent="0.3">
      <c r="A428" s="87" t="s">
        <v>527</v>
      </c>
      <c r="B428" s="88" t="s">
        <v>31</v>
      </c>
      <c r="C428" s="89">
        <v>45568</v>
      </c>
      <c r="D428" s="88" t="s">
        <v>69</v>
      </c>
      <c r="E428" s="88" t="s">
        <v>70</v>
      </c>
      <c r="F428" s="94">
        <v>1488</v>
      </c>
      <c r="G428" s="94">
        <v>417</v>
      </c>
      <c r="H428" s="94">
        <v>168</v>
      </c>
      <c r="I428" s="94">
        <v>19344</v>
      </c>
      <c r="J428" s="94">
        <v>18395</v>
      </c>
      <c r="K428" s="94">
        <v>30</v>
      </c>
      <c r="L428" s="92" t="s">
        <v>18</v>
      </c>
      <c r="M428" s="92" t="s">
        <v>19</v>
      </c>
      <c r="N428" s="20"/>
    </row>
    <row r="429" spans="1:14" x14ac:dyDescent="0.3">
      <c r="A429" s="87" t="s">
        <v>529</v>
      </c>
      <c r="B429" s="88" t="s">
        <v>14</v>
      </c>
      <c r="C429" s="89">
        <v>45786</v>
      </c>
      <c r="D429" s="88" t="s">
        <v>16</v>
      </c>
      <c r="E429" s="88" t="s">
        <v>17</v>
      </c>
      <c r="F429" s="94">
        <v>3367</v>
      </c>
      <c r="G429" s="94">
        <v>302</v>
      </c>
      <c r="H429" s="94">
        <v>57</v>
      </c>
      <c r="I429" s="94">
        <v>63973</v>
      </c>
      <c r="J429" s="94">
        <v>63789</v>
      </c>
      <c r="K429" s="94">
        <v>157</v>
      </c>
      <c r="L429" s="92" t="s">
        <v>44</v>
      </c>
      <c r="M429" s="92" t="s">
        <v>38</v>
      </c>
      <c r="N429" s="20"/>
    </row>
    <row r="430" spans="1:14" x14ac:dyDescent="0.3">
      <c r="A430" s="87" t="s">
        <v>529</v>
      </c>
      <c r="B430" s="88" t="s">
        <v>14</v>
      </c>
      <c r="C430" s="89">
        <v>45786</v>
      </c>
      <c r="D430" s="88" t="s">
        <v>16</v>
      </c>
      <c r="E430" s="88" t="s">
        <v>17</v>
      </c>
      <c r="F430" s="94">
        <v>3367</v>
      </c>
      <c r="G430" s="94">
        <v>302</v>
      </c>
      <c r="H430" s="94">
        <v>57</v>
      </c>
      <c r="I430" s="94">
        <v>63973</v>
      </c>
      <c r="J430" s="94">
        <v>63789</v>
      </c>
      <c r="K430" s="94">
        <v>157</v>
      </c>
      <c r="L430" s="92" t="s">
        <v>24</v>
      </c>
      <c r="M430" s="92" t="s">
        <v>38</v>
      </c>
      <c r="N430" s="20"/>
    </row>
    <row r="431" spans="1:14" x14ac:dyDescent="0.3">
      <c r="A431" s="87" t="s">
        <v>531</v>
      </c>
      <c r="B431" s="88" t="s">
        <v>14</v>
      </c>
      <c r="C431" s="89">
        <v>45552</v>
      </c>
      <c r="D431" s="88" t="s">
        <v>22</v>
      </c>
      <c r="E431" s="88" t="s">
        <v>23</v>
      </c>
      <c r="F431" s="94">
        <v>571</v>
      </c>
      <c r="G431" s="94">
        <v>190</v>
      </c>
      <c r="H431" s="94">
        <v>352</v>
      </c>
      <c r="I431" s="94">
        <v>9707</v>
      </c>
      <c r="J431" s="94">
        <v>9418</v>
      </c>
      <c r="K431" s="94">
        <v>231</v>
      </c>
      <c r="L431" s="92" t="s">
        <v>77</v>
      </c>
      <c r="M431" s="92" t="s">
        <v>25</v>
      </c>
      <c r="N431" s="20"/>
    </row>
    <row r="432" spans="1:14" x14ac:dyDescent="0.3">
      <c r="A432" s="87" t="s">
        <v>532</v>
      </c>
      <c r="B432" s="88" t="s">
        <v>577</v>
      </c>
      <c r="C432" s="89">
        <v>45491</v>
      </c>
      <c r="D432" s="88" t="s">
        <v>22</v>
      </c>
      <c r="E432" s="88" t="s">
        <v>23</v>
      </c>
      <c r="F432" s="94">
        <v>4021</v>
      </c>
      <c r="G432" s="94">
        <v>794</v>
      </c>
      <c r="H432" s="94">
        <v>77</v>
      </c>
      <c r="I432" s="94">
        <v>36189</v>
      </c>
      <c r="J432" s="94">
        <v>35505</v>
      </c>
      <c r="K432" s="94">
        <v>174</v>
      </c>
      <c r="L432" s="92" t="s">
        <v>77</v>
      </c>
      <c r="M432" s="92" t="s">
        <v>19</v>
      </c>
      <c r="N432" s="20"/>
    </row>
    <row r="433" spans="1:14" x14ac:dyDescent="0.3">
      <c r="A433" s="87" t="s">
        <v>532</v>
      </c>
      <c r="B433" s="88" t="s">
        <v>577</v>
      </c>
      <c r="C433" s="89">
        <v>45491</v>
      </c>
      <c r="D433" s="88" t="s">
        <v>22</v>
      </c>
      <c r="E433" s="88" t="s">
        <v>23</v>
      </c>
      <c r="F433" s="94">
        <v>4021</v>
      </c>
      <c r="G433" s="94">
        <v>794</v>
      </c>
      <c r="H433" s="94">
        <v>77</v>
      </c>
      <c r="I433" s="94">
        <v>36189</v>
      </c>
      <c r="J433" s="94">
        <v>35505</v>
      </c>
      <c r="K433" s="94">
        <v>174</v>
      </c>
      <c r="L433" s="92" t="s">
        <v>58</v>
      </c>
      <c r="M433" s="92" t="s">
        <v>19</v>
      </c>
      <c r="N433" s="20"/>
    </row>
    <row r="434" spans="1:14" x14ac:dyDescent="0.3">
      <c r="A434" s="87" t="s">
        <v>533</v>
      </c>
      <c r="B434" s="88" t="s">
        <v>577</v>
      </c>
      <c r="C434" s="89">
        <v>45560</v>
      </c>
      <c r="D434" s="88" t="s">
        <v>69</v>
      </c>
      <c r="E434" s="88" t="s">
        <v>70</v>
      </c>
      <c r="F434" s="94">
        <v>3389</v>
      </c>
      <c r="G434" s="94">
        <v>344</v>
      </c>
      <c r="H434" s="94">
        <v>229</v>
      </c>
      <c r="I434" s="94">
        <v>20334</v>
      </c>
      <c r="J434" s="94">
        <v>19443</v>
      </c>
      <c r="K434" s="94">
        <v>228</v>
      </c>
      <c r="L434" s="92" t="s">
        <v>24</v>
      </c>
      <c r="M434" s="92" t="s">
        <v>25</v>
      </c>
      <c r="N434" s="20"/>
    </row>
    <row r="435" spans="1:14" x14ac:dyDescent="0.3">
      <c r="A435" s="87" t="s">
        <v>533</v>
      </c>
      <c r="B435" s="88" t="s">
        <v>577</v>
      </c>
      <c r="C435" s="89">
        <v>45560</v>
      </c>
      <c r="D435" s="88" t="s">
        <v>69</v>
      </c>
      <c r="E435" s="88" t="s">
        <v>70</v>
      </c>
      <c r="F435" s="94">
        <v>3389</v>
      </c>
      <c r="G435" s="94">
        <v>344</v>
      </c>
      <c r="H435" s="94">
        <v>229</v>
      </c>
      <c r="I435" s="94">
        <v>20334</v>
      </c>
      <c r="J435" s="94">
        <v>19443</v>
      </c>
      <c r="K435" s="94">
        <v>228</v>
      </c>
      <c r="L435" s="92" t="s">
        <v>18</v>
      </c>
      <c r="M435" s="92" t="s">
        <v>25</v>
      </c>
      <c r="N435" s="20"/>
    </row>
    <row r="436" spans="1:14" x14ac:dyDescent="0.3">
      <c r="A436" s="87" t="s">
        <v>535</v>
      </c>
      <c r="B436" s="88" t="s">
        <v>31</v>
      </c>
      <c r="C436" s="89">
        <v>45519</v>
      </c>
      <c r="D436" s="88" t="s">
        <v>16</v>
      </c>
      <c r="E436" s="88" t="s">
        <v>17</v>
      </c>
      <c r="F436" s="94">
        <v>1164</v>
      </c>
      <c r="G436" s="94">
        <v>616</v>
      </c>
      <c r="H436" s="94">
        <v>324</v>
      </c>
      <c r="I436" s="94">
        <v>6984</v>
      </c>
      <c r="J436" s="94">
        <v>6636</v>
      </c>
      <c r="K436" s="94">
        <v>82</v>
      </c>
      <c r="L436" s="92" t="s">
        <v>24</v>
      </c>
      <c r="M436" s="92" t="s">
        <v>38</v>
      </c>
      <c r="N436" s="20"/>
    </row>
    <row r="437" spans="1:14" x14ac:dyDescent="0.3">
      <c r="A437" s="87" t="s">
        <v>535</v>
      </c>
      <c r="B437" s="88" t="s">
        <v>31</v>
      </c>
      <c r="C437" s="89">
        <v>45519</v>
      </c>
      <c r="D437" s="88" t="s">
        <v>16</v>
      </c>
      <c r="E437" s="88" t="s">
        <v>17</v>
      </c>
      <c r="F437" s="94">
        <v>1164</v>
      </c>
      <c r="G437" s="94">
        <v>616</v>
      </c>
      <c r="H437" s="94">
        <v>324</v>
      </c>
      <c r="I437" s="94">
        <v>6984</v>
      </c>
      <c r="J437" s="94">
        <v>6636</v>
      </c>
      <c r="K437" s="94">
        <v>82</v>
      </c>
      <c r="L437" s="92" t="s">
        <v>44</v>
      </c>
      <c r="M437" s="92" t="s">
        <v>38</v>
      </c>
      <c r="N437" s="20"/>
    </row>
    <row r="438" spans="1:14" x14ac:dyDescent="0.3">
      <c r="A438" s="87" t="s">
        <v>536</v>
      </c>
      <c r="B438" s="88" t="s">
        <v>577</v>
      </c>
      <c r="C438" s="89">
        <v>45764</v>
      </c>
      <c r="D438" s="88" t="s">
        <v>42</v>
      </c>
      <c r="E438" s="88" t="s">
        <v>43</v>
      </c>
      <c r="F438" s="94">
        <v>4780</v>
      </c>
      <c r="G438" s="94">
        <v>691</v>
      </c>
      <c r="H438" s="94">
        <v>380</v>
      </c>
      <c r="I438" s="94">
        <v>86040</v>
      </c>
      <c r="J438" s="94">
        <v>85743</v>
      </c>
      <c r="K438" s="94">
        <v>262</v>
      </c>
      <c r="L438" s="92" t="s">
        <v>24</v>
      </c>
      <c r="M438" s="92" t="s">
        <v>38</v>
      </c>
      <c r="N438" s="20"/>
    </row>
    <row r="439" spans="1:14" x14ac:dyDescent="0.3">
      <c r="A439" s="87" t="s">
        <v>536</v>
      </c>
      <c r="B439" s="88" t="s">
        <v>577</v>
      </c>
      <c r="C439" s="89">
        <v>45764</v>
      </c>
      <c r="D439" s="88" t="s">
        <v>42</v>
      </c>
      <c r="E439" s="88" t="s">
        <v>43</v>
      </c>
      <c r="F439" s="94">
        <v>4780</v>
      </c>
      <c r="G439" s="94">
        <v>691</v>
      </c>
      <c r="H439" s="94">
        <v>380</v>
      </c>
      <c r="I439" s="94">
        <v>86040</v>
      </c>
      <c r="J439" s="94">
        <v>85743</v>
      </c>
      <c r="K439" s="94">
        <v>262</v>
      </c>
      <c r="L439" s="92" t="s">
        <v>77</v>
      </c>
      <c r="M439" s="92" t="s">
        <v>38</v>
      </c>
      <c r="N439" s="20"/>
    </row>
    <row r="440" spans="1:14" x14ac:dyDescent="0.3">
      <c r="A440" s="87" t="s">
        <v>538</v>
      </c>
      <c r="B440" s="88" t="s">
        <v>40</v>
      </c>
      <c r="C440" s="89">
        <v>45624</v>
      </c>
      <c r="D440" s="88" t="s">
        <v>42</v>
      </c>
      <c r="E440" s="88" t="s">
        <v>43</v>
      </c>
      <c r="F440" s="94">
        <v>2751</v>
      </c>
      <c r="G440" s="94">
        <v>33</v>
      </c>
      <c r="H440" s="94">
        <v>430</v>
      </c>
      <c r="I440" s="94">
        <v>44016</v>
      </c>
      <c r="J440" s="94">
        <v>43415</v>
      </c>
      <c r="K440" s="94">
        <v>129</v>
      </c>
      <c r="L440" s="92" t="s">
        <v>44</v>
      </c>
      <c r="M440" s="92" t="s">
        <v>25</v>
      </c>
      <c r="N440" s="20"/>
    </row>
    <row r="441" spans="1:14" x14ac:dyDescent="0.3">
      <c r="A441" s="87" t="s">
        <v>538</v>
      </c>
      <c r="B441" s="88" t="s">
        <v>40</v>
      </c>
      <c r="C441" s="89">
        <v>45624</v>
      </c>
      <c r="D441" s="88" t="s">
        <v>42</v>
      </c>
      <c r="E441" s="88" t="s">
        <v>43</v>
      </c>
      <c r="F441" s="94">
        <v>2751</v>
      </c>
      <c r="G441" s="94">
        <v>33</v>
      </c>
      <c r="H441" s="94">
        <v>430</v>
      </c>
      <c r="I441" s="94">
        <v>44016</v>
      </c>
      <c r="J441" s="94">
        <v>43415</v>
      </c>
      <c r="K441" s="94">
        <v>129</v>
      </c>
      <c r="L441" s="92" t="s">
        <v>58</v>
      </c>
      <c r="M441" s="92" t="s">
        <v>25</v>
      </c>
      <c r="N441" s="20"/>
    </row>
    <row r="442" spans="1:14" x14ac:dyDescent="0.3">
      <c r="A442" s="87" t="s">
        <v>539</v>
      </c>
      <c r="B442" s="88" t="s">
        <v>31</v>
      </c>
      <c r="C442" s="89">
        <v>45646</v>
      </c>
      <c r="D442" s="88" t="s">
        <v>42</v>
      </c>
      <c r="E442" s="88" t="s">
        <v>43</v>
      </c>
      <c r="F442" s="94">
        <v>2107</v>
      </c>
      <c r="G442" s="94">
        <v>550</v>
      </c>
      <c r="H442" s="94">
        <v>349</v>
      </c>
      <c r="I442" s="94">
        <v>35819</v>
      </c>
      <c r="J442" s="94">
        <v>35340</v>
      </c>
      <c r="K442" s="94">
        <v>191</v>
      </c>
      <c r="L442" s="92" t="s">
        <v>44</v>
      </c>
      <c r="M442" s="92" t="s">
        <v>38</v>
      </c>
      <c r="N442" s="20"/>
    </row>
    <row r="443" spans="1:14" x14ac:dyDescent="0.3">
      <c r="A443" s="87" t="s">
        <v>541</v>
      </c>
      <c r="B443" s="88" t="s">
        <v>40</v>
      </c>
      <c r="C443" s="89">
        <v>45602</v>
      </c>
      <c r="D443" s="88" t="s">
        <v>69</v>
      </c>
      <c r="E443" s="88" t="s">
        <v>70</v>
      </c>
      <c r="F443" s="94">
        <v>4663</v>
      </c>
      <c r="G443" s="94">
        <v>145</v>
      </c>
      <c r="H443" s="94">
        <v>225</v>
      </c>
      <c r="I443" s="94">
        <v>69945</v>
      </c>
      <c r="J443" s="94">
        <v>69596</v>
      </c>
      <c r="K443" s="94">
        <v>35</v>
      </c>
      <c r="L443" s="92" t="s">
        <v>24</v>
      </c>
      <c r="M443" s="92" t="s">
        <v>25</v>
      </c>
      <c r="N443" s="20"/>
    </row>
    <row r="444" spans="1:14" x14ac:dyDescent="0.3">
      <c r="A444" s="87" t="s">
        <v>542</v>
      </c>
      <c r="B444" s="88" t="s">
        <v>40</v>
      </c>
      <c r="C444" s="89">
        <v>45613</v>
      </c>
      <c r="D444" s="88" t="s">
        <v>22</v>
      </c>
      <c r="E444" s="88" t="s">
        <v>23</v>
      </c>
      <c r="F444" s="94">
        <v>880</v>
      </c>
      <c r="G444" s="94">
        <v>297</v>
      </c>
      <c r="H444" s="94">
        <v>345</v>
      </c>
      <c r="I444" s="94">
        <v>12320</v>
      </c>
      <c r="J444" s="94">
        <v>11978</v>
      </c>
      <c r="K444" s="94">
        <v>238</v>
      </c>
      <c r="L444" s="92" t="s">
        <v>18</v>
      </c>
      <c r="M444" s="92" t="s">
        <v>25</v>
      </c>
      <c r="N444" s="20"/>
    </row>
    <row r="445" spans="1:14" x14ac:dyDescent="0.3">
      <c r="A445" s="87" t="s">
        <v>544</v>
      </c>
      <c r="B445" s="88" t="s">
        <v>40</v>
      </c>
      <c r="C445" s="89">
        <v>45791</v>
      </c>
      <c r="D445" s="88" t="s">
        <v>22</v>
      </c>
      <c r="E445" s="88" t="s">
        <v>23</v>
      </c>
      <c r="F445" s="94">
        <v>2634</v>
      </c>
      <c r="G445" s="94">
        <v>726</v>
      </c>
      <c r="H445" s="94">
        <v>241</v>
      </c>
      <c r="I445" s="94">
        <v>28974</v>
      </c>
      <c r="J445" s="94">
        <v>28102</v>
      </c>
      <c r="K445" s="94">
        <v>277</v>
      </c>
      <c r="L445" s="92" t="s">
        <v>58</v>
      </c>
      <c r="M445" s="92" t="s">
        <v>38</v>
      </c>
      <c r="N445" s="20"/>
    </row>
    <row r="446" spans="1:14" x14ac:dyDescent="0.3">
      <c r="A446" s="87" t="s">
        <v>546</v>
      </c>
      <c r="B446" s="88" t="s">
        <v>40</v>
      </c>
      <c r="C446" s="89">
        <v>45462</v>
      </c>
      <c r="D446" s="88" t="s">
        <v>42</v>
      </c>
      <c r="E446" s="88" t="s">
        <v>43</v>
      </c>
      <c r="F446" s="94">
        <v>4731</v>
      </c>
      <c r="G446" s="94">
        <v>173</v>
      </c>
      <c r="H446" s="94">
        <v>276</v>
      </c>
      <c r="I446" s="94">
        <v>28386</v>
      </c>
      <c r="J446" s="94">
        <v>28185</v>
      </c>
      <c r="K446" s="94">
        <v>89</v>
      </c>
      <c r="L446" s="92" t="s">
        <v>44</v>
      </c>
      <c r="M446" s="92" t="s">
        <v>55</v>
      </c>
      <c r="N446" s="20"/>
    </row>
    <row r="447" spans="1:14" x14ac:dyDescent="0.3">
      <c r="A447" s="87" t="s">
        <v>546</v>
      </c>
      <c r="B447" s="88" t="s">
        <v>40</v>
      </c>
      <c r="C447" s="89">
        <v>45462</v>
      </c>
      <c r="D447" s="88" t="s">
        <v>42</v>
      </c>
      <c r="E447" s="88" t="s">
        <v>43</v>
      </c>
      <c r="F447" s="94">
        <v>4731</v>
      </c>
      <c r="G447" s="94">
        <v>173</v>
      </c>
      <c r="H447" s="94">
        <v>276</v>
      </c>
      <c r="I447" s="94">
        <v>28386</v>
      </c>
      <c r="J447" s="94">
        <v>28185</v>
      </c>
      <c r="K447" s="94">
        <v>89</v>
      </c>
      <c r="L447" s="92" t="s">
        <v>24</v>
      </c>
      <c r="M447" s="92" t="s">
        <v>55</v>
      </c>
      <c r="N447" s="20"/>
    </row>
    <row r="448" spans="1:14" x14ac:dyDescent="0.3">
      <c r="A448" s="87" t="s">
        <v>548</v>
      </c>
      <c r="B448" s="88" t="s">
        <v>14</v>
      </c>
      <c r="C448" s="89">
        <v>45783</v>
      </c>
      <c r="D448" s="88" t="s">
        <v>49</v>
      </c>
      <c r="E448" s="88" t="s">
        <v>50</v>
      </c>
      <c r="F448" s="94">
        <v>1952</v>
      </c>
      <c r="G448" s="94">
        <v>344</v>
      </c>
      <c r="H448" s="94">
        <v>287</v>
      </c>
      <c r="I448" s="94">
        <v>15616</v>
      </c>
      <c r="J448" s="94">
        <v>15403</v>
      </c>
      <c r="K448" s="94">
        <v>235</v>
      </c>
      <c r="L448" s="92" t="s">
        <v>18</v>
      </c>
      <c r="M448" s="92" t="s">
        <v>38</v>
      </c>
      <c r="N448" s="20"/>
    </row>
    <row r="449" spans="1:14" x14ac:dyDescent="0.3">
      <c r="A449" s="87" t="s">
        <v>548</v>
      </c>
      <c r="B449" s="88" t="s">
        <v>14</v>
      </c>
      <c r="C449" s="89">
        <v>45783</v>
      </c>
      <c r="D449" s="88" t="s">
        <v>49</v>
      </c>
      <c r="E449" s="88" t="s">
        <v>50</v>
      </c>
      <c r="F449" s="94">
        <v>1952</v>
      </c>
      <c r="G449" s="94">
        <v>344</v>
      </c>
      <c r="H449" s="94">
        <v>287</v>
      </c>
      <c r="I449" s="94">
        <v>15616</v>
      </c>
      <c r="J449" s="94">
        <v>15403</v>
      </c>
      <c r="K449" s="94">
        <v>235</v>
      </c>
      <c r="L449" s="92" t="s">
        <v>24</v>
      </c>
      <c r="M449" s="92" t="s">
        <v>38</v>
      </c>
      <c r="N449" s="20"/>
    </row>
    <row r="450" spans="1:14" x14ac:dyDescent="0.3">
      <c r="A450" s="87" t="s">
        <v>549</v>
      </c>
      <c r="B450" s="88" t="s">
        <v>14</v>
      </c>
      <c r="C450" s="89">
        <v>45699</v>
      </c>
      <c r="D450" s="88" t="s">
        <v>69</v>
      </c>
      <c r="E450" s="88" t="s">
        <v>70</v>
      </c>
      <c r="F450" s="94">
        <v>3440</v>
      </c>
      <c r="G450" s="94">
        <v>13</v>
      </c>
      <c r="H450" s="94">
        <v>20</v>
      </c>
      <c r="I450" s="94">
        <v>58480</v>
      </c>
      <c r="J450" s="94">
        <v>58146</v>
      </c>
      <c r="K450" s="94">
        <v>210</v>
      </c>
      <c r="L450" s="92" t="s">
        <v>24</v>
      </c>
      <c r="M450" s="92" t="s">
        <v>19</v>
      </c>
      <c r="N450" s="20"/>
    </row>
    <row r="451" spans="1:14" x14ac:dyDescent="0.3">
      <c r="A451" s="87" t="s">
        <v>549</v>
      </c>
      <c r="B451" s="88" t="s">
        <v>14</v>
      </c>
      <c r="C451" s="89">
        <v>45699</v>
      </c>
      <c r="D451" s="88" t="s">
        <v>69</v>
      </c>
      <c r="E451" s="88" t="s">
        <v>70</v>
      </c>
      <c r="F451" s="94">
        <v>3440</v>
      </c>
      <c r="G451" s="94">
        <v>13</v>
      </c>
      <c r="H451" s="94">
        <v>20</v>
      </c>
      <c r="I451" s="94">
        <v>58480</v>
      </c>
      <c r="J451" s="94">
        <v>58146</v>
      </c>
      <c r="K451" s="94">
        <v>210</v>
      </c>
      <c r="L451" s="92" t="s">
        <v>77</v>
      </c>
      <c r="M451" s="92" t="s">
        <v>19</v>
      </c>
      <c r="N451" s="20"/>
    </row>
    <row r="452" spans="1:14" x14ac:dyDescent="0.3">
      <c r="A452" s="87" t="s">
        <v>551</v>
      </c>
      <c r="B452" s="88" t="s">
        <v>14</v>
      </c>
      <c r="C452" s="89">
        <v>45650</v>
      </c>
      <c r="D452" s="88" t="s">
        <v>22</v>
      </c>
      <c r="E452" s="88" t="s">
        <v>23</v>
      </c>
      <c r="F452" s="94">
        <v>2166</v>
      </c>
      <c r="G452" s="94">
        <v>354</v>
      </c>
      <c r="H452" s="94">
        <v>117</v>
      </c>
      <c r="I452" s="94">
        <v>10830</v>
      </c>
      <c r="J452" s="94">
        <v>10245</v>
      </c>
      <c r="K452" s="94">
        <v>24</v>
      </c>
      <c r="L452" s="92" t="s">
        <v>58</v>
      </c>
      <c r="M452" s="92" t="s">
        <v>19</v>
      </c>
      <c r="N452" s="20"/>
    </row>
    <row r="453" spans="1:14" x14ac:dyDescent="0.3">
      <c r="A453" s="87" t="s">
        <v>551</v>
      </c>
      <c r="B453" s="88" t="s">
        <v>14</v>
      </c>
      <c r="C453" s="89">
        <v>45650</v>
      </c>
      <c r="D453" s="88" t="s">
        <v>22</v>
      </c>
      <c r="E453" s="88" t="s">
        <v>23</v>
      </c>
      <c r="F453" s="94">
        <v>2166</v>
      </c>
      <c r="G453" s="94">
        <v>354</v>
      </c>
      <c r="H453" s="94">
        <v>117</v>
      </c>
      <c r="I453" s="94">
        <v>10830</v>
      </c>
      <c r="J453" s="94">
        <v>10245</v>
      </c>
      <c r="K453" s="94">
        <v>24</v>
      </c>
      <c r="L453" s="92" t="s">
        <v>44</v>
      </c>
      <c r="M453" s="92" t="s">
        <v>19</v>
      </c>
      <c r="N453" s="20"/>
    </row>
    <row r="454" spans="1:14" x14ac:dyDescent="0.3">
      <c r="A454" s="87" t="s">
        <v>553</v>
      </c>
      <c r="B454" s="88" t="s">
        <v>40</v>
      </c>
      <c r="C454" s="89">
        <v>45589</v>
      </c>
      <c r="D454" s="88" t="s">
        <v>49</v>
      </c>
      <c r="E454" s="88" t="s">
        <v>50</v>
      </c>
      <c r="F454" s="94">
        <v>4303</v>
      </c>
      <c r="G454" s="94">
        <v>451</v>
      </c>
      <c r="H454" s="94">
        <v>286</v>
      </c>
      <c r="I454" s="94">
        <v>86060</v>
      </c>
      <c r="J454" s="94">
        <v>85823</v>
      </c>
      <c r="K454" s="94">
        <v>14</v>
      </c>
      <c r="L454" s="92" t="s">
        <v>18</v>
      </c>
      <c r="M454" s="92" t="s">
        <v>25</v>
      </c>
      <c r="N454" s="20"/>
    </row>
    <row r="455" spans="1:14" x14ac:dyDescent="0.3">
      <c r="A455" s="87" t="s">
        <v>554</v>
      </c>
      <c r="B455" s="88" t="s">
        <v>40</v>
      </c>
      <c r="C455" s="89">
        <v>45530</v>
      </c>
      <c r="D455" s="88" t="s">
        <v>49</v>
      </c>
      <c r="E455" s="88" t="s">
        <v>50</v>
      </c>
      <c r="F455" s="94">
        <v>2581</v>
      </c>
      <c r="G455" s="94">
        <v>517</v>
      </c>
      <c r="H455" s="94">
        <v>117</v>
      </c>
      <c r="I455" s="94">
        <v>23229</v>
      </c>
      <c r="J455" s="94">
        <v>22331</v>
      </c>
      <c r="K455" s="94">
        <v>70</v>
      </c>
      <c r="L455" s="92" t="s">
        <v>18</v>
      </c>
      <c r="M455" s="92" t="s">
        <v>25</v>
      </c>
      <c r="N455" s="20"/>
    </row>
    <row r="456" spans="1:14" x14ac:dyDescent="0.3">
      <c r="A456" s="87" t="s">
        <v>554</v>
      </c>
      <c r="B456" s="88" t="s">
        <v>40</v>
      </c>
      <c r="C456" s="89">
        <v>45530</v>
      </c>
      <c r="D456" s="88" t="s">
        <v>49</v>
      </c>
      <c r="E456" s="88" t="s">
        <v>50</v>
      </c>
      <c r="F456" s="94">
        <v>2581</v>
      </c>
      <c r="G456" s="94">
        <v>517</v>
      </c>
      <c r="H456" s="94">
        <v>117</v>
      </c>
      <c r="I456" s="94">
        <v>23229</v>
      </c>
      <c r="J456" s="94">
        <v>22331</v>
      </c>
      <c r="K456" s="94">
        <v>70</v>
      </c>
      <c r="L456" s="92" t="s">
        <v>58</v>
      </c>
      <c r="M456" s="92" t="s">
        <v>25</v>
      </c>
      <c r="N456" s="20"/>
    </row>
    <row r="457" spans="1:14" x14ac:dyDescent="0.3">
      <c r="A457" s="90" t="s">
        <v>555</v>
      </c>
      <c r="B457" s="84" t="s">
        <v>14</v>
      </c>
      <c r="C457" s="91">
        <v>45535</v>
      </c>
      <c r="D457" s="84" t="s">
        <v>42</v>
      </c>
      <c r="E457" s="84" t="s">
        <v>43</v>
      </c>
      <c r="F457" s="95">
        <v>4494</v>
      </c>
      <c r="G457" s="95">
        <v>717</v>
      </c>
      <c r="H457" s="95">
        <v>45</v>
      </c>
      <c r="I457" s="95">
        <v>62916</v>
      </c>
      <c r="J457" s="95">
        <v>62688</v>
      </c>
      <c r="K457" s="95">
        <v>191</v>
      </c>
      <c r="L457" s="97" t="s">
        <v>24</v>
      </c>
      <c r="M457" s="97" t="s">
        <v>19</v>
      </c>
      <c r="N457" s="20"/>
    </row>
  </sheetData>
  <autoFilter ref="A1:M457" xr:uid="{801634E0-7E1B-475B-A9EE-32EEBBD1A81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966D-1EC1-441B-A2A0-591F5F24A8C4}">
  <dimension ref="A1:G201"/>
  <sheetViews>
    <sheetView workbookViewId="0">
      <selection activeCell="D21" sqref="D21"/>
    </sheetView>
  </sheetViews>
  <sheetFormatPr defaultRowHeight="14.4" x14ac:dyDescent="0.3"/>
  <cols>
    <col min="1" max="1" width="15.88671875" style="123" customWidth="1"/>
    <col min="2" max="2" width="11.44140625" style="16" customWidth="1"/>
    <col min="3" max="3" width="11.44140625" style="39" customWidth="1"/>
    <col min="4" max="4" width="11.33203125" style="39" customWidth="1"/>
    <col min="5" max="5" width="9.5546875" style="39" bestFit="1" customWidth="1"/>
    <col min="6" max="6" width="16.5546875" style="122" customWidth="1"/>
    <col min="7" max="7" width="8.88671875" style="39"/>
  </cols>
  <sheetData>
    <row r="1" spans="1:7" x14ac:dyDescent="0.3">
      <c r="A1" s="125" t="s">
        <v>556</v>
      </c>
      <c r="B1" s="126" t="s">
        <v>1</v>
      </c>
      <c r="C1" s="127" t="s">
        <v>557</v>
      </c>
      <c r="D1" s="127" t="s">
        <v>558</v>
      </c>
      <c r="E1" s="127" t="s">
        <v>559</v>
      </c>
      <c r="F1" s="128" t="s">
        <v>560</v>
      </c>
      <c r="G1" s="127" t="s">
        <v>561</v>
      </c>
    </row>
    <row r="2" spans="1:7" x14ac:dyDescent="0.3">
      <c r="A2" s="3">
        <v>45446</v>
      </c>
      <c r="B2" s="15" t="s">
        <v>31</v>
      </c>
      <c r="C2" s="14">
        <v>1135</v>
      </c>
      <c r="D2" s="14">
        <v>88</v>
      </c>
      <c r="E2" s="14">
        <v>344084</v>
      </c>
      <c r="F2" s="124">
        <v>8.06</v>
      </c>
      <c r="G2" s="14">
        <v>5904</v>
      </c>
    </row>
    <row r="3" spans="1:7" x14ac:dyDescent="0.3">
      <c r="A3" s="3">
        <v>45446</v>
      </c>
      <c r="B3" s="15" t="s">
        <v>40</v>
      </c>
      <c r="C3" s="14">
        <v>1312</v>
      </c>
      <c r="D3" s="14">
        <v>310</v>
      </c>
      <c r="E3" s="14">
        <v>42654</v>
      </c>
      <c r="F3" s="124">
        <v>4.9800000000000004</v>
      </c>
      <c r="G3" s="14">
        <v>9566</v>
      </c>
    </row>
    <row r="4" spans="1:7" x14ac:dyDescent="0.3">
      <c r="A4" s="3">
        <v>45446</v>
      </c>
      <c r="B4" s="15" t="s">
        <v>14</v>
      </c>
      <c r="C4" s="14">
        <v>584</v>
      </c>
      <c r="D4" s="14">
        <v>169</v>
      </c>
      <c r="E4" s="14">
        <v>146834</v>
      </c>
      <c r="F4" s="124">
        <v>8.31</v>
      </c>
      <c r="G4" s="14">
        <v>26752</v>
      </c>
    </row>
    <row r="5" spans="1:7" x14ac:dyDescent="0.3">
      <c r="A5" s="3">
        <v>45446</v>
      </c>
      <c r="B5" s="15" t="s">
        <v>27</v>
      </c>
      <c r="C5" s="14">
        <v>1535</v>
      </c>
      <c r="D5" s="14">
        <v>445</v>
      </c>
      <c r="E5" s="14">
        <v>395536</v>
      </c>
      <c r="F5" s="124">
        <v>4.1100000000000003</v>
      </c>
      <c r="G5" s="14">
        <v>30671</v>
      </c>
    </row>
    <row r="6" spans="1:7" x14ac:dyDescent="0.3">
      <c r="A6" s="3">
        <v>45453</v>
      </c>
      <c r="B6" s="15" t="s">
        <v>31</v>
      </c>
      <c r="C6" s="14">
        <v>656</v>
      </c>
      <c r="D6" s="14">
        <v>139</v>
      </c>
      <c r="E6" s="14">
        <v>49157</v>
      </c>
      <c r="F6" s="124">
        <v>9.0500000000000007</v>
      </c>
      <c r="G6" s="14">
        <v>9920</v>
      </c>
    </row>
    <row r="7" spans="1:7" x14ac:dyDescent="0.3">
      <c r="A7" s="3">
        <v>45453</v>
      </c>
      <c r="B7" s="15" t="s">
        <v>40</v>
      </c>
      <c r="C7" s="14">
        <v>1697</v>
      </c>
      <c r="D7" s="14">
        <v>414</v>
      </c>
      <c r="E7" s="14">
        <v>316555</v>
      </c>
      <c r="F7" s="124">
        <v>2.37</v>
      </c>
      <c r="G7" s="14">
        <v>7924</v>
      </c>
    </row>
    <row r="8" spans="1:7" x14ac:dyDescent="0.3">
      <c r="A8" s="3">
        <v>45453</v>
      </c>
      <c r="B8" s="15" t="s">
        <v>14</v>
      </c>
      <c r="C8" s="14">
        <v>436</v>
      </c>
      <c r="D8" s="14">
        <v>250</v>
      </c>
      <c r="E8" s="14">
        <v>254347</v>
      </c>
      <c r="F8" s="124">
        <v>4.01</v>
      </c>
      <c r="G8" s="14">
        <v>8912</v>
      </c>
    </row>
    <row r="9" spans="1:7" x14ac:dyDescent="0.3">
      <c r="A9" s="3">
        <v>45453</v>
      </c>
      <c r="B9" s="15" t="s">
        <v>27</v>
      </c>
      <c r="C9" s="14">
        <v>1197</v>
      </c>
      <c r="D9" s="14">
        <v>203</v>
      </c>
      <c r="E9" s="14">
        <v>413878</v>
      </c>
      <c r="F9" s="124">
        <v>3.16</v>
      </c>
      <c r="G9" s="14">
        <v>21205</v>
      </c>
    </row>
    <row r="10" spans="1:7" x14ac:dyDescent="0.3">
      <c r="A10" s="3">
        <v>45460</v>
      </c>
      <c r="B10" s="15" t="s">
        <v>31</v>
      </c>
      <c r="C10" s="14">
        <v>1048</v>
      </c>
      <c r="D10" s="14">
        <v>155</v>
      </c>
      <c r="E10" s="14">
        <v>456946</v>
      </c>
      <c r="F10" s="124">
        <v>2.46</v>
      </c>
      <c r="G10" s="14">
        <v>11329</v>
      </c>
    </row>
    <row r="11" spans="1:7" x14ac:dyDescent="0.3">
      <c r="A11" s="3">
        <v>45460</v>
      </c>
      <c r="B11" s="15" t="s">
        <v>40</v>
      </c>
      <c r="C11" s="14">
        <v>1753</v>
      </c>
      <c r="D11" s="14">
        <v>371</v>
      </c>
      <c r="E11" s="14">
        <v>169496</v>
      </c>
      <c r="F11" s="124">
        <v>8.11</v>
      </c>
      <c r="G11" s="14">
        <v>46670</v>
      </c>
    </row>
    <row r="12" spans="1:7" x14ac:dyDescent="0.3">
      <c r="A12" s="3">
        <v>45460</v>
      </c>
      <c r="B12" s="15" t="s">
        <v>14</v>
      </c>
      <c r="C12" s="14">
        <v>1335</v>
      </c>
      <c r="D12" s="14">
        <v>40</v>
      </c>
      <c r="E12" s="14">
        <v>122732</v>
      </c>
      <c r="F12" s="124">
        <v>8.19</v>
      </c>
      <c r="G12" s="14">
        <v>22482</v>
      </c>
    </row>
    <row r="13" spans="1:7" x14ac:dyDescent="0.3">
      <c r="A13" s="3">
        <v>45460</v>
      </c>
      <c r="B13" s="15" t="s">
        <v>27</v>
      </c>
      <c r="C13" s="14">
        <v>403</v>
      </c>
      <c r="D13" s="14">
        <v>66</v>
      </c>
      <c r="E13" s="14">
        <v>382851</v>
      </c>
      <c r="F13" s="124">
        <v>3.49</v>
      </c>
      <c r="G13" s="14">
        <v>24313</v>
      </c>
    </row>
    <row r="14" spans="1:7" x14ac:dyDescent="0.3">
      <c r="A14" s="3">
        <v>45467</v>
      </c>
      <c r="B14" s="15" t="s">
        <v>31</v>
      </c>
      <c r="C14" s="14">
        <v>911</v>
      </c>
      <c r="D14" s="14">
        <v>282</v>
      </c>
      <c r="E14" s="14">
        <v>35664</v>
      </c>
      <c r="F14" s="124">
        <v>6.92</v>
      </c>
      <c r="G14" s="14">
        <v>18050</v>
      </c>
    </row>
    <row r="15" spans="1:7" x14ac:dyDescent="0.3">
      <c r="A15" s="3">
        <v>45467</v>
      </c>
      <c r="B15" s="15" t="s">
        <v>40</v>
      </c>
      <c r="C15" s="14">
        <v>1779</v>
      </c>
      <c r="D15" s="14">
        <v>109</v>
      </c>
      <c r="E15" s="14">
        <v>26295</v>
      </c>
      <c r="F15" s="124">
        <v>9.1199999999999992</v>
      </c>
      <c r="G15" s="14">
        <v>30635</v>
      </c>
    </row>
    <row r="16" spans="1:7" x14ac:dyDescent="0.3">
      <c r="A16" s="3">
        <v>45467</v>
      </c>
      <c r="B16" s="15" t="s">
        <v>14</v>
      </c>
      <c r="C16" s="14">
        <v>1238</v>
      </c>
      <c r="D16" s="14">
        <v>403</v>
      </c>
      <c r="E16" s="14">
        <v>298421</v>
      </c>
      <c r="F16" s="124">
        <v>3.5</v>
      </c>
      <c r="G16" s="14">
        <v>31280</v>
      </c>
    </row>
    <row r="17" spans="1:7" x14ac:dyDescent="0.3">
      <c r="A17" s="3">
        <v>45467</v>
      </c>
      <c r="B17" s="15" t="s">
        <v>27</v>
      </c>
      <c r="C17" s="14">
        <v>308</v>
      </c>
      <c r="D17" s="14">
        <v>431</v>
      </c>
      <c r="E17" s="14">
        <v>426184</v>
      </c>
      <c r="F17" s="124">
        <v>2.62</v>
      </c>
      <c r="G17" s="14">
        <v>1783</v>
      </c>
    </row>
    <row r="18" spans="1:7" x14ac:dyDescent="0.3">
      <c r="A18" s="3">
        <v>45474</v>
      </c>
      <c r="B18" s="15" t="s">
        <v>31</v>
      </c>
      <c r="C18" s="14">
        <v>226</v>
      </c>
      <c r="D18" s="14">
        <v>445</v>
      </c>
      <c r="E18" s="14">
        <v>419447</v>
      </c>
      <c r="F18" s="124">
        <v>9.36</v>
      </c>
      <c r="G18" s="14">
        <v>9566</v>
      </c>
    </row>
    <row r="19" spans="1:7" x14ac:dyDescent="0.3">
      <c r="A19" s="3">
        <v>45474</v>
      </c>
      <c r="B19" s="15" t="s">
        <v>40</v>
      </c>
      <c r="C19" s="14">
        <v>505</v>
      </c>
      <c r="D19" s="14">
        <v>441</v>
      </c>
      <c r="E19" s="14">
        <v>220020</v>
      </c>
      <c r="F19" s="124">
        <v>4.4800000000000004</v>
      </c>
      <c r="G19" s="14">
        <v>42307</v>
      </c>
    </row>
    <row r="20" spans="1:7" x14ac:dyDescent="0.3">
      <c r="A20" s="3">
        <v>45474</v>
      </c>
      <c r="B20" s="15" t="s">
        <v>14</v>
      </c>
      <c r="C20" s="14">
        <v>1420</v>
      </c>
      <c r="D20" s="14">
        <v>63</v>
      </c>
      <c r="E20" s="14">
        <v>315305</v>
      </c>
      <c r="F20" s="124">
        <v>6.19</v>
      </c>
      <c r="G20" s="14">
        <v>5914</v>
      </c>
    </row>
    <row r="21" spans="1:7" x14ac:dyDescent="0.3">
      <c r="A21" s="3">
        <v>45474</v>
      </c>
      <c r="B21" s="15" t="s">
        <v>27</v>
      </c>
      <c r="C21" s="14">
        <v>144</v>
      </c>
      <c r="D21" s="14">
        <v>53</v>
      </c>
      <c r="E21" s="14">
        <v>113678</v>
      </c>
      <c r="F21" s="124">
        <v>8.7200000000000006</v>
      </c>
      <c r="G21" s="14">
        <v>30060</v>
      </c>
    </row>
    <row r="22" spans="1:7" x14ac:dyDescent="0.3">
      <c r="A22" s="3">
        <v>45481</v>
      </c>
      <c r="B22" s="15" t="s">
        <v>31</v>
      </c>
      <c r="C22" s="14">
        <v>1757</v>
      </c>
      <c r="D22" s="14">
        <v>85</v>
      </c>
      <c r="E22" s="14">
        <v>58223</v>
      </c>
      <c r="F22" s="124">
        <v>8.74</v>
      </c>
      <c r="G22" s="14">
        <v>22728</v>
      </c>
    </row>
    <row r="23" spans="1:7" x14ac:dyDescent="0.3">
      <c r="A23" s="3">
        <v>45481</v>
      </c>
      <c r="B23" s="15" t="s">
        <v>40</v>
      </c>
      <c r="C23" s="14">
        <v>350</v>
      </c>
      <c r="D23" s="14">
        <v>41</v>
      </c>
      <c r="E23" s="14">
        <v>251694</v>
      </c>
      <c r="F23" s="124">
        <v>1.91</v>
      </c>
      <c r="G23" s="14">
        <v>38610</v>
      </c>
    </row>
    <row r="24" spans="1:7" x14ac:dyDescent="0.3">
      <c r="A24" s="3">
        <v>45481</v>
      </c>
      <c r="B24" s="15" t="s">
        <v>14</v>
      </c>
      <c r="C24" s="14">
        <v>987</v>
      </c>
      <c r="D24" s="14">
        <v>440</v>
      </c>
      <c r="E24" s="14">
        <v>389810</v>
      </c>
      <c r="F24" s="124">
        <v>4.66</v>
      </c>
      <c r="G24" s="14">
        <v>2932</v>
      </c>
    </row>
    <row r="25" spans="1:7" x14ac:dyDescent="0.3">
      <c r="A25" s="3">
        <v>45481</v>
      </c>
      <c r="B25" s="15" t="s">
        <v>27</v>
      </c>
      <c r="C25" s="14">
        <v>883</v>
      </c>
      <c r="D25" s="14">
        <v>369</v>
      </c>
      <c r="E25" s="14">
        <v>233694</v>
      </c>
      <c r="F25" s="124">
        <v>2.88</v>
      </c>
      <c r="G25" s="14">
        <v>15071</v>
      </c>
    </row>
    <row r="26" spans="1:7" x14ac:dyDescent="0.3">
      <c r="A26" s="3">
        <v>45488</v>
      </c>
      <c r="B26" s="15" t="s">
        <v>31</v>
      </c>
      <c r="C26" s="14">
        <v>1960</v>
      </c>
      <c r="D26" s="14">
        <v>115</v>
      </c>
      <c r="E26" s="14">
        <v>154169</v>
      </c>
      <c r="F26" s="124">
        <v>3.74</v>
      </c>
      <c r="G26" s="14">
        <v>10740</v>
      </c>
    </row>
    <row r="27" spans="1:7" x14ac:dyDescent="0.3">
      <c r="A27" s="3">
        <v>45488</v>
      </c>
      <c r="B27" s="15" t="s">
        <v>40</v>
      </c>
      <c r="C27" s="14">
        <v>170</v>
      </c>
      <c r="D27" s="14">
        <v>334</v>
      </c>
      <c r="E27" s="14">
        <v>334626</v>
      </c>
      <c r="F27" s="124">
        <v>6.44</v>
      </c>
      <c r="G27" s="14">
        <v>43420</v>
      </c>
    </row>
    <row r="28" spans="1:7" x14ac:dyDescent="0.3">
      <c r="A28" s="3">
        <v>45488</v>
      </c>
      <c r="B28" s="15" t="s">
        <v>14</v>
      </c>
      <c r="C28" s="14">
        <v>704</v>
      </c>
      <c r="D28" s="14">
        <v>275</v>
      </c>
      <c r="E28" s="14">
        <v>226002</v>
      </c>
      <c r="F28" s="124">
        <v>8.56</v>
      </c>
      <c r="G28" s="14">
        <v>32393</v>
      </c>
    </row>
    <row r="29" spans="1:7" x14ac:dyDescent="0.3">
      <c r="A29" s="3">
        <v>45488</v>
      </c>
      <c r="B29" s="15" t="s">
        <v>27</v>
      </c>
      <c r="C29" s="14">
        <v>224</v>
      </c>
      <c r="D29" s="14">
        <v>64</v>
      </c>
      <c r="E29" s="14">
        <v>156683</v>
      </c>
      <c r="F29" s="124">
        <v>4.5599999999999996</v>
      </c>
      <c r="G29" s="14">
        <v>28474</v>
      </c>
    </row>
    <row r="30" spans="1:7" x14ac:dyDescent="0.3">
      <c r="A30" s="3">
        <v>45495</v>
      </c>
      <c r="B30" s="15" t="s">
        <v>31</v>
      </c>
      <c r="C30" s="14">
        <v>508</v>
      </c>
      <c r="D30" s="14">
        <v>349</v>
      </c>
      <c r="E30" s="14">
        <v>473812</v>
      </c>
      <c r="F30" s="124">
        <v>7.88</v>
      </c>
      <c r="G30" s="14">
        <v>17328</v>
      </c>
    </row>
    <row r="31" spans="1:7" x14ac:dyDescent="0.3">
      <c r="A31" s="3">
        <v>45495</v>
      </c>
      <c r="B31" s="15" t="s">
        <v>40</v>
      </c>
      <c r="C31" s="14">
        <v>1391</v>
      </c>
      <c r="D31" s="14">
        <v>430</v>
      </c>
      <c r="E31" s="14">
        <v>295032</v>
      </c>
      <c r="F31" s="124">
        <v>7.86</v>
      </c>
      <c r="G31" s="14">
        <v>26067</v>
      </c>
    </row>
    <row r="32" spans="1:7" x14ac:dyDescent="0.3">
      <c r="A32" s="3">
        <v>45495</v>
      </c>
      <c r="B32" s="15" t="s">
        <v>14</v>
      </c>
      <c r="C32" s="14">
        <v>1701</v>
      </c>
      <c r="D32" s="14">
        <v>385</v>
      </c>
      <c r="E32" s="14">
        <v>198278</v>
      </c>
      <c r="F32" s="124">
        <v>5.34</v>
      </c>
      <c r="G32" s="14">
        <v>32763</v>
      </c>
    </row>
    <row r="33" spans="1:7" x14ac:dyDescent="0.3">
      <c r="A33" s="3">
        <v>45495</v>
      </c>
      <c r="B33" s="15" t="s">
        <v>27</v>
      </c>
      <c r="C33" s="14">
        <v>804</v>
      </c>
      <c r="D33" s="14">
        <v>487</v>
      </c>
      <c r="E33" s="14">
        <v>306564</v>
      </c>
      <c r="F33" s="124">
        <v>5.52</v>
      </c>
      <c r="G33" s="14">
        <v>26452</v>
      </c>
    </row>
    <row r="34" spans="1:7" x14ac:dyDescent="0.3">
      <c r="A34" s="3">
        <v>45502</v>
      </c>
      <c r="B34" s="15" t="s">
        <v>31</v>
      </c>
      <c r="C34" s="14">
        <v>653</v>
      </c>
      <c r="D34" s="14">
        <v>112</v>
      </c>
      <c r="E34" s="14">
        <v>23664</v>
      </c>
      <c r="F34" s="124">
        <v>4.05</v>
      </c>
      <c r="G34" s="14">
        <v>15353</v>
      </c>
    </row>
    <row r="35" spans="1:7" x14ac:dyDescent="0.3">
      <c r="A35" s="3">
        <v>45502</v>
      </c>
      <c r="B35" s="15" t="s">
        <v>40</v>
      </c>
      <c r="C35" s="14">
        <v>160</v>
      </c>
      <c r="D35" s="14">
        <v>478</v>
      </c>
      <c r="E35" s="14">
        <v>435034</v>
      </c>
      <c r="F35" s="124">
        <v>7.73</v>
      </c>
      <c r="G35" s="14">
        <v>4839</v>
      </c>
    </row>
    <row r="36" spans="1:7" x14ac:dyDescent="0.3">
      <c r="A36" s="3">
        <v>45502</v>
      </c>
      <c r="B36" s="15" t="s">
        <v>14</v>
      </c>
      <c r="C36" s="14">
        <v>1756</v>
      </c>
      <c r="D36" s="14">
        <v>261</v>
      </c>
      <c r="E36" s="14">
        <v>287574</v>
      </c>
      <c r="F36" s="124">
        <v>4.3600000000000003</v>
      </c>
      <c r="G36" s="14">
        <v>39272</v>
      </c>
    </row>
    <row r="37" spans="1:7" x14ac:dyDescent="0.3">
      <c r="A37" s="3">
        <v>45502</v>
      </c>
      <c r="B37" s="15" t="s">
        <v>27</v>
      </c>
      <c r="C37" s="14">
        <v>576</v>
      </c>
      <c r="D37" s="14">
        <v>101</v>
      </c>
      <c r="E37" s="14">
        <v>62499</v>
      </c>
      <c r="F37" s="124">
        <v>3.48</v>
      </c>
      <c r="G37" s="14">
        <v>16804</v>
      </c>
    </row>
    <row r="38" spans="1:7" x14ac:dyDescent="0.3">
      <c r="A38" s="3">
        <v>45509</v>
      </c>
      <c r="B38" s="15" t="s">
        <v>31</v>
      </c>
      <c r="C38" s="14">
        <v>645</v>
      </c>
      <c r="D38" s="14">
        <v>293</v>
      </c>
      <c r="E38" s="14">
        <v>437968</v>
      </c>
      <c r="F38" s="124">
        <v>7.83</v>
      </c>
      <c r="G38" s="14">
        <v>49303</v>
      </c>
    </row>
    <row r="39" spans="1:7" x14ac:dyDescent="0.3">
      <c r="A39" s="3">
        <v>45509</v>
      </c>
      <c r="B39" s="15" t="s">
        <v>40</v>
      </c>
      <c r="C39" s="14">
        <v>214</v>
      </c>
      <c r="D39" s="14">
        <v>411</v>
      </c>
      <c r="E39" s="14">
        <v>125034</v>
      </c>
      <c r="F39" s="124">
        <v>6.11</v>
      </c>
      <c r="G39" s="14">
        <v>26455</v>
      </c>
    </row>
    <row r="40" spans="1:7" x14ac:dyDescent="0.3">
      <c r="A40" s="3">
        <v>45509</v>
      </c>
      <c r="B40" s="15" t="s">
        <v>14</v>
      </c>
      <c r="C40" s="14">
        <v>826</v>
      </c>
      <c r="D40" s="14">
        <v>498</v>
      </c>
      <c r="E40" s="14">
        <v>449994</v>
      </c>
      <c r="F40" s="124">
        <v>9.43</v>
      </c>
      <c r="G40" s="14">
        <v>12384</v>
      </c>
    </row>
    <row r="41" spans="1:7" x14ac:dyDescent="0.3">
      <c r="A41" s="3">
        <v>45509</v>
      </c>
      <c r="B41" s="15" t="s">
        <v>27</v>
      </c>
      <c r="C41" s="14">
        <v>460</v>
      </c>
      <c r="D41" s="14">
        <v>141</v>
      </c>
      <c r="E41" s="14">
        <v>320650</v>
      </c>
      <c r="F41" s="124">
        <v>4.04</v>
      </c>
      <c r="G41" s="14">
        <v>49372</v>
      </c>
    </row>
    <row r="42" spans="1:7" x14ac:dyDescent="0.3">
      <c r="A42" s="3">
        <v>45516</v>
      </c>
      <c r="B42" s="15" t="s">
        <v>31</v>
      </c>
      <c r="C42" s="14">
        <v>1528</v>
      </c>
      <c r="D42" s="14">
        <v>203</v>
      </c>
      <c r="E42" s="14">
        <v>489188</v>
      </c>
      <c r="F42" s="124">
        <v>6.23</v>
      </c>
      <c r="G42" s="14">
        <v>47101</v>
      </c>
    </row>
    <row r="43" spans="1:7" x14ac:dyDescent="0.3">
      <c r="A43" s="3">
        <v>45516</v>
      </c>
      <c r="B43" s="15" t="s">
        <v>40</v>
      </c>
      <c r="C43" s="14">
        <v>1534</v>
      </c>
      <c r="D43" s="14">
        <v>200</v>
      </c>
      <c r="E43" s="14">
        <v>307612</v>
      </c>
      <c r="F43" s="124">
        <v>6.01</v>
      </c>
      <c r="G43" s="14">
        <v>37903</v>
      </c>
    </row>
    <row r="44" spans="1:7" x14ac:dyDescent="0.3">
      <c r="A44" s="3">
        <v>45516</v>
      </c>
      <c r="B44" s="15" t="s">
        <v>14</v>
      </c>
      <c r="C44" s="14">
        <v>485</v>
      </c>
      <c r="D44" s="14">
        <v>448</v>
      </c>
      <c r="E44" s="14">
        <v>434883</v>
      </c>
      <c r="F44" s="124">
        <v>8.5500000000000007</v>
      </c>
      <c r="G44" s="14">
        <v>33258</v>
      </c>
    </row>
    <row r="45" spans="1:7" x14ac:dyDescent="0.3">
      <c r="A45" s="3">
        <v>45516</v>
      </c>
      <c r="B45" s="15" t="s">
        <v>27</v>
      </c>
      <c r="C45" s="14">
        <v>1210</v>
      </c>
      <c r="D45" s="14">
        <v>178</v>
      </c>
      <c r="E45" s="14">
        <v>102042</v>
      </c>
      <c r="F45" s="124">
        <v>5.42</v>
      </c>
      <c r="G45" s="14">
        <v>6915</v>
      </c>
    </row>
    <row r="46" spans="1:7" x14ac:dyDescent="0.3">
      <c r="A46" s="3">
        <v>45523</v>
      </c>
      <c r="B46" s="15" t="s">
        <v>31</v>
      </c>
      <c r="C46" s="14">
        <v>215</v>
      </c>
      <c r="D46" s="14">
        <v>139</v>
      </c>
      <c r="E46" s="14">
        <v>325444</v>
      </c>
      <c r="F46" s="124">
        <v>3.25</v>
      </c>
      <c r="G46" s="14">
        <v>35501</v>
      </c>
    </row>
    <row r="47" spans="1:7" x14ac:dyDescent="0.3">
      <c r="A47" s="3">
        <v>45523</v>
      </c>
      <c r="B47" s="15" t="s">
        <v>40</v>
      </c>
      <c r="C47" s="14">
        <v>1078</v>
      </c>
      <c r="D47" s="14">
        <v>20</v>
      </c>
      <c r="E47" s="14">
        <v>183924</v>
      </c>
      <c r="F47" s="124">
        <v>8.84</v>
      </c>
      <c r="G47" s="14">
        <v>14203</v>
      </c>
    </row>
    <row r="48" spans="1:7" x14ac:dyDescent="0.3">
      <c r="A48" s="3">
        <v>45523</v>
      </c>
      <c r="B48" s="15" t="s">
        <v>14</v>
      </c>
      <c r="C48" s="14">
        <v>1751</v>
      </c>
      <c r="D48" s="14">
        <v>86</v>
      </c>
      <c r="E48" s="14">
        <v>188655</v>
      </c>
      <c r="F48" s="124">
        <v>7.24</v>
      </c>
      <c r="G48" s="14">
        <v>22206</v>
      </c>
    </row>
    <row r="49" spans="1:7" x14ac:dyDescent="0.3">
      <c r="A49" s="3">
        <v>45523</v>
      </c>
      <c r="B49" s="15" t="s">
        <v>27</v>
      </c>
      <c r="C49" s="14">
        <v>221</v>
      </c>
      <c r="D49" s="14">
        <v>31</v>
      </c>
      <c r="E49" s="14">
        <v>87443</v>
      </c>
      <c r="F49" s="124">
        <v>6.19</v>
      </c>
      <c r="G49" s="14">
        <v>10283</v>
      </c>
    </row>
    <row r="50" spans="1:7" x14ac:dyDescent="0.3">
      <c r="A50" s="3">
        <v>45530</v>
      </c>
      <c r="B50" s="15" t="s">
        <v>31</v>
      </c>
      <c r="C50" s="14">
        <v>1685</v>
      </c>
      <c r="D50" s="14">
        <v>76</v>
      </c>
      <c r="E50" s="14">
        <v>453799</v>
      </c>
      <c r="F50" s="124">
        <v>5.71</v>
      </c>
      <c r="G50" s="14">
        <v>24913</v>
      </c>
    </row>
    <row r="51" spans="1:7" x14ac:dyDescent="0.3">
      <c r="A51" s="3">
        <v>45530</v>
      </c>
      <c r="B51" s="15" t="s">
        <v>40</v>
      </c>
      <c r="C51" s="14">
        <v>248</v>
      </c>
      <c r="D51" s="14">
        <v>211</v>
      </c>
      <c r="E51" s="14">
        <v>379380</v>
      </c>
      <c r="F51" s="124">
        <v>9.0399999999999991</v>
      </c>
      <c r="G51" s="14">
        <v>26925</v>
      </c>
    </row>
    <row r="52" spans="1:7" x14ac:dyDescent="0.3">
      <c r="A52" s="3">
        <v>45530</v>
      </c>
      <c r="B52" s="15" t="s">
        <v>14</v>
      </c>
      <c r="C52" s="14">
        <v>1300</v>
      </c>
      <c r="D52" s="14">
        <v>71</v>
      </c>
      <c r="E52" s="14">
        <v>186454</v>
      </c>
      <c r="F52" s="124">
        <v>3.91</v>
      </c>
      <c r="G52" s="14">
        <v>9942</v>
      </c>
    </row>
    <row r="53" spans="1:7" x14ac:dyDescent="0.3">
      <c r="A53" s="3">
        <v>45530</v>
      </c>
      <c r="B53" s="15" t="s">
        <v>27</v>
      </c>
      <c r="C53" s="14">
        <v>422</v>
      </c>
      <c r="D53" s="14">
        <v>394</v>
      </c>
      <c r="E53" s="14">
        <v>239044</v>
      </c>
      <c r="F53" s="124">
        <v>7.83</v>
      </c>
      <c r="G53" s="14">
        <v>32929</v>
      </c>
    </row>
    <row r="54" spans="1:7" x14ac:dyDescent="0.3">
      <c r="A54" s="3">
        <v>45537</v>
      </c>
      <c r="B54" s="15" t="s">
        <v>31</v>
      </c>
      <c r="C54" s="14">
        <v>1429</v>
      </c>
      <c r="D54" s="14">
        <v>182</v>
      </c>
      <c r="E54" s="14">
        <v>101332</v>
      </c>
      <c r="F54" s="124">
        <v>7.16</v>
      </c>
      <c r="G54" s="14">
        <v>37829</v>
      </c>
    </row>
    <row r="55" spans="1:7" x14ac:dyDescent="0.3">
      <c r="A55" s="3">
        <v>45537</v>
      </c>
      <c r="B55" s="15" t="s">
        <v>40</v>
      </c>
      <c r="C55" s="14">
        <v>1520</v>
      </c>
      <c r="D55" s="14">
        <v>475</v>
      </c>
      <c r="E55" s="14">
        <v>496982</v>
      </c>
      <c r="F55" s="124">
        <v>6.41</v>
      </c>
      <c r="G55" s="14">
        <v>24384</v>
      </c>
    </row>
    <row r="56" spans="1:7" x14ac:dyDescent="0.3">
      <c r="A56" s="3">
        <v>45537</v>
      </c>
      <c r="B56" s="15" t="s">
        <v>14</v>
      </c>
      <c r="C56" s="14">
        <v>557</v>
      </c>
      <c r="D56" s="14">
        <v>360</v>
      </c>
      <c r="E56" s="14">
        <v>318779</v>
      </c>
      <c r="F56" s="124">
        <v>8.02</v>
      </c>
      <c r="G56" s="14">
        <v>25797</v>
      </c>
    </row>
    <row r="57" spans="1:7" x14ac:dyDescent="0.3">
      <c r="A57" s="3">
        <v>45537</v>
      </c>
      <c r="B57" s="15" t="s">
        <v>27</v>
      </c>
      <c r="C57" s="14">
        <v>728</v>
      </c>
      <c r="D57" s="14">
        <v>395</v>
      </c>
      <c r="E57" s="14">
        <v>370971</v>
      </c>
      <c r="F57" s="124">
        <v>3.86</v>
      </c>
      <c r="G57" s="14">
        <v>12646</v>
      </c>
    </row>
    <row r="58" spans="1:7" x14ac:dyDescent="0.3">
      <c r="A58" s="3">
        <v>45544</v>
      </c>
      <c r="B58" s="15" t="s">
        <v>31</v>
      </c>
      <c r="C58" s="14">
        <v>1592</v>
      </c>
      <c r="D58" s="14">
        <v>20</v>
      </c>
      <c r="E58" s="14">
        <v>378054</v>
      </c>
      <c r="F58" s="124">
        <v>9.09</v>
      </c>
      <c r="G58" s="14">
        <v>26663</v>
      </c>
    </row>
    <row r="59" spans="1:7" x14ac:dyDescent="0.3">
      <c r="A59" s="3">
        <v>45544</v>
      </c>
      <c r="B59" s="15" t="s">
        <v>40</v>
      </c>
      <c r="C59" s="14">
        <v>1842</v>
      </c>
      <c r="D59" s="14">
        <v>414</v>
      </c>
      <c r="E59" s="14">
        <v>307524</v>
      </c>
      <c r="F59" s="124">
        <v>1.76</v>
      </c>
      <c r="G59" s="14">
        <v>40478</v>
      </c>
    </row>
    <row r="60" spans="1:7" x14ac:dyDescent="0.3">
      <c r="A60" s="3">
        <v>45544</v>
      </c>
      <c r="B60" s="15" t="s">
        <v>14</v>
      </c>
      <c r="C60" s="14">
        <v>751</v>
      </c>
      <c r="D60" s="14">
        <v>491</v>
      </c>
      <c r="E60" s="14">
        <v>434047</v>
      </c>
      <c r="F60" s="124">
        <v>9.24</v>
      </c>
      <c r="G60" s="14">
        <v>15476</v>
      </c>
    </row>
    <row r="61" spans="1:7" x14ac:dyDescent="0.3">
      <c r="A61" s="3">
        <v>45544</v>
      </c>
      <c r="B61" s="15" t="s">
        <v>27</v>
      </c>
      <c r="C61" s="14">
        <v>1409</v>
      </c>
      <c r="D61" s="14">
        <v>309</v>
      </c>
      <c r="E61" s="14">
        <v>64583</v>
      </c>
      <c r="F61" s="124">
        <v>8.99</v>
      </c>
      <c r="G61" s="14">
        <v>10217</v>
      </c>
    </row>
    <row r="62" spans="1:7" x14ac:dyDescent="0.3">
      <c r="A62" s="3">
        <v>45551</v>
      </c>
      <c r="B62" s="15" t="s">
        <v>31</v>
      </c>
      <c r="C62" s="14">
        <v>778</v>
      </c>
      <c r="D62" s="14">
        <v>401</v>
      </c>
      <c r="E62" s="14">
        <v>50793</v>
      </c>
      <c r="F62" s="124">
        <v>3.4</v>
      </c>
      <c r="G62" s="14">
        <v>21939</v>
      </c>
    </row>
    <row r="63" spans="1:7" x14ac:dyDescent="0.3">
      <c r="A63" s="3">
        <v>45551</v>
      </c>
      <c r="B63" s="15" t="s">
        <v>40</v>
      </c>
      <c r="C63" s="14">
        <v>443</v>
      </c>
      <c r="D63" s="14">
        <v>345</v>
      </c>
      <c r="E63" s="14">
        <v>474162</v>
      </c>
      <c r="F63" s="124">
        <v>9.1999999999999993</v>
      </c>
      <c r="G63" s="14">
        <v>47462</v>
      </c>
    </row>
    <row r="64" spans="1:7" x14ac:dyDescent="0.3">
      <c r="A64" s="3">
        <v>45551</v>
      </c>
      <c r="B64" s="15" t="s">
        <v>14</v>
      </c>
      <c r="C64" s="14">
        <v>1472</v>
      </c>
      <c r="D64" s="14">
        <v>347</v>
      </c>
      <c r="E64" s="14">
        <v>392355</v>
      </c>
      <c r="F64" s="124">
        <v>8.59</v>
      </c>
      <c r="G64" s="14">
        <v>30270</v>
      </c>
    </row>
    <row r="65" spans="1:7" x14ac:dyDescent="0.3">
      <c r="A65" s="3">
        <v>45551</v>
      </c>
      <c r="B65" s="15" t="s">
        <v>27</v>
      </c>
      <c r="C65" s="14">
        <v>123</v>
      </c>
      <c r="D65" s="14">
        <v>155</v>
      </c>
      <c r="E65" s="14">
        <v>119934</v>
      </c>
      <c r="F65" s="124">
        <v>3.5</v>
      </c>
      <c r="G65" s="14">
        <v>5442</v>
      </c>
    </row>
    <row r="66" spans="1:7" x14ac:dyDescent="0.3">
      <c r="A66" s="3">
        <v>45558</v>
      </c>
      <c r="B66" s="15" t="s">
        <v>31</v>
      </c>
      <c r="C66" s="14">
        <v>817</v>
      </c>
      <c r="D66" s="14">
        <v>151</v>
      </c>
      <c r="E66" s="14">
        <v>422625</v>
      </c>
      <c r="F66" s="124">
        <v>2.36</v>
      </c>
      <c r="G66" s="14">
        <v>1083</v>
      </c>
    </row>
    <row r="67" spans="1:7" x14ac:dyDescent="0.3">
      <c r="A67" s="3">
        <v>45558</v>
      </c>
      <c r="B67" s="15" t="s">
        <v>40</v>
      </c>
      <c r="C67" s="14">
        <v>198</v>
      </c>
      <c r="D67" s="14">
        <v>217</v>
      </c>
      <c r="E67" s="14">
        <v>239753</v>
      </c>
      <c r="F67" s="124">
        <v>7.36</v>
      </c>
      <c r="G67" s="14">
        <v>11901</v>
      </c>
    </row>
    <row r="68" spans="1:7" x14ac:dyDescent="0.3">
      <c r="A68" s="3">
        <v>45558</v>
      </c>
      <c r="B68" s="15" t="s">
        <v>14</v>
      </c>
      <c r="C68" s="14">
        <v>1911</v>
      </c>
      <c r="D68" s="14">
        <v>231</v>
      </c>
      <c r="E68" s="14">
        <v>268516</v>
      </c>
      <c r="F68" s="124">
        <v>8.5500000000000007</v>
      </c>
      <c r="G68" s="14">
        <v>24018</v>
      </c>
    </row>
    <row r="69" spans="1:7" x14ac:dyDescent="0.3">
      <c r="A69" s="3">
        <v>45558</v>
      </c>
      <c r="B69" s="15" t="s">
        <v>27</v>
      </c>
      <c r="C69" s="14">
        <v>1218</v>
      </c>
      <c r="D69" s="14">
        <v>212</v>
      </c>
      <c r="E69" s="14">
        <v>63177</v>
      </c>
      <c r="F69" s="124">
        <v>8.1300000000000008</v>
      </c>
      <c r="G69" s="14">
        <v>38883</v>
      </c>
    </row>
    <row r="70" spans="1:7" x14ac:dyDescent="0.3">
      <c r="A70" s="3">
        <v>45565</v>
      </c>
      <c r="B70" s="15" t="s">
        <v>31</v>
      </c>
      <c r="C70" s="14">
        <v>1433</v>
      </c>
      <c r="D70" s="14">
        <v>408</v>
      </c>
      <c r="E70" s="14">
        <v>370269</v>
      </c>
      <c r="F70" s="124">
        <v>3.3</v>
      </c>
      <c r="G70" s="14">
        <v>30575</v>
      </c>
    </row>
    <row r="71" spans="1:7" x14ac:dyDescent="0.3">
      <c r="A71" s="3">
        <v>45565</v>
      </c>
      <c r="B71" s="15" t="s">
        <v>40</v>
      </c>
      <c r="C71" s="14">
        <v>250</v>
      </c>
      <c r="D71" s="14">
        <v>429</v>
      </c>
      <c r="E71" s="14">
        <v>453423</v>
      </c>
      <c r="F71" s="124">
        <v>1.77</v>
      </c>
      <c r="G71" s="14">
        <v>2315</v>
      </c>
    </row>
    <row r="72" spans="1:7" x14ac:dyDescent="0.3">
      <c r="A72" s="3">
        <v>45565</v>
      </c>
      <c r="B72" s="15" t="s">
        <v>14</v>
      </c>
      <c r="C72" s="14">
        <v>752</v>
      </c>
      <c r="D72" s="14">
        <v>153</v>
      </c>
      <c r="E72" s="14">
        <v>64906</v>
      </c>
      <c r="F72" s="124">
        <v>2.09</v>
      </c>
      <c r="G72" s="14">
        <v>12148</v>
      </c>
    </row>
    <row r="73" spans="1:7" x14ac:dyDescent="0.3">
      <c r="A73" s="3">
        <v>45565</v>
      </c>
      <c r="B73" s="15" t="s">
        <v>27</v>
      </c>
      <c r="C73" s="14">
        <v>1918</v>
      </c>
      <c r="D73" s="14">
        <v>212</v>
      </c>
      <c r="E73" s="14">
        <v>94360</v>
      </c>
      <c r="F73" s="124">
        <v>7.36</v>
      </c>
      <c r="G73" s="14">
        <v>36851</v>
      </c>
    </row>
    <row r="74" spans="1:7" x14ac:dyDescent="0.3">
      <c r="A74" s="3">
        <v>45572</v>
      </c>
      <c r="B74" s="15" t="s">
        <v>31</v>
      </c>
      <c r="C74" s="14">
        <v>1939</v>
      </c>
      <c r="D74" s="14">
        <v>67</v>
      </c>
      <c r="E74" s="14">
        <v>187183</v>
      </c>
      <c r="F74" s="124">
        <v>6.25</v>
      </c>
      <c r="G74" s="14">
        <v>41215</v>
      </c>
    </row>
    <row r="75" spans="1:7" x14ac:dyDescent="0.3">
      <c r="A75" s="3">
        <v>45572</v>
      </c>
      <c r="B75" s="15" t="s">
        <v>40</v>
      </c>
      <c r="C75" s="14">
        <v>1929</v>
      </c>
      <c r="D75" s="14">
        <v>267</v>
      </c>
      <c r="E75" s="14">
        <v>379363</v>
      </c>
      <c r="F75" s="124">
        <v>1.75</v>
      </c>
      <c r="G75" s="14">
        <v>43836</v>
      </c>
    </row>
    <row r="76" spans="1:7" x14ac:dyDescent="0.3">
      <c r="A76" s="3">
        <v>45572</v>
      </c>
      <c r="B76" s="15" t="s">
        <v>14</v>
      </c>
      <c r="C76" s="14">
        <v>437</v>
      </c>
      <c r="D76" s="14">
        <v>330</v>
      </c>
      <c r="E76" s="14">
        <v>476486</v>
      </c>
      <c r="F76" s="124">
        <v>4.97</v>
      </c>
      <c r="G76" s="14">
        <v>4509</v>
      </c>
    </row>
    <row r="77" spans="1:7" x14ac:dyDescent="0.3">
      <c r="A77" s="3">
        <v>45572</v>
      </c>
      <c r="B77" s="15" t="s">
        <v>27</v>
      </c>
      <c r="C77" s="14">
        <v>307</v>
      </c>
      <c r="D77" s="14">
        <v>189</v>
      </c>
      <c r="E77" s="14">
        <v>117767</v>
      </c>
      <c r="F77" s="124">
        <v>9.3000000000000007</v>
      </c>
      <c r="G77" s="14">
        <v>27822</v>
      </c>
    </row>
    <row r="78" spans="1:7" x14ac:dyDescent="0.3">
      <c r="A78" s="3">
        <v>45579</v>
      </c>
      <c r="B78" s="15" t="s">
        <v>31</v>
      </c>
      <c r="C78" s="14">
        <v>1527</v>
      </c>
      <c r="D78" s="14">
        <v>303</v>
      </c>
      <c r="E78" s="14">
        <v>388555</v>
      </c>
      <c r="F78" s="124">
        <v>8.9</v>
      </c>
      <c r="G78" s="14">
        <v>36397</v>
      </c>
    </row>
    <row r="79" spans="1:7" x14ac:dyDescent="0.3">
      <c r="A79" s="3">
        <v>45579</v>
      </c>
      <c r="B79" s="15" t="s">
        <v>40</v>
      </c>
      <c r="C79" s="14">
        <v>643</v>
      </c>
      <c r="D79" s="14">
        <v>358</v>
      </c>
      <c r="E79" s="14">
        <v>157599</v>
      </c>
      <c r="F79" s="124">
        <v>3.88</v>
      </c>
      <c r="G79" s="14">
        <v>7285</v>
      </c>
    </row>
    <row r="80" spans="1:7" x14ac:dyDescent="0.3">
      <c r="A80" s="3">
        <v>45579</v>
      </c>
      <c r="B80" s="15" t="s">
        <v>14</v>
      </c>
      <c r="C80" s="14">
        <v>201</v>
      </c>
      <c r="D80" s="14">
        <v>221</v>
      </c>
      <c r="E80" s="14">
        <v>309772</v>
      </c>
      <c r="F80" s="124">
        <v>5.9</v>
      </c>
      <c r="G80" s="14">
        <v>33174</v>
      </c>
    </row>
    <row r="81" spans="1:7" x14ac:dyDescent="0.3">
      <c r="A81" s="3">
        <v>45579</v>
      </c>
      <c r="B81" s="15" t="s">
        <v>27</v>
      </c>
      <c r="C81" s="14">
        <v>414</v>
      </c>
      <c r="D81" s="14">
        <v>47</v>
      </c>
      <c r="E81" s="14">
        <v>199178</v>
      </c>
      <c r="F81" s="124">
        <v>1.53</v>
      </c>
      <c r="G81" s="14">
        <v>6742</v>
      </c>
    </row>
    <row r="82" spans="1:7" x14ac:dyDescent="0.3">
      <c r="A82" s="3">
        <v>45586</v>
      </c>
      <c r="B82" s="15" t="s">
        <v>31</v>
      </c>
      <c r="C82" s="14">
        <v>703</v>
      </c>
      <c r="D82" s="14">
        <v>441</v>
      </c>
      <c r="E82" s="14">
        <v>357089</v>
      </c>
      <c r="F82" s="124">
        <v>6.5</v>
      </c>
      <c r="G82" s="14">
        <v>32478</v>
      </c>
    </row>
    <row r="83" spans="1:7" x14ac:dyDescent="0.3">
      <c r="A83" s="3">
        <v>45586</v>
      </c>
      <c r="B83" s="15" t="s">
        <v>40</v>
      </c>
      <c r="C83" s="14">
        <v>508</v>
      </c>
      <c r="D83" s="14">
        <v>69</v>
      </c>
      <c r="E83" s="14">
        <v>23492</v>
      </c>
      <c r="F83" s="124">
        <v>3.16</v>
      </c>
      <c r="G83" s="14">
        <v>42824</v>
      </c>
    </row>
    <row r="84" spans="1:7" x14ac:dyDescent="0.3">
      <c r="A84" s="3">
        <v>45586</v>
      </c>
      <c r="B84" s="15" t="s">
        <v>14</v>
      </c>
      <c r="C84" s="14">
        <v>697</v>
      </c>
      <c r="D84" s="14">
        <v>61</v>
      </c>
      <c r="E84" s="14">
        <v>258287</v>
      </c>
      <c r="F84" s="124">
        <v>8.25</v>
      </c>
      <c r="G84" s="14">
        <v>21208</v>
      </c>
    </row>
    <row r="85" spans="1:7" x14ac:dyDescent="0.3">
      <c r="A85" s="3">
        <v>45586</v>
      </c>
      <c r="B85" s="15" t="s">
        <v>27</v>
      </c>
      <c r="C85" s="14">
        <v>1707</v>
      </c>
      <c r="D85" s="14">
        <v>223</v>
      </c>
      <c r="E85" s="14">
        <v>256910</v>
      </c>
      <c r="F85" s="124">
        <v>5.41</v>
      </c>
      <c r="G85" s="14">
        <v>44321</v>
      </c>
    </row>
    <row r="86" spans="1:7" x14ac:dyDescent="0.3">
      <c r="A86" s="3">
        <v>45593</v>
      </c>
      <c r="B86" s="15" t="s">
        <v>31</v>
      </c>
      <c r="C86" s="14">
        <v>642</v>
      </c>
      <c r="D86" s="14">
        <v>66</v>
      </c>
      <c r="E86" s="14">
        <v>346522</v>
      </c>
      <c r="F86" s="124">
        <v>5.85</v>
      </c>
      <c r="G86" s="14">
        <v>13116</v>
      </c>
    </row>
    <row r="87" spans="1:7" x14ac:dyDescent="0.3">
      <c r="A87" s="3">
        <v>45593</v>
      </c>
      <c r="B87" s="15" t="s">
        <v>40</v>
      </c>
      <c r="C87" s="14">
        <v>859</v>
      </c>
      <c r="D87" s="14">
        <v>473</v>
      </c>
      <c r="E87" s="14">
        <v>209987</v>
      </c>
      <c r="F87" s="124">
        <v>4.46</v>
      </c>
      <c r="G87" s="14">
        <v>30214</v>
      </c>
    </row>
    <row r="88" spans="1:7" x14ac:dyDescent="0.3">
      <c r="A88" s="3">
        <v>45593</v>
      </c>
      <c r="B88" s="15" t="s">
        <v>14</v>
      </c>
      <c r="C88" s="14">
        <v>191</v>
      </c>
      <c r="D88" s="14">
        <v>154</v>
      </c>
      <c r="E88" s="14">
        <v>240550</v>
      </c>
      <c r="F88" s="124">
        <v>5.22</v>
      </c>
      <c r="G88" s="14">
        <v>15827</v>
      </c>
    </row>
    <row r="89" spans="1:7" x14ac:dyDescent="0.3">
      <c r="A89" s="3">
        <v>45593</v>
      </c>
      <c r="B89" s="15" t="s">
        <v>27</v>
      </c>
      <c r="C89" s="14">
        <v>1814</v>
      </c>
      <c r="D89" s="14">
        <v>157</v>
      </c>
      <c r="E89" s="14">
        <v>305827</v>
      </c>
      <c r="F89" s="124">
        <v>1.99</v>
      </c>
      <c r="G89" s="14">
        <v>46643</v>
      </c>
    </row>
    <row r="90" spans="1:7" x14ac:dyDescent="0.3">
      <c r="A90" s="3">
        <v>45600</v>
      </c>
      <c r="B90" s="15" t="s">
        <v>31</v>
      </c>
      <c r="C90" s="14">
        <v>1466</v>
      </c>
      <c r="D90" s="14">
        <v>69</v>
      </c>
      <c r="E90" s="14">
        <v>54935</v>
      </c>
      <c r="F90" s="124">
        <v>6.85</v>
      </c>
      <c r="G90" s="14">
        <v>36484</v>
      </c>
    </row>
    <row r="91" spans="1:7" x14ac:dyDescent="0.3">
      <c r="A91" s="3">
        <v>45600</v>
      </c>
      <c r="B91" s="15" t="s">
        <v>40</v>
      </c>
      <c r="C91" s="14">
        <v>947</v>
      </c>
      <c r="D91" s="14">
        <v>407</v>
      </c>
      <c r="E91" s="14">
        <v>319186</v>
      </c>
      <c r="F91" s="124">
        <v>3.32</v>
      </c>
      <c r="G91" s="14">
        <v>4996</v>
      </c>
    </row>
    <row r="92" spans="1:7" x14ac:dyDescent="0.3">
      <c r="A92" s="3">
        <v>45600</v>
      </c>
      <c r="B92" s="15" t="s">
        <v>14</v>
      </c>
      <c r="C92" s="14">
        <v>1821</v>
      </c>
      <c r="D92" s="14">
        <v>218</v>
      </c>
      <c r="E92" s="14">
        <v>439080</v>
      </c>
      <c r="F92" s="124">
        <v>5.68</v>
      </c>
      <c r="G92" s="14">
        <v>36095</v>
      </c>
    </row>
    <row r="93" spans="1:7" x14ac:dyDescent="0.3">
      <c r="A93" s="3">
        <v>45600</v>
      </c>
      <c r="B93" s="15" t="s">
        <v>27</v>
      </c>
      <c r="C93" s="14">
        <v>1507</v>
      </c>
      <c r="D93" s="14">
        <v>463</v>
      </c>
      <c r="E93" s="14">
        <v>258944</v>
      </c>
      <c r="F93" s="124">
        <v>6.08</v>
      </c>
      <c r="G93" s="14">
        <v>16443</v>
      </c>
    </row>
    <row r="94" spans="1:7" x14ac:dyDescent="0.3">
      <c r="A94" s="3">
        <v>45607</v>
      </c>
      <c r="B94" s="15" t="s">
        <v>31</v>
      </c>
      <c r="C94" s="14">
        <v>1075</v>
      </c>
      <c r="D94" s="14">
        <v>173</v>
      </c>
      <c r="E94" s="14">
        <v>51395</v>
      </c>
      <c r="F94" s="124">
        <v>4.66</v>
      </c>
      <c r="G94" s="14">
        <v>47812</v>
      </c>
    </row>
    <row r="95" spans="1:7" x14ac:dyDescent="0.3">
      <c r="A95" s="3">
        <v>45607</v>
      </c>
      <c r="B95" s="15" t="s">
        <v>40</v>
      </c>
      <c r="C95" s="14">
        <v>171</v>
      </c>
      <c r="D95" s="14">
        <v>277</v>
      </c>
      <c r="E95" s="14">
        <v>309483</v>
      </c>
      <c r="F95" s="124">
        <v>8.6999999999999993</v>
      </c>
      <c r="G95" s="14">
        <v>38452</v>
      </c>
    </row>
    <row r="96" spans="1:7" x14ac:dyDescent="0.3">
      <c r="A96" s="3">
        <v>45607</v>
      </c>
      <c r="B96" s="15" t="s">
        <v>14</v>
      </c>
      <c r="C96" s="14">
        <v>1487</v>
      </c>
      <c r="D96" s="14">
        <v>337</v>
      </c>
      <c r="E96" s="14">
        <v>87305</v>
      </c>
      <c r="F96" s="124">
        <v>2.46</v>
      </c>
      <c r="G96" s="14">
        <v>30428</v>
      </c>
    </row>
    <row r="97" spans="1:7" x14ac:dyDescent="0.3">
      <c r="A97" s="3">
        <v>45607</v>
      </c>
      <c r="B97" s="15" t="s">
        <v>27</v>
      </c>
      <c r="C97" s="14">
        <v>454</v>
      </c>
      <c r="D97" s="14">
        <v>105</v>
      </c>
      <c r="E97" s="14">
        <v>121091</v>
      </c>
      <c r="F97" s="124">
        <v>7.97</v>
      </c>
      <c r="G97" s="14">
        <v>9269</v>
      </c>
    </row>
    <row r="98" spans="1:7" x14ac:dyDescent="0.3">
      <c r="A98" s="3">
        <v>45614</v>
      </c>
      <c r="B98" s="15" t="s">
        <v>31</v>
      </c>
      <c r="C98" s="14">
        <v>187</v>
      </c>
      <c r="D98" s="14">
        <v>236</v>
      </c>
      <c r="E98" s="14">
        <v>51087</v>
      </c>
      <c r="F98" s="124">
        <v>9.41</v>
      </c>
      <c r="G98" s="14">
        <v>29533</v>
      </c>
    </row>
    <row r="99" spans="1:7" x14ac:dyDescent="0.3">
      <c r="A99" s="3">
        <v>45614</v>
      </c>
      <c r="B99" s="15" t="s">
        <v>40</v>
      </c>
      <c r="C99" s="14">
        <v>513</v>
      </c>
      <c r="D99" s="14">
        <v>441</v>
      </c>
      <c r="E99" s="14">
        <v>338847</v>
      </c>
      <c r="F99" s="124">
        <v>2.68</v>
      </c>
      <c r="G99" s="14">
        <v>39997</v>
      </c>
    </row>
    <row r="100" spans="1:7" x14ac:dyDescent="0.3">
      <c r="A100" s="3">
        <v>45614</v>
      </c>
      <c r="B100" s="15" t="s">
        <v>14</v>
      </c>
      <c r="C100" s="14">
        <v>628</v>
      </c>
      <c r="D100" s="14">
        <v>183</v>
      </c>
      <c r="E100" s="14">
        <v>487523</v>
      </c>
      <c r="F100" s="124">
        <v>7.32</v>
      </c>
      <c r="G100" s="14">
        <v>5391</v>
      </c>
    </row>
    <row r="101" spans="1:7" x14ac:dyDescent="0.3">
      <c r="A101" s="3">
        <v>45614</v>
      </c>
      <c r="B101" s="15" t="s">
        <v>27</v>
      </c>
      <c r="C101" s="14">
        <v>278</v>
      </c>
      <c r="D101" s="14">
        <v>218</v>
      </c>
      <c r="E101" s="14">
        <v>301695</v>
      </c>
      <c r="F101" s="124">
        <v>4.68</v>
      </c>
      <c r="G101" s="14">
        <v>22373</v>
      </c>
    </row>
    <row r="102" spans="1:7" x14ac:dyDescent="0.3">
      <c r="A102" s="3">
        <v>45621</v>
      </c>
      <c r="B102" s="15" t="s">
        <v>31</v>
      </c>
      <c r="C102" s="14">
        <v>1854</v>
      </c>
      <c r="D102" s="14">
        <v>161</v>
      </c>
      <c r="E102" s="14">
        <v>282466</v>
      </c>
      <c r="F102" s="124">
        <v>5.17</v>
      </c>
      <c r="G102" s="14">
        <v>1810</v>
      </c>
    </row>
    <row r="103" spans="1:7" x14ac:dyDescent="0.3">
      <c r="A103" s="3">
        <v>45621</v>
      </c>
      <c r="B103" s="15" t="s">
        <v>40</v>
      </c>
      <c r="C103" s="14">
        <v>1710</v>
      </c>
      <c r="D103" s="14">
        <v>378</v>
      </c>
      <c r="E103" s="14">
        <v>336661</v>
      </c>
      <c r="F103" s="124">
        <v>6.2</v>
      </c>
      <c r="G103" s="14">
        <v>28498</v>
      </c>
    </row>
    <row r="104" spans="1:7" x14ac:dyDescent="0.3">
      <c r="A104" s="3">
        <v>45621</v>
      </c>
      <c r="B104" s="15" t="s">
        <v>14</v>
      </c>
      <c r="C104" s="14">
        <v>330</v>
      </c>
      <c r="D104" s="14">
        <v>232</v>
      </c>
      <c r="E104" s="14">
        <v>88455</v>
      </c>
      <c r="F104" s="124">
        <v>2.69</v>
      </c>
      <c r="G104" s="14">
        <v>39530</v>
      </c>
    </row>
    <row r="105" spans="1:7" x14ac:dyDescent="0.3">
      <c r="A105" s="3">
        <v>45621</v>
      </c>
      <c r="B105" s="15" t="s">
        <v>27</v>
      </c>
      <c r="C105" s="14">
        <v>1293</v>
      </c>
      <c r="D105" s="14">
        <v>408</v>
      </c>
      <c r="E105" s="14">
        <v>62535</v>
      </c>
      <c r="F105" s="124">
        <v>8.9</v>
      </c>
      <c r="G105" s="14">
        <v>37876</v>
      </c>
    </row>
    <row r="106" spans="1:7" x14ac:dyDescent="0.3">
      <c r="A106" s="3">
        <v>45628</v>
      </c>
      <c r="B106" s="15" t="s">
        <v>31</v>
      </c>
      <c r="C106" s="14">
        <v>1696</v>
      </c>
      <c r="D106" s="14">
        <v>71</v>
      </c>
      <c r="E106" s="14">
        <v>421957</v>
      </c>
      <c r="F106" s="124">
        <v>3.79</v>
      </c>
      <c r="G106" s="14">
        <v>36103</v>
      </c>
    </row>
    <row r="107" spans="1:7" x14ac:dyDescent="0.3">
      <c r="A107" s="3">
        <v>45628</v>
      </c>
      <c r="B107" s="15" t="s">
        <v>40</v>
      </c>
      <c r="C107" s="14">
        <v>1902</v>
      </c>
      <c r="D107" s="14">
        <v>196</v>
      </c>
      <c r="E107" s="14">
        <v>470269</v>
      </c>
      <c r="F107" s="124">
        <v>4.79</v>
      </c>
      <c r="G107" s="14">
        <v>26103</v>
      </c>
    </row>
    <row r="108" spans="1:7" x14ac:dyDescent="0.3">
      <c r="A108" s="3">
        <v>45628</v>
      </c>
      <c r="B108" s="15" t="s">
        <v>14</v>
      </c>
      <c r="C108" s="14">
        <v>1441</v>
      </c>
      <c r="D108" s="14">
        <v>268</v>
      </c>
      <c r="E108" s="14">
        <v>309904</v>
      </c>
      <c r="F108" s="124">
        <v>6.37</v>
      </c>
      <c r="G108" s="14">
        <v>3455</v>
      </c>
    </row>
    <row r="109" spans="1:7" x14ac:dyDescent="0.3">
      <c r="A109" s="3">
        <v>45628</v>
      </c>
      <c r="B109" s="15" t="s">
        <v>27</v>
      </c>
      <c r="C109" s="14">
        <v>452</v>
      </c>
      <c r="D109" s="14">
        <v>161</v>
      </c>
      <c r="E109" s="14">
        <v>221274</v>
      </c>
      <c r="F109" s="124">
        <v>2.65</v>
      </c>
      <c r="G109" s="14">
        <v>40888</v>
      </c>
    </row>
    <row r="110" spans="1:7" x14ac:dyDescent="0.3">
      <c r="A110" s="3">
        <v>45635</v>
      </c>
      <c r="B110" s="15" t="s">
        <v>31</v>
      </c>
      <c r="C110" s="14">
        <v>1494</v>
      </c>
      <c r="D110" s="14">
        <v>375</v>
      </c>
      <c r="E110" s="14">
        <v>220616</v>
      </c>
      <c r="F110" s="124">
        <v>1.81</v>
      </c>
      <c r="G110" s="14">
        <v>22724</v>
      </c>
    </row>
    <row r="111" spans="1:7" x14ac:dyDescent="0.3">
      <c r="A111" s="3">
        <v>45635</v>
      </c>
      <c r="B111" s="15" t="s">
        <v>40</v>
      </c>
      <c r="C111" s="14">
        <v>1514</v>
      </c>
      <c r="D111" s="14">
        <v>141</v>
      </c>
      <c r="E111" s="14">
        <v>35842</v>
      </c>
      <c r="F111" s="124">
        <v>7.47</v>
      </c>
      <c r="G111" s="14">
        <v>18601</v>
      </c>
    </row>
    <row r="112" spans="1:7" x14ac:dyDescent="0.3">
      <c r="A112" s="3">
        <v>45635</v>
      </c>
      <c r="B112" s="15" t="s">
        <v>14</v>
      </c>
      <c r="C112" s="14">
        <v>1937</v>
      </c>
      <c r="D112" s="14">
        <v>210</v>
      </c>
      <c r="E112" s="14">
        <v>20607</v>
      </c>
      <c r="F112" s="124">
        <v>4.2</v>
      </c>
      <c r="G112" s="14">
        <v>20861</v>
      </c>
    </row>
    <row r="113" spans="1:7" x14ac:dyDescent="0.3">
      <c r="A113" s="3">
        <v>45635</v>
      </c>
      <c r="B113" s="15" t="s">
        <v>27</v>
      </c>
      <c r="C113" s="14">
        <v>736</v>
      </c>
      <c r="D113" s="14">
        <v>163</v>
      </c>
      <c r="E113" s="14">
        <v>451894</v>
      </c>
      <c r="F113" s="124">
        <v>5.43</v>
      </c>
      <c r="G113" s="14">
        <v>46625</v>
      </c>
    </row>
    <row r="114" spans="1:7" x14ac:dyDescent="0.3">
      <c r="A114" s="3">
        <v>45642</v>
      </c>
      <c r="B114" s="15" t="s">
        <v>31</v>
      </c>
      <c r="C114" s="14">
        <v>1502</v>
      </c>
      <c r="D114" s="14">
        <v>70</v>
      </c>
      <c r="E114" s="14">
        <v>465553</v>
      </c>
      <c r="F114" s="124">
        <v>3.32</v>
      </c>
      <c r="G114" s="14">
        <v>20692</v>
      </c>
    </row>
    <row r="115" spans="1:7" x14ac:dyDescent="0.3">
      <c r="A115" s="3">
        <v>45642</v>
      </c>
      <c r="B115" s="15" t="s">
        <v>40</v>
      </c>
      <c r="C115" s="14">
        <v>1623</v>
      </c>
      <c r="D115" s="14">
        <v>246</v>
      </c>
      <c r="E115" s="14">
        <v>415815</v>
      </c>
      <c r="F115" s="124">
        <v>8.11</v>
      </c>
      <c r="G115" s="14">
        <v>18656</v>
      </c>
    </row>
    <row r="116" spans="1:7" x14ac:dyDescent="0.3">
      <c r="A116" s="3">
        <v>45642</v>
      </c>
      <c r="B116" s="15" t="s">
        <v>14</v>
      </c>
      <c r="C116" s="14">
        <v>1592</v>
      </c>
      <c r="D116" s="14">
        <v>233</v>
      </c>
      <c r="E116" s="14">
        <v>327183</v>
      </c>
      <c r="F116" s="124">
        <v>6.66</v>
      </c>
      <c r="G116" s="14">
        <v>13316</v>
      </c>
    </row>
    <row r="117" spans="1:7" x14ac:dyDescent="0.3">
      <c r="A117" s="3">
        <v>45642</v>
      </c>
      <c r="B117" s="15" t="s">
        <v>27</v>
      </c>
      <c r="C117" s="14">
        <v>1004</v>
      </c>
      <c r="D117" s="14">
        <v>128</v>
      </c>
      <c r="E117" s="14">
        <v>488901</v>
      </c>
      <c r="F117" s="124">
        <v>8.09</v>
      </c>
      <c r="G117" s="14">
        <v>49558</v>
      </c>
    </row>
    <row r="118" spans="1:7" x14ac:dyDescent="0.3">
      <c r="A118" s="3">
        <v>45649</v>
      </c>
      <c r="B118" s="15" t="s">
        <v>31</v>
      </c>
      <c r="C118" s="14">
        <v>1092</v>
      </c>
      <c r="D118" s="14">
        <v>408</v>
      </c>
      <c r="E118" s="14">
        <v>280795</v>
      </c>
      <c r="F118" s="124">
        <v>8.44</v>
      </c>
      <c r="G118" s="14">
        <v>4683</v>
      </c>
    </row>
    <row r="119" spans="1:7" x14ac:dyDescent="0.3">
      <c r="A119" s="3">
        <v>45649</v>
      </c>
      <c r="B119" s="15" t="s">
        <v>40</v>
      </c>
      <c r="C119" s="14">
        <v>1155</v>
      </c>
      <c r="D119" s="14">
        <v>425</v>
      </c>
      <c r="E119" s="14">
        <v>93347</v>
      </c>
      <c r="F119" s="124">
        <v>2.02</v>
      </c>
      <c r="G119" s="14">
        <v>47502</v>
      </c>
    </row>
    <row r="120" spans="1:7" x14ac:dyDescent="0.3">
      <c r="A120" s="3">
        <v>45649</v>
      </c>
      <c r="B120" s="15" t="s">
        <v>14</v>
      </c>
      <c r="C120" s="14">
        <v>1137</v>
      </c>
      <c r="D120" s="14">
        <v>226</v>
      </c>
      <c r="E120" s="14">
        <v>81119</v>
      </c>
      <c r="F120" s="124">
        <v>7.74</v>
      </c>
      <c r="G120" s="14">
        <v>35359</v>
      </c>
    </row>
    <row r="121" spans="1:7" x14ac:dyDescent="0.3">
      <c r="A121" s="3">
        <v>45649</v>
      </c>
      <c r="B121" s="15" t="s">
        <v>27</v>
      </c>
      <c r="C121" s="14">
        <v>1900</v>
      </c>
      <c r="D121" s="14">
        <v>311</v>
      </c>
      <c r="E121" s="14">
        <v>25177</v>
      </c>
      <c r="F121" s="124">
        <v>2.89</v>
      </c>
      <c r="G121" s="14">
        <v>14154</v>
      </c>
    </row>
    <row r="122" spans="1:7" x14ac:dyDescent="0.3">
      <c r="A122" s="3">
        <v>45656</v>
      </c>
      <c r="B122" s="15" t="s">
        <v>31</v>
      </c>
      <c r="C122" s="14">
        <v>1814</v>
      </c>
      <c r="D122" s="14">
        <v>49</v>
      </c>
      <c r="E122" s="14">
        <v>140804</v>
      </c>
      <c r="F122" s="124">
        <v>1.76</v>
      </c>
      <c r="G122" s="14">
        <v>4313</v>
      </c>
    </row>
    <row r="123" spans="1:7" x14ac:dyDescent="0.3">
      <c r="A123" s="3">
        <v>45656</v>
      </c>
      <c r="B123" s="15" t="s">
        <v>40</v>
      </c>
      <c r="C123" s="14">
        <v>1980</v>
      </c>
      <c r="D123" s="14">
        <v>204</v>
      </c>
      <c r="E123" s="14">
        <v>379431</v>
      </c>
      <c r="F123" s="124">
        <v>3.09</v>
      </c>
      <c r="G123" s="14">
        <v>25140</v>
      </c>
    </row>
    <row r="124" spans="1:7" x14ac:dyDescent="0.3">
      <c r="A124" s="3">
        <v>45656</v>
      </c>
      <c r="B124" s="15" t="s">
        <v>14</v>
      </c>
      <c r="C124" s="14">
        <v>1786</v>
      </c>
      <c r="D124" s="14">
        <v>257</v>
      </c>
      <c r="E124" s="14">
        <v>274831</v>
      </c>
      <c r="F124" s="124">
        <v>4.68</v>
      </c>
      <c r="G124" s="14">
        <v>9118</v>
      </c>
    </row>
    <row r="125" spans="1:7" x14ac:dyDescent="0.3">
      <c r="A125" s="3">
        <v>45656</v>
      </c>
      <c r="B125" s="15" t="s">
        <v>27</v>
      </c>
      <c r="C125" s="14">
        <v>1495</v>
      </c>
      <c r="D125" s="14">
        <v>35</v>
      </c>
      <c r="E125" s="14">
        <v>136845</v>
      </c>
      <c r="F125" s="124">
        <v>4.4800000000000004</v>
      </c>
      <c r="G125" s="14">
        <v>39931</v>
      </c>
    </row>
    <row r="126" spans="1:7" x14ac:dyDescent="0.3">
      <c r="A126" s="3">
        <v>45663</v>
      </c>
      <c r="B126" s="15" t="s">
        <v>31</v>
      </c>
      <c r="C126" s="14">
        <v>1013</v>
      </c>
      <c r="D126" s="14">
        <v>110</v>
      </c>
      <c r="E126" s="14">
        <v>466382</v>
      </c>
      <c r="F126" s="124">
        <v>5.3</v>
      </c>
      <c r="G126" s="14">
        <v>37132</v>
      </c>
    </row>
    <row r="127" spans="1:7" x14ac:dyDescent="0.3">
      <c r="A127" s="3">
        <v>45663</v>
      </c>
      <c r="B127" s="15" t="s">
        <v>40</v>
      </c>
      <c r="C127" s="14">
        <v>816</v>
      </c>
      <c r="D127" s="14">
        <v>196</v>
      </c>
      <c r="E127" s="14">
        <v>95728</v>
      </c>
      <c r="F127" s="124">
        <v>8.1999999999999993</v>
      </c>
      <c r="G127" s="14">
        <v>17951</v>
      </c>
    </row>
    <row r="128" spans="1:7" x14ac:dyDescent="0.3">
      <c r="A128" s="3">
        <v>45663</v>
      </c>
      <c r="B128" s="15" t="s">
        <v>14</v>
      </c>
      <c r="C128" s="14">
        <v>1633</v>
      </c>
      <c r="D128" s="14">
        <v>445</v>
      </c>
      <c r="E128" s="14">
        <v>371156</v>
      </c>
      <c r="F128" s="124">
        <v>2.2200000000000002</v>
      </c>
      <c r="G128" s="14">
        <v>2798</v>
      </c>
    </row>
    <row r="129" spans="1:7" x14ac:dyDescent="0.3">
      <c r="A129" s="3">
        <v>45663</v>
      </c>
      <c r="B129" s="15" t="s">
        <v>27</v>
      </c>
      <c r="C129" s="14">
        <v>891</v>
      </c>
      <c r="D129" s="14">
        <v>45</v>
      </c>
      <c r="E129" s="14">
        <v>95410</v>
      </c>
      <c r="F129" s="124">
        <v>8.33</v>
      </c>
      <c r="G129" s="14">
        <v>15045</v>
      </c>
    </row>
    <row r="130" spans="1:7" x14ac:dyDescent="0.3">
      <c r="A130" s="3">
        <v>45670</v>
      </c>
      <c r="B130" s="15" t="s">
        <v>31</v>
      </c>
      <c r="C130" s="14">
        <v>1855</v>
      </c>
      <c r="D130" s="14">
        <v>133</v>
      </c>
      <c r="E130" s="14">
        <v>349413</v>
      </c>
      <c r="F130" s="124">
        <v>3.3</v>
      </c>
      <c r="G130" s="14">
        <v>14548</v>
      </c>
    </row>
    <row r="131" spans="1:7" x14ac:dyDescent="0.3">
      <c r="A131" s="3">
        <v>45670</v>
      </c>
      <c r="B131" s="15" t="s">
        <v>40</v>
      </c>
      <c r="C131" s="14">
        <v>651</v>
      </c>
      <c r="D131" s="14">
        <v>353</v>
      </c>
      <c r="E131" s="14">
        <v>224699</v>
      </c>
      <c r="F131" s="124">
        <v>5.61</v>
      </c>
      <c r="G131" s="14">
        <v>45708</v>
      </c>
    </row>
    <row r="132" spans="1:7" x14ac:dyDescent="0.3">
      <c r="A132" s="3">
        <v>45670</v>
      </c>
      <c r="B132" s="15" t="s">
        <v>14</v>
      </c>
      <c r="C132" s="14">
        <v>118</v>
      </c>
      <c r="D132" s="14">
        <v>262</v>
      </c>
      <c r="E132" s="14">
        <v>487896</v>
      </c>
      <c r="F132" s="124">
        <v>2.56</v>
      </c>
      <c r="G132" s="14">
        <v>12350</v>
      </c>
    </row>
    <row r="133" spans="1:7" x14ac:dyDescent="0.3">
      <c r="A133" s="3">
        <v>45670</v>
      </c>
      <c r="B133" s="15" t="s">
        <v>27</v>
      </c>
      <c r="C133" s="14">
        <v>1331</v>
      </c>
      <c r="D133" s="14">
        <v>430</v>
      </c>
      <c r="E133" s="14">
        <v>14437</v>
      </c>
      <c r="F133" s="124">
        <v>3.29</v>
      </c>
      <c r="G133" s="14">
        <v>40868</v>
      </c>
    </row>
    <row r="134" spans="1:7" x14ac:dyDescent="0.3">
      <c r="A134" s="3">
        <v>45677</v>
      </c>
      <c r="B134" s="15" t="s">
        <v>31</v>
      </c>
      <c r="C134" s="14">
        <v>1748</v>
      </c>
      <c r="D134" s="14">
        <v>176</v>
      </c>
      <c r="E134" s="14">
        <v>383681</v>
      </c>
      <c r="F134" s="124">
        <v>9.24</v>
      </c>
      <c r="G134" s="14">
        <v>43122</v>
      </c>
    </row>
    <row r="135" spans="1:7" x14ac:dyDescent="0.3">
      <c r="A135" s="3">
        <v>45677</v>
      </c>
      <c r="B135" s="15" t="s">
        <v>40</v>
      </c>
      <c r="C135" s="14">
        <v>663</v>
      </c>
      <c r="D135" s="14">
        <v>236</v>
      </c>
      <c r="E135" s="14">
        <v>479490</v>
      </c>
      <c r="F135" s="124">
        <v>4.51</v>
      </c>
      <c r="G135" s="14">
        <v>23853</v>
      </c>
    </row>
    <row r="136" spans="1:7" x14ac:dyDescent="0.3">
      <c r="A136" s="3">
        <v>45677</v>
      </c>
      <c r="B136" s="15" t="s">
        <v>14</v>
      </c>
      <c r="C136" s="14">
        <v>1040</v>
      </c>
      <c r="D136" s="14">
        <v>149</v>
      </c>
      <c r="E136" s="14">
        <v>124404</v>
      </c>
      <c r="F136" s="124">
        <v>5.23</v>
      </c>
      <c r="G136" s="14">
        <v>45380</v>
      </c>
    </row>
    <row r="137" spans="1:7" x14ac:dyDescent="0.3">
      <c r="A137" s="3">
        <v>45677</v>
      </c>
      <c r="B137" s="15" t="s">
        <v>27</v>
      </c>
      <c r="C137" s="14">
        <v>1166</v>
      </c>
      <c r="D137" s="14">
        <v>442</v>
      </c>
      <c r="E137" s="14">
        <v>336949</v>
      </c>
      <c r="F137" s="124">
        <v>4.68</v>
      </c>
      <c r="G137" s="14">
        <v>7705</v>
      </c>
    </row>
    <row r="138" spans="1:7" x14ac:dyDescent="0.3">
      <c r="A138" s="3">
        <v>45684</v>
      </c>
      <c r="B138" s="15" t="s">
        <v>31</v>
      </c>
      <c r="C138" s="14">
        <v>115</v>
      </c>
      <c r="D138" s="14">
        <v>281</v>
      </c>
      <c r="E138" s="14">
        <v>357265</v>
      </c>
      <c r="F138" s="124">
        <v>9.23</v>
      </c>
      <c r="G138" s="14">
        <v>25525</v>
      </c>
    </row>
    <row r="139" spans="1:7" x14ac:dyDescent="0.3">
      <c r="A139" s="3">
        <v>45684</v>
      </c>
      <c r="B139" s="15" t="s">
        <v>40</v>
      </c>
      <c r="C139" s="14">
        <v>1249</v>
      </c>
      <c r="D139" s="14">
        <v>351</v>
      </c>
      <c r="E139" s="14">
        <v>321307</v>
      </c>
      <c r="F139" s="124">
        <v>6.37</v>
      </c>
      <c r="G139" s="14">
        <v>20560</v>
      </c>
    </row>
    <row r="140" spans="1:7" x14ac:dyDescent="0.3">
      <c r="A140" s="3">
        <v>45684</v>
      </c>
      <c r="B140" s="15" t="s">
        <v>14</v>
      </c>
      <c r="C140" s="14">
        <v>1501</v>
      </c>
      <c r="D140" s="14">
        <v>75</v>
      </c>
      <c r="E140" s="14">
        <v>262569</v>
      </c>
      <c r="F140" s="124">
        <v>2.0099999999999998</v>
      </c>
      <c r="G140" s="14">
        <v>19119</v>
      </c>
    </row>
    <row r="141" spans="1:7" x14ac:dyDescent="0.3">
      <c r="A141" s="3">
        <v>45684</v>
      </c>
      <c r="B141" s="15" t="s">
        <v>27</v>
      </c>
      <c r="C141" s="14">
        <v>1411</v>
      </c>
      <c r="D141" s="14">
        <v>186</v>
      </c>
      <c r="E141" s="14">
        <v>461669</v>
      </c>
      <c r="F141" s="124">
        <v>3.72</v>
      </c>
      <c r="G141" s="14">
        <v>43999</v>
      </c>
    </row>
    <row r="142" spans="1:7" x14ac:dyDescent="0.3">
      <c r="A142" s="3">
        <v>45691</v>
      </c>
      <c r="B142" s="15" t="s">
        <v>31</v>
      </c>
      <c r="C142" s="14">
        <v>1556</v>
      </c>
      <c r="D142" s="14">
        <v>476</v>
      </c>
      <c r="E142" s="14">
        <v>351556</v>
      </c>
      <c r="F142" s="124">
        <v>3.89</v>
      </c>
      <c r="G142" s="14">
        <v>10825</v>
      </c>
    </row>
    <row r="143" spans="1:7" x14ac:dyDescent="0.3">
      <c r="A143" s="3">
        <v>45691</v>
      </c>
      <c r="B143" s="15" t="s">
        <v>40</v>
      </c>
      <c r="C143" s="14">
        <v>1159</v>
      </c>
      <c r="D143" s="14">
        <v>411</v>
      </c>
      <c r="E143" s="14">
        <v>135987</v>
      </c>
      <c r="F143" s="124">
        <v>8.6999999999999993</v>
      </c>
      <c r="G143" s="14">
        <v>40323</v>
      </c>
    </row>
    <row r="144" spans="1:7" x14ac:dyDescent="0.3">
      <c r="A144" s="3">
        <v>45691</v>
      </c>
      <c r="B144" s="15" t="s">
        <v>14</v>
      </c>
      <c r="C144" s="14">
        <v>927</v>
      </c>
      <c r="D144" s="14">
        <v>358</v>
      </c>
      <c r="E144" s="14">
        <v>177554</v>
      </c>
      <c r="F144" s="124">
        <v>6.95</v>
      </c>
      <c r="G144" s="14">
        <v>48270</v>
      </c>
    </row>
    <row r="145" spans="1:7" x14ac:dyDescent="0.3">
      <c r="A145" s="3">
        <v>45691</v>
      </c>
      <c r="B145" s="15" t="s">
        <v>27</v>
      </c>
      <c r="C145" s="14">
        <v>152</v>
      </c>
      <c r="D145" s="14">
        <v>355</v>
      </c>
      <c r="E145" s="14">
        <v>270766</v>
      </c>
      <c r="F145" s="124">
        <v>9.48</v>
      </c>
      <c r="G145" s="14">
        <v>18001</v>
      </c>
    </row>
    <row r="146" spans="1:7" x14ac:dyDescent="0.3">
      <c r="A146" s="3">
        <v>45698</v>
      </c>
      <c r="B146" s="15" t="s">
        <v>31</v>
      </c>
      <c r="C146" s="14">
        <v>1957</v>
      </c>
      <c r="D146" s="14">
        <v>234</v>
      </c>
      <c r="E146" s="14">
        <v>222126</v>
      </c>
      <c r="F146" s="124">
        <v>4.6100000000000003</v>
      </c>
      <c r="G146" s="14">
        <v>3314</v>
      </c>
    </row>
    <row r="147" spans="1:7" x14ac:dyDescent="0.3">
      <c r="A147" s="3">
        <v>45698</v>
      </c>
      <c r="B147" s="15" t="s">
        <v>40</v>
      </c>
      <c r="C147" s="14">
        <v>1294</v>
      </c>
      <c r="D147" s="14">
        <v>382</v>
      </c>
      <c r="E147" s="14">
        <v>309914</v>
      </c>
      <c r="F147" s="124">
        <v>8.0299999999999994</v>
      </c>
      <c r="G147" s="14">
        <v>23489</v>
      </c>
    </row>
    <row r="148" spans="1:7" x14ac:dyDescent="0.3">
      <c r="A148" s="3">
        <v>45698</v>
      </c>
      <c r="B148" s="15" t="s">
        <v>14</v>
      </c>
      <c r="C148" s="14">
        <v>1587</v>
      </c>
      <c r="D148" s="14">
        <v>385</v>
      </c>
      <c r="E148" s="14">
        <v>126582</v>
      </c>
      <c r="F148" s="124">
        <v>6.99</v>
      </c>
      <c r="G148" s="14">
        <v>42832</v>
      </c>
    </row>
    <row r="149" spans="1:7" x14ac:dyDescent="0.3">
      <c r="A149" s="3">
        <v>45698</v>
      </c>
      <c r="B149" s="15" t="s">
        <v>27</v>
      </c>
      <c r="C149" s="14">
        <v>1707</v>
      </c>
      <c r="D149" s="14">
        <v>263</v>
      </c>
      <c r="E149" s="14">
        <v>485280</v>
      </c>
      <c r="F149" s="124">
        <v>9.0299999999999994</v>
      </c>
      <c r="G149" s="14">
        <v>24494</v>
      </c>
    </row>
    <row r="150" spans="1:7" x14ac:dyDescent="0.3">
      <c r="A150" s="3">
        <v>45705</v>
      </c>
      <c r="B150" s="15" t="s">
        <v>31</v>
      </c>
      <c r="C150" s="14">
        <v>1138</v>
      </c>
      <c r="D150" s="14">
        <v>173</v>
      </c>
      <c r="E150" s="14">
        <v>453243</v>
      </c>
      <c r="F150" s="124">
        <v>2.86</v>
      </c>
      <c r="G150" s="14">
        <v>44097</v>
      </c>
    </row>
    <row r="151" spans="1:7" x14ac:dyDescent="0.3">
      <c r="A151" s="3">
        <v>45705</v>
      </c>
      <c r="B151" s="15" t="s">
        <v>40</v>
      </c>
      <c r="C151" s="14">
        <v>1895</v>
      </c>
      <c r="D151" s="14">
        <v>305</v>
      </c>
      <c r="E151" s="14">
        <v>104967</v>
      </c>
      <c r="F151" s="124">
        <v>3.85</v>
      </c>
      <c r="G151" s="14">
        <v>31853</v>
      </c>
    </row>
    <row r="152" spans="1:7" x14ac:dyDescent="0.3">
      <c r="A152" s="3">
        <v>45705</v>
      </c>
      <c r="B152" s="15" t="s">
        <v>14</v>
      </c>
      <c r="C152" s="14">
        <v>362</v>
      </c>
      <c r="D152" s="14">
        <v>399</v>
      </c>
      <c r="E152" s="14">
        <v>145608</v>
      </c>
      <c r="F152" s="124">
        <v>7.3</v>
      </c>
      <c r="G152" s="14">
        <v>37636</v>
      </c>
    </row>
    <row r="153" spans="1:7" x14ac:dyDescent="0.3">
      <c r="A153" s="3">
        <v>45705</v>
      </c>
      <c r="B153" s="15" t="s">
        <v>27</v>
      </c>
      <c r="C153" s="14">
        <v>1662</v>
      </c>
      <c r="D153" s="14">
        <v>487</v>
      </c>
      <c r="E153" s="14">
        <v>105980</v>
      </c>
      <c r="F153" s="124">
        <v>9.08</v>
      </c>
      <c r="G153" s="14">
        <v>22996</v>
      </c>
    </row>
    <row r="154" spans="1:7" x14ac:dyDescent="0.3">
      <c r="A154" s="3">
        <v>45712</v>
      </c>
      <c r="B154" s="15" t="s">
        <v>31</v>
      </c>
      <c r="C154" s="14">
        <v>1440</v>
      </c>
      <c r="D154" s="14">
        <v>65</v>
      </c>
      <c r="E154" s="14">
        <v>126524</v>
      </c>
      <c r="F154" s="124">
        <v>4.34</v>
      </c>
      <c r="G154" s="14">
        <v>49772</v>
      </c>
    </row>
    <row r="155" spans="1:7" x14ac:dyDescent="0.3">
      <c r="A155" s="3">
        <v>45712</v>
      </c>
      <c r="B155" s="15" t="s">
        <v>40</v>
      </c>
      <c r="C155" s="14">
        <v>1884</v>
      </c>
      <c r="D155" s="14">
        <v>177</v>
      </c>
      <c r="E155" s="14">
        <v>230448</v>
      </c>
      <c r="F155" s="124">
        <v>7.8</v>
      </c>
      <c r="G155" s="14">
        <v>22713</v>
      </c>
    </row>
    <row r="156" spans="1:7" x14ac:dyDescent="0.3">
      <c r="A156" s="3">
        <v>45712</v>
      </c>
      <c r="B156" s="15" t="s">
        <v>14</v>
      </c>
      <c r="C156" s="14">
        <v>861</v>
      </c>
      <c r="D156" s="14">
        <v>153</v>
      </c>
      <c r="E156" s="14">
        <v>317007</v>
      </c>
      <c r="F156" s="124">
        <v>3.85</v>
      </c>
      <c r="G156" s="14">
        <v>8718</v>
      </c>
    </row>
    <row r="157" spans="1:7" x14ac:dyDescent="0.3">
      <c r="A157" s="3">
        <v>45712</v>
      </c>
      <c r="B157" s="15" t="s">
        <v>27</v>
      </c>
      <c r="C157" s="14">
        <v>1063</v>
      </c>
      <c r="D157" s="14">
        <v>47</v>
      </c>
      <c r="E157" s="14">
        <v>464239</v>
      </c>
      <c r="F157" s="124">
        <v>6.58</v>
      </c>
      <c r="G157" s="14">
        <v>39031</v>
      </c>
    </row>
    <row r="158" spans="1:7" x14ac:dyDescent="0.3">
      <c r="A158" s="3">
        <v>45719</v>
      </c>
      <c r="B158" s="15" t="s">
        <v>31</v>
      </c>
      <c r="C158" s="14">
        <v>1371</v>
      </c>
      <c r="D158" s="14">
        <v>56</v>
      </c>
      <c r="E158" s="14">
        <v>257579</v>
      </c>
      <c r="F158" s="124">
        <v>8.6199999999999992</v>
      </c>
      <c r="G158" s="14">
        <v>33799</v>
      </c>
    </row>
    <row r="159" spans="1:7" x14ac:dyDescent="0.3">
      <c r="A159" s="3">
        <v>45719</v>
      </c>
      <c r="B159" s="15" t="s">
        <v>40</v>
      </c>
      <c r="C159" s="14">
        <v>345</v>
      </c>
      <c r="D159" s="14">
        <v>464</v>
      </c>
      <c r="E159" s="14">
        <v>366881</v>
      </c>
      <c r="F159" s="124">
        <v>4.55</v>
      </c>
      <c r="G159" s="14">
        <v>20553</v>
      </c>
    </row>
    <row r="160" spans="1:7" x14ac:dyDescent="0.3">
      <c r="A160" s="3">
        <v>45719</v>
      </c>
      <c r="B160" s="15" t="s">
        <v>14</v>
      </c>
      <c r="C160" s="14">
        <v>946</v>
      </c>
      <c r="D160" s="14">
        <v>47</v>
      </c>
      <c r="E160" s="14">
        <v>466575</v>
      </c>
      <c r="F160" s="124">
        <v>8.33</v>
      </c>
      <c r="G160" s="14">
        <v>10002</v>
      </c>
    </row>
    <row r="161" spans="1:7" x14ac:dyDescent="0.3">
      <c r="A161" s="3">
        <v>45719</v>
      </c>
      <c r="B161" s="15" t="s">
        <v>27</v>
      </c>
      <c r="C161" s="14">
        <v>510</v>
      </c>
      <c r="D161" s="14">
        <v>195</v>
      </c>
      <c r="E161" s="14">
        <v>224534</v>
      </c>
      <c r="F161" s="124">
        <v>9.4</v>
      </c>
      <c r="G161" s="14">
        <v>30987</v>
      </c>
    </row>
    <row r="162" spans="1:7" x14ac:dyDescent="0.3">
      <c r="A162" s="3">
        <v>45726</v>
      </c>
      <c r="B162" s="15" t="s">
        <v>31</v>
      </c>
      <c r="C162" s="14">
        <v>393</v>
      </c>
      <c r="D162" s="14">
        <v>181</v>
      </c>
      <c r="E162" s="14">
        <v>462142</v>
      </c>
      <c r="F162" s="124">
        <v>7.23</v>
      </c>
      <c r="G162" s="14">
        <v>6296</v>
      </c>
    </row>
    <row r="163" spans="1:7" x14ac:dyDescent="0.3">
      <c r="A163" s="3">
        <v>45726</v>
      </c>
      <c r="B163" s="15" t="s">
        <v>40</v>
      </c>
      <c r="C163" s="14">
        <v>1098</v>
      </c>
      <c r="D163" s="14">
        <v>190</v>
      </c>
      <c r="E163" s="14">
        <v>340842</v>
      </c>
      <c r="F163" s="124">
        <v>9.39</v>
      </c>
      <c r="G163" s="14">
        <v>21539</v>
      </c>
    </row>
    <row r="164" spans="1:7" x14ac:dyDescent="0.3">
      <c r="A164" s="3">
        <v>45726</v>
      </c>
      <c r="B164" s="15" t="s">
        <v>14</v>
      </c>
      <c r="C164" s="14">
        <v>1399</v>
      </c>
      <c r="D164" s="14">
        <v>49</v>
      </c>
      <c r="E164" s="14">
        <v>12471</v>
      </c>
      <c r="F164" s="124">
        <v>5.12</v>
      </c>
      <c r="G164" s="14">
        <v>14722</v>
      </c>
    </row>
    <row r="165" spans="1:7" x14ac:dyDescent="0.3">
      <c r="A165" s="3">
        <v>45726</v>
      </c>
      <c r="B165" s="15" t="s">
        <v>27</v>
      </c>
      <c r="C165" s="14">
        <v>1658</v>
      </c>
      <c r="D165" s="14">
        <v>416</v>
      </c>
      <c r="E165" s="14">
        <v>98397</v>
      </c>
      <c r="F165" s="124">
        <v>6.11</v>
      </c>
      <c r="G165" s="14">
        <v>11383</v>
      </c>
    </row>
    <row r="166" spans="1:7" x14ac:dyDescent="0.3">
      <c r="A166" s="3">
        <v>45733</v>
      </c>
      <c r="B166" s="15" t="s">
        <v>31</v>
      </c>
      <c r="C166" s="14">
        <v>1102</v>
      </c>
      <c r="D166" s="14">
        <v>422</v>
      </c>
      <c r="E166" s="14">
        <v>410330</v>
      </c>
      <c r="F166" s="124">
        <v>7.74</v>
      </c>
      <c r="G166" s="14">
        <v>9480</v>
      </c>
    </row>
    <row r="167" spans="1:7" x14ac:dyDescent="0.3">
      <c r="A167" s="3">
        <v>45733</v>
      </c>
      <c r="B167" s="15" t="s">
        <v>40</v>
      </c>
      <c r="C167" s="14">
        <v>1358</v>
      </c>
      <c r="D167" s="14">
        <v>242</v>
      </c>
      <c r="E167" s="14">
        <v>342129</v>
      </c>
      <c r="F167" s="124">
        <v>4.9400000000000004</v>
      </c>
      <c r="G167" s="14">
        <v>29116</v>
      </c>
    </row>
    <row r="168" spans="1:7" x14ac:dyDescent="0.3">
      <c r="A168" s="3">
        <v>45733</v>
      </c>
      <c r="B168" s="15" t="s">
        <v>14</v>
      </c>
      <c r="C168" s="14">
        <v>1077</v>
      </c>
      <c r="D168" s="14">
        <v>216</v>
      </c>
      <c r="E168" s="14">
        <v>12447</v>
      </c>
      <c r="F168" s="124">
        <v>1.8</v>
      </c>
      <c r="G168" s="14">
        <v>14068</v>
      </c>
    </row>
    <row r="169" spans="1:7" x14ac:dyDescent="0.3">
      <c r="A169" s="3">
        <v>45733</v>
      </c>
      <c r="B169" s="15" t="s">
        <v>27</v>
      </c>
      <c r="C169" s="14">
        <v>1596</v>
      </c>
      <c r="D169" s="14">
        <v>211</v>
      </c>
      <c r="E169" s="14">
        <v>17380</v>
      </c>
      <c r="F169" s="124">
        <v>8.64</v>
      </c>
      <c r="G169" s="14">
        <v>35801</v>
      </c>
    </row>
    <row r="170" spans="1:7" x14ac:dyDescent="0.3">
      <c r="A170" s="3">
        <v>45740</v>
      </c>
      <c r="B170" s="15" t="s">
        <v>31</v>
      </c>
      <c r="C170" s="14">
        <v>490</v>
      </c>
      <c r="D170" s="14">
        <v>29</v>
      </c>
      <c r="E170" s="14">
        <v>364810</v>
      </c>
      <c r="F170" s="124">
        <v>1.53</v>
      </c>
      <c r="G170" s="14">
        <v>49077</v>
      </c>
    </row>
    <row r="171" spans="1:7" x14ac:dyDescent="0.3">
      <c r="A171" s="3">
        <v>45740</v>
      </c>
      <c r="B171" s="15" t="s">
        <v>40</v>
      </c>
      <c r="C171" s="14">
        <v>609</v>
      </c>
      <c r="D171" s="14">
        <v>135</v>
      </c>
      <c r="E171" s="14">
        <v>373606</v>
      </c>
      <c r="F171" s="124">
        <v>8.52</v>
      </c>
      <c r="G171" s="14">
        <v>21453</v>
      </c>
    </row>
    <row r="172" spans="1:7" x14ac:dyDescent="0.3">
      <c r="A172" s="3">
        <v>45740</v>
      </c>
      <c r="B172" s="15" t="s">
        <v>14</v>
      </c>
      <c r="C172" s="14">
        <v>364</v>
      </c>
      <c r="D172" s="14">
        <v>72</v>
      </c>
      <c r="E172" s="14">
        <v>211090</v>
      </c>
      <c r="F172" s="124">
        <v>5.53</v>
      </c>
      <c r="G172" s="14">
        <v>21061</v>
      </c>
    </row>
    <row r="173" spans="1:7" x14ac:dyDescent="0.3">
      <c r="A173" s="3">
        <v>45740</v>
      </c>
      <c r="B173" s="15" t="s">
        <v>27</v>
      </c>
      <c r="C173" s="14">
        <v>442</v>
      </c>
      <c r="D173" s="14">
        <v>53</v>
      </c>
      <c r="E173" s="14">
        <v>441931</v>
      </c>
      <c r="F173" s="124">
        <v>1.87</v>
      </c>
      <c r="G173" s="14">
        <v>20059</v>
      </c>
    </row>
    <row r="174" spans="1:7" x14ac:dyDescent="0.3">
      <c r="A174" s="3">
        <v>45747</v>
      </c>
      <c r="B174" s="15" t="s">
        <v>31</v>
      </c>
      <c r="C174" s="14">
        <v>1033</v>
      </c>
      <c r="D174" s="14">
        <v>392</v>
      </c>
      <c r="E174" s="14">
        <v>282780</v>
      </c>
      <c r="F174" s="124">
        <v>6.27</v>
      </c>
      <c r="G174" s="14">
        <v>23140</v>
      </c>
    </row>
    <row r="175" spans="1:7" x14ac:dyDescent="0.3">
      <c r="A175" s="3">
        <v>45747</v>
      </c>
      <c r="B175" s="15" t="s">
        <v>40</v>
      </c>
      <c r="C175" s="14">
        <v>988</v>
      </c>
      <c r="D175" s="14">
        <v>474</v>
      </c>
      <c r="E175" s="14">
        <v>370070</v>
      </c>
      <c r="F175" s="124">
        <v>9.4600000000000009</v>
      </c>
      <c r="G175" s="14">
        <v>23461</v>
      </c>
    </row>
    <row r="176" spans="1:7" x14ac:dyDescent="0.3">
      <c r="A176" s="3">
        <v>45747</v>
      </c>
      <c r="B176" s="15" t="s">
        <v>14</v>
      </c>
      <c r="C176" s="14">
        <v>1946</v>
      </c>
      <c r="D176" s="14">
        <v>270</v>
      </c>
      <c r="E176" s="14">
        <v>198350</v>
      </c>
      <c r="F176" s="124">
        <v>7.5</v>
      </c>
      <c r="G176" s="14">
        <v>11805</v>
      </c>
    </row>
    <row r="177" spans="1:7" x14ac:dyDescent="0.3">
      <c r="A177" s="3">
        <v>45747</v>
      </c>
      <c r="B177" s="15" t="s">
        <v>27</v>
      </c>
      <c r="C177" s="14">
        <v>1957</v>
      </c>
      <c r="D177" s="14">
        <v>490</v>
      </c>
      <c r="E177" s="14">
        <v>435726</v>
      </c>
      <c r="F177" s="124">
        <v>4.7300000000000004</v>
      </c>
      <c r="G177" s="14">
        <v>15969</v>
      </c>
    </row>
    <row r="178" spans="1:7" x14ac:dyDescent="0.3">
      <c r="A178" s="3">
        <v>45754</v>
      </c>
      <c r="B178" s="15" t="s">
        <v>31</v>
      </c>
      <c r="C178" s="14">
        <v>559</v>
      </c>
      <c r="D178" s="14">
        <v>392</v>
      </c>
      <c r="E178" s="14">
        <v>78789</v>
      </c>
      <c r="F178" s="124">
        <v>3.19</v>
      </c>
      <c r="G178" s="14">
        <v>2436</v>
      </c>
    </row>
    <row r="179" spans="1:7" x14ac:dyDescent="0.3">
      <c r="A179" s="3">
        <v>45754</v>
      </c>
      <c r="B179" s="15" t="s">
        <v>40</v>
      </c>
      <c r="C179" s="14">
        <v>1307</v>
      </c>
      <c r="D179" s="14">
        <v>278</v>
      </c>
      <c r="E179" s="14">
        <v>98596</v>
      </c>
      <c r="F179" s="124">
        <v>2.4900000000000002</v>
      </c>
      <c r="G179" s="14">
        <v>47603</v>
      </c>
    </row>
    <row r="180" spans="1:7" x14ac:dyDescent="0.3">
      <c r="A180" s="3">
        <v>45754</v>
      </c>
      <c r="B180" s="15" t="s">
        <v>14</v>
      </c>
      <c r="C180" s="14">
        <v>1432</v>
      </c>
      <c r="D180" s="14">
        <v>425</v>
      </c>
      <c r="E180" s="14">
        <v>29589</v>
      </c>
      <c r="F180" s="124">
        <v>4.5</v>
      </c>
      <c r="G180" s="14">
        <v>42964</v>
      </c>
    </row>
    <row r="181" spans="1:7" x14ac:dyDescent="0.3">
      <c r="A181" s="3">
        <v>45754</v>
      </c>
      <c r="B181" s="15" t="s">
        <v>27</v>
      </c>
      <c r="C181" s="14">
        <v>623</v>
      </c>
      <c r="D181" s="14">
        <v>414</v>
      </c>
      <c r="E181" s="14">
        <v>290354</v>
      </c>
      <c r="F181" s="124">
        <v>6.49</v>
      </c>
      <c r="G181" s="14">
        <v>39923</v>
      </c>
    </row>
    <row r="182" spans="1:7" x14ac:dyDescent="0.3">
      <c r="A182" s="3">
        <v>45761</v>
      </c>
      <c r="B182" s="15" t="s">
        <v>31</v>
      </c>
      <c r="C182" s="14">
        <v>198</v>
      </c>
      <c r="D182" s="14">
        <v>358</v>
      </c>
      <c r="E182" s="14">
        <v>66682</v>
      </c>
      <c r="F182" s="124">
        <v>6.73</v>
      </c>
      <c r="G182" s="14">
        <v>2293</v>
      </c>
    </row>
    <row r="183" spans="1:7" x14ac:dyDescent="0.3">
      <c r="A183" s="3">
        <v>45761</v>
      </c>
      <c r="B183" s="15" t="s">
        <v>40</v>
      </c>
      <c r="C183" s="14">
        <v>198</v>
      </c>
      <c r="D183" s="14">
        <v>373</v>
      </c>
      <c r="E183" s="14">
        <v>70707</v>
      </c>
      <c r="F183" s="124">
        <v>4.83</v>
      </c>
      <c r="G183" s="14">
        <v>25920</v>
      </c>
    </row>
    <row r="184" spans="1:7" x14ac:dyDescent="0.3">
      <c r="A184" s="3">
        <v>45761</v>
      </c>
      <c r="B184" s="15" t="s">
        <v>14</v>
      </c>
      <c r="C184" s="14">
        <v>353</v>
      </c>
      <c r="D184" s="14">
        <v>300</v>
      </c>
      <c r="E184" s="14">
        <v>142507</v>
      </c>
      <c r="F184" s="124">
        <v>5.3</v>
      </c>
      <c r="G184" s="14">
        <v>11035</v>
      </c>
    </row>
    <row r="185" spans="1:7" x14ac:dyDescent="0.3">
      <c r="A185" s="3">
        <v>45761</v>
      </c>
      <c r="B185" s="15" t="s">
        <v>27</v>
      </c>
      <c r="C185" s="14">
        <v>520</v>
      </c>
      <c r="D185" s="14">
        <v>375</v>
      </c>
      <c r="E185" s="14">
        <v>369525</v>
      </c>
      <c r="F185" s="124">
        <v>6.54</v>
      </c>
      <c r="G185" s="14">
        <v>20733</v>
      </c>
    </row>
    <row r="186" spans="1:7" x14ac:dyDescent="0.3">
      <c r="A186" s="3">
        <v>45768</v>
      </c>
      <c r="B186" s="15" t="s">
        <v>31</v>
      </c>
      <c r="C186" s="14">
        <v>961</v>
      </c>
      <c r="D186" s="14">
        <v>358</v>
      </c>
      <c r="E186" s="14">
        <v>62942</v>
      </c>
      <c r="F186" s="124">
        <v>6.8</v>
      </c>
      <c r="G186" s="14">
        <v>18693</v>
      </c>
    </row>
    <row r="187" spans="1:7" x14ac:dyDescent="0.3">
      <c r="A187" s="3">
        <v>45768</v>
      </c>
      <c r="B187" s="15" t="s">
        <v>40</v>
      </c>
      <c r="C187" s="14">
        <v>1375</v>
      </c>
      <c r="D187" s="14">
        <v>330</v>
      </c>
      <c r="E187" s="14">
        <v>377382</v>
      </c>
      <c r="F187" s="124">
        <v>2.6</v>
      </c>
      <c r="G187" s="14">
        <v>7875</v>
      </c>
    </row>
    <row r="188" spans="1:7" x14ac:dyDescent="0.3">
      <c r="A188" s="3">
        <v>45768</v>
      </c>
      <c r="B188" s="15" t="s">
        <v>14</v>
      </c>
      <c r="C188" s="14">
        <v>1147</v>
      </c>
      <c r="D188" s="14">
        <v>388</v>
      </c>
      <c r="E188" s="14">
        <v>333851</v>
      </c>
      <c r="F188" s="124">
        <v>2.44</v>
      </c>
      <c r="G188" s="14">
        <v>8471</v>
      </c>
    </row>
    <row r="189" spans="1:7" x14ac:dyDescent="0.3">
      <c r="A189" s="3">
        <v>45768</v>
      </c>
      <c r="B189" s="15" t="s">
        <v>27</v>
      </c>
      <c r="C189" s="14">
        <v>1707</v>
      </c>
      <c r="D189" s="14">
        <v>74</v>
      </c>
      <c r="E189" s="14">
        <v>270958</v>
      </c>
      <c r="F189" s="124">
        <v>3.09</v>
      </c>
      <c r="G189" s="14">
        <v>14090</v>
      </c>
    </row>
    <row r="190" spans="1:7" x14ac:dyDescent="0.3">
      <c r="A190" s="3">
        <v>45775</v>
      </c>
      <c r="B190" s="15" t="s">
        <v>31</v>
      </c>
      <c r="C190" s="14">
        <v>1693</v>
      </c>
      <c r="D190" s="14">
        <v>154</v>
      </c>
      <c r="E190" s="14">
        <v>445944</v>
      </c>
      <c r="F190" s="124">
        <v>5.69</v>
      </c>
      <c r="G190" s="14">
        <v>14216</v>
      </c>
    </row>
    <row r="191" spans="1:7" x14ac:dyDescent="0.3">
      <c r="A191" s="3">
        <v>45775</v>
      </c>
      <c r="B191" s="15" t="s">
        <v>40</v>
      </c>
      <c r="C191" s="14">
        <v>833</v>
      </c>
      <c r="D191" s="14">
        <v>380</v>
      </c>
      <c r="E191" s="14">
        <v>224830</v>
      </c>
      <c r="F191" s="124">
        <v>3.86</v>
      </c>
      <c r="G191" s="14">
        <v>3582</v>
      </c>
    </row>
    <row r="192" spans="1:7" x14ac:dyDescent="0.3">
      <c r="A192" s="3">
        <v>45775</v>
      </c>
      <c r="B192" s="15" t="s">
        <v>14</v>
      </c>
      <c r="C192" s="14">
        <v>1222</v>
      </c>
      <c r="D192" s="14">
        <v>274</v>
      </c>
      <c r="E192" s="14">
        <v>487289</v>
      </c>
      <c r="F192" s="124">
        <v>3.16</v>
      </c>
      <c r="G192" s="14">
        <v>32500</v>
      </c>
    </row>
    <row r="193" spans="1:7" x14ac:dyDescent="0.3">
      <c r="A193" s="3">
        <v>45775</v>
      </c>
      <c r="B193" s="15" t="s">
        <v>27</v>
      </c>
      <c r="C193" s="14">
        <v>777</v>
      </c>
      <c r="D193" s="14">
        <v>140</v>
      </c>
      <c r="E193" s="14">
        <v>11435</v>
      </c>
      <c r="F193" s="124">
        <v>1.6</v>
      </c>
      <c r="G193" s="14">
        <v>6832</v>
      </c>
    </row>
    <row r="194" spans="1:7" x14ac:dyDescent="0.3">
      <c r="A194" s="3">
        <v>45782</v>
      </c>
      <c r="B194" s="15" t="s">
        <v>31</v>
      </c>
      <c r="C194" s="14">
        <v>1957</v>
      </c>
      <c r="D194" s="14">
        <v>76</v>
      </c>
      <c r="E194" s="14">
        <v>447902</v>
      </c>
      <c r="F194" s="124">
        <v>6.09</v>
      </c>
      <c r="G194" s="14">
        <v>33381</v>
      </c>
    </row>
    <row r="195" spans="1:7" x14ac:dyDescent="0.3">
      <c r="A195" s="3">
        <v>45782</v>
      </c>
      <c r="B195" s="15" t="s">
        <v>40</v>
      </c>
      <c r="C195" s="14">
        <v>405</v>
      </c>
      <c r="D195" s="14">
        <v>66</v>
      </c>
      <c r="E195" s="14">
        <v>418696</v>
      </c>
      <c r="F195" s="124">
        <v>5.59</v>
      </c>
      <c r="G195" s="14">
        <v>48419</v>
      </c>
    </row>
    <row r="196" spans="1:7" x14ac:dyDescent="0.3">
      <c r="A196" s="3">
        <v>45782</v>
      </c>
      <c r="B196" s="15" t="s">
        <v>14</v>
      </c>
      <c r="C196" s="14">
        <v>1581</v>
      </c>
      <c r="D196" s="14">
        <v>71</v>
      </c>
      <c r="E196" s="14">
        <v>484364</v>
      </c>
      <c r="F196" s="124">
        <v>3.55</v>
      </c>
      <c r="G196" s="14">
        <v>16149</v>
      </c>
    </row>
    <row r="197" spans="1:7" x14ac:dyDescent="0.3">
      <c r="A197" s="3">
        <v>45782</v>
      </c>
      <c r="B197" s="15" t="s">
        <v>27</v>
      </c>
      <c r="C197" s="14">
        <v>1035</v>
      </c>
      <c r="D197" s="14">
        <v>171</v>
      </c>
      <c r="E197" s="14">
        <v>148477</v>
      </c>
      <c r="F197" s="124">
        <v>5.21</v>
      </c>
      <c r="G197" s="14">
        <v>7541</v>
      </c>
    </row>
    <row r="198" spans="1:7" x14ac:dyDescent="0.3">
      <c r="A198" s="3">
        <v>45789</v>
      </c>
      <c r="B198" s="15" t="s">
        <v>31</v>
      </c>
      <c r="C198" s="14">
        <v>1765</v>
      </c>
      <c r="D198" s="14">
        <v>109</v>
      </c>
      <c r="E198" s="14">
        <v>468301</v>
      </c>
      <c r="F198" s="124">
        <v>1.82</v>
      </c>
      <c r="G198" s="14">
        <v>20042</v>
      </c>
    </row>
    <row r="199" spans="1:7" x14ac:dyDescent="0.3">
      <c r="A199" s="3">
        <v>45789</v>
      </c>
      <c r="B199" s="15" t="s">
        <v>40</v>
      </c>
      <c r="C199" s="14">
        <v>837</v>
      </c>
      <c r="D199" s="14">
        <v>430</v>
      </c>
      <c r="E199" s="14">
        <v>364820</v>
      </c>
      <c r="F199" s="124">
        <v>4</v>
      </c>
      <c r="G199" s="14">
        <v>49400</v>
      </c>
    </row>
    <row r="200" spans="1:7" x14ac:dyDescent="0.3">
      <c r="A200" s="3">
        <v>45789</v>
      </c>
      <c r="B200" s="15" t="s">
        <v>14</v>
      </c>
      <c r="C200" s="14">
        <v>337</v>
      </c>
      <c r="D200" s="14">
        <v>68</v>
      </c>
      <c r="E200" s="14">
        <v>456298</v>
      </c>
      <c r="F200" s="124">
        <v>7.57</v>
      </c>
      <c r="G200" s="14">
        <v>4007</v>
      </c>
    </row>
    <row r="201" spans="1:7" x14ac:dyDescent="0.3">
      <c r="A201" s="3">
        <v>45789</v>
      </c>
      <c r="B201" s="15" t="s">
        <v>27</v>
      </c>
      <c r="C201" s="14">
        <v>119</v>
      </c>
      <c r="D201" s="14">
        <v>456</v>
      </c>
      <c r="E201" s="14">
        <v>82558</v>
      </c>
      <c r="F201" s="124">
        <v>6.81</v>
      </c>
      <c r="G201" s="14">
        <v>12174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FC3E-FD17-4EDE-A8B2-7E3FF9FC4557}">
  <dimension ref="A1:AH301"/>
  <sheetViews>
    <sheetView workbookViewId="0">
      <selection activeCell="R10" sqref="R10"/>
    </sheetView>
  </sheetViews>
  <sheetFormatPr defaultRowHeight="14.4" x14ac:dyDescent="0.3"/>
  <cols>
    <col min="12" max="12" width="16.33203125" customWidth="1"/>
    <col min="13" max="13" width="18.77734375" customWidth="1"/>
    <col min="14" max="14" width="16.5546875" customWidth="1"/>
    <col min="15" max="15" width="18" style="20" customWidth="1"/>
    <col min="18" max="18" width="9" customWidth="1"/>
    <col min="19" max="19" width="15.77734375" bestFit="1" customWidth="1"/>
    <col min="20" max="20" width="12.5546875" bestFit="1" customWidth="1"/>
    <col min="21" max="21" width="13" customWidth="1"/>
    <col min="22" max="22" width="9.109375" customWidth="1"/>
    <col min="23" max="23" width="12.44140625" customWidth="1"/>
    <col min="24" max="24" width="7.6640625" customWidth="1"/>
    <col min="25" max="25" width="14.88671875" customWidth="1"/>
    <col min="26" max="26" width="9.88671875" customWidth="1"/>
    <col min="27" max="27" width="10.109375" customWidth="1"/>
    <col min="28" max="28" width="10.88671875" customWidth="1"/>
    <col min="29" max="29" width="11.6640625" customWidth="1"/>
    <col min="30" max="30" width="18.33203125" customWidth="1"/>
    <col min="31" max="31" width="12.88671875" customWidth="1"/>
    <col min="32" max="32" width="14.21875" customWidth="1"/>
    <col min="33" max="33" width="16.21875" customWidth="1"/>
    <col min="34" max="34" width="20.88671875" customWidth="1"/>
    <col min="35" max="35" width="17.88671875" customWidth="1"/>
    <col min="36" max="80" width="3" bestFit="1" customWidth="1"/>
    <col min="81" max="210" width="4" bestFit="1" customWidth="1"/>
    <col min="211" max="211" width="10.77734375" bestFit="1" customWidth="1"/>
    <col min="212" max="319" width="4.5546875" bestFit="1" customWidth="1"/>
    <col min="320" max="320" width="10.77734375" bestFit="1" customWidth="1"/>
  </cols>
  <sheetData>
    <row r="1" spans="1:33" x14ac:dyDescent="0.3">
      <c r="A1" s="12" t="s">
        <v>0</v>
      </c>
      <c r="B1" s="17" t="s">
        <v>1</v>
      </c>
      <c r="C1" s="13" t="s">
        <v>2</v>
      </c>
      <c r="D1" s="17" t="s">
        <v>3</v>
      </c>
      <c r="E1" s="17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8" t="s">
        <v>575</v>
      </c>
      <c r="M1" s="18" t="s">
        <v>576</v>
      </c>
      <c r="N1" s="17" t="s">
        <v>12</v>
      </c>
      <c r="O1" s="19" t="s">
        <v>560</v>
      </c>
    </row>
    <row r="2" spans="1:33" ht="15.6" x14ac:dyDescent="0.3">
      <c r="A2" s="2" t="s">
        <v>13</v>
      </c>
      <c r="B2" s="15" t="s">
        <v>14</v>
      </c>
      <c r="C2" s="11" t="s">
        <v>15</v>
      </c>
      <c r="D2" s="15" t="s">
        <v>16</v>
      </c>
      <c r="E2" s="15" t="s">
        <v>17</v>
      </c>
      <c r="F2" s="14">
        <v>1461</v>
      </c>
      <c r="G2" s="14">
        <v>184</v>
      </c>
      <c r="H2" s="14">
        <v>344</v>
      </c>
      <c r="I2" s="14">
        <v>21915</v>
      </c>
      <c r="J2" s="14">
        <v>21675</v>
      </c>
      <c r="K2" s="14">
        <v>15</v>
      </c>
      <c r="L2" s="15" t="s">
        <v>18</v>
      </c>
      <c r="M2" s="15"/>
      <c r="N2" s="15" t="s">
        <v>19</v>
      </c>
      <c r="O2" s="20">
        <f t="shared" ref="O2:O65" si="0">SUM(F2,G2,H2)/I2</f>
        <v>9.0759753593429152E-2</v>
      </c>
      <c r="S2" s="152" t="s">
        <v>592</v>
      </c>
      <c r="T2" s="152"/>
      <c r="U2" s="152"/>
    </row>
    <row r="3" spans="1:33" ht="16.2" thickBot="1" x14ac:dyDescent="0.35">
      <c r="A3" s="2" t="s">
        <v>20</v>
      </c>
      <c r="B3" s="15" t="s">
        <v>14</v>
      </c>
      <c r="C3" s="11" t="s">
        <v>21</v>
      </c>
      <c r="D3" s="15" t="s">
        <v>22</v>
      </c>
      <c r="E3" s="15" t="s">
        <v>23</v>
      </c>
      <c r="F3" s="14">
        <v>4054</v>
      </c>
      <c r="G3" s="14">
        <v>389</v>
      </c>
      <c r="H3" s="14">
        <v>493</v>
      </c>
      <c r="I3" s="14">
        <v>64864</v>
      </c>
      <c r="J3" s="14">
        <v>64383</v>
      </c>
      <c r="K3" s="14">
        <v>117</v>
      </c>
      <c r="L3" s="15" t="s">
        <v>24</v>
      </c>
      <c r="M3" s="15"/>
      <c r="N3" s="15" t="s">
        <v>25</v>
      </c>
      <c r="O3" s="20">
        <f t="shared" si="0"/>
        <v>7.6097681302417369E-2</v>
      </c>
      <c r="S3" s="82" t="s">
        <v>578</v>
      </c>
      <c r="T3" s="82" t="s">
        <v>590</v>
      </c>
    </row>
    <row r="4" spans="1:33" x14ac:dyDescent="0.3">
      <c r="A4" s="2" t="s">
        <v>26</v>
      </c>
      <c r="B4" s="15" t="s">
        <v>577</v>
      </c>
      <c r="C4" s="11" t="s">
        <v>28</v>
      </c>
      <c r="D4" s="15" t="s">
        <v>16</v>
      </c>
      <c r="E4" s="15" t="s">
        <v>17</v>
      </c>
      <c r="F4" s="14">
        <v>2795</v>
      </c>
      <c r="G4" s="14">
        <v>105</v>
      </c>
      <c r="H4" s="14">
        <v>49</v>
      </c>
      <c r="I4" s="14">
        <v>53105</v>
      </c>
      <c r="J4" s="14">
        <v>52307</v>
      </c>
      <c r="K4" s="14">
        <v>204</v>
      </c>
      <c r="L4" s="15" t="s">
        <v>24</v>
      </c>
      <c r="M4" s="15" t="s">
        <v>18</v>
      </c>
      <c r="N4" s="15" t="s">
        <v>19</v>
      </c>
      <c r="O4" s="20">
        <f t="shared" si="0"/>
        <v>5.5531494209584788E-2</v>
      </c>
      <c r="S4" s="75" t="s">
        <v>40</v>
      </c>
      <c r="T4" s="72">
        <v>0.12197289956132547</v>
      </c>
    </row>
    <row r="5" spans="1:33" x14ac:dyDescent="0.3">
      <c r="A5" s="2" t="s">
        <v>30</v>
      </c>
      <c r="B5" s="15" t="s">
        <v>31</v>
      </c>
      <c r="C5" s="11" t="s">
        <v>32</v>
      </c>
      <c r="D5" s="15" t="s">
        <v>33</v>
      </c>
      <c r="E5" s="15" t="s">
        <v>34</v>
      </c>
      <c r="F5" s="14">
        <v>2404</v>
      </c>
      <c r="G5" s="14">
        <v>363</v>
      </c>
      <c r="H5" s="14">
        <v>138</v>
      </c>
      <c r="I5" s="14">
        <v>19232</v>
      </c>
      <c r="J5" s="14">
        <v>18636</v>
      </c>
      <c r="K5" s="14">
        <v>128</v>
      </c>
      <c r="L5" s="15" t="s">
        <v>18</v>
      </c>
      <c r="M5" s="15"/>
      <c r="N5" s="15" t="s">
        <v>19</v>
      </c>
      <c r="O5" s="20">
        <f t="shared" si="0"/>
        <v>0.15105033277870217</v>
      </c>
      <c r="S5" s="76" t="s">
        <v>31</v>
      </c>
      <c r="T5" s="73">
        <v>0.19329257693923488</v>
      </c>
    </row>
    <row r="6" spans="1:33" x14ac:dyDescent="0.3">
      <c r="A6" s="2" t="s">
        <v>35</v>
      </c>
      <c r="B6" s="15" t="s">
        <v>577</v>
      </c>
      <c r="C6" s="11" t="s">
        <v>36</v>
      </c>
      <c r="D6" s="15" t="s">
        <v>16</v>
      </c>
      <c r="E6" s="15" t="s">
        <v>17</v>
      </c>
      <c r="F6" s="14">
        <v>3557</v>
      </c>
      <c r="G6" s="14">
        <v>687</v>
      </c>
      <c r="H6" s="14">
        <v>424</v>
      </c>
      <c r="I6" s="14">
        <v>71140</v>
      </c>
      <c r="J6" s="14">
        <v>70701</v>
      </c>
      <c r="K6" s="14">
        <v>224</v>
      </c>
      <c r="L6" s="15" t="s">
        <v>58</v>
      </c>
      <c r="M6" s="15" t="s">
        <v>24</v>
      </c>
      <c r="N6" s="15" t="s">
        <v>38</v>
      </c>
      <c r="O6" s="20">
        <f t="shared" si="0"/>
        <v>6.5617093055946027E-2</v>
      </c>
      <c r="S6" s="76" t="s">
        <v>14</v>
      </c>
      <c r="T6" s="73">
        <v>0.14368407434207892</v>
      </c>
    </row>
    <row r="7" spans="1:33" ht="15" thickBot="1" x14ac:dyDescent="0.35">
      <c r="A7" s="2" t="s">
        <v>39</v>
      </c>
      <c r="B7" s="15" t="s">
        <v>40</v>
      </c>
      <c r="C7" s="11" t="s">
        <v>41</v>
      </c>
      <c r="D7" s="15" t="s">
        <v>42</v>
      </c>
      <c r="E7" s="15" t="s">
        <v>43</v>
      </c>
      <c r="F7" s="14">
        <v>2945</v>
      </c>
      <c r="G7" s="14">
        <v>930</v>
      </c>
      <c r="H7" s="14">
        <v>355</v>
      </c>
      <c r="I7" s="14">
        <v>23560</v>
      </c>
      <c r="J7" s="14">
        <v>23275</v>
      </c>
      <c r="K7" s="14">
        <v>256</v>
      </c>
      <c r="L7" s="15" t="s">
        <v>44</v>
      </c>
      <c r="M7" s="15"/>
      <c r="N7" s="15" t="s">
        <v>25</v>
      </c>
      <c r="O7" s="20">
        <f t="shared" si="0"/>
        <v>0.17954159592529711</v>
      </c>
      <c r="S7" s="77" t="s">
        <v>577</v>
      </c>
      <c r="T7" s="73">
        <v>0.13118493770753806</v>
      </c>
    </row>
    <row r="8" spans="1:33" ht="15" thickBot="1" x14ac:dyDescent="0.35">
      <c r="A8" s="2" t="s">
        <v>45</v>
      </c>
      <c r="B8" s="15" t="s">
        <v>14</v>
      </c>
      <c r="C8" s="11" t="s">
        <v>46</v>
      </c>
      <c r="D8" s="15" t="s">
        <v>42</v>
      </c>
      <c r="E8" s="15" t="s">
        <v>43</v>
      </c>
      <c r="F8" s="14">
        <v>3860</v>
      </c>
      <c r="G8" s="14">
        <v>201</v>
      </c>
      <c r="H8" s="14">
        <v>279</v>
      </c>
      <c r="I8" s="14">
        <v>61760</v>
      </c>
      <c r="J8" s="14">
        <v>61660</v>
      </c>
      <c r="K8" s="14">
        <v>235</v>
      </c>
      <c r="L8" s="15" t="s">
        <v>44</v>
      </c>
      <c r="M8" s="15"/>
      <c r="N8" s="15" t="s">
        <v>38</v>
      </c>
      <c r="O8" s="20">
        <f t="shared" si="0"/>
        <v>7.0272020725388601E-2</v>
      </c>
      <c r="S8" s="78" t="s">
        <v>579</v>
      </c>
      <c r="T8" s="74">
        <v>0.14828272479852853</v>
      </c>
    </row>
    <row r="9" spans="1:33" x14ac:dyDescent="0.3">
      <c r="A9" s="2" t="s">
        <v>47</v>
      </c>
      <c r="B9" s="15" t="s">
        <v>577</v>
      </c>
      <c r="C9" s="11" t="s">
        <v>48</v>
      </c>
      <c r="D9" s="15" t="s">
        <v>49</v>
      </c>
      <c r="E9" s="15" t="s">
        <v>50</v>
      </c>
      <c r="F9" s="14">
        <v>3929</v>
      </c>
      <c r="G9" s="14">
        <v>262</v>
      </c>
      <c r="H9" s="14">
        <v>278</v>
      </c>
      <c r="I9" s="14">
        <v>43219</v>
      </c>
      <c r="J9" s="14">
        <v>42841</v>
      </c>
      <c r="K9" s="14">
        <v>39</v>
      </c>
      <c r="L9" s="15" t="s">
        <v>24</v>
      </c>
      <c r="M9" s="15" t="s">
        <v>18</v>
      </c>
      <c r="N9" s="15" t="s">
        <v>38</v>
      </c>
      <c r="O9" s="20">
        <f t="shared" si="0"/>
        <v>0.10340359564080613</v>
      </c>
    </row>
    <row r="10" spans="1:33" ht="15" thickBot="1" x14ac:dyDescent="0.35">
      <c r="A10" s="2" t="s">
        <v>51</v>
      </c>
      <c r="B10" s="15" t="s">
        <v>40</v>
      </c>
      <c r="C10" s="11" t="s">
        <v>52</v>
      </c>
      <c r="D10" s="15" t="s">
        <v>22</v>
      </c>
      <c r="E10" s="15" t="s">
        <v>23</v>
      </c>
      <c r="F10" s="14">
        <v>3784</v>
      </c>
      <c r="G10" s="14">
        <v>808</v>
      </c>
      <c r="H10" s="14">
        <v>404</v>
      </c>
      <c r="I10" s="14">
        <v>56760</v>
      </c>
      <c r="J10" s="14">
        <v>56343</v>
      </c>
      <c r="K10" s="14">
        <v>131</v>
      </c>
      <c r="L10" s="15" t="s">
        <v>24</v>
      </c>
      <c r="M10" s="15" t="s">
        <v>18</v>
      </c>
      <c r="N10" s="15" t="s">
        <v>38</v>
      </c>
      <c r="O10" s="20">
        <f t="shared" si="0"/>
        <v>8.8019732205778717E-2</v>
      </c>
      <c r="S10" s="22" t="s">
        <v>580</v>
      </c>
    </row>
    <row r="11" spans="1:33" x14ac:dyDescent="0.3">
      <c r="A11" s="2" t="s">
        <v>53</v>
      </c>
      <c r="B11" s="15" t="s">
        <v>40</v>
      </c>
      <c r="C11" s="11" t="s">
        <v>54</v>
      </c>
      <c r="D11" s="15" t="s">
        <v>49</v>
      </c>
      <c r="E11" s="15" t="s">
        <v>50</v>
      </c>
      <c r="F11" s="14">
        <v>4241</v>
      </c>
      <c r="G11" s="14">
        <v>902</v>
      </c>
      <c r="H11" s="14">
        <v>47</v>
      </c>
      <c r="I11" s="14">
        <v>72097</v>
      </c>
      <c r="J11" s="14">
        <v>71598</v>
      </c>
      <c r="K11" s="14">
        <v>167</v>
      </c>
      <c r="L11" s="15" t="s">
        <v>44</v>
      </c>
      <c r="M11" s="15"/>
      <c r="N11" s="15" t="s">
        <v>55</v>
      </c>
      <c r="O11" s="20">
        <f t="shared" si="0"/>
        <v>7.198635172059864E-2</v>
      </c>
      <c r="R11" s="21"/>
      <c r="S11" s="30" t="s">
        <v>0</v>
      </c>
      <c r="T11" s="31" t="s">
        <v>1</v>
      </c>
      <c r="U11" s="32" t="s">
        <v>2</v>
      </c>
      <c r="V11" s="31" t="s">
        <v>3</v>
      </c>
      <c r="W11" s="31" t="s">
        <v>4</v>
      </c>
      <c r="X11" s="33" t="s">
        <v>5</v>
      </c>
      <c r="Y11" s="33" t="s">
        <v>6</v>
      </c>
      <c r="Z11" s="33" t="s">
        <v>7</v>
      </c>
      <c r="AA11" s="33" t="s">
        <v>8</v>
      </c>
      <c r="AB11" s="33" t="s">
        <v>9</v>
      </c>
      <c r="AC11" s="33" t="s">
        <v>10</v>
      </c>
      <c r="AD11" s="34" t="s">
        <v>575</v>
      </c>
      <c r="AE11" s="34" t="s">
        <v>576</v>
      </c>
      <c r="AF11" s="31" t="s">
        <v>12</v>
      </c>
      <c r="AG11" s="35" t="s">
        <v>560</v>
      </c>
    </row>
    <row r="12" spans="1:33" x14ac:dyDescent="0.3">
      <c r="A12" s="2" t="s">
        <v>56</v>
      </c>
      <c r="B12" s="15" t="s">
        <v>31</v>
      </c>
      <c r="C12" s="11" t="s">
        <v>57</v>
      </c>
      <c r="D12" s="15" t="s">
        <v>33</v>
      </c>
      <c r="E12" s="15" t="s">
        <v>34</v>
      </c>
      <c r="F12" s="14">
        <v>1792</v>
      </c>
      <c r="G12" s="14">
        <v>614</v>
      </c>
      <c r="H12" s="14">
        <v>497</v>
      </c>
      <c r="I12" s="14">
        <v>25088</v>
      </c>
      <c r="J12" s="14">
        <v>24675</v>
      </c>
      <c r="K12" s="14">
        <v>65</v>
      </c>
      <c r="L12" s="15" t="s">
        <v>58</v>
      </c>
      <c r="M12" s="15"/>
      <c r="N12" s="15" t="s">
        <v>19</v>
      </c>
      <c r="O12" s="20">
        <f t="shared" si="0"/>
        <v>0.11571269132653061</v>
      </c>
      <c r="S12" s="23" t="s">
        <v>435</v>
      </c>
      <c r="T12" s="15" t="s">
        <v>31</v>
      </c>
      <c r="U12" s="11" t="s">
        <v>411</v>
      </c>
      <c r="V12" s="15" t="s">
        <v>33</v>
      </c>
      <c r="W12" s="15" t="s">
        <v>34</v>
      </c>
      <c r="X12" s="14">
        <v>84</v>
      </c>
      <c r="Y12" s="14">
        <v>897</v>
      </c>
      <c r="Z12" s="14">
        <v>85</v>
      </c>
      <c r="AA12" s="14">
        <v>588</v>
      </c>
      <c r="AB12" s="14">
        <v>8</v>
      </c>
      <c r="AC12" s="14">
        <v>12</v>
      </c>
      <c r="AD12" s="15" t="s">
        <v>58</v>
      </c>
      <c r="AE12" s="15"/>
      <c r="AF12" s="15" t="s">
        <v>25</v>
      </c>
      <c r="AG12" s="24">
        <f t="shared" ref="AG12:AG20" si="1">SUM(X12,Y12,Z12)/AA12</f>
        <v>1.8129251700680271</v>
      </c>
    </row>
    <row r="13" spans="1:33" x14ac:dyDescent="0.3">
      <c r="A13" s="2" t="s">
        <v>59</v>
      </c>
      <c r="B13" s="15" t="s">
        <v>40</v>
      </c>
      <c r="C13" s="11" t="s">
        <v>60</v>
      </c>
      <c r="D13" s="15" t="s">
        <v>16</v>
      </c>
      <c r="E13" s="15" t="s">
        <v>17</v>
      </c>
      <c r="F13" s="14">
        <v>1946</v>
      </c>
      <c r="G13" s="14">
        <v>686</v>
      </c>
      <c r="H13" s="14">
        <v>377</v>
      </c>
      <c r="I13" s="14">
        <v>23352</v>
      </c>
      <c r="J13" s="14">
        <v>22982</v>
      </c>
      <c r="K13" s="14">
        <v>213</v>
      </c>
      <c r="L13" s="15" t="s">
        <v>58</v>
      </c>
      <c r="M13" s="15" t="s">
        <v>18</v>
      </c>
      <c r="N13" s="15" t="s">
        <v>38</v>
      </c>
      <c r="O13" s="20">
        <f t="shared" si="0"/>
        <v>0.12885405960945528</v>
      </c>
      <c r="S13" s="23" t="s">
        <v>165</v>
      </c>
      <c r="T13" s="15" t="s">
        <v>31</v>
      </c>
      <c r="U13" s="11" t="s">
        <v>166</v>
      </c>
      <c r="V13" s="15" t="s">
        <v>16</v>
      </c>
      <c r="W13" s="15" t="s">
        <v>17</v>
      </c>
      <c r="X13" s="14">
        <v>103</v>
      </c>
      <c r="Y13" s="14">
        <v>770</v>
      </c>
      <c r="Z13" s="14">
        <v>19</v>
      </c>
      <c r="AA13" s="14">
        <v>1030</v>
      </c>
      <c r="AB13" s="14">
        <v>410</v>
      </c>
      <c r="AC13" s="14">
        <v>262</v>
      </c>
      <c r="AD13" s="15" t="s">
        <v>18</v>
      </c>
      <c r="AE13" s="15"/>
      <c r="AF13" s="15" t="s">
        <v>38</v>
      </c>
      <c r="AG13" s="24">
        <f t="shared" si="1"/>
        <v>0.86601941747572819</v>
      </c>
    </row>
    <row r="14" spans="1:33" x14ac:dyDescent="0.3">
      <c r="A14" s="2" t="s">
        <v>62</v>
      </c>
      <c r="B14" s="15" t="s">
        <v>577</v>
      </c>
      <c r="C14" s="11" t="s">
        <v>63</v>
      </c>
      <c r="D14" s="15" t="s">
        <v>42</v>
      </c>
      <c r="E14" s="15" t="s">
        <v>43</v>
      </c>
      <c r="F14" s="14">
        <v>1171</v>
      </c>
      <c r="G14" s="14">
        <v>286</v>
      </c>
      <c r="H14" s="14">
        <v>231</v>
      </c>
      <c r="I14" s="14">
        <v>22249</v>
      </c>
      <c r="J14" s="14">
        <v>21282</v>
      </c>
      <c r="K14" s="14">
        <v>114</v>
      </c>
      <c r="L14" s="15" t="s">
        <v>24</v>
      </c>
      <c r="M14" s="15"/>
      <c r="N14" s="15" t="s">
        <v>55</v>
      </c>
      <c r="O14" s="20">
        <f t="shared" si="0"/>
        <v>7.5868578363072495E-2</v>
      </c>
      <c r="S14" s="23" t="s">
        <v>452</v>
      </c>
      <c r="T14" s="15" t="s">
        <v>14</v>
      </c>
      <c r="U14" s="11" t="s">
        <v>453</v>
      </c>
      <c r="V14" s="15" t="s">
        <v>33</v>
      </c>
      <c r="W14" s="15" t="s">
        <v>34</v>
      </c>
      <c r="X14" s="14">
        <v>249</v>
      </c>
      <c r="Y14" s="14">
        <v>592</v>
      </c>
      <c r="Z14" s="14">
        <v>230</v>
      </c>
      <c r="AA14" s="14">
        <v>1494</v>
      </c>
      <c r="AB14" s="14">
        <v>1044</v>
      </c>
      <c r="AC14" s="14">
        <v>201</v>
      </c>
      <c r="AD14" s="15" t="s">
        <v>24</v>
      </c>
      <c r="AE14" s="15" t="s">
        <v>44</v>
      </c>
      <c r="AF14" s="15" t="s">
        <v>55</v>
      </c>
      <c r="AG14" s="24">
        <f t="shared" si="1"/>
        <v>0.7168674698795181</v>
      </c>
    </row>
    <row r="15" spans="1:33" x14ac:dyDescent="0.3">
      <c r="A15" s="2" t="s">
        <v>64</v>
      </c>
      <c r="B15" s="15" t="s">
        <v>40</v>
      </c>
      <c r="C15" s="11" t="s">
        <v>65</v>
      </c>
      <c r="D15" s="15" t="s">
        <v>33</v>
      </c>
      <c r="E15" s="15" t="s">
        <v>34</v>
      </c>
      <c r="F15" s="14">
        <v>4242</v>
      </c>
      <c r="G15" s="14">
        <v>555</v>
      </c>
      <c r="H15" s="14">
        <v>131</v>
      </c>
      <c r="I15" s="14">
        <v>33936</v>
      </c>
      <c r="J15" s="14">
        <v>33802</v>
      </c>
      <c r="K15" s="14">
        <v>265</v>
      </c>
      <c r="L15" s="15" t="s">
        <v>18</v>
      </c>
      <c r="M15" s="15" t="s">
        <v>24</v>
      </c>
      <c r="N15" s="15" t="s">
        <v>38</v>
      </c>
      <c r="O15" s="20">
        <f t="shared" si="0"/>
        <v>0.14521452145214522</v>
      </c>
      <c r="S15" s="23" t="s">
        <v>373</v>
      </c>
      <c r="T15" s="15" t="s">
        <v>31</v>
      </c>
      <c r="U15" s="11" t="s">
        <v>201</v>
      </c>
      <c r="V15" s="15" t="s">
        <v>69</v>
      </c>
      <c r="W15" s="15" t="s">
        <v>70</v>
      </c>
      <c r="X15" s="14">
        <v>129</v>
      </c>
      <c r="Y15" s="14">
        <v>643</v>
      </c>
      <c r="Z15" s="14">
        <v>136</v>
      </c>
      <c r="AA15" s="14">
        <v>1290</v>
      </c>
      <c r="AB15" s="14">
        <v>839</v>
      </c>
      <c r="AC15" s="14">
        <v>238</v>
      </c>
      <c r="AD15" s="15" t="s">
        <v>58</v>
      </c>
      <c r="AE15" s="15" t="s">
        <v>77</v>
      </c>
      <c r="AF15" s="15" t="s">
        <v>55</v>
      </c>
      <c r="AG15" s="24">
        <f t="shared" si="1"/>
        <v>0.70387596899224802</v>
      </c>
    </row>
    <row r="16" spans="1:33" x14ac:dyDescent="0.3">
      <c r="A16" s="2" t="s">
        <v>67</v>
      </c>
      <c r="B16" s="15" t="s">
        <v>40</v>
      </c>
      <c r="C16" s="11" t="s">
        <v>68</v>
      </c>
      <c r="D16" s="15" t="s">
        <v>69</v>
      </c>
      <c r="E16" s="15" t="s">
        <v>70</v>
      </c>
      <c r="F16" s="14">
        <v>3888</v>
      </c>
      <c r="G16" s="14">
        <v>604</v>
      </c>
      <c r="H16" s="14">
        <v>128</v>
      </c>
      <c r="I16" s="14">
        <v>77760</v>
      </c>
      <c r="J16" s="14">
        <v>77167</v>
      </c>
      <c r="K16" s="14">
        <v>20</v>
      </c>
      <c r="L16" s="15" t="s">
        <v>24</v>
      </c>
      <c r="M16" s="15" t="s">
        <v>77</v>
      </c>
      <c r="N16" s="15" t="s">
        <v>19</v>
      </c>
      <c r="O16" s="20">
        <f t="shared" si="0"/>
        <v>5.941358024691358E-2</v>
      </c>
      <c r="S16" s="23" t="s">
        <v>367</v>
      </c>
      <c r="T16" s="15" t="s">
        <v>31</v>
      </c>
      <c r="U16" s="11" t="s">
        <v>368</v>
      </c>
      <c r="V16" s="15" t="s">
        <v>16</v>
      </c>
      <c r="W16" s="15" t="s">
        <v>17</v>
      </c>
      <c r="X16" s="14">
        <v>142</v>
      </c>
      <c r="Y16" s="14">
        <v>784</v>
      </c>
      <c r="Z16" s="14">
        <v>183</v>
      </c>
      <c r="AA16" s="14">
        <v>1704</v>
      </c>
      <c r="AB16" s="14">
        <v>995</v>
      </c>
      <c r="AC16" s="14">
        <v>154</v>
      </c>
      <c r="AD16" s="15" t="s">
        <v>18</v>
      </c>
      <c r="AE16" s="15"/>
      <c r="AF16" s="15" t="s">
        <v>19</v>
      </c>
      <c r="AG16" s="24">
        <f t="shared" si="1"/>
        <v>0.6508215962441315</v>
      </c>
    </row>
    <row r="17" spans="1:34" x14ac:dyDescent="0.3">
      <c r="A17" s="2" t="s">
        <v>72</v>
      </c>
      <c r="B17" s="15" t="s">
        <v>40</v>
      </c>
      <c r="C17" s="11" t="s">
        <v>73</v>
      </c>
      <c r="D17" s="15" t="s">
        <v>22</v>
      </c>
      <c r="E17" s="15" t="s">
        <v>23</v>
      </c>
      <c r="F17" s="14">
        <v>3452</v>
      </c>
      <c r="G17" s="14">
        <v>377</v>
      </c>
      <c r="H17" s="14">
        <v>360</v>
      </c>
      <c r="I17" s="14">
        <v>55232</v>
      </c>
      <c r="J17" s="14">
        <v>55075</v>
      </c>
      <c r="K17" s="14">
        <v>87</v>
      </c>
      <c r="L17" s="15" t="s">
        <v>18</v>
      </c>
      <c r="M17" s="15" t="s">
        <v>77</v>
      </c>
      <c r="N17" s="15" t="s">
        <v>38</v>
      </c>
      <c r="O17" s="20">
        <f t="shared" si="0"/>
        <v>7.5843713789107758E-2</v>
      </c>
      <c r="S17" s="23" t="s">
        <v>173</v>
      </c>
      <c r="T17" s="15" t="s">
        <v>14</v>
      </c>
      <c r="U17" s="11" t="s">
        <v>174</v>
      </c>
      <c r="V17" s="15" t="s">
        <v>42</v>
      </c>
      <c r="W17" s="15" t="s">
        <v>43</v>
      </c>
      <c r="X17" s="14">
        <v>53</v>
      </c>
      <c r="Y17" s="14">
        <v>81</v>
      </c>
      <c r="Z17" s="14">
        <v>379</v>
      </c>
      <c r="AA17" s="14">
        <v>954</v>
      </c>
      <c r="AB17" s="14">
        <v>7</v>
      </c>
      <c r="AC17" s="14">
        <v>148</v>
      </c>
      <c r="AD17" s="15" t="s">
        <v>77</v>
      </c>
      <c r="AE17" s="15"/>
      <c r="AF17" s="15" t="s">
        <v>38</v>
      </c>
      <c r="AG17" s="24">
        <f t="shared" si="1"/>
        <v>0.53773584905660377</v>
      </c>
    </row>
    <row r="18" spans="1:34" x14ac:dyDescent="0.3">
      <c r="A18" s="2" t="s">
        <v>75</v>
      </c>
      <c r="B18" s="15" t="s">
        <v>40</v>
      </c>
      <c r="C18" s="11" t="s">
        <v>76</v>
      </c>
      <c r="D18" s="15" t="s">
        <v>22</v>
      </c>
      <c r="E18" s="15" t="s">
        <v>23</v>
      </c>
      <c r="F18" s="14">
        <v>4441</v>
      </c>
      <c r="G18" s="14">
        <v>511</v>
      </c>
      <c r="H18" s="14">
        <v>70</v>
      </c>
      <c r="I18" s="14">
        <v>53292</v>
      </c>
      <c r="J18" s="14">
        <v>53082</v>
      </c>
      <c r="K18" s="14">
        <v>159</v>
      </c>
      <c r="L18" s="15" t="s">
        <v>77</v>
      </c>
      <c r="M18" s="15"/>
      <c r="N18" s="15" t="s">
        <v>38</v>
      </c>
      <c r="O18" s="20">
        <f t="shared" si="0"/>
        <v>9.4235532537716729E-2</v>
      </c>
      <c r="S18" s="23" t="s">
        <v>500</v>
      </c>
      <c r="T18" s="15" t="s">
        <v>14</v>
      </c>
      <c r="U18" s="11" t="s">
        <v>501</v>
      </c>
      <c r="V18" s="15" t="s">
        <v>49</v>
      </c>
      <c r="W18" s="15" t="s">
        <v>50</v>
      </c>
      <c r="X18" s="14">
        <v>59</v>
      </c>
      <c r="Y18" s="14">
        <v>163</v>
      </c>
      <c r="Z18" s="14">
        <v>93</v>
      </c>
      <c r="AA18" s="14">
        <v>590</v>
      </c>
      <c r="AB18" s="14">
        <v>475</v>
      </c>
      <c r="AC18" s="14">
        <v>293</v>
      </c>
      <c r="AD18" s="15" t="s">
        <v>44</v>
      </c>
      <c r="AE18" s="15"/>
      <c r="AF18" s="15" t="s">
        <v>55</v>
      </c>
      <c r="AG18" s="24">
        <f t="shared" si="1"/>
        <v>0.53389830508474578</v>
      </c>
    </row>
    <row r="19" spans="1:34" x14ac:dyDescent="0.3">
      <c r="A19" s="2" t="s">
        <v>78</v>
      </c>
      <c r="B19" s="15" t="s">
        <v>31</v>
      </c>
      <c r="C19" s="11" t="s">
        <v>79</v>
      </c>
      <c r="D19" s="15" t="s">
        <v>16</v>
      </c>
      <c r="E19" s="15" t="s">
        <v>17</v>
      </c>
      <c r="F19" s="14">
        <v>3000</v>
      </c>
      <c r="G19" s="14">
        <v>382</v>
      </c>
      <c r="H19" s="14">
        <v>325</v>
      </c>
      <c r="I19" s="14">
        <v>36000</v>
      </c>
      <c r="J19" s="14">
        <v>35819</v>
      </c>
      <c r="K19" s="14">
        <v>19</v>
      </c>
      <c r="L19" s="15" t="s">
        <v>58</v>
      </c>
      <c r="M19" s="15"/>
      <c r="N19" s="15" t="s">
        <v>25</v>
      </c>
      <c r="O19" s="20">
        <f t="shared" si="0"/>
        <v>0.10297222222222223</v>
      </c>
      <c r="S19" s="23" t="s">
        <v>316</v>
      </c>
      <c r="T19" s="15" t="s">
        <v>577</v>
      </c>
      <c r="U19" s="11" t="s">
        <v>270</v>
      </c>
      <c r="V19" s="15" t="s">
        <v>42</v>
      </c>
      <c r="W19" s="15" t="s">
        <v>43</v>
      </c>
      <c r="X19" s="14">
        <v>80</v>
      </c>
      <c r="Y19" s="14">
        <v>362</v>
      </c>
      <c r="Z19" s="14">
        <v>80</v>
      </c>
      <c r="AA19" s="14">
        <v>1040</v>
      </c>
      <c r="AB19" s="14">
        <v>349</v>
      </c>
      <c r="AC19" s="14">
        <v>117</v>
      </c>
      <c r="AD19" s="15" t="s">
        <v>24</v>
      </c>
      <c r="AE19" s="15" t="s">
        <v>58</v>
      </c>
      <c r="AF19" s="15" t="s">
        <v>25</v>
      </c>
      <c r="AG19" s="24">
        <f t="shared" si="1"/>
        <v>0.50192307692307692</v>
      </c>
    </row>
    <row r="20" spans="1:34" x14ac:dyDescent="0.3">
      <c r="A20" s="2" t="s">
        <v>80</v>
      </c>
      <c r="B20" s="15" t="s">
        <v>31</v>
      </c>
      <c r="C20" s="11" t="s">
        <v>81</v>
      </c>
      <c r="D20" s="15" t="s">
        <v>69</v>
      </c>
      <c r="E20" s="15" t="s">
        <v>70</v>
      </c>
      <c r="F20" s="14">
        <v>1071</v>
      </c>
      <c r="G20" s="14">
        <v>519</v>
      </c>
      <c r="H20" s="14">
        <v>22</v>
      </c>
      <c r="I20" s="14">
        <v>16065</v>
      </c>
      <c r="J20" s="14">
        <v>15865</v>
      </c>
      <c r="K20" s="14">
        <v>103</v>
      </c>
      <c r="L20" s="15" t="s">
        <v>18</v>
      </c>
      <c r="M20" s="15" t="s">
        <v>58</v>
      </c>
      <c r="N20" s="15" t="s">
        <v>38</v>
      </c>
      <c r="O20" s="20">
        <f t="shared" si="0"/>
        <v>0.10034235916588857</v>
      </c>
      <c r="S20" s="23" t="s">
        <v>422</v>
      </c>
      <c r="T20" s="15" t="s">
        <v>577</v>
      </c>
      <c r="U20" s="11" t="s">
        <v>345</v>
      </c>
      <c r="V20" s="15" t="s">
        <v>49</v>
      </c>
      <c r="W20" s="15" t="s">
        <v>50</v>
      </c>
      <c r="X20" s="14">
        <v>257</v>
      </c>
      <c r="Y20" s="14">
        <v>966</v>
      </c>
      <c r="Z20" s="14">
        <v>398</v>
      </c>
      <c r="AA20" s="14">
        <v>3341</v>
      </c>
      <c r="AB20" s="14">
        <v>2753</v>
      </c>
      <c r="AC20" s="14">
        <v>287</v>
      </c>
      <c r="AD20" s="15" t="s">
        <v>44</v>
      </c>
      <c r="AE20" s="15" t="s">
        <v>18</v>
      </c>
      <c r="AF20" s="15" t="s">
        <v>19</v>
      </c>
      <c r="AG20" s="24">
        <f t="shared" si="1"/>
        <v>0.48518407662376534</v>
      </c>
    </row>
    <row r="21" spans="1:34" ht="15" thickBot="1" x14ac:dyDescent="0.35">
      <c r="A21" s="2" t="s">
        <v>83</v>
      </c>
      <c r="B21" s="15" t="s">
        <v>31</v>
      </c>
      <c r="C21" s="11" t="s">
        <v>84</v>
      </c>
      <c r="D21" s="15" t="s">
        <v>42</v>
      </c>
      <c r="E21" s="15" t="s">
        <v>43</v>
      </c>
      <c r="F21" s="14">
        <v>4054</v>
      </c>
      <c r="G21" s="14">
        <v>488</v>
      </c>
      <c r="H21" s="14">
        <v>373</v>
      </c>
      <c r="I21" s="14">
        <v>77026</v>
      </c>
      <c r="J21" s="14">
        <v>76881</v>
      </c>
      <c r="K21" s="14">
        <v>25</v>
      </c>
      <c r="L21" s="15" t="s">
        <v>24</v>
      </c>
      <c r="M21" s="15" t="s">
        <v>18</v>
      </c>
      <c r="N21" s="15" t="s">
        <v>38</v>
      </c>
      <c r="O21" s="20">
        <f t="shared" si="0"/>
        <v>6.3809622724794221E-2</v>
      </c>
      <c r="S21" s="25" t="s">
        <v>188</v>
      </c>
      <c r="T21" s="26" t="s">
        <v>40</v>
      </c>
      <c r="U21" s="27" t="s">
        <v>189</v>
      </c>
      <c r="V21" s="26" t="s">
        <v>69</v>
      </c>
      <c r="W21" s="26" t="s">
        <v>70</v>
      </c>
      <c r="X21" s="28">
        <v>199</v>
      </c>
      <c r="Y21" s="28">
        <v>772</v>
      </c>
      <c r="Z21" s="28">
        <v>400</v>
      </c>
      <c r="AA21" s="28">
        <v>3582</v>
      </c>
      <c r="AB21" s="28">
        <v>2988</v>
      </c>
      <c r="AC21" s="28">
        <v>43</v>
      </c>
      <c r="AD21" s="26" t="s">
        <v>44</v>
      </c>
      <c r="AE21" s="26"/>
      <c r="AF21" s="26" t="s">
        <v>19</v>
      </c>
      <c r="AG21" s="29">
        <f t="shared" ref="AG21" si="2">SUM(X21,Y21,Z21)/AA21</f>
        <v>0.38274706867671693</v>
      </c>
    </row>
    <row r="22" spans="1:34" x14ac:dyDescent="0.3">
      <c r="A22" s="2" t="s">
        <v>85</v>
      </c>
      <c r="B22" s="15" t="s">
        <v>31</v>
      </c>
      <c r="C22" s="11" t="s">
        <v>86</v>
      </c>
      <c r="D22" s="15" t="s">
        <v>16</v>
      </c>
      <c r="E22" s="15" t="s">
        <v>17</v>
      </c>
      <c r="F22" s="14">
        <v>4838</v>
      </c>
      <c r="G22" s="14">
        <v>640</v>
      </c>
      <c r="H22" s="14">
        <v>128</v>
      </c>
      <c r="I22" s="14">
        <v>72570</v>
      </c>
      <c r="J22" s="14">
        <v>72396</v>
      </c>
      <c r="K22" s="14">
        <v>83</v>
      </c>
      <c r="L22" s="15" t="s">
        <v>58</v>
      </c>
      <c r="M22" s="15" t="s">
        <v>44</v>
      </c>
      <c r="N22" s="15" t="s">
        <v>38</v>
      </c>
      <c r="O22" s="20">
        <f t="shared" si="0"/>
        <v>7.7249552156538517E-2</v>
      </c>
    </row>
    <row r="23" spans="1:34" x14ac:dyDescent="0.3">
      <c r="A23" s="2" t="s">
        <v>88</v>
      </c>
      <c r="B23" s="15" t="s">
        <v>40</v>
      </c>
      <c r="C23" s="11" t="s">
        <v>89</v>
      </c>
      <c r="D23" s="15" t="s">
        <v>22</v>
      </c>
      <c r="E23" s="15" t="s">
        <v>23</v>
      </c>
      <c r="F23" s="14">
        <v>1570</v>
      </c>
      <c r="G23" s="14">
        <v>187</v>
      </c>
      <c r="H23" s="14">
        <v>260</v>
      </c>
      <c r="I23" s="14">
        <v>25120</v>
      </c>
      <c r="J23" s="14">
        <v>24613</v>
      </c>
      <c r="K23" s="14">
        <v>133</v>
      </c>
      <c r="L23" s="15" t="s">
        <v>18</v>
      </c>
      <c r="M23" s="15"/>
      <c r="N23" s="15" t="s">
        <v>55</v>
      </c>
      <c r="O23" s="20">
        <f t="shared" si="0"/>
        <v>8.0294585987261149E-2</v>
      </c>
    </row>
    <row r="24" spans="1:34" ht="16.2" thickBot="1" x14ac:dyDescent="0.35">
      <c r="A24" s="2" t="s">
        <v>90</v>
      </c>
      <c r="B24" s="15" t="s">
        <v>40</v>
      </c>
      <c r="C24" s="11" t="s">
        <v>91</v>
      </c>
      <c r="D24" s="15" t="s">
        <v>69</v>
      </c>
      <c r="E24" s="15" t="s">
        <v>70</v>
      </c>
      <c r="F24" s="14">
        <v>1606</v>
      </c>
      <c r="G24" s="14">
        <v>547</v>
      </c>
      <c r="H24" s="14">
        <v>316</v>
      </c>
      <c r="I24" s="14">
        <v>32120</v>
      </c>
      <c r="J24" s="14">
        <v>31736</v>
      </c>
      <c r="K24" s="14">
        <v>225</v>
      </c>
      <c r="L24" s="15" t="s">
        <v>18</v>
      </c>
      <c r="M24" s="15"/>
      <c r="N24" s="15" t="s">
        <v>38</v>
      </c>
      <c r="O24" s="20">
        <f t="shared" si="0"/>
        <v>7.6867995018679955E-2</v>
      </c>
      <c r="S24" s="150" t="s">
        <v>581</v>
      </c>
      <c r="T24" s="151"/>
      <c r="U24" s="151"/>
      <c r="V24" s="151"/>
      <c r="W24" s="151"/>
      <c r="X24" s="151"/>
    </row>
    <row r="25" spans="1:34" x14ac:dyDescent="0.3">
      <c r="A25" s="2" t="s">
        <v>92</v>
      </c>
      <c r="B25" s="15" t="s">
        <v>40</v>
      </c>
      <c r="C25" s="11" t="s">
        <v>93</v>
      </c>
      <c r="D25" s="15" t="s">
        <v>69</v>
      </c>
      <c r="E25" s="15" t="s">
        <v>70</v>
      </c>
      <c r="F25" s="14">
        <v>3961</v>
      </c>
      <c r="G25" s="14">
        <v>761</v>
      </c>
      <c r="H25" s="14">
        <v>131</v>
      </c>
      <c r="I25" s="14">
        <v>67337</v>
      </c>
      <c r="J25" s="14">
        <v>66615</v>
      </c>
      <c r="K25" s="14">
        <v>161</v>
      </c>
      <c r="L25" s="15" t="s">
        <v>44</v>
      </c>
      <c r="M25" s="15"/>
      <c r="N25" s="15" t="s">
        <v>25</v>
      </c>
      <c r="O25" s="20">
        <f t="shared" si="0"/>
        <v>7.2070332803659209E-2</v>
      </c>
      <c r="S25" s="71"/>
      <c r="T25" s="36" t="s">
        <v>582</v>
      </c>
      <c r="U25" s="54"/>
      <c r="V25" s="55"/>
      <c r="W25" s="57"/>
      <c r="X25" s="58"/>
      <c r="Y25" s="59"/>
      <c r="Z25" s="60"/>
      <c r="AA25" s="54"/>
      <c r="AB25" s="55"/>
      <c r="AC25" s="60"/>
      <c r="AD25" s="54"/>
      <c r="AE25" s="55"/>
      <c r="AF25" s="61"/>
      <c r="AG25" s="61"/>
      <c r="AH25" s="62"/>
    </row>
    <row r="26" spans="1:34" x14ac:dyDescent="0.3">
      <c r="A26" s="2" t="s">
        <v>94</v>
      </c>
      <c r="B26" s="15" t="s">
        <v>14</v>
      </c>
      <c r="C26" s="11" t="s">
        <v>95</v>
      </c>
      <c r="D26" s="15" t="s">
        <v>42</v>
      </c>
      <c r="E26" s="15" t="s">
        <v>43</v>
      </c>
      <c r="F26" s="14">
        <v>3128</v>
      </c>
      <c r="G26" s="14">
        <v>211</v>
      </c>
      <c r="H26" s="14">
        <v>197</v>
      </c>
      <c r="I26" s="14">
        <v>59432</v>
      </c>
      <c r="J26" s="14">
        <v>59182</v>
      </c>
      <c r="K26" s="14">
        <v>238</v>
      </c>
      <c r="L26" s="15" t="s">
        <v>58</v>
      </c>
      <c r="M26" s="15" t="s">
        <v>18</v>
      </c>
      <c r="N26" s="15" t="s">
        <v>19</v>
      </c>
      <c r="O26" s="20">
        <f t="shared" si="0"/>
        <v>5.9496567505720827E-2</v>
      </c>
      <c r="S26" s="37"/>
      <c r="T26" s="56" t="s">
        <v>40</v>
      </c>
      <c r="U26" s="38"/>
      <c r="V26" s="48"/>
      <c r="W26" s="63" t="s">
        <v>31</v>
      </c>
      <c r="X26" s="64"/>
      <c r="Y26" s="65"/>
      <c r="Z26" s="51" t="s">
        <v>14</v>
      </c>
      <c r="AA26" s="38"/>
      <c r="AB26" s="48"/>
      <c r="AC26" s="51" t="s">
        <v>577</v>
      </c>
      <c r="AD26" s="38"/>
      <c r="AE26" s="48"/>
      <c r="AF26" s="45" t="s">
        <v>584</v>
      </c>
      <c r="AG26" s="45" t="s">
        <v>585</v>
      </c>
      <c r="AH26" s="66" t="s">
        <v>587</v>
      </c>
    </row>
    <row r="27" spans="1:34" x14ac:dyDescent="0.3">
      <c r="A27" s="2" t="s">
        <v>96</v>
      </c>
      <c r="B27" s="15" t="s">
        <v>577</v>
      </c>
      <c r="C27" s="11" t="s">
        <v>97</v>
      </c>
      <c r="D27" s="15" t="s">
        <v>16</v>
      </c>
      <c r="E27" s="15" t="s">
        <v>17</v>
      </c>
      <c r="F27" s="14">
        <v>3009</v>
      </c>
      <c r="G27" s="14">
        <v>413</v>
      </c>
      <c r="H27" s="14">
        <v>358</v>
      </c>
      <c r="I27" s="14">
        <v>42126</v>
      </c>
      <c r="J27" s="14">
        <v>41309</v>
      </c>
      <c r="K27" s="14">
        <v>211</v>
      </c>
      <c r="L27" s="15" t="s">
        <v>18</v>
      </c>
      <c r="M27" s="15"/>
      <c r="N27" s="15" t="s">
        <v>25</v>
      </c>
      <c r="O27" s="20">
        <f t="shared" si="0"/>
        <v>8.9730807577268201E-2</v>
      </c>
      <c r="S27" s="70" t="s">
        <v>578</v>
      </c>
      <c r="T27" s="67" t="s">
        <v>583</v>
      </c>
      <c r="U27" s="67" t="s">
        <v>586</v>
      </c>
      <c r="V27" s="68" t="s">
        <v>588</v>
      </c>
      <c r="W27" s="69" t="s">
        <v>583</v>
      </c>
      <c r="X27" s="67" t="s">
        <v>586</v>
      </c>
      <c r="Y27" s="68" t="s">
        <v>588</v>
      </c>
      <c r="Z27" s="69" t="s">
        <v>583</v>
      </c>
      <c r="AA27" s="67" t="s">
        <v>586</v>
      </c>
      <c r="AB27" s="68" t="s">
        <v>588</v>
      </c>
      <c r="AC27" s="69" t="s">
        <v>583</v>
      </c>
      <c r="AD27" s="67" t="s">
        <v>586</v>
      </c>
      <c r="AE27" s="68" t="s">
        <v>588</v>
      </c>
      <c r="AF27" s="45"/>
      <c r="AG27" s="45"/>
      <c r="AH27" s="66"/>
    </row>
    <row r="28" spans="1:34" x14ac:dyDescent="0.3">
      <c r="A28" s="2" t="s">
        <v>98</v>
      </c>
      <c r="B28" s="15" t="s">
        <v>577</v>
      </c>
      <c r="C28" s="11" t="s">
        <v>99</v>
      </c>
      <c r="D28" s="15" t="s">
        <v>22</v>
      </c>
      <c r="E28" s="15" t="s">
        <v>23</v>
      </c>
      <c r="F28" s="14">
        <v>2076</v>
      </c>
      <c r="G28" s="14">
        <v>195</v>
      </c>
      <c r="H28" s="14">
        <v>104</v>
      </c>
      <c r="I28" s="14">
        <v>33216</v>
      </c>
      <c r="J28" s="14">
        <v>32244</v>
      </c>
      <c r="K28" s="14">
        <v>51</v>
      </c>
      <c r="L28" s="15" t="s">
        <v>44</v>
      </c>
      <c r="M28" s="15"/>
      <c r="N28" s="15" t="s">
        <v>55</v>
      </c>
      <c r="O28" s="20">
        <f t="shared" si="0"/>
        <v>7.1501685934489398E-2</v>
      </c>
      <c r="S28" s="43" t="s">
        <v>42</v>
      </c>
      <c r="T28" s="39">
        <v>44476</v>
      </c>
      <c r="U28" s="39">
        <v>7400</v>
      </c>
      <c r="V28" s="49">
        <v>4589</v>
      </c>
      <c r="W28" s="52">
        <v>43948</v>
      </c>
      <c r="X28" s="39">
        <v>6975</v>
      </c>
      <c r="Y28" s="49">
        <v>3890</v>
      </c>
      <c r="Z28" s="52">
        <v>48649</v>
      </c>
      <c r="AA28" s="39">
        <v>5791</v>
      </c>
      <c r="AB28" s="49">
        <v>3607</v>
      </c>
      <c r="AC28" s="52">
        <v>24926</v>
      </c>
      <c r="AD28" s="39">
        <v>6305</v>
      </c>
      <c r="AE28" s="49">
        <v>2422</v>
      </c>
      <c r="AF28" s="46">
        <v>161999</v>
      </c>
      <c r="AG28" s="46">
        <v>26471</v>
      </c>
      <c r="AH28" s="40">
        <v>14508</v>
      </c>
    </row>
    <row r="29" spans="1:34" x14ac:dyDescent="0.3">
      <c r="A29" s="2" t="s">
        <v>100</v>
      </c>
      <c r="B29" s="15" t="s">
        <v>31</v>
      </c>
      <c r="C29" s="11" t="s">
        <v>101</v>
      </c>
      <c r="D29" s="15" t="s">
        <v>69</v>
      </c>
      <c r="E29" s="15" t="s">
        <v>70</v>
      </c>
      <c r="F29" s="14">
        <v>432</v>
      </c>
      <c r="G29" s="14">
        <v>624</v>
      </c>
      <c r="H29" s="14">
        <v>123</v>
      </c>
      <c r="I29" s="14">
        <v>6912</v>
      </c>
      <c r="J29" s="14">
        <v>6259</v>
      </c>
      <c r="K29" s="14">
        <v>79</v>
      </c>
      <c r="L29" s="15" t="s">
        <v>18</v>
      </c>
      <c r="M29" s="15" t="s">
        <v>44</v>
      </c>
      <c r="N29" s="15" t="s">
        <v>25</v>
      </c>
      <c r="O29" s="20">
        <f t="shared" si="0"/>
        <v>0.17057291666666666</v>
      </c>
      <c r="S29" s="43" t="s">
        <v>49</v>
      </c>
      <c r="T29" s="39">
        <v>71602</v>
      </c>
      <c r="U29" s="39">
        <v>12904</v>
      </c>
      <c r="V29" s="49">
        <v>6495</v>
      </c>
      <c r="W29" s="52">
        <v>34202</v>
      </c>
      <c r="X29" s="39">
        <v>5286</v>
      </c>
      <c r="Y29" s="49">
        <v>2655</v>
      </c>
      <c r="Z29" s="52">
        <v>43761</v>
      </c>
      <c r="AA29" s="39">
        <v>7110</v>
      </c>
      <c r="AB29" s="49">
        <v>5125</v>
      </c>
      <c r="AC29" s="52">
        <v>23903</v>
      </c>
      <c r="AD29" s="39">
        <v>4310</v>
      </c>
      <c r="AE29" s="49">
        <v>2077</v>
      </c>
      <c r="AF29" s="46">
        <v>173468</v>
      </c>
      <c r="AG29" s="46">
        <v>29610</v>
      </c>
      <c r="AH29" s="40">
        <v>16352</v>
      </c>
    </row>
    <row r="30" spans="1:34" x14ac:dyDescent="0.3">
      <c r="A30" s="2" t="s">
        <v>103</v>
      </c>
      <c r="B30" s="15" t="s">
        <v>31</v>
      </c>
      <c r="C30" s="11" t="s">
        <v>104</v>
      </c>
      <c r="D30" s="15" t="s">
        <v>42</v>
      </c>
      <c r="E30" s="15" t="s">
        <v>43</v>
      </c>
      <c r="F30" s="14">
        <v>2566</v>
      </c>
      <c r="G30" s="14">
        <v>118</v>
      </c>
      <c r="H30" s="14">
        <v>37</v>
      </c>
      <c r="I30" s="14">
        <v>12830</v>
      </c>
      <c r="J30" s="14">
        <v>12264</v>
      </c>
      <c r="K30" s="14">
        <v>221</v>
      </c>
      <c r="L30" s="15" t="s">
        <v>44</v>
      </c>
      <c r="M30" s="15" t="s">
        <v>24</v>
      </c>
      <c r="N30" s="15" t="s">
        <v>38</v>
      </c>
      <c r="O30" s="20">
        <f t="shared" si="0"/>
        <v>0.21208106001558846</v>
      </c>
      <c r="S30" s="43" t="s">
        <v>16</v>
      </c>
      <c r="T30" s="39">
        <v>36368</v>
      </c>
      <c r="U30" s="39">
        <v>5964</v>
      </c>
      <c r="V30" s="49">
        <v>3353</v>
      </c>
      <c r="W30" s="52">
        <v>32148</v>
      </c>
      <c r="X30" s="39">
        <v>8110</v>
      </c>
      <c r="Y30" s="49">
        <v>3386</v>
      </c>
      <c r="Z30" s="52">
        <v>27029</v>
      </c>
      <c r="AA30" s="39">
        <v>4550</v>
      </c>
      <c r="AB30" s="49">
        <v>1913</v>
      </c>
      <c r="AC30" s="52">
        <v>32400</v>
      </c>
      <c r="AD30" s="39">
        <v>4577</v>
      </c>
      <c r="AE30" s="49">
        <v>2668</v>
      </c>
      <c r="AF30" s="46">
        <v>127945</v>
      </c>
      <c r="AG30" s="46">
        <v>23201</v>
      </c>
      <c r="AH30" s="40">
        <v>11320</v>
      </c>
    </row>
    <row r="31" spans="1:34" x14ac:dyDescent="0.3">
      <c r="A31" s="2" t="s">
        <v>106</v>
      </c>
      <c r="B31" s="15" t="s">
        <v>31</v>
      </c>
      <c r="C31" s="11" t="s">
        <v>107</v>
      </c>
      <c r="D31" s="15" t="s">
        <v>69</v>
      </c>
      <c r="E31" s="15" t="s">
        <v>70</v>
      </c>
      <c r="F31" s="14">
        <v>3095</v>
      </c>
      <c r="G31" s="14">
        <v>39</v>
      </c>
      <c r="H31" s="14">
        <v>78</v>
      </c>
      <c r="I31" s="14">
        <v>55710</v>
      </c>
      <c r="J31" s="14">
        <v>54808</v>
      </c>
      <c r="K31" s="14">
        <v>93</v>
      </c>
      <c r="L31" s="15" t="s">
        <v>18</v>
      </c>
      <c r="M31" s="15"/>
      <c r="N31" s="15" t="s">
        <v>55</v>
      </c>
      <c r="O31" s="20">
        <f t="shared" si="0"/>
        <v>5.7655717106444085E-2</v>
      </c>
      <c r="S31" s="43" t="s">
        <v>33</v>
      </c>
      <c r="T31" s="39">
        <v>29405</v>
      </c>
      <c r="U31" s="39">
        <v>4950</v>
      </c>
      <c r="V31" s="49">
        <v>3223</v>
      </c>
      <c r="W31" s="52">
        <v>42649</v>
      </c>
      <c r="X31" s="39">
        <v>10049</v>
      </c>
      <c r="Y31" s="49">
        <v>3846</v>
      </c>
      <c r="Z31" s="52">
        <v>20466</v>
      </c>
      <c r="AA31" s="39">
        <v>5090</v>
      </c>
      <c r="AB31" s="49">
        <v>3026</v>
      </c>
      <c r="AC31" s="52">
        <v>31968</v>
      </c>
      <c r="AD31" s="39">
        <v>3866</v>
      </c>
      <c r="AE31" s="49">
        <v>2012</v>
      </c>
      <c r="AF31" s="46">
        <v>124488</v>
      </c>
      <c r="AG31" s="46">
        <v>23955</v>
      </c>
      <c r="AH31" s="40">
        <v>12107</v>
      </c>
    </row>
    <row r="32" spans="1:34" x14ac:dyDescent="0.3">
      <c r="A32" s="2" t="s">
        <v>108</v>
      </c>
      <c r="B32" s="15" t="s">
        <v>31</v>
      </c>
      <c r="C32" s="11" t="s">
        <v>109</v>
      </c>
      <c r="D32" s="15" t="s">
        <v>22</v>
      </c>
      <c r="E32" s="15" t="s">
        <v>23</v>
      </c>
      <c r="F32" s="14">
        <v>438</v>
      </c>
      <c r="G32" s="14">
        <v>153</v>
      </c>
      <c r="H32" s="14">
        <v>275</v>
      </c>
      <c r="I32" s="14">
        <v>3066</v>
      </c>
      <c r="J32" s="14">
        <v>2701</v>
      </c>
      <c r="K32" s="14">
        <v>282</v>
      </c>
      <c r="L32" s="15" t="s">
        <v>44</v>
      </c>
      <c r="M32" s="15"/>
      <c r="N32" s="15" t="s">
        <v>55</v>
      </c>
      <c r="O32" s="20">
        <f t="shared" si="0"/>
        <v>0.28245270711024134</v>
      </c>
      <c r="S32" s="43" t="s">
        <v>22</v>
      </c>
      <c r="T32" s="39">
        <v>31963</v>
      </c>
      <c r="U32" s="39">
        <v>4792</v>
      </c>
      <c r="V32" s="49">
        <v>3377</v>
      </c>
      <c r="W32" s="52">
        <v>25567</v>
      </c>
      <c r="X32" s="39">
        <v>5112</v>
      </c>
      <c r="Y32" s="49">
        <v>1946</v>
      </c>
      <c r="Z32" s="52">
        <v>31899</v>
      </c>
      <c r="AA32" s="39">
        <v>4861</v>
      </c>
      <c r="AB32" s="49">
        <v>3910</v>
      </c>
      <c r="AC32" s="52">
        <v>27067</v>
      </c>
      <c r="AD32" s="39">
        <v>3928</v>
      </c>
      <c r="AE32" s="49">
        <v>1052</v>
      </c>
      <c r="AF32" s="46">
        <v>116496</v>
      </c>
      <c r="AG32" s="46">
        <v>18693</v>
      </c>
      <c r="AH32" s="40">
        <v>10285</v>
      </c>
    </row>
    <row r="33" spans="1:34" x14ac:dyDescent="0.3">
      <c r="A33" s="2" t="s">
        <v>110</v>
      </c>
      <c r="B33" s="15" t="s">
        <v>14</v>
      </c>
      <c r="C33" s="11" t="s">
        <v>111</v>
      </c>
      <c r="D33" s="15" t="s">
        <v>42</v>
      </c>
      <c r="E33" s="15" t="s">
        <v>43</v>
      </c>
      <c r="F33" s="14">
        <v>2278</v>
      </c>
      <c r="G33" s="14">
        <v>10</v>
      </c>
      <c r="H33" s="14">
        <v>321</v>
      </c>
      <c r="I33" s="14">
        <v>13668</v>
      </c>
      <c r="J33" s="14">
        <v>12676</v>
      </c>
      <c r="K33" s="14">
        <v>275</v>
      </c>
      <c r="L33" s="15" t="s">
        <v>44</v>
      </c>
      <c r="M33" s="15" t="s">
        <v>24</v>
      </c>
      <c r="N33" s="15" t="s">
        <v>55</v>
      </c>
      <c r="O33" s="20">
        <f t="shared" si="0"/>
        <v>0.19088381621305239</v>
      </c>
      <c r="S33" s="43" t="s">
        <v>69</v>
      </c>
      <c r="T33" s="39">
        <v>28947</v>
      </c>
      <c r="U33" s="39">
        <v>3171</v>
      </c>
      <c r="V33" s="49">
        <v>2263</v>
      </c>
      <c r="W33" s="52">
        <v>25770</v>
      </c>
      <c r="X33" s="39">
        <v>5912</v>
      </c>
      <c r="Y33" s="49">
        <v>2128</v>
      </c>
      <c r="Z33" s="52">
        <v>29593</v>
      </c>
      <c r="AA33" s="39">
        <v>6326</v>
      </c>
      <c r="AB33" s="49">
        <v>3299</v>
      </c>
      <c r="AC33" s="52">
        <v>31285</v>
      </c>
      <c r="AD33" s="39">
        <v>5586</v>
      </c>
      <c r="AE33" s="49">
        <v>2589</v>
      </c>
      <c r="AF33" s="46">
        <v>115595</v>
      </c>
      <c r="AG33" s="46">
        <v>20995</v>
      </c>
      <c r="AH33" s="40">
        <v>10279</v>
      </c>
    </row>
    <row r="34" spans="1:34" ht="15" thickBot="1" x14ac:dyDescent="0.35">
      <c r="A34" s="2" t="s">
        <v>112</v>
      </c>
      <c r="B34" s="15" t="s">
        <v>40</v>
      </c>
      <c r="C34" s="11" t="s">
        <v>113</v>
      </c>
      <c r="D34" s="15" t="s">
        <v>49</v>
      </c>
      <c r="E34" s="15" t="s">
        <v>50</v>
      </c>
      <c r="F34" s="14">
        <v>1407</v>
      </c>
      <c r="G34" s="14">
        <v>400</v>
      </c>
      <c r="H34" s="14">
        <v>351</v>
      </c>
      <c r="I34" s="14">
        <v>16884</v>
      </c>
      <c r="J34" s="14">
        <v>15954</v>
      </c>
      <c r="K34" s="14">
        <v>113</v>
      </c>
      <c r="L34" s="15" t="s">
        <v>24</v>
      </c>
      <c r="M34" s="15" t="s">
        <v>77</v>
      </c>
      <c r="N34" s="15" t="s">
        <v>38</v>
      </c>
      <c r="O34" s="20">
        <f t="shared" si="0"/>
        <v>0.12781331438047855</v>
      </c>
      <c r="S34" s="44" t="s">
        <v>579</v>
      </c>
      <c r="T34" s="41">
        <v>242761</v>
      </c>
      <c r="U34" s="41">
        <v>39181</v>
      </c>
      <c r="V34" s="50">
        <v>23300</v>
      </c>
      <c r="W34" s="53">
        <v>204284</v>
      </c>
      <c r="X34" s="41">
        <v>41444</v>
      </c>
      <c r="Y34" s="50">
        <v>17851</v>
      </c>
      <c r="Z34" s="53">
        <v>201397</v>
      </c>
      <c r="AA34" s="41">
        <v>33728</v>
      </c>
      <c r="AB34" s="50">
        <v>20880</v>
      </c>
      <c r="AC34" s="53">
        <v>171549</v>
      </c>
      <c r="AD34" s="41">
        <v>28572</v>
      </c>
      <c r="AE34" s="50">
        <v>12820</v>
      </c>
      <c r="AF34" s="47">
        <v>819991</v>
      </c>
      <c r="AG34" s="47">
        <v>142925</v>
      </c>
      <c r="AH34" s="42">
        <v>74851</v>
      </c>
    </row>
    <row r="35" spans="1:34" x14ac:dyDescent="0.3">
      <c r="A35" s="2" t="s">
        <v>114</v>
      </c>
      <c r="B35" s="15" t="s">
        <v>40</v>
      </c>
      <c r="C35" s="11" t="s">
        <v>115</v>
      </c>
      <c r="D35" s="15" t="s">
        <v>22</v>
      </c>
      <c r="E35" s="15" t="s">
        <v>23</v>
      </c>
      <c r="F35" s="14">
        <v>1652</v>
      </c>
      <c r="G35" s="14">
        <v>89</v>
      </c>
      <c r="H35" s="14">
        <v>357</v>
      </c>
      <c r="I35" s="14">
        <v>29736</v>
      </c>
      <c r="J35" s="14">
        <v>28771</v>
      </c>
      <c r="K35" s="14">
        <v>215</v>
      </c>
      <c r="L35" s="15" t="s">
        <v>44</v>
      </c>
      <c r="M35" s="15" t="s">
        <v>77</v>
      </c>
      <c r="N35" s="15" t="s">
        <v>25</v>
      </c>
      <c r="O35" s="20">
        <f t="shared" si="0"/>
        <v>7.055421038471886E-2</v>
      </c>
    </row>
    <row r="36" spans="1:34" ht="15.6" x14ac:dyDescent="0.3">
      <c r="A36" s="2" t="s">
        <v>117</v>
      </c>
      <c r="B36" s="15" t="s">
        <v>31</v>
      </c>
      <c r="C36" s="11" t="s">
        <v>118</v>
      </c>
      <c r="D36" s="15" t="s">
        <v>69</v>
      </c>
      <c r="E36" s="15" t="s">
        <v>70</v>
      </c>
      <c r="F36" s="14">
        <v>3775</v>
      </c>
      <c r="G36" s="14">
        <v>16</v>
      </c>
      <c r="H36" s="14">
        <v>239</v>
      </c>
      <c r="I36" s="14">
        <v>33975</v>
      </c>
      <c r="J36" s="14">
        <v>33310</v>
      </c>
      <c r="K36" s="14">
        <v>271</v>
      </c>
      <c r="L36" s="15" t="s">
        <v>58</v>
      </c>
      <c r="M36" s="15" t="s">
        <v>18</v>
      </c>
      <c r="N36" s="15" t="s">
        <v>38</v>
      </c>
      <c r="O36" s="20">
        <f t="shared" si="0"/>
        <v>0.11861662987490802</v>
      </c>
      <c r="S36" s="149" t="s">
        <v>589</v>
      </c>
      <c r="T36" s="149"/>
      <c r="U36" s="149"/>
    </row>
    <row r="37" spans="1:34" x14ac:dyDescent="0.3">
      <c r="A37" s="2" t="s">
        <v>119</v>
      </c>
      <c r="B37" s="15" t="s">
        <v>31</v>
      </c>
      <c r="C37" s="11" t="s">
        <v>120</v>
      </c>
      <c r="D37" s="15" t="s">
        <v>33</v>
      </c>
      <c r="E37" s="15" t="s">
        <v>34</v>
      </c>
      <c r="F37" s="14">
        <v>4518</v>
      </c>
      <c r="G37" s="14">
        <v>285</v>
      </c>
      <c r="H37" s="14">
        <v>383</v>
      </c>
      <c r="I37" s="14">
        <v>67770</v>
      </c>
      <c r="J37" s="14">
        <v>67621</v>
      </c>
      <c r="K37" s="14">
        <v>31</v>
      </c>
      <c r="L37" s="15" t="s">
        <v>77</v>
      </c>
      <c r="M37" s="15"/>
      <c r="N37" s="15" t="s">
        <v>25</v>
      </c>
      <c r="O37" s="20">
        <f t="shared" si="0"/>
        <v>7.6523535487678915E-2</v>
      </c>
      <c r="S37" s="83" t="s">
        <v>578</v>
      </c>
      <c r="T37" s="83" t="s">
        <v>591</v>
      </c>
    </row>
    <row r="38" spans="1:34" x14ac:dyDescent="0.3">
      <c r="A38" s="2" t="s">
        <v>121</v>
      </c>
      <c r="B38" s="15" t="s">
        <v>40</v>
      </c>
      <c r="C38" s="11" t="s">
        <v>122</v>
      </c>
      <c r="D38" s="15" t="s">
        <v>42</v>
      </c>
      <c r="E38" s="15" t="s">
        <v>43</v>
      </c>
      <c r="F38" s="14">
        <v>3024</v>
      </c>
      <c r="G38" s="14">
        <v>925</v>
      </c>
      <c r="H38" s="14">
        <v>350</v>
      </c>
      <c r="I38" s="14">
        <v>24192</v>
      </c>
      <c r="J38" s="14">
        <v>23518</v>
      </c>
      <c r="K38" s="14">
        <v>36</v>
      </c>
      <c r="L38" s="15" t="s">
        <v>18</v>
      </c>
      <c r="M38" s="15"/>
      <c r="N38" s="15" t="s">
        <v>38</v>
      </c>
      <c r="O38" s="20">
        <f t="shared" si="0"/>
        <v>0.17770337301587302</v>
      </c>
      <c r="S38" s="79" t="s">
        <v>77</v>
      </c>
      <c r="T38" s="80">
        <v>159.76</v>
      </c>
    </row>
    <row r="39" spans="1:34" x14ac:dyDescent="0.3">
      <c r="A39" s="2" t="s">
        <v>123</v>
      </c>
      <c r="B39" s="15" t="s">
        <v>577</v>
      </c>
      <c r="C39" s="11" t="s">
        <v>124</v>
      </c>
      <c r="D39" s="15" t="s">
        <v>16</v>
      </c>
      <c r="E39" s="15" t="s">
        <v>17</v>
      </c>
      <c r="F39" s="14">
        <v>3138</v>
      </c>
      <c r="G39" s="14">
        <v>123</v>
      </c>
      <c r="H39" s="14">
        <v>291</v>
      </c>
      <c r="I39" s="14">
        <v>28242</v>
      </c>
      <c r="J39" s="14">
        <v>27550</v>
      </c>
      <c r="K39" s="14">
        <v>87</v>
      </c>
      <c r="L39" s="15" t="s">
        <v>77</v>
      </c>
      <c r="M39" s="15"/>
      <c r="N39" s="15" t="s">
        <v>55</v>
      </c>
      <c r="O39" s="20">
        <f t="shared" si="0"/>
        <v>0.12577012959422137</v>
      </c>
      <c r="S39" s="79" t="s">
        <v>24</v>
      </c>
      <c r="T39" s="80">
        <v>141.34545454545454</v>
      </c>
    </row>
    <row r="40" spans="1:34" x14ac:dyDescent="0.3">
      <c r="A40" s="2" t="s">
        <v>125</v>
      </c>
      <c r="B40" s="15" t="s">
        <v>40</v>
      </c>
      <c r="C40" s="11" t="s">
        <v>126</v>
      </c>
      <c r="D40" s="15" t="s">
        <v>49</v>
      </c>
      <c r="E40" s="15" t="s">
        <v>50</v>
      </c>
      <c r="F40" s="14">
        <v>3564</v>
      </c>
      <c r="G40" s="14">
        <v>629</v>
      </c>
      <c r="H40" s="14">
        <v>177</v>
      </c>
      <c r="I40" s="14">
        <v>60588</v>
      </c>
      <c r="J40" s="14">
        <v>59627</v>
      </c>
      <c r="K40" s="14">
        <v>92</v>
      </c>
      <c r="L40" s="15" t="s">
        <v>77</v>
      </c>
      <c r="M40" s="15" t="s">
        <v>18</v>
      </c>
      <c r="N40" s="15" t="s">
        <v>38</v>
      </c>
      <c r="O40" s="20">
        <f t="shared" si="0"/>
        <v>7.2126493695121141E-2</v>
      </c>
      <c r="S40" s="79" t="s">
        <v>18</v>
      </c>
      <c r="T40" s="80">
        <v>145.92753623188406</v>
      </c>
    </row>
    <row r="41" spans="1:34" x14ac:dyDescent="0.3">
      <c r="A41" s="2" t="s">
        <v>128</v>
      </c>
      <c r="B41" s="15" t="s">
        <v>14</v>
      </c>
      <c r="C41" s="11" t="s">
        <v>129</v>
      </c>
      <c r="D41" s="15" t="s">
        <v>49</v>
      </c>
      <c r="E41" s="15" t="s">
        <v>50</v>
      </c>
      <c r="F41" s="14">
        <v>4750</v>
      </c>
      <c r="G41" s="14">
        <v>151</v>
      </c>
      <c r="H41" s="14">
        <v>415</v>
      </c>
      <c r="I41" s="14">
        <v>38000</v>
      </c>
      <c r="J41" s="14">
        <v>37792</v>
      </c>
      <c r="K41" s="14">
        <v>299</v>
      </c>
      <c r="L41" s="15" t="s">
        <v>58</v>
      </c>
      <c r="M41" s="15" t="s">
        <v>18</v>
      </c>
      <c r="N41" s="15" t="s">
        <v>25</v>
      </c>
      <c r="O41" s="20">
        <f t="shared" si="0"/>
        <v>0.13989473684210527</v>
      </c>
      <c r="S41" s="79" t="s">
        <v>44</v>
      </c>
      <c r="T41" s="80">
        <v>170.23333333333332</v>
      </c>
    </row>
    <row r="42" spans="1:34" x14ac:dyDescent="0.3">
      <c r="A42" s="2" t="s">
        <v>130</v>
      </c>
      <c r="B42" s="15" t="s">
        <v>31</v>
      </c>
      <c r="C42" s="11" t="s">
        <v>131</v>
      </c>
      <c r="D42" s="15" t="s">
        <v>16</v>
      </c>
      <c r="E42" s="15" t="s">
        <v>17</v>
      </c>
      <c r="F42" s="14">
        <v>456</v>
      </c>
      <c r="G42" s="14">
        <v>629</v>
      </c>
      <c r="H42" s="14">
        <v>428</v>
      </c>
      <c r="I42" s="14">
        <v>8208</v>
      </c>
      <c r="J42" s="14">
        <v>7377</v>
      </c>
      <c r="K42" s="14">
        <v>205</v>
      </c>
      <c r="L42" s="15" t="s">
        <v>18</v>
      </c>
      <c r="M42" s="15" t="s">
        <v>77</v>
      </c>
      <c r="N42" s="15" t="s">
        <v>38</v>
      </c>
      <c r="O42" s="20">
        <f t="shared" si="0"/>
        <v>0.18433235867446393</v>
      </c>
      <c r="S42" s="79" t="s">
        <v>58</v>
      </c>
      <c r="T42" s="80">
        <v>141.22727272727272</v>
      </c>
    </row>
    <row r="43" spans="1:34" x14ac:dyDescent="0.3">
      <c r="A43" s="2" t="s">
        <v>132</v>
      </c>
      <c r="B43" s="15" t="s">
        <v>577</v>
      </c>
      <c r="C43" s="11" t="s">
        <v>133</v>
      </c>
      <c r="D43" s="15" t="s">
        <v>16</v>
      </c>
      <c r="E43" s="15" t="s">
        <v>17</v>
      </c>
      <c r="F43" s="14">
        <v>1543</v>
      </c>
      <c r="G43" s="14">
        <v>820</v>
      </c>
      <c r="H43" s="14">
        <v>333</v>
      </c>
      <c r="I43" s="14">
        <v>12344</v>
      </c>
      <c r="J43" s="14">
        <v>11496</v>
      </c>
      <c r="K43" s="14">
        <v>241</v>
      </c>
      <c r="L43" s="15" t="s">
        <v>58</v>
      </c>
      <c r="M43" s="15"/>
      <c r="N43" s="15" t="s">
        <v>38</v>
      </c>
      <c r="O43" s="20">
        <f t="shared" si="0"/>
        <v>0.21840570317563188</v>
      </c>
      <c r="S43" s="79" t="s">
        <v>579</v>
      </c>
      <c r="T43" s="80">
        <v>151.22</v>
      </c>
    </row>
    <row r="44" spans="1:34" x14ac:dyDescent="0.3">
      <c r="A44" s="2" t="s">
        <v>134</v>
      </c>
      <c r="B44" s="15" t="s">
        <v>31</v>
      </c>
      <c r="C44" s="11" t="s">
        <v>135</v>
      </c>
      <c r="D44" s="15" t="s">
        <v>42</v>
      </c>
      <c r="E44" s="15" t="s">
        <v>43</v>
      </c>
      <c r="F44" s="14">
        <v>2174</v>
      </c>
      <c r="G44" s="14">
        <v>658</v>
      </c>
      <c r="H44" s="14">
        <v>15</v>
      </c>
      <c r="I44" s="14">
        <v>13044</v>
      </c>
      <c r="J44" s="14">
        <v>12206</v>
      </c>
      <c r="K44" s="14">
        <v>137</v>
      </c>
      <c r="L44" s="15" t="s">
        <v>18</v>
      </c>
      <c r="M44" s="15" t="s">
        <v>24</v>
      </c>
      <c r="N44" s="15" t="s">
        <v>55</v>
      </c>
      <c r="O44" s="20">
        <f t="shared" si="0"/>
        <v>0.21826126954921804</v>
      </c>
    </row>
    <row r="45" spans="1:34" ht="15.6" x14ac:dyDescent="0.3">
      <c r="A45" s="2" t="s">
        <v>136</v>
      </c>
      <c r="B45" s="15" t="s">
        <v>14</v>
      </c>
      <c r="C45" s="11" t="s">
        <v>137</v>
      </c>
      <c r="D45" s="15" t="s">
        <v>49</v>
      </c>
      <c r="E45" s="15" t="s">
        <v>50</v>
      </c>
      <c r="F45" s="14">
        <v>2358</v>
      </c>
      <c r="G45" s="14">
        <v>784</v>
      </c>
      <c r="H45" s="14">
        <v>344</v>
      </c>
      <c r="I45" s="14">
        <v>35370</v>
      </c>
      <c r="J45" s="14">
        <v>34475</v>
      </c>
      <c r="K45" s="14">
        <v>216</v>
      </c>
      <c r="L45" s="15" t="s">
        <v>18</v>
      </c>
      <c r="M45" s="15" t="s">
        <v>58</v>
      </c>
      <c r="N45" s="15" t="s">
        <v>19</v>
      </c>
      <c r="O45" s="20">
        <f t="shared" si="0"/>
        <v>9.8558100084817649E-2</v>
      </c>
      <c r="U45" s="81"/>
      <c r="V45" s="81"/>
    </row>
    <row r="46" spans="1:34" x14ac:dyDescent="0.3">
      <c r="A46" s="2" t="s">
        <v>138</v>
      </c>
      <c r="B46" s="15" t="s">
        <v>40</v>
      </c>
      <c r="C46" s="11" t="s">
        <v>139</v>
      </c>
      <c r="D46" s="15" t="s">
        <v>69</v>
      </c>
      <c r="E46" s="15" t="s">
        <v>70</v>
      </c>
      <c r="F46" s="14">
        <v>3371</v>
      </c>
      <c r="G46" s="14">
        <v>106</v>
      </c>
      <c r="H46" s="14">
        <v>327</v>
      </c>
      <c r="I46" s="14">
        <v>50565</v>
      </c>
      <c r="J46" s="14">
        <v>49816</v>
      </c>
      <c r="K46" s="14">
        <v>176</v>
      </c>
      <c r="L46" s="15" t="s">
        <v>77</v>
      </c>
      <c r="M46" s="15"/>
      <c r="N46" s="15" t="s">
        <v>55</v>
      </c>
      <c r="O46" s="20">
        <f t="shared" si="0"/>
        <v>7.5229902106199939E-2</v>
      </c>
    </row>
    <row r="47" spans="1:34" x14ac:dyDescent="0.3">
      <c r="A47" s="2" t="s">
        <v>140</v>
      </c>
      <c r="B47" s="15" t="s">
        <v>14</v>
      </c>
      <c r="C47" s="11" t="s">
        <v>141</v>
      </c>
      <c r="D47" s="15" t="s">
        <v>69</v>
      </c>
      <c r="E47" s="15" t="s">
        <v>70</v>
      </c>
      <c r="F47" s="14">
        <v>1108</v>
      </c>
      <c r="G47" s="14">
        <v>177</v>
      </c>
      <c r="H47" s="14">
        <v>212</v>
      </c>
      <c r="I47" s="14">
        <v>8864</v>
      </c>
      <c r="J47" s="14">
        <v>8710</v>
      </c>
      <c r="K47" s="14">
        <v>97</v>
      </c>
      <c r="L47" s="15" t="s">
        <v>24</v>
      </c>
      <c r="M47" s="15"/>
      <c r="N47" s="15" t="s">
        <v>55</v>
      </c>
      <c r="O47" s="20">
        <f t="shared" si="0"/>
        <v>0.16888537906137185</v>
      </c>
    </row>
    <row r="48" spans="1:34" x14ac:dyDescent="0.3">
      <c r="A48" s="2" t="s">
        <v>142</v>
      </c>
      <c r="B48" s="15" t="s">
        <v>14</v>
      </c>
      <c r="C48" s="11" t="s">
        <v>143</v>
      </c>
      <c r="D48" s="15" t="s">
        <v>42</v>
      </c>
      <c r="E48" s="15" t="s">
        <v>43</v>
      </c>
      <c r="F48" s="14">
        <v>2704</v>
      </c>
      <c r="G48" s="14">
        <v>752</v>
      </c>
      <c r="H48" s="14">
        <v>153</v>
      </c>
      <c r="I48" s="14">
        <v>21632</v>
      </c>
      <c r="J48" s="14">
        <v>20792</v>
      </c>
      <c r="K48" s="14">
        <v>127</v>
      </c>
      <c r="L48" s="15" t="s">
        <v>77</v>
      </c>
      <c r="M48" s="15" t="s">
        <v>24</v>
      </c>
      <c r="N48" s="15" t="s">
        <v>19</v>
      </c>
      <c r="O48" s="20">
        <f t="shared" si="0"/>
        <v>0.16683616863905326</v>
      </c>
    </row>
    <row r="49" spans="1:15" x14ac:dyDescent="0.3">
      <c r="A49" s="2" t="s">
        <v>145</v>
      </c>
      <c r="B49" s="15" t="s">
        <v>14</v>
      </c>
      <c r="C49" s="11" t="s">
        <v>54</v>
      </c>
      <c r="D49" s="15" t="s">
        <v>33</v>
      </c>
      <c r="E49" s="15" t="s">
        <v>34</v>
      </c>
      <c r="F49" s="14">
        <v>1950</v>
      </c>
      <c r="G49" s="14">
        <v>295</v>
      </c>
      <c r="H49" s="14">
        <v>478</v>
      </c>
      <c r="I49" s="14">
        <v>37050</v>
      </c>
      <c r="J49" s="14">
        <v>36272</v>
      </c>
      <c r="K49" s="14">
        <v>119</v>
      </c>
      <c r="L49" s="15" t="s">
        <v>24</v>
      </c>
      <c r="M49" s="15" t="s">
        <v>58</v>
      </c>
      <c r="N49" s="15" t="s">
        <v>55</v>
      </c>
      <c r="O49" s="20">
        <f t="shared" si="0"/>
        <v>7.349527665317139E-2</v>
      </c>
    </row>
    <row r="50" spans="1:15" x14ac:dyDescent="0.3">
      <c r="A50" s="2" t="s">
        <v>147</v>
      </c>
      <c r="B50" s="15" t="s">
        <v>14</v>
      </c>
      <c r="C50" s="11" t="s">
        <v>148</v>
      </c>
      <c r="D50" s="15" t="s">
        <v>33</v>
      </c>
      <c r="E50" s="15" t="s">
        <v>34</v>
      </c>
      <c r="F50" s="14">
        <v>2164</v>
      </c>
      <c r="G50" s="14">
        <v>549</v>
      </c>
      <c r="H50" s="14">
        <v>274</v>
      </c>
      <c r="I50" s="14">
        <v>28132</v>
      </c>
      <c r="J50" s="14">
        <v>27361</v>
      </c>
      <c r="K50" s="14">
        <v>177</v>
      </c>
      <c r="L50" s="15" t="s">
        <v>58</v>
      </c>
      <c r="M50" s="15"/>
      <c r="N50" s="15" t="s">
        <v>19</v>
      </c>
      <c r="O50" s="20">
        <f t="shared" si="0"/>
        <v>0.10617801791554102</v>
      </c>
    </row>
    <row r="51" spans="1:15" x14ac:dyDescent="0.3">
      <c r="A51" s="2" t="s">
        <v>149</v>
      </c>
      <c r="B51" s="15" t="s">
        <v>577</v>
      </c>
      <c r="C51" s="11" t="s">
        <v>150</v>
      </c>
      <c r="D51" s="15" t="s">
        <v>33</v>
      </c>
      <c r="E51" s="15" t="s">
        <v>34</v>
      </c>
      <c r="F51" s="14">
        <v>2754</v>
      </c>
      <c r="G51" s="14">
        <v>130</v>
      </c>
      <c r="H51" s="14">
        <v>90</v>
      </c>
      <c r="I51" s="14">
        <v>22032</v>
      </c>
      <c r="J51" s="14">
        <v>21288</v>
      </c>
      <c r="K51" s="14">
        <v>112</v>
      </c>
      <c r="L51" s="15" t="s">
        <v>24</v>
      </c>
      <c r="M51" s="15"/>
      <c r="N51" s="15" t="s">
        <v>19</v>
      </c>
      <c r="O51" s="20">
        <f t="shared" si="0"/>
        <v>0.13498547567175018</v>
      </c>
    </row>
    <row r="52" spans="1:15" x14ac:dyDescent="0.3">
      <c r="A52" s="2" t="s">
        <v>151</v>
      </c>
      <c r="B52" s="15" t="s">
        <v>40</v>
      </c>
      <c r="C52" s="11" t="s">
        <v>152</v>
      </c>
      <c r="D52" s="15" t="s">
        <v>42</v>
      </c>
      <c r="E52" s="15" t="s">
        <v>43</v>
      </c>
      <c r="F52" s="14">
        <v>2200</v>
      </c>
      <c r="G52" s="14">
        <v>504</v>
      </c>
      <c r="H52" s="14">
        <v>239</v>
      </c>
      <c r="I52" s="14">
        <v>37400</v>
      </c>
      <c r="J52" s="14">
        <v>36938</v>
      </c>
      <c r="K52" s="14">
        <v>225</v>
      </c>
      <c r="L52" s="15" t="s">
        <v>18</v>
      </c>
      <c r="M52" s="15"/>
      <c r="N52" s="15" t="s">
        <v>38</v>
      </c>
      <c r="O52" s="20">
        <f t="shared" si="0"/>
        <v>7.8689839572192513E-2</v>
      </c>
    </row>
    <row r="53" spans="1:15" x14ac:dyDescent="0.3">
      <c r="A53" s="2" t="s">
        <v>153</v>
      </c>
      <c r="B53" s="15" t="s">
        <v>40</v>
      </c>
      <c r="C53" s="11" t="s">
        <v>154</v>
      </c>
      <c r="D53" s="15" t="s">
        <v>49</v>
      </c>
      <c r="E53" s="15" t="s">
        <v>50</v>
      </c>
      <c r="F53" s="14">
        <v>947</v>
      </c>
      <c r="G53" s="14">
        <v>338</v>
      </c>
      <c r="H53" s="14">
        <v>350</v>
      </c>
      <c r="I53" s="14">
        <v>10417</v>
      </c>
      <c r="J53" s="14">
        <v>9730</v>
      </c>
      <c r="K53" s="14">
        <v>34</v>
      </c>
      <c r="L53" s="15" t="s">
        <v>24</v>
      </c>
      <c r="M53" s="15" t="s">
        <v>18</v>
      </c>
      <c r="N53" s="15" t="s">
        <v>38</v>
      </c>
      <c r="O53" s="20">
        <f t="shared" si="0"/>
        <v>0.1569549774407219</v>
      </c>
    </row>
    <row r="54" spans="1:15" x14ac:dyDescent="0.3">
      <c r="A54" s="2" t="s">
        <v>155</v>
      </c>
      <c r="B54" s="15" t="s">
        <v>577</v>
      </c>
      <c r="C54" s="11" t="s">
        <v>143</v>
      </c>
      <c r="D54" s="15" t="s">
        <v>42</v>
      </c>
      <c r="E54" s="15" t="s">
        <v>43</v>
      </c>
      <c r="F54" s="14">
        <v>804</v>
      </c>
      <c r="G54" s="14">
        <v>639</v>
      </c>
      <c r="H54" s="14">
        <v>43</v>
      </c>
      <c r="I54" s="14">
        <v>4020</v>
      </c>
      <c r="J54" s="14">
        <v>3144</v>
      </c>
      <c r="K54" s="14">
        <v>11</v>
      </c>
      <c r="L54" s="15" t="s">
        <v>58</v>
      </c>
      <c r="M54" s="15" t="s">
        <v>44</v>
      </c>
      <c r="N54" s="15" t="s">
        <v>55</v>
      </c>
      <c r="O54" s="20">
        <f t="shared" si="0"/>
        <v>0.36965174129353234</v>
      </c>
    </row>
    <row r="55" spans="1:15" x14ac:dyDescent="0.3">
      <c r="A55" s="2" t="s">
        <v>156</v>
      </c>
      <c r="B55" s="15" t="s">
        <v>577</v>
      </c>
      <c r="C55" s="11" t="s">
        <v>157</v>
      </c>
      <c r="D55" s="15" t="s">
        <v>42</v>
      </c>
      <c r="E55" s="15" t="s">
        <v>43</v>
      </c>
      <c r="F55" s="14">
        <v>1686</v>
      </c>
      <c r="G55" s="14">
        <v>904</v>
      </c>
      <c r="H55" s="14">
        <v>472</v>
      </c>
      <c r="I55" s="14">
        <v>18546</v>
      </c>
      <c r="J55" s="14">
        <v>18171</v>
      </c>
      <c r="K55" s="14">
        <v>52</v>
      </c>
      <c r="L55" s="15" t="s">
        <v>24</v>
      </c>
      <c r="M55" s="15" t="s">
        <v>77</v>
      </c>
      <c r="N55" s="15" t="s">
        <v>25</v>
      </c>
      <c r="O55" s="20">
        <f t="shared" si="0"/>
        <v>0.16510298716704411</v>
      </c>
    </row>
    <row r="56" spans="1:15" x14ac:dyDescent="0.3">
      <c r="A56" s="2" t="s">
        <v>158</v>
      </c>
      <c r="B56" s="15" t="s">
        <v>40</v>
      </c>
      <c r="C56" s="11" t="s">
        <v>159</v>
      </c>
      <c r="D56" s="15" t="s">
        <v>49</v>
      </c>
      <c r="E56" s="15" t="s">
        <v>50</v>
      </c>
      <c r="F56" s="14">
        <v>1226</v>
      </c>
      <c r="G56" s="14">
        <v>119</v>
      </c>
      <c r="H56" s="14">
        <v>7</v>
      </c>
      <c r="I56" s="14">
        <v>14712</v>
      </c>
      <c r="J56" s="14">
        <v>14049</v>
      </c>
      <c r="K56" s="14">
        <v>123</v>
      </c>
      <c r="L56" s="15" t="s">
        <v>18</v>
      </c>
      <c r="M56" s="15" t="s">
        <v>44</v>
      </c>
      <c r="N56" s="15" t="s">
        <v>55</v>
      </c>
      <c r="O56" s="20">
        <f t="shared" si="0"/>
        <v>9.1897770527460579E-2</v>
      </c>
    </row>
    <row r="57" spans="1:15" x14ac:dyDescent="0.3">
      <c r="A57" s="2" t="s">
        <v>160</v>
      </c>
      <c r="B57" s="15" t="s">
        <v>40</v>
      </c>
      <c r="C57" s="11" t="s">
        <v>161</v>
      </c>
      <c r="D57" s="15" t="s">
        <v>42</v>
      </c>
      <c r="E57" s="15" t="s">
        <v>43</v>
      </c>
      <c r="F57" s="14">
        <v>2946</v>
      </c>
      <c r="G57" s="14">
        <v>498</v>
      </c>
      <c r="H57" s="14">
        <v>367</v>
      </c>
      <c r="I57" s="14">
        <v>29460</v>
      </c>
      <c r="J57" s="14">
        <v>28527</v>
      </c>
      <c r="K57" s="14">
        <v>60</v>
      </c>
      <c r="L57" s="15" t="s">
        <v>58</v>
      </c>
      <c r="M57" s="15" t="s">
        <v>77</v>
      </c>
      <c r="N57" s="15" t="s">
        <v>25</v>
      </c>
      <c r="O57" s="20">
        <f t="shared" si="0"/>
        <v>0.12936184657162253</v>
      </c>
    </row>
    <row r="58" spans="1:15" x14ac:dyDescent="0.3">
      <c r="A58" s="2" t="s">
        <v>163</v>
      </c>
      <c r="B58" s="15" t="s">
        <v>14</v>
      </c>
      <c r="C58" s="11" t="s">
        <v>164</v>
      </c>
      <c r="D58" s="15" t="s">
        <v>69</v>
      </c>
      <c r="E58" s="15" t="s">
        <v>70</v>
      </c>
      <c r="F58" s="14">
        <v>2825</v>
      </c>
      <c r="G58" s="14">
        <v>535</v>
      </c>
      <c r="H58" s="14">
        <v>295</v>
      </c>
      <c r="I58" s="14">
        <v>45200</v>
      </c>
      <c r="J58" s="14">
        <v>44739</v>
      </c>
      <c r="K58" s="14">
        <v>169</v>
      </c>
      <c r="L58" s="15" t="s">
        <v>58</v>
      </c>
      <c r="M58" s="15"/>
      <c r="N58" s="15" t="s">
        <v>25</v>
      </c>
      <c r="O58" s="20">
        <f t="shared" si="0"/>
        <v>8.0862831858407078E-2</v>
      </c>
    </row>
    <row r="59" spans="1:15" x14ac:dyDescent="0.3">
      <c r="A59" s="2" t="s">
        <v>165</v>
      </c>
      <c r="B59" s="15" t="s">
        <v>31</v>
      </c>
      <c r="C59" s="11" t="s">
        <v>166</v>
      </c>
      <c r="D59" s="15" t="s">
        <v>16</v>
      </c>
      <c r="E59" s="15" t="s">
        <v>17</v>
      </c>
      <c r="F59" s="14">
        <v>103</v>
      </c>
      <c r="G59" s="14">
        <v>770</v>
      </c>
      <c r="H59" s="14">
        <v>19</v>
      </c>
      <c r="I59" s="14">
        <v>1030</v>
      </c>
      <c r="J59" s="14">
        <v>410</v>
      </c>
      <c r="K59" s="14">
        <v>262</v>
      </c>
      <c r="L59" s="15" t="s">
        <v>18</v>
      </c>
      <c r="M59" s="15"/>
      <c r="N59" s="15" t="s">
        <v>38</v>
      </c>
      <c r="O59" s="20">
        <f t="shared" si="0"/>
        <v>0.86601941747572819</v>
      </c>
    </row>
    <row r="60" spans="1:15" x14ac:dyDescent="0.3">
      <c r="A60" s="2" t="s">
        <v>167</v>
      </c>
      <c r="B60" s="15" t="s">
        <v>31</v>
      </c>
      <c r="C60" s="11" t="s">
        <v>168</v>
      </c>
      <c r="D60" s="15" t="s">
        <v>22</v>
      </c>
      <c r="E60" s="15" t="s">
        <v>23</v>
      </c>
      <c r="F60" s="14">
        <v>2180</v>
      </c>
      <c r="G60" s="14">
        <v>263</v>
      </c>
      <c r="H60" s="14">
        <v>387</v>
      </c>
      <c r="I60" s="14">
        <v>30520</v>
      </c>
      <c r="J60" s="14">
        <v>30059</v>
      </c>
      <c r="K60" s="14">
        <v>174</v>
      </c>
      <c r="L60" s="15" t="s">
        <v>77</v>
      </c>
      <c r="M60" s="15"/>
      <c r="N60" s="15" t="s">
        <v>19</v>
      </c>
      <c r="O60" s="20">
        <f t="shared" si="0"/>
        <v>9.2726081258191345E-2</v>
      </c>
    </row>
    <row r="61" spans="1:15" x14ac:dyDescent="0.3">
      <c r="A61" s="2" t="s">
        <v>169</v>
      </c>
      <c r="B61" s="15" t="s">
        <v>31</v>
      </c>
      <c r="C61" s="11" t="s">
        <v>170</v>
      </c>
      <c r="D61" s="15" t="s">
        <v>69</v>
      </c>
      <c r="E61" s="15" t="s">
        <v>70</v>
      </c>
      <c r="F61" s="14">
        <v>904</v>
      </c>
      <c r="G61" s="14">
        <v>973</v>
      </c>
      <c r="H61" s="14">
        <v>63</v>
      </c>
      <c r="I61" s="14">
        <v>11752</v>
      </c>
      <c r="J61" s="14">
        <v>11580</v>
      </c>
      <c r="K61" s="14">
        <v>84</v>
      </c>
      <c r="L61" s="15" t="s">
        <v>58</v>
      </c>
      <c r="M61" s="15"/>
      <c r="N61" s="15" t="s">
        <v>19</v>
      </c>
      <c r="O61" s="20">
        <f t="shared" si="0"/>
        <v>0.1650782845473111</v>
      </c>
    </row>
    <row r="62" spans="1:15" x14ac:dyDescent="0.3">
      <c r="A62" s="2" t="s">
        <v>171</v>
      </c>
      <c r="B62" s="15" t="s">
        <v>14</v>
      </c>
      <c r="C62" s="11" t="s">
        <v>172</v>
      </c>
      <c r="D62" s="15" t="s">
        <v>69</v>
      </c>
      <c r="E62" s="15" t="s">
        <v>70</v>
      </c>
      <c r="F62" s="14">
        <v>4886</v>
      </c>
      <c r="G62" s="14">
        <v>983</v>
      </c>
      <c r="H62" s="14">
        <v>409</v>
      </c>
      <c r="I62" s="14">
        <v>43974</v>
      </c>
      <c r="J62" s="14">
        <v>43239</v>
      </c>
      <c r="K62" s="14">
        <v>65</v>
      </c>
      <c r="L62" s="15" t="s">
        <v>24</v>
      </c>
      <c r="M62" s="15"/>
      <c r="N62" s="15" t="s">
        <v>19</v>
      </c>
      <c r="O62" s="20">
        <f t="shared" si="0"/>
        <v>0.14276618001546368</v>
      </c>
    </row>
    <row r="63" spans="1:15" x14ac:dyDescent="0.3">
      <c r="A63" s="2" t="s">
        <v>173</v>
      </c>
      <c r="B63" s="15" t="s">
        <v>14</v>
      </c>
      <c r="C63" s="11" t="s">
        <v>174</v>
      </c>
      <c r="D63" s="15" t="s">
        <v>42</v>
      </c>
      <c r="E63" s="15" t="s">
        <v>43</v>
      </c>
      <c r="F63" s="14">
        <v>53</v>
      </c>
      <c r="G63" s="14">
        <v>81</v>
      </c>
      <c r="H63" s="14">
        <v>379</v>
      </c>
      <c r="I63" s="14">
        <v>954</v>
      </c>
      <c r="J63" s="14">
        <v>7</v>
      </c>
      <c r="K63" s="14">
        <v>148</v>
      </c>
      <c r="L63" s="15" t="s">
        <v>77</v>
      </c>
      <c r="M63" s="15"/>
      <c r="N63" s="15" t="s">
        <v>38</v>
      </c>
      <c r="O63" s="20">
        <f t="shared" si="0"/>
        <v>0.53773584905660377</v>
      </c>
    </row>
    <row r="64" spans="1:15" x14ac:dyDescent="0.3">
      <c r="A64" s="2" t="s">
        <v>175</v>
      </c>
      <c r="B64" s="15" t="s">
        <v>14</v>
      </c>
      <c r="C64" s="11" t="s">
        <v>111</v>
      </c>
      <c r="D64" s="15" t="s">
        <v>42</v>
      </c>
      <c r="E64" s="15" t="s">
        <v>43</v>
      </c>
      <c r="F64" s="14">
        <v>4507</v>
      </c>
      <c r="G64" s="14">
        <v>217</v>
      </c>
      <c r="H64" s="14">
        <v>13</v>
      </c>
      <c r="I64" s="14">
        <v>90140</v>
      </c>
      <c r="J64" s="14">
        <v>89591</v>
      </c>
      <c r="K64" s="14">
        <v>125</v>
      </c>
      <c r="L64" s="15" t="s">
        <v>18</v>
      </c>
      <c r="M64" s="15"/>
      <c r="N64" s="15" t="s">
        <v>19</v>
      </c>
      <c r="O64" s="20">
        <f t="shared" si="0"/>
        <v>5.2551586421122697E-2</v>
      </c>
    </row>
    <row r="65" spans="1:15" x14ac:dyDescent="0.3">
      <c r="A65" s="2" t="s">
        <v>176</v>
      </c>
      <c r="B65" s="15" t="s">
        <v>40</v>
      </c>
      <c r="C65" s="11" t="s">
        <v>177</v>
      </c>
      <c r="D65" s="15" t="s">
        <v>49</v>
      </c>
      <c r="E65" s="15" t="s">
        <v>50</v>
      </c>
      <c r="F65" s="14">
        <v>2878</v>
      </c>
      <c r="G65" s="14">
        <v>248</v>
      </c>
      <c r="H65" s="14">
        <v>416</v>
      </c>
      <c r="I65" s="14">
        <v>43170</v>
      </c>
      <c r="J65" s="14">
        <v>42667</v>
      </c>
      <c r="K65" s="14">
        <v>75</v>
      </c>
      <c r="L65" s="15" t="s">
        <v>77</v>
      </c>
      <c r="M65" s="15" t="s">
        <v>44</v>
      </c>
      <c r="N65" s="15" t="s">
        <v>25</v>
      </c>
      <c r="O65" s="20">
        <f t="shared" si="0"/>
        <v>8.2047718322909427E-2</v>
      </c>
    </row>
    <row r="66" spans="1:15" x14ac:dyDescent="0.3">
      <c r="A66" s="2" t="s">
        <v>179</v>
      </c>
      <c r="B66" s="15" t="s">
        <v>31</v>
      </c>
      <c r="C66" s="11" t="s">
        <v>180</v>
      </c>
      <c r="D66" s="15" t="s">
        <v>33</v>
      </c>
      <c r="E66" s="15" t="s">
        <v>34</v>
      </c>
      <c r="F66" s="14">
        <v>1881</v>
      </c>
      <c r="G66" s="14">
        <v>501</v>
      </c>
      <c r="H66" s="14">
        <v>99</v>
      </c>
      <c r="I66" s="14">
        <v>20691</v>
      </c>
      <c r="J66" s="14">
        <v>19987</v>
      </c>
      <c r="K66" s="14">
        <v>289</v>
      </c>
      <c r="L66" s="15" t="s">
        <v>77</v>
      </c>
      <c r="M66" s="15"/>
      <c r="N66" s="15" t="s">
        <v>25</v>
      </c>
      <c r="O66" s="20">
        <f t="shared" ref="O66:O129" si="3">SUM(F66,G66,H66)/I66</f>
        <v>0.11990720603160794</v>
      </c>
    </row>
    <row r="67" spans="1:15" x14ac:dyDescent="0.3">
      <c r="A67" s="2" t="s">
        <v>181</v>
      </c>
      <c r="B67" s="15" t="s">
        <v>14</v>
      </c>
      <c r="C67" s="11" t="s">
        <v>182</v>
      </c>
      <c r="D67" s="15" t="s">
        <v>42</v>
      </c>
      <c r="E67" s="15" t="s">
        <v>43</v>
      </c>
      <c r="F67" s="14">
        <v>432</v>
      </c>
      <c r="G67" s="14">
        <v>171</v>
      </c>
      <c r="H67" s="14">
        <v>280</v>
      </c>
      <c r="I67" s="14">
        <v>3024</v>
      </c>
      <c r="J67" s="14">
        <v>2285</v>
      </c>
      <c r="K67" s="14">
        <v>184</v>
      </c>
      <c r="L67" s="15" t="s">
        <v>24</v>
      </c>
      <c r="M67" s="15"/>
      <c r="N67" s="15" t="s">
        <v>38</v>
      </c>
      <c r="O67" s="20">
        <f t="shared" si="3"/>
        <v>0.29199735449735448</v>
      </c>
    </row>
    <row r="68" spans="1:15" x14ac:dyDescent="0.3">
      <c r="A68" s="2" t="s">
        <v>183</v>
      </c>
      <c r="B68" s="15" t="s">
        <v>40</v>
      </c>
      <c r="C68" s="11" t="s">
        <v>184</v>
      </c>
      <c r="D68" s="15" t="s">
        <v>42</v>
      </c>
      <c r="E68" s="15" t="s">
        <v>43</v>
      </c>
      <c r="F68" s="14">
        <v>4712</v>
      </c>
      <c r="G68" s="14">
        <v>568</v>
      </c>
      <c r="H68" s="14">
        <v>127</v>
      </c>
      <c r="I68" s="14">
        <v>84816</v>
      </c>
      <c r="J68" s="14">
        <v>84691</v>
      </c>
      <c r="K68" s="14">
        <v>100</v>
      </c>
      <c r="L68" s="15" t="s">
        <v>77</v>
      </c>
      <c r="M68" s="15"/>
      <c r="N68" s="15" t="s">
        <v>19</v>
      </c>
      <c r="O68" s="20">
        <f t="shared" si="3"/>
        <v>6.3749764195434822E-2</v>
      </c>
    </row>
    <row r="69" spans="1:15" x14ac:dyDescent="0.3">
      <c r="A69" s="2" t="s">
        <v>185</v>
      </c>
      <c r="B69" s="15" t="s">
        <v>31</v>
      </c>
      <c r="C69" s="11" t="s">
        <v>186</v>
      </c>
      <c r="D69" s="15" t="s">
        <v>33</v>
      </c>
      <c r="E69" s="15" t="s">
        <v>34</v>
      </c>
      <c r="F69" s="14">
        <v>2610</v>
      </c>
      <c r="G69" s="14">
        <v>126</v>
      </c>
      <c r="H69" s="14">
        <v>288</v>
      </c>
      <c r="I69" s="14">
        <v>15660</v>
      </c>
      <c r="J69" s="14">
        <v>15145</v>
      </c>
      <c r="K69" s="14">
        <v>73</v>
      </c>
      <c r="L69" s="15" t="s">
        <v>24</v>
      </c>
      <c r="M69" s="15"/>
      <c r="N69" s="15" t="s">
        <v>19</v>
      </c>
      <c r="O69" s="20">
        <f t="shared" si="3"/>
        <v>0.19310344827586207</v>
      </c>
    </row>
    <row r="70" spans="1:15" x14ac:dyDescent="0.3">
      <c r="A70" s="2" t="s">
        <v>187</v>
      </c>
      <c r="B70" s="15" t="s">
        <v>14</v>
      </c>
      <c r="C70" s="11" t="s">
        <v>131</v>
      </c>
      <c r="D70" s="15" t="s">
        <v>22</v>
      </c>
      <c r="E70" s="15" t="s">
        <v>23</v>
      </c>
      <c r="F70" s="14">
        <v>1292</v>
      </c>
      <c r="G70" s="14">
        <v>626</v>
      </c>
      <c r="H70" s="14">
        <v>496</v>
      </c>
      <c r="I70" s="14">
        <v>25840</v>
      </c>
      <c r="J70" s="14">
        <v>24916</v>
      </c>
      <c r="K70" s="14">
        <v>149</v>
      </c>
      <c r="L70" s="15" t="s">
        <v>58</v>
      </c>
      <c r="M70" s="15" t="s">
        <v>44</v>
      </c>
      <c r="N70" s="15" t="s">
        <v>55</v>
      </c>
      <c r="O70" s="20">
        <f t="shared" si="3"/>
        <v>9.3421052631578946E-2</v>
      </c>
    </row>
    <row r="71" spans="1:15" x14ac:dyDescent="0.3">
      <c r="A71" s="2" t="s">
        <v>188</v>
      </c>
      <c r="B71" s="15" t="s">
        <v>40</v>
      </c>
      <c r="C71" s="11" t="s">
        <v>189</v>
      </c>
      <c r="D71" s="15" t="s">
        <v>69</v>
      </c>
      <c r="E71" s="15" t="s">
        <v>70</v>
      </c>
      <c r="F71" s="14">
        <v>199</v>
      </c>
      <c r="G71" s="14">
        <v>772</v>
      </c>
      <c r="H71" s="14">
        <v>400</v>
      </c>
      <c r="I71" s="14">
        <v>3582</v>
      </c>
      <c r="J71" s="14">
        <v>2988</v>
      </c>
      <c r="K71" s="14">
        <v>43</v>
      </c>
      <c r="L71" s="15" t="s">
        <v>44</v>
      </c>
      <c r="M71" s="15"/>
      <c r="N71" s="15" t="s">
        <v>19</v>
      </c>
      <c r="O71" s="20">
        <f t="shared" si="3"/>
        <v>0.38274706867671693</v>
      </c>
    </row>
    <row r="72" spans="1:15" x14ac:dyDescent="0.3">
      <c r="A72" s="2" t="s">
        <v>190</v>
      </c>
      <c r="B72" s="15" t="s">
        <v>577</v>
      </c>
      <c r="C72" s="11" t="s">
        <v>191</v>
      </c>
      <c r="D72" s="15" t="s">
        <v>42</v>
      </c>
      <c r="E72" s="15" t="s">
        <v>43</v>
      </c>
      <c r="F72" s="14">
        <v>2551</v>
      </c>
      <c r="G72" s="14">
        <v>915</v>
      </c>
      <c r="H72" s="14">
        <v>205</v>
      </c>
      <c r="I72" s="14">
        <v>30612</v>
      </c>
      <c r="J72" s="14">
        <v>30360</v>
      </c>
      <c r="K72" s="14">
        <v>227</v>
      </c>
      <c r="L72" s="15" t="s">
        <v>18</v>
      </c>
      <c r="M72" s="15" t="s">
        <v>77</v>
      </c>
      <c r="N72" s="15" t="s">
        <v>25</v>
      </c>
      <c r="O72" s="20">
        <f t="shared" si="3"/>
        <v>0.1199202926956749</v>
      </c>
    </row>
    <row r="73" spans="1:15" x14ac:dyDescent="0.3">
      <c r="A73" s="2" t="s">
        <v>192</v>
      </c>
      <c r="B73" s="15" t="s">
        <v>577</v>
      </c>
      <c r="C73" s="11" t="s">
        <v>193</v>
      </c>
      <c r="D73" s="15" t="s">
        <v>16</v>
      </c>
      <c r="E73" s="15" t="s">
        <v>17</v>
      </c>
      <c r="F73" s="14">
        <v>296</v>
      </c>
      <c r="G73" s="14">
        <v>60</v>
      </c>
      <c r="H73" s="14">
        <v>141</v>
      </c>
      <c r="I73" s="14">
        <v>5624</v>
      </c>
      <c r="J73" s="14">
        <v>5239</v>
      </c>
      <c r="K73" s="14">
        <v>88</v>
      </c>
      <c r="L73" s="15" t="s">
        <v>44</v>
      </c>
      <c r="M73" s="15"/>
      <c r="N73" s="15" t="s">
        <v>55</v>
      </c>
      <c r="O73" s="20">
        <f t="shared" si="3"/>
        <v>8.837126600284495E-2</v>
      </c>
    </row>
    <row r="74" spans="1:15" x14ac:dyDescent="0.3">
      <c r="A74" s="2" t="s">
        <v>194</v>
      </c>
      <c r="B74" s="15" t="s">
        <v>40</v>
      </c>
      <c r="C74" s="11" t="s">
        <v>195</v>
      </c>
      <c r="D74" s="15" t="s">
        <v>33</v>
      </c>
      <c r="E74" s="15" t="s">
        <v>34</v>
      </c>
      <c r="F74" s="14">
        <v>4126</v>
      </c>
      <c r="G74" s="14">
        <v>426</v>
      </c>
      <c r="H74" s="14">
        <v>486</v>
      </c>
      <c r="I74" s="14">
        <v>78394</v>
      </c>
      <c r="J74" s="14">
        <v>77798</v>
      </c>
      <c r="K74" s="14">
        <v>88</v>
      </c>
      <c r="L74" s="15" t="s">
        <v>24</v>
      </c>
      <c r="M74" s="15"/>
      <c r="N74" s="15" t="s">
        <v>19</v>
      </c>
      <c r="O74" s="20">
        <f t="shared" si="3"/>
        <v>6.4265122330790625E-2</v>
      </c>
    </row>
    <row r="75" spans="1:15" x14ac:dyDescent="0.3">
      <c r="A75" s="2" t="s">
        <v>196</v>
      </c>
      <c r="B75" s="15" t="s">
        <v>577</v>
      </c>
      <c r="C75" s="11" t="s">
        <v>197</v>
      </c>
      <c r="D75" s="15" t="s">
        <v>16</v>
      </c>
      <c r="E75" s="15" t="s">
        <v>17</v>
      </c>
      <c r="F75" s="14">
        <v>1855</v>
      </c>
      <c r="G75" s="14">
        <v>200</v>
      </c>
      <c r="H75" s="14">
        <v>174</v>
      </c>
      <c r="I75" s="14">
        <v>16695</v>
      </c>
      <c r="J75" s="14">
        <v>16330</v>
      </c>
      <c r="K75" s="14">
        <v>123</v>
      </c>
      <c r="L75" s="15" t="s">
        <v>24</v>
      </c>
      <c r="M75" s="15"/>
      <c r="N75" s="15" t="s">
        <v>38</v>
      </c>
      <c r="O75" s="20">
        <f t="shared" si="3"/>
        <v>0.13351302785265048</v>
      </c>
    </row>
    <row r="76" spans="1:15" x14ac:dyDescent="0.3">
      <c r="A76" s="2" t="s">
        <v>198</v>
      </c>
      <c r="B76" s="15" t="s">
        <v>31</v>
      </c>
      <c r="C76" s="11" t="s">
        <v>199</v>
      </c>
      <c r="D76" s="15" t="s">
        <v>16</v>
      </c>
      <c r="E76" s="15" t="s">
        <v>17</v>
      </c>
      <c r="F76" s="14">
        <v>1674</v>
      </c>
      <c r="G76" s="14">
        <v>929</v>
      </c>
      <c r="H76" s="14">
        <v>37</v>
      </c>
      <c r="I76" s="14">
        <v>21762</v>
      </c>
      <c r="J76" s="14">
        <v>20998</v>
      </c>
      <c r="K76" s="14">
        <v>255</v>
      </c>
      <c r="L76" s="15" t="s">
        <v>58</v>
      </c>
      <c r="M76" s="15" t="s">
        <v>77</v>
      </c>
      <c r="N76" s="15" t="s">
        <v>38</v>
      </c>
      <c r="O76" s="20">
        <f t="shared" si="3"/>
        <v>0.12131237937689551</v>
      </c>
    </row>
    <row r="77" spans="1:15" x14ac:dyDescent="0.3">
      <c r="A77" s="2" t="s">
        <v>200</v>
      </c>
      <c r="B77" s="15" t="s">
        <v>14</v>
      </c>
      <c r="C77" s="11" t="s">
        <v>201</v>
      </c>
      <c r="D77" s="15" t="s">
        <v>33</v>
      </c>
      <c r="E77" s="15" t="s">
        <v>34</v>
      </c>
      <c r="F77" s="14">
        <v>1121</v>
      </c>
      <c r="G77" s="14">
        <v>135</v>
      </c>
      <c r="H77" s="14">
        <v>18</v>
      </c>
      <c r="I77" s="14">
        <v>15694</v>
      </c>
      <c r="J77" s="14">
        <v>14957</v>
      </c>
      <c r="K77" s="14">
        <v>99</v>
      </c>
      <c r="L77" s="15" t="s">
        <v>18</v>
      </c>
      <c r="M77" s="15" t="s">
        <v>24</v>
      </c>
      <c r="N77" s="15" t="s">
        <v>55</v>
      </c>
      <c r="O77" s="20">
        <f t="shared" si="3"/>
        <v>8.1177520071364848E-2</v>
      </c>
    </row>
    <row r="78" spans="1:15" x14ac:dyDescent="0.3">
      <c r="A78" s="2" t="s">
        <v>202</v>
      </c>
      <c r="B78" s="15" t="s">
        <v>40</v>
      </c>
      <c r="C78" s="11" t="s">
        <v>101</v>
      </c>
      <c r="D78" s="15" t="s">
        <v>33</v>
      </c>
      <c r="E78" s="15" t="s">
        <v>34</v>
      </c>
      <c r="F78" s="14">
        <v>1249</v>
      </c>
      <c r="G78" s="14">
        <v>116</v>
      </c>
      <c r="H78" s="14">
        <v>420</v>
      </c>
      <c r="I78" s="14">
        <v>8743</v>
      </c>
      <c r="J78" s="14">
        <v>8538</v>
      </c>
      <c r="K78" s="14">
        <v>63</v>
      </c>
      <c r="L78" s="15" t="s">
        <v>24</v>
      </c>
      <c r="M78" s="15" t="s">
        <v>77</v>
      </c>
      <c r="N78" s="15" t="s">
        <v>38</v>
      </c>
      <c r="O78" s="20">
        <f t="shared" si="3"/>
        <v>0.20416333066453163</v>
      </c>
    </row>
    <row r="79" spans="1:15" x14ac:dyDescent="0.3">
      <c r="A79" s="2" t="s">
        <v>203</v>
      </c>
      <c r="B79" s="15" t="s">
        <v>14</v>
      </c>
      <c r="C79" s="11" t="s">
        <v>159</v>
      </c>
      <c r="D79" s="15" t="s">
        <v>49</v>
      </c>
      <c r="E79" s="15" t="s">
        <v>50</v>
      </c>
      <c r="F79" s="14">
        <v>954</v>
      </c>
      <c r="G79" s="14">
        <v>324</v>
      </c>
      <c r="H79" s="14">
        <v>288</v>
      </c>
      <c r="I79" s="14">
        <v>19080</v>
      </c>
      <c r="J79" s="14">
        <v>18859</v>
      </c>
      <c r="K79" s="14">
        <v>21</v>
      </c>
      <c r="L79" s="15" t="s">
        <v>44</v>
      </c>
      <c r="M79" s="15"/>
      <c r="N79" s="15" t="s">
        <v>38</v>
      </c>
      <c r="O79" s="20">
        <f t="shared" si="3"/>
        <v>8.2075471698113203E-2</v>
      </c>
    </row>
    <row r="80" spans="1:15" x14ac:dyDescent="0.3">
      <c r="A80" s="2" t="s">
        <v>204</v>
      </c>
      <c r="B80" s="15" t="s">
        <v>31</v>
      </c>
      <c r="C80" s="11" t="s">
        <v>205</v>
      </c>
      <c r="D80" s="15" t="s">
        <v>42</v>
      </c>
      <c r="E80" s="15" t="s">
        <v>43</v>
      </c>
      <c r="F80" s="14">
        <v>3068</v>
      </c>
      <c r="G80" s="14">
        <v>137</v>
      </c>
      <c r="H80" s="14">
        <v>329</v>
      </c>
      <c r="I80" s="14">
        <v>39884</v>
      </c>
      <c r="J80" s="14">
        <v>39404</v>
      </c>
      <c r="K80" s="14">
        <v>266</v>
      </c>
      <c r="L80" s="15" t="s">
        <v>18</v>
      </c>
      <c r="M80" s="15" t="s">
        <v>44</v>
      </c>
      <c r="N80" s="15" t="s">
        <v>38</v>
      </c>
      <c r="O80" s="20">
        <f t="shared" si="3"/>
        <v>8.860696018453515E-2</v>
      </c>
    </row>
    <row r="81" spans="1:15" x14ac:dyDescent="0.3">
      <c r="A81" s="2" t="s">
        <v>206</v>
      </c>
      <c r="B81" s="15" t="s">
        <v>31</v>
      </c>
      <c r="C81" s="11" t="s">
        <v>152</v>
      </c>
      <c r="D81" s="15" t="s">
        <v>33</v>
      </c>
      <c r="E81" s="15" t="s">
        <v>34</v>
      </c>
      <c r="F81" s="14">
        <v>2103</v>
      </c>
      <c r="G81" s="14">
        <v>892</v>
      </c>
      <c r="H81" s="14">
        <v>103</v>
      </c>
      <c r="I81" s="14">
        <v>39957</v>
      </c>
      <c r="J81" s="14">
        <v>39466</v>
      </c>
      <c r="K81" s="14">
        <v>28</v>
      </c>
      <c r="L81" s="15" t="s">
        <v>77</v>
      </c>
      <c r="M81" s="15" t="s">
        <v>24</v>
      </c>
      <c r="N81" s="15" t="s">
        <v>25</v>
      </c>
      <c r="O81" s="20">
        <f t="shared" si="3"/>
        <v>7.7533348349475686E-2</v>
      </c>
    </row>
    <row r="82" spans="1:15" x14ac:dyDescent="0.3">
      <c r="A82" s="2" t="s">
        <v>207</v>
      </c>
      <c r="B82" s="15" t="s">
        <v>31</v>
      </c>
      <c r="C82" s="11" t="s">
        <v>208</v>
      </c>
      <c r="D82" s="15" t="s">
        <v>33</v>
      </c>
      <c r="E82" s="15" t="s">
        <v>34</v>
      </c>
      <c r="F82" s="14">
        <v>1816</v>
      </c>
      <c r="G82" s="14">
        <v>29</v>
      </c>
      <c r="H82" s="14">
        <v>41</v>
      </c>
      <c r="I82" s="14">
        <v>19976</v>
      </c>
      <c r="J82" s="14">
        <v>19262</v>
      </c>
      <c r="K82" s="14">
        <v>283</v>
      </c>
      <c r="L82" s="15" t="s">
        <v>44</v>
      </c>
      <c r="M82" s="15" t="s">
        <v>18</v>
      </c>
      <c r="N82" s="15" t="s">
        <v>38</v>
      </c>
      <c r="O82" s="20">
        <f t="shared" si="3"/>
        <v>9.4413295955146179E-2</v>
      </c>
    </row>
    <row r="83" spans="1:15" x14ac:dyDescent="0.3">
      <c r="A83" s="2" t="s">
        <v>210</v>
      </c>
      <c r="B83" s="15" t="s">
        <v>31</v>
      </c>
      <c r="C83" s="11" t="s">
        <v>211</v>
      </c>
      <c r="D83" s="15" t="s">
        <v>49</v>
      </c>
      <c r="E83" s="15" t="s">
        <v>50</v>
      </c>
      <c r="F83" s="14">
        <v>725</v>
      </c>
      <c r="G83" s="14">
        <v>88</v>
      </c>
      <c r="H83" s="14">
        <v>428</v>
      </c>
      <c r="I83" s="14">
        <v>14500</v>
      </c>
      <c r="J83" s="14">
        <v>13637</v>
      </c>
      <c r="K83" s="14">
        <v>200</v>
      </c>
      <c r="L83" s="15" t="s">
        <v>44</v>
      </c>
      <c r="M83" s="15"/>
      <c r="N83" s="15" t="s">
        <v>38</v>
      </c>
      <c r="O83" s="20">
        <f t="shared" si="3"/>
        <v>8.558620689655172E-2</v>
      </c>
    </row>
    <row r="84" spans="1:15" x14ac:dyDescent="0.3">
      <c r="A84" s="2" t="s">
        <v>212</v>
      </c>
      <c r="B84" s="15" t="s">
        <v>577</v>
      </c>
      <c r="C84" s="11" t="s">
        <v>213</v>
      </c>
      <c r="D84" s="15" t="s">
        <v>69</v>
      </c>
      <c r="E84" s="15" t="s">
        <v>70</v>
      </c>
      <c r="F84" s="14">
        <v>1094</v>
      </c>
      <c r="G84" s="14">
        <v>472</v>
      </c>
      <c r="H84" s="14">
        <v>21</v>
      </c>
      <c r="I84" s="14">
        <v>9846</v>
      </c>
      <c r="J84" s="14">
        <v>9609</v>
      </c>
      <c r="K84" s="14">
        <v>112</v>
      </c>
      <c r="L84" s="15" t="s">
        <v>44</v>
      </c>
      <c r="M84" s="15" t="s">
        <v>58</v>
      </c>
      <c r="N84" s="15" t="s">
        <v>38</v>
      </c>
      <c r="O84" s="20">
        <f t="shared" si="3"/>
        <v>0.16118220597196831</v>
      </c>
    </row>
    <row r="85" spans="1:15" x14ac:dyDescent="0.3">
      <c r="A85" s="2" t="s">
        <v>215</v>
      </c>
      <c r="B85" s="15" t="s">
        <v>40</v>
      </c>
      <c r="C85" s="11" t="s">
        <v>216</v>
      </c>
      <c r="D85" s="15" t="s">
        <v>49</v>
      </c>
      <c r="E85" s="15" t="s">
        <v>50</v>
      </c>
      <c r="F85" s="14">
        <v>1841</v>
      </c>
      <c r="G85" s="14">
        <v>851</v>
      </c>
      <c r="H85" s="14">
        <v>342</v>
      </c>
      <c r="I85" s="14">
        <v>34979</v>
      </c>
      <c r="J85" s="14">
        <v>34154</v>
      </c>
      <c r="K85" s="14">
        <v>255</v>
      </c>
      <c r="L85" s="15" t="s">
        <v>24</v>
      </c>
      <c r="M85" s="15" t="s">
        <v>77</v>
      </c>
      <c r="N85" s="15" t="s">
        <v>19</v>
      </c>
      <c r="O85" s="20">
        <f t="shared" si="3"/>
        <v>8.6737756939878216E-2</v>
      </c>
    </row>
    <row r="86" spans="1:15" x14ac:dyDescent="0.3">
      <c r="A86" s="2" t="s">
        <v>217</v>
      </c>
      <c r="B86" s="15" t="s">
        <v>31</v>
      </c>
      <c r="C86" s="11" t="s">
        <v>120</v>
      </c>
      <c r="D86" s="15" t="s">
        <v>49</v>
      </c>
      <c r="E86" s="15" t="s">
        <v>50</v>
      </c>
      <c r="F86" s="14">
        <v>4177</v>
      </c>
      <c r="G86" s="14">
        <v>569</v>
      </c>
      <c r="H86" s="14">
        <v>55</v>
      </c>
      <c r="I86" s="14">
        <v>25062</v>
      </c>
      <c r="J86" s="14">
        <v>24847</v>
      </c>
      <c r="K86" s="14">
        <v>230</v>
      </c>
      <c r="L86" s="15" t="s">
        <v>24</v>
      </c>
      <c r="M86" s="15"/>
      <c r="N86" s="15" t="s">
        <v>19</v>
      </c>
      <c r="O86" s="20">
        <f t="shared" si="3"/>
        <v>0.19156491900087783</v>
      </c>
    </row>
    <row r="87" spans="1:15" x14ac:dyDescent="0.3">
      <c r="A87" s="2" t="s">
        <v>218</v>
      </c>
      <c r="B87" s="15" t="s">
        <v>577</v>
      </c>
      <c r="C87" s="11" t="s">
        <v>219</v>
      </c>
      <c r="D87" s="15" t="s">
        <v>22</v>
      </c>
      <c r="E87" s="15" t="s">
        <v>23</v>
      </c>
      <c r="F87" s="14">
        <v>3428</v>
      </c>
      <c r="G87" s="14">
        <v>305</v>
      </c>
      <c r="H87" s="14">
        <v>85</v>
      </c>
      <c r="I87" s="14">
        <v>58276</v>
      </c>
      <c r="J87" s="14">
        <v>58052</v>
      </c>
      <c r="K87" s="14">
        <v>242</v>
      </c>
      <c r="L87" s="15" t="s">
        <v>44</v>
      </c>
      <c r="M87" s="15" t="s">
        <v>58</v>
      </c>
      <c r="N87" s="15" t="s">
        <v>38</v>
      </c>
      <c r="O87" s="20">
        <f t="shared" si="3"/>
        <v>6.5515821264328367E-2</v>
      </c>
    </row>
    <row r="88" spans="1:15" x14ac:dyDescent="0.3">
      <c r="A88" s="2" t="s">
        <v>220</v>
      </c>
      <c r="B88" s="15" t="s">
        <v>14</v>
      </c>
      <c r="C88" s="11" t="s">
        <v>221</v>
      </c>
      <c r="D88" s="15" t="s">
        <v>69</v>
      </c>
      <c r="E88" s="15" t="s">
        <v>70</v>
      </c>
      <c r="F88" s="14">
        <v>1436</v>
      </c>
      <c r="G88" s="14">
        <v>765</v>
      </c>
      <c r="H88" s="14">
        <v>496</v>
      </c>
      <c r="I88" s="14">
        <v>12924</v>
      </c>
      <c r="J88" s="14">
        <v>12701</v>
      </c>
      <c r="K88" s="14">
        <v>197</v>
      </c>
      <c r="L88" s="15" t="s">
        <v>44</v>
      </c>
      <c r="M88" s="15" t="s">
        <v>18</v>
      </c>
      <c r="N88" s="15" t="s">
        <v>25</v>
      </c>
      <c r="O88" s="20">
        <f t="shared" si="3"/>
        <v>0.20868152274837512</v>
      </c>
    </row>
    <row r="89" spans="1:15" x14ac:dyDescent="0.3">
      <c r="A89" s="2" t="s">
        <v>222</v>
      </c>
      <c r="B89" s="15" t="s">
        <v>40</v>
      </c>
      <c r="C89" s="11" t="s">
        <v>223</v>
      </c>
      <c r="D89" s="15" t="s">
        <v>33</v>
      </c>
      <c r="E89" s="15" t="s">
        <v>34</v>
      </c>
      <c r="F89" s="14">
        <v>302</v>
      </c>
      <c r="G89" s="14">
        <v>47</v>
      </c>
      <c r="H89" s="14">
        <v>430</v>
      </c>
      <c r="I89" s="14">
        <v>5738</v>
      </c>
      <c r="J89" s="14">
        <v>4890</v>
      </c>
      <c r="K89" s="14">
        <v>25</v>
      </c>
      <c r="L89" s="15" t="s">
        <v>24</v>
      </c>
      <c r="M89" s="15" t="s">
        <v>18</v>
      </c>
      <c r="N89" s="15" t="s">
        <v>25</v>
      </c>
      <c r="O89" s="20">
        <f t="shared" si="3"/>
        <v>0.13576158940397351</v>
      </c>
    </row>
    <row r="90" spans="1:15" x14ac:dyDescent="0.3">
      <c r="A90" s="2" t="s">
        <v>224</v>
      </c>
      <c r="B90" s="15" t="s">
        <v>14</v>
      </c>
      <c r="C90" s="11" t="s">
        <v>225</v>
      </c>
      <c r="D90" s="15" t="s">
        <v>49</v>
      </c>
      <c r="E90" s="15" t="s">
        <v>50</v>
      </c>
      <c r="F90" s="14">
        <v>2214</v>
      </c>
      <c r="G90" s="14">
        <v>249</v>
      </c>
      <c r="H90" s="14">
        <v>152</v>
      </c>
      <c r="I90" s="14">
        <v>15498</v>
      </c>
      <c r="J90" s="14">
        <v>14800</v>
      </c>
      <c r="K90" s="14">
        <v>180</v>
      </c>
      <c r="L90" s="15" t="s">
        <v>18</v>
      </c>
      <c r="M90" s="15"/>
      <c r="N90" s="15" t="s">
        <v>25</v>
      </c>
      <c r="O90" s="20">
        <f t="shared" si="3"/>
        <v>0.16873144921925409</v>
      </c>
    </row>
    <row r="91" spans="1:15" x14ac:dyDescent="0.3">
      <c r="A91" s="2" t="s">
        <v>226</v>
      </c>
      <c r="B91" s="15" t="s">
        <v>31</v>
      </c>
      <c r="C91" s="11" t="s">
        <v>227</v>
      </c>
      <c r="D91" s="15" t="s">
        <v>49</v>
      </c>
      <c r="E91" s="15" t="s">
        <v>50</v>
      </c>
      <c r="F91" s="14">
        <v>3861</v>
      </c>
      <c r="G91" s="14">
        <v>960</v>
      </c>
      <c r="H91" s="14">
        <v>101</v>
      </c>
      <c r="I91" s="14">
        <v>69498</v>
      </c>
      <c r="J91" s="14">
        <v>68817</v>
      </c>
      <c r="K91" s="14">
        <v>297</v>
      </c>
      <c r="L91" s="15" t="s">
        <v>24</v>
      </c>
      <c r="M91" s="15"/>
      <c r="N91" s="15" t="s">
        <v>25</v>
      </c>
      <c r="O91" s="20">
        <f t="shared" si="3"/>
        <v>7.0822181933293038E-2</v>
      </c>
    </row>
    <row r="92" spans="1:15" x14ac:dyDescent="0.3">
      <c r="A92" s="2" t="s">
        <v>228</v>
      </c>
      <c r="B92" s="15" t="s">
        <v>40</v>
      </c>
      <c r="C92" s="11" t="s">
        <v>229</v>
      </c>
      <c r="D92" s="15" t="s">
        <v>49</v>
      </c>
      <c r="E92" s="15" t="s">
        <v>50</v>
      </c>
      <c r="F92" s="14">
        <v>1263</v>
      </c>
      <c r="G92" s="14">
        <v>397</v>
      </c>
      <c r="H92" s="14">
        <v>357</v>
      </c>
      <c r="I92" s="14">
        <v>25260</v>
      </c>
      <c r="J92" s="14">
        <v>24615</v>
      </c>
      <c r="K92" s="14">
        <v>137</v>
      </c>
      <c r="L92" s="15" t="s">
        <v>18</v>
      </c>
      <c r="M92" s="15"/>
      <c r="N92" s="15" t="s">
        <v>25</v>
      </c>
      <c r="O92" s="20">
        <f t="shared" si="3"/>
        <v>7.984956452889945E-2</v>
      </c>
    </row>
    <row r="93" spans="1:15" x14ac:dyDescent="0.3">
      <c r="A93" s="2" t="s">
        <v>230</v>
      </c>
      <c r="B93" s="15" t="s">
        <v>14</v>
      </c>
      <c r="C93" s="11" t="s">
        <v>164</v>
      </c>
      <c r="D93" s="15" t="s">
        <v>33</v>
      </c>
      <c r="E93" s="15" t="s">
        <v>34</v>
      </c>
      <c r="F93" s="14">
        <v>3801</v>
      </c>
      <c r="G93" s="14">
        <v>967</v>
      </c>
      <c r="H93" s="14">
        <v>401</v>
      </c>
      <c r="I93" s="14">
        <v>38010</v>
      </c>
      <c r="J93" s="14">
        <v>37625</v>
      </c>
      <c r="K93" s="14">
        <v>236</v>
      </c>
      <c r="L93" s="15" t="s">
        <v>58</v>
      </c>
      <c r="M93" s="15"/>
      <c r="N93" s="15" t="s">
        <v>55</v>
      </c>
      <c r="O93" s="20">
        <f t="shared" si="3"/>
        <v>0.13599052880820836</v>
      </c>
    </row>
    <row r="94" spans="1:15" x14ac:dyDescent="0.3">
      <c r="A94" s="2" t="s">
        <v>231</v>
      </c>
      <c r="B94" s="15" t="s">
        <v>31</v>
      </c>
      <c r="C94" s="11" t="s">
        <v>232</v>
      </c>
      <c r="D94" s="15" t="s">
        <v>69</v>
      </c>
      <c r="E94" s="15" t="s">
        <v>70</v>
      </c>
      <c r="F94" s="14">
        <v>1431</v>
      </c>
      <c r="G94" s="14">
        <v>951</v>
      </c>
      <c r="H94" s="14">
        <v>26</v>
      </c>
      <c r="I94" s="14">
        <v>8586</v>
      </c>
      <c r="J94" s="14">
        <v>8396</v>
      </c>
      <c r="K94" s="14">
        <v>150</v>
      </c>
      <c r="L94" s="15" t="s">
        <v>44</v>
      </c>
      <c r="M94" s="15" t="s">
        <v>77</v>
      </c>
      <c r="N94" s="15" t="s">
        <v>19</v>
      </c>
      <c r="O94" s="20">
        <f t="shared" si="3"/>
        <v>0.28045655718611695</v>
      </c>
    </row>
    <row r="95" spans="1:15" x14ac:dyDescent="0.3">
      <c r="A95" s="2" t="s">
        <v>233</v>
      </c>
      <c r="B95" s="15" t="s">
        <v>31</v>
      </c>
      <c r="C95" s="11" t="s">
        <v>201</v>
      </c>
      <c r="D95" s="15" t="s">
        <v>49</v>
      </c>
      <c r="E95" s="15" t="s">
        <v>50</v>
      </c>
      <c r="F95" s="14">
        <v>2647</v>
      </c>
      <c r="G95" s="14">
        <v>304</v>
      </c>
      <c r="H95" s="14">
        <v>170</v>
      </c>
      <c r="I95" s="14">
        <v>18529</v>
      </c>
      <c r="J95" s="14">
        <v>17841</v>
      </c>
      <c r="K95" s="14">
        <v>46</v>
      </c>
      <c r="L95" s="15" t="s">
        <v>58</v>
      </c>
      <c r="M95" s="15"/>
      <c r="N95" s="15" t="s">
        <v>25</v>
      </c>
      <c r="O95" s="20">
        <f t="shared" si="3"/>
        <v>0.16843866371633656</v>
      </c>
    </row>
    <row r="96" spans="1:15" x14ac:dyDescent="0.3">
      <c r="A96" s="2" t="s">
        <v>234</v>
      </c>
      <c r="B96" s="15" t="s">
        <v>31</v>
      </c>
      <c r="C96" s="11" t="s">
        <v>235</v>
      </c>
      <c r="D96" s="15" t="s">
        <v>22</v>
      </c>
      <c r="E96" s="15" t="s">
        <v>23</v>
      </c>
      <c r="F96" s="14">
        <v>3182</v>
      </c>
      <c r="G96" s="14">
        <v>559</v>
      </c>
      <c r="H96" s="14">
        <v>160</v>
      </c>
      <c r="I96" s="14">
        <v>57276</v>
      </c>
      <c r="J96" s="14">
        <v>56890</v>
      </c>
      <c r="K96" s="14">
        <v>163</v>
      </c>
      <c r="L96" s="15" t="s">
        <v>58</v>
      </c>
      <c r="M96" s="15" t="s">
        <v>44</v>
      </c>
      <c r="N96" s="15" t="s">
        <v>25</v>
      </c>
      <c r="O96" s="20">
        <f t="shared" si="3"/>
        <v>6.8108806480899509E-2</v>
      </c>
    </row>
    <row r="97" spans="1:15" x14ac:dyDescent="0.3">
      <c r="A97" s="2" t="s">
        <v>236</v>
      </c>
      <c r="B97" s="15" t="s">
        <v>14</v>
      </c>
      <c r="C97" s="11" t="s">
        <v>237</v>
      </c>
      <c r="D97" s="15" t="s">
        <v>49</v>
      </c>
      <c r="E97" s="15" t="s">
        <v>50</v>
      </c>
      <c r="F97" s="14">
        <v>1238</v>
      </c>
      <c r="G97" s="14">
        <v>366</v>
      </c>
      <c r="H97" s="14">
        <v>444</v>
      </c>
      <c r="I97" s="14">
        <v>19808</v>
      </c>
      <c r="J97" s="14">
        <v>19334</v>
      </c>
      <c r="K97" s="14">
        <v>123</v>
      </c>
      <c r="L97" s="15" t="s">
        <v>77</v>
      </c>
      <c r="M97" s="15"/>
      <c r="N97" s="15" t="s">
        <v>38</v>
      </c>
      <c r="O97" s="20">
        <f t="shared" si="3"/>
        <v>0.10339256865912763</v>
      </c>
    </row>
    <row r="98" spans="1:15" x14ac:dyDescent="0.3">
      <c r="A98" s="2" t="s">
        <v>238</v>
      </c>
      <c r="B98" s="15" t="s">
        <v>31</v>
      </c>
      <c r="C98" s="11" t="s">
        <v>239</v>
      </c>
      <c r="D98" s="15" t="s">
        <v>49</v>
      </c>
      <c r="E98" s="15" t="s">
        <v>50</v>
      </c>
      <c r="F98" s="14">
        <v>4739</v>
      </c>
      <c r="G98" s="14">
        <v>527</v>
      </c>
      <c r="H98" s="14">
        <v>135</v>
      </c>
      <c r="I98" s="14">
        <v>61607</v>
      </c>
      <c r="J98" s="14">
        <v>61333</v>
      </c>
      <c r="K98" s="14">
        <v>36</v>
      </c>
      <c r="L98" s="15" t="s">
        <v>58</v>
      </c>
      <c r="M98" s="15" t="s">
        <v>18</v>
      </c>
      <c r="N98" s="15" t="s">
        <v>25</v>
      </c>
      <c r="O98" s="20">
        <f t="shared" si="3"/>
        <v>8.7668609086629767E-2</v>
      </c>
    </row>
    <row r="99" spans="1:15" x14ac:dyDescent="0.3">
      <c r="A99" s="2" t="s">
        <v>240</v>
      </c>
      <c r="B99" s="15" t="s">
        <v>14</v>
      </c>
      <c r="C99" s="11" t="s">
        <v>148</v>
      </c>
      <c r="D99" s="15" t="s">
        <v>33</v>
      </c>
      <c r="E99" s="15" t="s">
        <v>34</v>
      </c>
      <c r="F99" s="14">
        <v>1575</v>
      </c>
      <c r="G99" s="14">
        <v>771</v>
      </c>
      <c r="H99" s="14">
        <v>486</v>
      </c>
      <c r="I99" s="14">
        <v>25200</v>
      </c>
      <c r="J99" s="14">
        <v>24826</v>
      </c>
      <c r="K99" s="14">
        <v>17</v>
      </c>
      <c r="L99" s="15" t="s">
        <v>58</v>
      </c>
      <c r="M99" s="15"/>
      <c r="N99" s="15" t="s">
        <v>38</v>
      </c>
      <c r="O99" s="20">
        <f t="shared" si="3"/>
        <v>0.11238095238095239</v>
      </c>
    </row>
    <row r="100" spans="1:15" x14ac:dyDescent="0.3">
      <c r="A100" s="2" t="s">
        <v>241</v>
      </c>
      <c r="B100" s="15" t="s">
        <v>577</v>
      </c>
      <c r="C100" s="11" t="s">
        <v>242</v>
      </c>
      <c r="D100" s="15" t="s">
        <v>42</v>
      </c>
      <c r="E100" s="15" t="s">
        <v>43</v>
      </c>
      <c r="F100" s="14">
        <v>4171</v>
      </c>
      <c r="G100" s="14">
        <v>548</v>
      </c>
      <c r="H100" s="14">
        <v>86</v>
      </c>
      <c r="I100" s="14">
        <v>66736</v>
      </c>
      <c r="J100" s="14">
        <v>66634</v>
      </c>
      <c r="K100" s="14">
        <v>173</v>
      </c>
      <c r="L100" s="15" t="s">
        <v>58</v>
      </c>
      <c r="M100" s="15"/>
      <c r="N100" s="15" t="s">
        <v>38</v>
      </c>
      <c r="O100" s="20">
        <f t="shared" si="3"/>
        <v>7.2000119875329657E-2</v>
      </c>
    </row>
    <row r="101" spans="1:15" x14ac:dyDescent="0.3">
      <c r="A101" s="2" t="s">
        <v>243</v>
      </c>
      <c r="B101" s="15" t="s">
        <v>577</v>
      </c>
      <c r="C101" s="11" t="s">
        <v>244</v>
      </c>
      <c r="D101" s="15" t="s">
        <v>69</v>
      </c>
      <c r="E101" s="15" t="s">
        <v>70</v>
      </c>
      <c r="F101" s="14">
        <v>1766</v>
      </c>
      <c r="G101" s="14">
        <v>92</v>
      </c>
      <c r="H101" s="14">
        <v>424</v>
      </c>
      <c r="I101" s="14">
        <v>24724</v>
      </c>
      <c r="J101" s="14">
        <v>24333</v>
      </c>
      <c r="K101" s="14">
        <v>52</v>
      </c>
      <c r="L101" s="15" t="s">
        <v>58</v>
      </c>
      <c r="M101" s="15"/>
      <c r="N101" s="15" t="s">
        <v>19</v>
      </c>
      <c r="O101" s="20">
        <f t="shared" si="3"/>
        <v>9.2298980747451867E-2</v>
      </c>
    </row>
    <row r="102" spans="1:15" x14ac:dyDescent="0.3">
      <c r="A102" s="2" t="s">
        <v>245</v>
      </c>
      <c r="B102" s="15" t="s">
        <v>577</v>
      </c>
      <c r="C102" s="11" t="s">
        <v>195</v>
      </c>
      <c r="D102" s="15" t="s">
        <v>69</v>
      </c>
      <c r="E102" s="15" t="s">
        <v>70</v>
      </c>
      <c r="F102" s="14">
        <v>4450</v>
      </c>
      <c r="G102" s="14">
        <v>983</v>
      </c>
      <c r="H102" s="14">
        <v>143</v>
      </c>
      <c r="I102" s="14">
        <v>75650</v>
      </c>
      <c r="J102" s="14">
        <v>75008</v>
      </c>
      <c r="K102" s="14">
        <v>12</v>
      </c>
      <c r="L102" s="15" t="s">
        <v>18</v>
      </c>
      <c r="M102" s="15" t="s">
        <v>58</v>
      </c>
      <c r="N102" s="15" t="s">
        <v>25</v>
      </c>
      <c r="O102" s="20">
        <f t="shared" si="3"/>
        <v>7.3707865168539333E-2</v>
      </c>
    </row>
    <row r="103" spans="1:15" x14ac:dyDescent="0.3">
      <c r="A103" s="2" t="s">
        <v>246</v>
      </c>
      <c r="B103" s="15" t="s">
        <v>14</v>
      </c>
      <c r="C103" s="11" t="s">
        <v>247</v>
      </c>
      <c r="D103" s="15" t="s">
        <v>16</v>
      </c>
      <c r="E103" s="15" t="s">
        <v>17</v>
      </c>
      <c r="F103" s="14">
        <v>1000</v>
      </c>
      <c r="G103" s="14">
        <v>978</v>
      </c>
      <c r="H103" s="14">
        <v>162</v>
      </c>
      <c r="I103" s="14">
        <v>6000</v>
      </c>
      <c r="J103" s="14">
        <v>5221</v>
      </c>
      <c r="K103" s="14">
        <v>223</v>
      </c>
      <c r="L103" s="15" t="s">
        <v>44</v>
      </c>
      <c r="M103" s="15" t="s">
        <v>24</v>
      </c>
      <c r="N103" s="15" t="s">
        <v>38</v>
      </c>
      <c r="O103" s="20">
        <f t="shared" si="3"/>
        <v>0.35666666666666669</v>
      </c>
    </row>
    <row r="104" spans="1:15" x14ac:dyDescent="0.3">
      <c r="A104" s="2" t="s">
        <v>248</v>
      </c>
      <c r="B104" s="15" t="s">
        <v>40</v>
      </c>
      <c r="C104" s="11" t="s">
        <v>249</v>
      </c>
      <c r="D104" s="15" t="s">
        <v>49</v>
      </c>
      <c r="E104" s="15" t="s">
        <v>50</v>
      </c>
      <c r="F104" s="14">
        <v>3689</v>
      </c>
      <c r="G104" s="14">
        <v>48</v>
      </c>
      <c r="H104" s="14">
        <v>306</v>
      </c>
      <c r="I104" s="14">
        <v>40579</v>
      </c>
      <c r="J104" s="14">
        <v>39588</v>
      </c>
      <c r="K104" s="14">
        <v>212</v>
      </c>
      <c r="L104" s="15" t="s">
        <v>44</v>
      </c>
      <c r="M104" s="15"/>
      <c r="N104" s="15" t="s">
        <v>19</v>
      </c>
      <c r="O104" s="20">
        <f t="shared" si="3"/>
        <v>9.9632815002833983E-2</v>
      </c>
    </row>
    <row r="105" spans="1:15" x14ac:dyDescent="0.3">
      <c r="A105" s="2" t="s">
        <v>250</v>
      </c>
      <c r="B105" s="15" t="s">
        <v>577</v>
      </c>
      <c r="C105" s="11" t="s">
        <v>251</v>
      </c>
      <c r="D105" s="15" t="s">
        <v>33</v>
      </c>
      <c r="E105" s="15" t="s">
        <v>34</v>
      </c>
      <c r="F105" s="14">
        <v>3655</v>
      </c>
      <c r="G105" s="14">
        <v>568</v>
      </c>
      <c r="H105" s="14">
        <v>286</v>
      </c>
      <c r="I105" s="14">
        <v>32895</v>
      </c>
      <c r="J105" s="14">
        <v>32015</v>
      </c>
      <c r="K105" s="14">
        <v>199</v>
      </c>
      <c r="L105" s="15" t="s">
        <v>44</v>
      </c>
      <c r="M105" s="15"/>
      <c r="N105" s="15" t="s">
        <v>55</v>
      </c>
      <c r="O105" s="20">
        <f t="shared" si="3"/>
        <v>0.13707250341997265</v>
      </c>
    </row>
    <row r="106" spans="1:15" x14ac:dyDescent="0.3">
      <c r="A106" s="2" t="s">
        <v>252</v>
      </c>
      <c r="B106" s="15" t="s">
        <v>31</v>
      </c>
      <c r="C106" s="11" t="s">
        <v>253</v>
      </c>
      <c r="D106" s="15" t="s">
        <v>42</v>
      </c>
      <c r="E106" s="15" t="s">
        <v>43</v>
      </c>
      <c r="F106" s="14">
        <v>498</v>
      </c>
      <c r="G106" s="14">
        <v>38</v>
      </c>
      <c r="H106" s="14">
        <v>42</v>
      </c>
      <c r="I106" s="14">
        <v>4482</v>
      </c>
      <c r="J106" s="14">
        <v>3647</v>
      </c>
      <c r="K106" s="14">
        <v>32</v>
      </c>
      <c r="L106" s="15" t="s">
        <v>58</v>
      </c>
      <c r="M106" s="15" t="s">
        <v>77</v>
      </c>
      <c r="N106" s="15" t="s">
        <v>55</v>
      </c>
      <c r="O106" s="20">
        <f t="shared" si="3"/>
        <v>0.12896028558679162</v>
      </c>
    </row>
    <row r="107" spans="1:15" x14ac:dyDescent="0.3">
      <c r="A107" s="2" t="s">
        <v>254</v>
      </c>
      <c r="B107" s="15" t="s">
        <v>31</v>
      </c>
      <c r="C107" s="11" t="s">
        <v>255</v>
      </c>
      <c r="D107" s="15" t="s">
        <v>49</v>
      </c>
      <c r="E107" s="15" t="s">
        <v>50</v>
      </c>
      <c r="F107" s="14">
        <v>4619</v>
      </c>
      <c r="G107" s="14">
        <v>821</v>
      </c>
      <c r="H107" s="14">
        <v>499</v>
      </c>
      <c r="I107" s="14">
        <v>69285</v>
      </c>
      <c r="J107" s="14">
        <v>69141</v>
      </c>
      <c r="K107" s="14">
        <v>298</v>
      </c>
      <c r="L107" s="15" t="s">
        <v>24</v>
      </c>
      <c r="M107" s="15"/>
      <c r="N107" s="15" t="s">
        <v>19</v>
      </c>
      <c r="O107" s="20">
        <f t="shared" si="3"/>
        <v>8.5718409468138843E-2</v>
      </c>
    </row>
    <row r="108" spans="1:15" x14ac:dyDescent="0.3">
      <c r="A108" s="2" t="s">
        <v>256</v>
      </c>
      <c r="B108" s="15" t="s">
        <v>577</v>
      </c>
      <c r="C108" s="11" t="s">
        <v>257</v>
      </c>
      <c r="D108" s="15" t="s">
        <v>49</v>
      </c>
      <c r="E108" s="15" t="s">
        <v>50</v>
      </c>
      <c r="F108" s="14">
        <v>4832</v>
      </c>
      <c r="G108" s="14">
        <v>893</v>
      </c>
      <c r="H108" s="14">
        <v>10</v>
      </c>
      <c r="I108" s="14">
        <v>91808</v>
      </c>
      <c r="J108" s="14">
        <v>91296</v>
      </c>
      <c r="K108" s="14">
        <v>182</v>
      </c>
      <c r="L108" s="15" t="s">
        <v>18</v>
      </c>
      <c r="M108" s="15" t="s">
        <v>58</v>
      </c>
      <c r="N108" s="15" t="s">
        <v>38</v>
      </c>
      <c r="O108" s="20">
        <f t="shared" si="3"/>
        <v>6.2467323109097243E-2</v>
      </c>
    </row>
    <row r="109" spans="1:15" x14ac:dyDescent="0.3">
      <c r="A109" s="2" t="s">
        <v>258</v>
      </c>
      <c r="B109" s="15" t="s">
        <v>14</v>
      </c>
      <c r="C109" s="11" t="s">
        <v>259</v>
      </c>
      <c r="D109" s="15" t="s">
        <v>69</v>
      </c>
      <c r="E109" s="15" t="s">
        <v>70</v>
      </c>
      <c r="F109" s="14">
        <v>4050</v>
      </c>
      <c r="G109" s="14">
        <v>871</v>
      </c>
      <c r="H109" s="14">
        <v>347</v>
      </c>
      <c r="I109" s="14">
        <v>52650</v>
      </c>
      <c r="J109" s="14">
        <v>51755</v>
      </c>
      <c r="K109" s="14">
        <v>209</v>
      </c>
      <c r="L109" s="15" t="s">
        <v>58</v>
      </c>
      <c r="M109" s="15" t="s">
        <v>77</v>
      </c>
      <c r="N109" s="15" t="s">
        <v>19</v>
      </c>
      <c r="O109" s="20">
        <f t="shared" si="3"/>
        <v>0.10005698005698006</v>
      </c>
    </row>
    <row r="110" spans="1:15" x14ac:dyDescent="0.3">
      <c r="A110" s="2" t="s">
        <v>260</v>
      </c>
      <c r="B110" s="15" t="s">
        <v>14</v>
      </c>
      <c r="C110" s="11" t="s">
        <v>261</v>
      </c>
      <c r="D110" s="15" t="s">
        <v>33</v>
      </c>
      <c r="E110" s="15" t="s">
        <v>34</v>
      </c>
      <c r="F110" s="14">
        <v>3649</v>
      </c>
      <c r="G110" s="14">
        <v>215</v>
      </c>
      <c r="H110" s="14">
        <v>413</v>
      </c>
      <c r="I110" s="14">
        <v>25543</v>
      </c>
      <c r="J110" s="14">
        <v>24963</v>
      </c>
      <c r="K110" s="14">
        <v>167</v>
      </c>
      <c r="L110" s="15" t="s">
        <v>24</v>
      </c>
      <c r="M110" s="15" t="s">
        <v>58</v>
      </c>
      <c r="N110" s="15" t="s">
        <v>19</v>
      </c>
      <c r="O110" s="20">
        <f t="shared" si="3"/>
        <v>0.16744313510550835</v>
      </c>
    </row>
    <row r="111" spans="1:15" x14ac:dyDescent="0.3">
      <c r="A111" s="2" t="s">
        <v>262</v>
      </c>
      <c r="B111" s="15" t="s">
        <v>31</v>
      </c>
      <c r="C111" s="11" t="s">
        <v>263</v>
      </c>
      <c r="D111" s="15" t="s">
        <v>16</v>
      </c>
      <c r="E111" s="15" t="s">
        <v>17</v>
      </c>
      <c r="F111" s="14">
        <v>3523</v>
      </c>
      <c r="G111" s="14">
        <v>753</v>
      </c>
      <c r="H111" s="14">
        <v>482</v>
      </c>
      <c r="I111" s="14">
        <v>38753</v>
      </c>
      <c r="J111" s="14">
        <v>38579</v>
      </c>
      <c r="K111" s="14">
        <v>270</v>
      </c>
      <c r="L111" s="15" t="s">
        <v>77</v>
      </c>
      <c r="M111" s="15" t="s">
        <v>58</v>
      </c>
      <c r="N111" s="15" t="s">
        <v>25</v>
      </c>
      <c r="O111" s="20">
        <f t="shared" si="3"/>
        <v>0.12277759141227776</v>
      </c>
    </row>
    <row r="112" spans="1:15" x14ac:dyDescent="0.3">
      <c r="A112" s="2" t="s">
        <v>265</v>
      </c>
      <c r="B112" s="15" t="s">
        <v>577</v>
      </c>
      <c r="C112" s="11" t="s">
        <v>266</v>
      </c>
      <c r="D112" s="15" t="s">
        <v>49</v>
      </c>
      <c r="E112" s="15" t="s">
        <v>50</v>
      </c>
      <c r="F112" s="14">
        <v>2719</v>
      </c>
      <c r="G112" s="14">
        <v>17</v>
      </c>
      <c r="H112" s="14">
        <v>285</v>
      </c>
      <c r="I112" s="14">
        <v>40785</v>
      </c>
      <c r="J112" s="14">
        <v>40281</v>
      </c>
      <c r="K112" s="14">
        <v>40</v>
      </c>
      <c r="L112" s="15" t="s">
        <v>24</v>
      </c>
      <c r="M112" s="15" t="s">
        <v>58</v>
      </c>
      <c r="N112" s="15" t="s">
        <v>38</v>
      </c>
      <c r="O112" s="20">
        <f t="shared" si="3"/>
        <v>7.4071349760941527E-2</v>
      </c>
    </row>
    <row r="113" spans="1:15" x14ac:dyDescent="0.3">
      <c r="A113" s="2" t="s">
        <v>267</v>
      </c>
      <c r="B113" s="15" t="s">
        <v>14</v>
      </c>
      <c r="C113" s="11" t="s">
        <v>268</v>
      </c>
      <c r="D113" s="15" t="s">
        <v>33</v>
      </c>
      <c r="E113" s="15" t="s">
        <v>34</v>
      </c>
      <c r="F113" s="14">
        <v>1957</v>
      </c>
      <c r="G113" s="14">
        <v>877</v>
      </c>
      <c r="H113" s="14">
        <v>238</v>
      </c>
      <c r="I113" s="14">
        <v>17613</v>
      </c>
      <c r="J113" s="14">
        <v>16865</v>
      </c>
      <c r="K113" s="14">
        <v>297</v>
      </c>
      <c r="L113" s="15" t="s">
        <v>24</v>
      </c>
      <c r="M113" s="15" t="s">
        <v>18</v>
      </c>
      <c r="N113" s="15" t="s">
        <v>38</v>
      </c>
      <c r="O113" s="20">
        <f t="shared" si="3"/>
        <v>0.17441662408448305</v>
      </c>
    </row>
    <row r="114" spans="1:15" x14ac:dyDescent="0.3">
      <c r="A114" s="2" t="s">
        <v>269</v>
      </c>
      <c r="B114" s="15" t="s">
        <v>14</v>
      </c>
      <c r="C114" s="11" t="s">
        <v>270</v>
      </c>
      <c r="D114" s="15" t="s">
        <v>42</v>
      </c>
      <c r="E114" s="15" t="s">
        <v>43</v>
      </c>
      <c r="F114" s="14">
        <v>4419</v>
      </c>
      <c r="G114" s="14">
        <v>236</v>
      </c>
      <c r="H114" s="14">
        <v>369</v>
      </c>
      <c r="I114" s="14">
        <v>44190</v>
      </c>
      <c r="J114" s="14">
        <v>43582</v>
      </c>
      <c r="K114" s="14">
        <v>10</v>
      </c>
      <c r="L114" s="15" t="s">
        <v>44</v>
      </c>
      <c r="M114" s="15"/>
      <c r="N114" s="15" t="s">
        <v>55</v>
      </c>
      <c r="O114" s="20">
        <f t="shared" si="3"/>
        <v>0.11369088028965829</v>
      </c>
    </row>
    <row r="115" spans="1:15" x14ac:dyDescent="0.3">
      <c r="A115" s="2" t="s">
        <v>271</v>
      </c>
      <c r="B115" s="15" t="s">
        <v>14</v>
      </c>
      <c r="C115" s="11" t="s">
        <v>272</v>
      </c>
      <c r="D115" s="15" t="s">
        <v>33</v>
      </c>
      <c r="E115" s="15" t="s">
        <v>34</v>
      </c>
      <c r="F115" s="14">
        <v>4000</v>
      </c>
      <c r="G115" s="14">
        <v>689</v>
      </c>
      <c r="H115" s="14">
        <v>488</v>
      </c>
      <c r="I115" s="14">
        <v>40000</v>
      </c>
      <c r="J115" s="14">
        <v>39569</v>
      </c>
      <c r="K115" s="14">
        <v>44</v>
      </c>
      <c r="L115" s="15" t="s">
        <v>77</v>
      </c>
      <c r="M115" s="15" t="s">
        <v>24</v>
      </c>
      <c r="N115" s="15" t="s">
        <v>38</v>
      </c>
      <c r="O115" s="20">
        <f t="shared" si="3"/>
        <v>0.12942500000000001</v>
      </c>
    </row>
    <row r="116" spans="1:15" x14ac:dyDescent="0.3">
      <c r="A116" s="2" t="s">
        <v>273</v>
      </c>
      <c r="B116" s="15" t="s">
        <v>14</v>
      </c>
      <c r="C116" s="11" t="s">
        <v>274</v>
      </c>
      <c r="D116" s="15" t="s">
        <v>49</v>
      </c>
      <c r="E116" s="15" t="s">
        <v>50</v>
      </c>
      <c r="F116" s="14">
        <v>2493</v>
      </c>
      <c r="G116" s="14">
        <v>97</v>
      </c>
      <c r="H116" s="14">
        <v>44</v>
      </c>
      <c r="I116" s="14">
        <v>42381</v>
      </c>
      <c r="J116" s="14">
        <v>41991</v>
      </c>
      <c r="K116" s="14">
        <v>242</v>
      </c>
      <c r="L116" s="15" t="s">
        <v>18</v>
      </c>
      <c r="M116" s="15" t="s">
        <v>58</v>
      </c>
      <c r="N116" s="15" t="s">
        <v>19</v>
      </c>
      <c r="O116" s="20">
        <f t="shared" si="3"/>
        <v>6.2150491965739366E-2</v>
      </c>
    </row>
    <row r="117" spans="1:15" x14ac:dyDescent="0.3">
      <c r="A117" s="2" t="s">
        <v>275</v>
      </c>
      <c r="B117" s="15" t="s">
        <v>577</v>
      </c>
      <c r="C117" s="11" t="s">
        <v>276</v>
      </c>
      <c r="D117" s="15" t="s">
        <v>16</v>
      </c>
      <c r="E117" s="15" t="s">
        <v>17</v>
      </c>
      <c r="F117" s="14">
        <v>3704</v>
      </c>
      <c r="G117" s="14">
        <v>186</v>
      </c>
      <c r="H117" s="14">
        <v>458</v>
      </c>
      <c r="I117" s="14">
        <v>25928</v>
      </c>
      <c r="J117" s="14">
        <v>25081</v>
      </c>
      <c r="K117" s="14">
        <v>131</v>
      </c>
      <c r="L117" s="15" t="s">
        <v>58</v>
      </c>
      <c r="M117" s="15"/>
      <c r="N117" s="15" t="s">
        <v>19</v>
      </c>
      <c r="O117" s="20">
        <f t="shared" si="3"/>
        <v>0.16769515581610614</v>
      </c>
    </row>
    <row r="118" spans="1:15" x14ac:dyDescent="0.3">
      <c r="A118" s="2" t="s">
        <v>277</v>
      </c>
      <c r="B118" s="15" t="s">
        <v>14</v>
      </c>
      <c r="C118" s="11" t="s">
        <v>278</v>
      </c>
      <c r="D118" s="15" t="s">
        <v>49</v>
      </c>
      <c r="E118" s="15" t="s">
        <v>50</v>
      </c>
      <c r="F118" s="14">
        <v>1606</v>
      </c>
      <c r="G118" s="14">
        <v>451</v>
      </c>
      <c r="H118" s="14">
        <v>405</v>
      </c>
      <c r="I118" s="14">
        <v>20878</v>
      </c>
      <c r="J118" s="14">
        <v>20190</v>
      </c>
      <c r="K118" s="14">
        <v>219</v>
      </c>
      <c r="L118" s="15" t="s">
        <v>18</v>
      </c>
      <c r="M118" s="15" t="s">
        <v>58</v>
      </c>
      <c r="N118" s="15" t="s">
        <v>25</v>
      </c>
      <c r="O118" s="20">
        <f t="shared" si="3"/>
        <v>0.11792317271769326</v>
      </c>
    </row>
    <row r="119" spans="1:15" x14ac:dyDescent="0.3">
      <c r="A119" s="2" t="s">
        <v>279</v>
      </c>
      <c r="B119" s="15" t="s">
        <v>40</v>
      </c>
      <c r="C119" s="11" t="s">
        <v>278</v>
      </c>
      <c r="D119" s="15" t="s">
        <v>49</v>
      </c>
      <c r="E119" s="15" t="s">
        <v>50</v>
      </c>
      <c r="F119" s="14">
        <v>4551</v>
      </c>
      <c r="G119" s="14">
        <v>714</v>
      </c>
      <c r="H119" s="14">
        <v>207</v>
      </c>
      <c r="I119" s="14">
        <v>68265</v>
      </c>
      <c r="J119" s="14">
        <v>67754</v>
      </c>
      <c r="K119" s="14">
        <v>57</v>
      </c>
      <c r="L119" s="15" t="s">
        <v>44</v>
      </c>
      <c r="M119" s="15"/>
      <c r="N119" s="15" t="s">
        <v>25</v>
      </c>
      <c r="O119" s="20">
        <f t="shared" si="3"/>
        <v>8.0158206987475278E-2</v>
      </c>
    </row>
    <row r="120" spans="1:15" x14ac:dyDescent="0.3">
      <c r="A120" s="2" t="s">
        <v>280</v>
      </c>
      <c r="B120" s="15" t="s">
        <v>31</v>
      </c>
      <c r="C120" s="11" t="s">
        <v>281</v>
      </c>
      <c r="D120" s="15" t="s">
        <v>16</v>
      </c>
      <c r="E120" s="15" t="s">
        <v>17</v>
      </c>
      <c r="F120" s="14">
        <v>1970</v>
      </c>
      <c r="G120" s="14">
        <v>675</v>
      </c>
      <c r="H120" s="14">
        <v>478</v>
      </c>
      <c r="I120" s="14">
        <v>9850</v>
      </c>
      <c r="J120" s="14">
        <v>8924</v>
      </c>
      <c r="K120" s="14">
        <v>117</v>
      </c>
      <c r="L120" s="15" t="s">
        <v>44</v>
      </c>
      <c r="M120" s="15"/>
      <c r="N120" s="15" t="s">
        <v>55</v>
      </c>
      <c r="O120" s="20">
        <f t="shared" si="3"/>
        <v>0.31705583756345179</v>
      </c>
    </row>
    <row r="121" spans="1:15" x14ac:dyDescent="0.3">
      <c r="A121" s="2" t="s">
        <v>282</v>
      </c>
      <c r="B121" s="15" t="s">
        <v>40</v>
      </c>
      <c r="C121" s="11" t="s">
        <v>164</v>
      </c>
      <c r="D121" s="15" t="s">
        <v>33</v>
      </c>
      <c r="E121" s="15" t="s">
        <v>34</v>
      </c>
      <c r="F121" s="14">
        <v>780</v>
      </c>
      <c r="G121" s="14">
        <v>928</v>
      </c>
      <c r="H121" s="14">
        <v>301</v>
      </c>
      <c r="I121" s="14">
        <v>8580</v>
      </c>
      <c r="J121" s="14">
        <v>8081</v>
      </c>
      <c r="K121" s="14">
        <v>91</v>
      </c>
      <c r="L121" s="15" t="s">
        <v>18</v>
      </c>
      <c r="M121" s="15" t="s">
        <v>24</v>
      </c>
      <c r="N121" s="15" t="s">
        <v>55</v>
      </c>
      <c r="O121" s="20">
        <f t="shared" si="3"/>
        <v>0.23414918414918415</v>
      </c>
    </row>
    <row r="122" spans="1:15" x14ac:dyDescent="0.3">
      <c r="A122" s="2" t="s">
        <v>283</v>
      </c>
      <c r="B122" s="15" t="s">
        <v>31</v>
      </c>
      <c r="C122" s="11" t="s">
        <v>263</v>
      </c>
      <c r="D122" s="15" t="s">
        <v>33</v>
      </c>
      <c r="E122" s="15" t="s">
        <v>34</v>
      </c>
      <c r="F122" s="14">
        <v>498</v>
      </c>
      <c r="G122" s="14">
        <v>701</v>
      </c>
      <c r="H122" s="14">
        <v>412</v>
      </c>
      <c r="I122" s="14">
        <v>4980</v>
      </c>
      <c r="J122" s="14">
        <v>4185</v>
      </c>
      <c r="K122" s="14">
        <v>185</v>
      </c>
      <c r="L122" s="15" t="s">
        <v>77</v>
      </c>
      <c r="M122" s="15" t="s">
        <v>58</v>
      </c>
      <c r="N122" s="15" t="s">
        <v>55</v>
      </c>
      <c r="O122" s="20">
        <f t="shared" si="3"/>
        <v>0.32349397590361445</v>
      </c>
    </row>
    <row r="123" spans="1:15" x14ac:dyDescent="0.3">
      <c r="A123" s="2" t="s">
        <v>284</v>
      </c>
      <c r="B123" s="15" t="s">
        <v>31</v>
      </c>
      <c r="C123" s="11" t="s">
        <v>270</v>
      </c>
      <c r="D123" s="15" t="s">
        <v>22</v>
      </c>
      <c r="E123" s="15" t="s">
        <v>23</v>
      </c>
      <c r="F123" s="14">
        <v>3432</v>
      </c>
      <c r="G123" s="14">
        <v>869</v>
      </c>
      <c r="H123" s="14">
        <v>123</v>
      </c>
      <c r="I123" s="14">
        <v>54912</v>
      </c>
      <c r="J123" s="14">
        <v>53916</v>
      </c>
      <c r="K123" s="14">
        <v>264</v>
      </c>
      <c r="L123" s="15" t="s">
        <v>24</v>
      </c>
      <c r="M123" s="15" t="s">
        <v>44</v>
      </c>
      <c r="N123" s="15" t="s">
        <v>25</v>
      </c>
      <c r="O123" s="20">
        <f t="shared" si="3"/>
        <v>8.0565268065268064E-2</v>
      </c>
    </row>
    <row r="124" spans="1:15" x14ac:dyDescent="0.3">
      <c r="A124" s="2" t="s">
        <v>286</v>
      </c>
      <c r="B124" s="15" t="s">
        <v>31</v>
      </c>
      <c r="C124" s="11" t="s">
        <v>253</v>
      </c>
      <c r="D124" s="15" t="s">
        <v>33</v>
      </c>
      <c r="E124" s="15" t="s">
        <v>34</v>
      </c>
      <c r="F124" s="14">
        <v>4363</v>
      </c>
      <c r="G124" s="14">
        <v>649</v>
      </c>
      <c r="H124" s="14">
        <v>140</v>
      </c>
      <c r="I124" s="14">
        <v>21815</v>
      </c>
      <c r="J124" s="14">
        <v>21481</v>
      </c>
      <c r="K124" s="14">
        <v>157</v>
      </c>
      <c r="L124" s="15" t="s">
        <v>18</v>
      </c>
      <c r="M124" s="15" t="s">
        <v>24</v>
      </c>
      <c r="N124" s="15" t="s">
        <v>25</v>
      </c>
      <c r="O124" s="20">
        <f t="shared" si="3"/>
        <v>0.23616777446710979</v>
      </c>
    </row>
    <row r="125" spans="1:15" x14ac:dyDescent="0.3">
      <c r="A125" s="2" t="s">
        <v>287</v>
      </c>
      <c r="B125" s="15" t="s">
        <v>577</v>
      </c>
      <c r="C125" s="11" t="s">
        <v>288</v>
      </c>
      <c r="D125" s="15" t="s">
        <v>42</v>
      </c>
      <c r="E125" s="15" t="s">
        <v>43</v>
      </c>
      <c r="F125" s="14">
        <v>736</v>
      </c>
      <c r="G125" s="14">
        <v>771</v>
      </c>
      <c r="H125" s="14">
        <v>225</v>
      </c>
      <c r="I125" s="14">
        <v>5152</v>
      </c>
      <c r="J125" s="14">
        <v>4706</v>
      </c>
      <c r="K125" s="14">
        <v>19</v>
      </c>
      <c r="L125" s="15" t="s">
        <v>58</v>
      </c>
      <c r="M125" s="15"/>
      <c r="N125" s="15" t="s">
        <v>38</v>
      </c>
      <c r="O125" s="20">
        <f t="shared" si="3"/>
        <v>0.33618012422360249</v>
      </c>
    </row>
    <row r="126" spans="1:15" x14ac:dyDescent="0.3">
      <c r="A126" s="2" t="s">
        <v>289</v>
      </c>
      <c r="B126" s="15" t="s">
        <v>14</v>
      </c>
      <c r="C126" s="11" t="s">
        <v>290</v>
      </c>
      <c r="D126" s="15" t="s">
        <v>42</v>
      </c>
      <c r="E126" s="15" t="s">
        <v>43</v>
      </c>
      <c r="F126" s="14">
        <v>3811</v>
      </c>
      <c r="G126" s="14">
        <v>866</v>
      </c>
      <c r="H126" s="14">
        <v>216</v>
      </c>
      <c r="I126" s="14">
        <v>34299</v>
      </c>
      <c r="J126" s="14">
        <v>34088</v>
      </c>
      <c r="K126" s="14">
        <v>233</v>
      </c>
      <c r="L126" s="15" t="s">
        <v>58</v>
      </c>
      <c r="M126" s="15"/>
      <c r="N126" s="15" t="s">
        <v>38</v>
      </c>
      <c r="O126" s="20">
        <f t="shared" si="3"/>
        <v>0.14265722032712325</v>
      </c>
    </row>
    <row r="127" spans="1:15" x14ac:dyDescent="0.3">
      <c r="A127" s="2" t="s">
        <v>291</v>
      </c>
      <c r="B127" s="15" t="s">
        <v>31</v>
      </c>
      <c r="C127" s="11" t="s">
        <v>180</v>
      </c>
      <c r="D127" s="15" t="s">
        <v>42</v>
      </c>
      <c r="E127" s="15" t="s">
        <v>43</v>
      </c>
      <c r="F127" s="14">
        <v>4158</v>
      </c>
      <c r="G127" s="14">
        <v>167</v>
      </c>
      <c r="H127" s="14">
        <v>241</v>
      </c>
      <c r="I127" s="14">
        <v>45738</v>
      </c>
      <c r="J127" s="14">
        <v>45183</v>
      </c>
      <c r="K127" s="14">
        <v>142</v>
      </c>
      <c r="L127" s="15" t="s">
        <v>24</v>
      </c>
      <c r="M127" s="15"/>
      <c r="N127" s="15" t="s">
        <v>25</v>
      </c>
      <c r="O127" s="20">
        <f t="shared" si="3"/>
        <v>9.9829463465827106E-2</v>
      </c>
    </row>
    <row r="128" spans="1:15" x14ac:dyDescent="0.3">
      <c r="A128" s="2" t="s">
        <v>292</v>
      </c>
      <c r="B128" s="15" t="s">
        <v>40</v>
      </c>
      <c r="C128" s="11" t="s">
        <v>219</v>
      </c>
      <c r="D128" s="15" t="s">
        <v>16</v>
      </c>
      <c r="E128" s="15" t="s">
        <v>17</v>
      </c>
      <c r="F128" s="14">
        <v>3452</v>
      </c>
      <c r="G128" s="14">
        <v>652</v>
      </c>
      <c r="H128" s="14">
        <v>442</v>
      </c>
      <c r="I128" s="14">
        <v>65588</v>
      </c>
      <c r="J128" s="14">
        <v>65049</v>
      </c>
      <c r="K128" s="14">
        <v>158</v>
      </c>
      <c r="L128" s="15" t="s">
        <v>18</v>
      </c>
      <c r="M128" s="15" t="s">
        <v>58</v>
      </c>
      <c r="N128" s="15" t="s">
        <v>19</v>
      </c>
      <c r="O128" s="20">
        <f t="shared" si="3"/>
        <v>6.9311459413307311E-2</v>
      </c>
    </row>
    <row r="129" spans="1:15" x14ac:dyDescent="0.3">
      <c r="A129" s="2" t="s">
        <v>293</v>
      </c>
      <c r="B129" s="15" t="s">
        <v>14</v>
      </c>
      <c r="C129" s="11" t="s">
        <v>225</v>
      </c>
      <c r="D129" s="15" t="s">
        <v>49</v>
      </c>
      <c r="E129" s="15" t="s">
        <v>50</v>
      </c>
      <c r="F129" s="14">
        <v>3092</v>
      </c>
      <c r="G129" s="14">
        <v>106</v>
      </c>
      <c r="H129" s="14">
        <v>291</v>
      </c>
      <c r="I129" s="14">
        <v>27828</v>
      </c>
      <c r="J129" s="14">
        <v>27217</v>
      </c>
      <c r="K129" s="14">
        <v>102</v>
      </c>
      <c r="L129" s="15" t="s">
        <v>58</v>
      </c>
      <c r="M129" s="15"/>
      <c r="N129" s="15" t="s">
        <v>55</v>
      </c>
      <c r="O129" s="20">
        <f t="shared" si="3"/>
        <v>0.12537731780940059</v>
      </c>
    </row>
    <row r="130" spans="1:15" x14ac:dyDescent="0.3">
      <c r="A130" s="2" t="s">
        <v>294</v>
      </c>
      <c r="B130" s="15" t="s">
        <v>14</v>
      </c>
      <c r="C130" s="11" t="s">
        <v>60</v>
      </c>
      <c r="D130" s="15" t="s">
        <v>22</v>
      </c>
      <c r="E130" s="15" t="s">
        <v>23</v>
      </c>
      <c r="F130" s="14">
        <v>2147</v>
      </c>
      <c r="G130" s="14">
        <v>430</v>
      </c>
      <c r="H130" s="14">
        <v>393</v>
      </c>
      <c r="I130" s="14">
        <v>17176</v>
      </c>
      <c r="J130" s="14">
        <v>16483</v>
      </c>
      <c r="K130" s="14">
        <v>170</v>
      </c>
      <c r="L130" s="15" t="s">
        <v>77</v>
      </c>
      <c r="M130" s="15"/>
      <c r="N130" s="15" t="s">
        <v>55</v>
      </c>
      <c r="O130" s="20">
        <f t="shared" ref="O130:O193" si="4">SUM(F130,G130,H130)/I130</f>
        <v>0.17291569632044715</v>
      </c>
    </row>
    <row r="131" spans="1:15" x14ac:dyDescent="0.3">
      <c r="A131" s="2" t="s">
        <v>295</v>
      </c>
      <c r="B131" s="15" t="s">
        <v>577</v>
      </c>
      <c r="C131" s="11" t="s">
        <v>296</v>
      </c>
      <c r="D131" s="15" t="s">
        <v>16</v>
      </c>
      <c r="E131" s="15" t="s">
        <v>17</v>
      </c>
      <c r="F131" s="14">
        <v>2936</v>
      </c>
      <c r="G131" s="14">
        <v>439</v>
      </c>
      <c r="H131" s="14">
        <v>44</v>
      </c>
      <c r="I131" s="14">
        <v>38168</v>
      </c>
      <c r="J131" s="14">
        <v>37571</v>
      </c>
      <c r="K131" s="14">
        <v>22</v>
      </c>
      <c r="L131" s="15" t="s">
        <v>18</v>
      </c>
      <c r="M131" s="15"/>
      <c r="N131" s="15" t="s">
        <v>38</v>
      </c>
      <c r="O131" s="20">
        <f t="shared" si="4"/>
        <v>8.9577656675749323E-2</v>
      </c>
    </row>
    <row r="132" spans="1:15" x14ac:dyDescent="0.3">
      <c r="A132" s="2" t="s">
        <v>297</v>
      </c>
      <c r="B132" s="15" t="s">
        <v>31</v>
      </c>
      <c r="C132" s="11" t="s">
        <v>164</v>
      </c>
      <c r="D132" s="15" t="s">
        <v>16</v>
      </c>
      <c r="E132" s="15" t="s">
        <v>17</v>
      </c>
      <c r="F132" s="14">
        <v>4840</v>
      </c>
      <c r="G132" s="14">
        <v>658</v>
      </c>
      <c r="H132" s="14">
        <v>211</v>
      </c>
      <c r="I132" s="14">
        <v>43560</v>
      </c>
      <c r="J132" s="14">
        <v>43225</v>
      </c>
      <c r="K132" s="14">
        <v>57</v>
      </c>
      <c r="L132" s="15" t="s">
        <v>18</v>
      </c>
      <c r="M132" s="15" t="s">
        <v>24</v>
      </c>
      <c r="N132" s="15" t="s">
        <v>25</v>
      </c>
      <c r="O132" s="20">
        <f t="shared" si="4"/>
        <v>0.13106060606060607</v>
      </c>
    </row>
    <row r="133" spans="1:15" x14ac:dyDescent="0.3">
      <c r="A133" s="2" t="s">
        <v>298</v>
      </c>
      <c r="B133" s="15" t="s">
        <v>31</v>
      </c>
      <c r="C133" s="11" t="s">
        <v>101</v>
      </c>
      <c r="D133" s="15" t="s">
        <v>33</v>
      </c>
      <c r="E133" s="15" t="s">
        <v>34</v>
      </c>
      <c r="F133" s="14">
        <v>1947</v>
      </c>
      <c r="G133" s="14">
        <v>842</v>
      </c>
      <c r="H133" s="14">
        <v>101</v>
      </c>
      <c r="I133" s="14">
        <v>21417</v>
      </c>
      <c r="J133" s="14">
        <v>20967</v>
      </c>
      <c r="K133" s="14">
        <v>186</v>
      </c>
      <c r="L133" s="15" t="s">
        <v>24</v>
      </c>
      <c r="M133" s="15"/>
      <c r="N133" s="15" t="s">
        <v>25</v>
      </c>
      <c r="O133" s="20">
        <f t="shared" si="4"/>
        <v>0.13493953401503478</v>
      </c>
    </row>
    <row r="134" spans="1:15" x14ac:dyDescent="0.3">
      <c r="A134" s="2" t="s">
        <v>299</v>
      </c>
      <c r="B134" s="15" t="s">
        <v>40</v>
      </c>
      <c r="C134" s="11" t="s">
        <v>300</v>
      </c>
      <c r="D134" s="15" t="s">
        <v>49</v>
      </c>
      <c r="E134" s="15" t="s">
        <v>50</v>
      </c>
      <c r="F134" s="14">
        <v>2072</v>
      </c>
      <c r="G134" s="14">
        <v>532</v>
      </c>
      <c r="H134" s="14">
        <v>71</v>
      </c>
      <c r="I134" s="14">
        <v>37296</v>
      </c>
      <c r="J134" s="14">
        <v>36467</v>
      </c>
      <c r="K134" s="14">
        <v>25</v>
      </c>
      <c r="L134" s="15" t="s">
        <v>18</v>
      </c>
      <c r="M134" s="15"/>
      <c r="N134" s="15" t="s">
        <v>38</v>
      </c>
      <c r="O134" s="20">
        <f t="shared" si="4"/>
        <v>7.172350922350923E-2</v>
      </c>
    </row>
    <row r="135" spans="1:15" x14ac:dyDescent="0.3">
      <c r="A135" s="2" t="s">
        <v>301</v>
      </c>
      <c r="B135" s="15" t="s">
        <v>14</v>
      </c>
      <c r="C135" s="11" t="s">
        <v>302</v>
      </c>
      <c r="D135" s="15" t="s">
        <v>16</v>
      </c>
      <c r="E135" s="15" t="s">
        <v>17</v>
      </c>
      <c r="F135" s="14">
        <v>3731</v>
      </c>
      <c r="G135" s="14">
        <v>115</v>
      </c>
      <c r="H135" s="14">
        <v>135</v>
      </c>
      <c r="I135" s="14">
        <v>55965</v>
      </c>
      <c r="J135" s="14">
        <v>55436</v>
      </c>
      <c r="K135" s="14">
        <v>103</v>
      </c>
      <c r="L135" s="15" t="s">
        <v>77</v>
      </c>
      <c r="M135" s="15"/>
      <c r="N135" s="15" t="s">
        <v>55</v>
      </c>
      <c r="O135" s="20">
        <f t="shared" si="4"/>
        <v>7.1133744304476013E-2</v>
      </c>
    </row>
    <row r="136" spans="1:15" x14ac:dyDescent="0.3">
      <c r="A136" s="2" t="s">
        <v>303</v>
      </c>
      <c r="B136" s="15" t="s">
        <v>40</v>
      </c>
      <c r="C136" s="11" t="s">
        <v>304</v>
      </c>
      <c r="D136" s="15" t="s">
        <v>22</v>
      </c>
      <c r="E136" s="15" t="s">
        <v>23</v>
      </c>
      <c r="F136" s="14">
        <v>4213</v>
      </c>
      <c r="G136" s="14">
        <v>253</v>
      </c>
      <c r="H136" s="14">
        <v>434</v>
      </c>
      <c r="I136" s="14">
        <v>75834</v>
      </c>
      <c r="J136" s="14">
        <v>75437</v>
      </c>
      <c r="K136" s="14">
        <v>272</v>
      </c>
      <c r="L136" s="15" t="s">
        <v>44</v>
      </c>
      <c r="M136" s="15"/>
      <c r="N136" s="15" t="s">
        <v>38</v>
      </c>
      <c r="O136" s="20">
        <f t="shared" si="4"/>
        <v>6.461481657304112E-2</v>
      </c>
    </row>
    <row r="137" spans="1:15" x14ac:dyDescent="0.3">
      <c r="A137" s="2" t="s">
        <v>305</v>
      </c>
      <c r="B137" s="15" t="s">
        <v>31</v>
      </c>
      <c r="C137" s="11" t="s">
        <v>306</v>
      </c>
      <c r="D137" s="15" t="s">
        <v>22</v>
      </c>
      <c r="E137" s="15" t="s">
        <v>23</v>
      </c>
      <c r="F137" s="14">
        <v>3134</v>
      </c>
      <c r="G137" s="14">
        <v>888</v>
      </c>
      <c r="H137" s="14">
        <v>444</v>
      </c>
      <c r="I137" s="14">
        <v>21938</v>
      </c>
      <c r="J137" s="14">
        <v>21337</v>
      </c>
      <c r="K137" s="14">
        <v>130</v>
      </c>
      <c r="L137" s="15" t="s">
        <v>18</v>
      </c>
      <c r="M137" s="15" t="s">
        <v>24</v>
      </c>
      <c r="N137" s="15" t="s">
        <v>55</v>
      </c>
      <c r="O137" s="20">
        <f t="shared" si="4"/>
        <v>0.20357370772176134</v>
      </c>
    </row>
    <row r="138" spans="1:15" x14ac:dyDescent="0.3">
      <c r="A138" s="2" t="s">
        <v>307</v>
      </c>
      <c r="B138" s="15" t="s">
        <v>40</v>
      </c>
      <c r="C138" s="11" t="s">
        <v>111</v>
      </c>
      <c r="D138" s="15" t="s">
        <v>69</v>
      </c>
      <c r="E138" s="15" t="s">
        <v>70</v>
      </c>
      <c r="F138" s="14">
        <v>3008</v>
      </c>
      <c r="G138" s="14">
        <v>94</v>
      </c>
      <c r="H138" s="14">
        <v>37</v>
      </c>
      <c r="I138" s="14">
        <v>15040</v>
      </c>
      <c r="J138" s="14">
        <v>14639</v>
      </c>
      <c r="K138" s="14">
        <v>277</v>
      </c>
      <c r="L138" s="15" t="s">
        <v>77</v>
      </c>
      <c r="M138" s="15"/>
      <c r="N138" s="15" t="s">
        <v>19</v>
      </c>
      <c r="O138" s="20">
        <f t="shared" si="4"/>
        <v>0.20871010638297871</v>
      </c>
    </row>
    <row r="139" spans="1:15" x14ac:dyDescent="0.3">
      <c r="A139" s="2" t="s">
        <v>308</v>
      </c>
      <c r="B139" s="15" t="s">
        <v>14</v>
      </c>
      <c r="C139" s="11" t="s">
        <v>184</v>
      </c>
      <c r="D139" s="15" t="s">
        <v>49</v>
      </c>
      <c r="E139" s="15" t="s">
        <v>50</v>
      </c>
      <c r="F139" s="14">
        <v>305</v>
      </c>
      <c r="G139" s="14">
        <v>187</v>
      </c>
      <c r="H139" s="14">
        <v>243</v>
      </c>
      <c r="I139" s="14">
        <v>4575</v>
      </c>
      <c r="J139" s="14">
        <v>3704</v>
      </c>
      <c r="K139" s="14">
        <v>234</v>
      </c>
      <c r="L139" s="15" t="s">
        <v>24</v>
      </c>
      <c r="M139" s="15" t="s">
        <v>44</v>
      </c>
      <c r="N139" s="15" t="s">
        <v>55</v>
      </c>
      <c r="O139" s="20">
        <f t="shared" si="4"/>
        <v>0.16065573770491803</v>
      </c>
    </row>
    <row r="140" spans="1:15" x14ac:dyDescent="0.3">
      <c r="A140" s="2" t="s">
        <v>309</v>
      </c>
      <c r="B140" s="15" t="s">
        <v>577</v>
      </c>
      <c r="C140" s="11" t="s">
        <v>310</v>
      </c>
      <c r="D140" s="15" t="s">
        <v>22</v>
      </c>
      <c r="E140" s="15" t="s">
        <v>23</v>
      </c>
      <c r="F140" s="14">
        <v>2746</v>
      </c>
      <c r="G140" s="14">
        <v>156</v>
      </c>
      <c r="H140" s="14">
        <v>203</v>
      </c>
      <c r="I140" s="14">
        <v>32952</v>
      </c>
      <c r="J140" s="14">
        <v>32147</v>
      </c>
      <c r="K140" s="14">
        <v>147</v>
      </c>
      <c r="L140" s="15" t="s">
        <v>24</v>
      </c>
      <c r="M140" s="15" t="s">
        <v>58</v>
      </c>
      <c r="N140" s="15" t="s">
        <v>25</v>
      </c>
      <c r="O140" s="20">
        <f t="shared" si="4"/>
        <v>9.422796795338674E-2</v>
      </c>
    </row>
    <row r="141" spans="1:15" x14ac:dyDescent="0.3">
      <c r="A141" s="2" t="s">
        <v>311</v>
      </c>
      <c r="B141" s="15" t="s">
        <v>40</v>
      </c>
      <c r="C141" s="11" t="s">
        <v>312</v>
      </c>
      <c r="D141" s="15" t="s">
        <v>49</v>
      </c>
      <c r="E141" s="15" t="s">
        <v>50</v>
      </c>
      <c r="F141" s="14">
        <v>2291</v>
      </c>
      <c r="G141" s="14">
        <v>78</v>
      </c>
      <c r="H141" s="14">
        <v>485</v>
      </c>
      <c r="I141" s="14">
        <v>18328</v>
      </c>
      <c r="J141" s="14">
        <v>18101</v>
      </c>
      <c r="K141" s="14">
        <v>10</v>
      </c>
      <c r="L141" s="15" t="s">
        <v>77</v>
      </c>
      <c r="M141" s="15"/>
      <c r="N141" s="15" t="s">
        <v>19</v>
      </c>
      <c r="O141" s="20">
        <f t="shared" si="4"/>
        <v>0.15571802706241816</v>
      </c>
    </row>
    <row r="142" spans="1:15" x14ac:dyDescent="0.3">
      <c r="A142" s="2" t="s">
        <v>313</v>
      </c>
      <c r="B142" s="15" t="s">
        <v>14</v>
      </c>
      <c r="C142" s="11" t="s">
        <v>314</v>
      </c>
      <c r="D142" s="15" t="s">
        <v>49</v>
      </c>
      <c r="E142" s="15" t="s">
        <v>50</v>
      </c>
      <c r="F142" s="14">
        <v>3170</v>
      </c>
      <c r="G142" s="14">
        <v>857</v>
      </c>
      <c r="H142" s="14">
        <v>379</v>
      </c>
      <c r="I142" s="14">
        <v>19020</v>
      </c>
      <c r="J142" s="14">
        <v>18559</v>
      </c>
      <c r="K142" s="14">
        <v>240</v>
      </c>
      <c r="L142" s="15" t="s">
        <v>18</v>
      </c>
      <c r="M142" s="15"/>
      <c r="N142" s="15" t="s">
        <v>38</v>
      </c>
      <c r="O142" s="20">
        <f t="shared" si="4"/>
        <v>0.2316508937960042</v>
      </c>
    </row>
    <row r="143" spans="1:15" x14ac:dyDescent="0.3">
      <c r="A143" s="2" t="s">
        <v>315</v>
      </c>
      <c r="B143" s="15" t="s">
        <v>577</v>
      </c>
      <c r="C143" s="11" t="s">
        <v>259</v>
      </c>
      <c r="D143" s="15" t="s">
        <v>33</v>
      </c>
      <c r="E143" s="15" t="s">
        <v>34</v>
      </c>
      <c r="F143" s="14">
        <v>2070</v>
      </c>
      <c r="G143" s="14">
        <v>275</v>
      </c>
      <c r="H143" s="14">
        <v>386</v>
      </c>
      <c r="I143" s="14">
        <v>39330</v>
      </c>
      <c r="J143" s="14">
        <v>38627</v>
      </c>
      <c r="K143" s="14">
        <v>114</v>
      </c>
      <c r="L143" s="15" t="s">
        <v>18</v>
      </c>
      <c r="M143" s="15"/>
      <c r="N143" s="15" t="s">
        <v>55</v>
      </c>
      <c r="O143" s="20">
        <f t="shared" si="4"/>
        <v>6.9438087973557078E-2</v>
      </c>
    </row>
    <row r="144" spans="1:15" x14ac:dyDescent="0.3">
      <c r="A144" s="2" t="s">
        <v>316</v>
      </c>
      <c r="B144" s="15" t="s">
        <v>577</v>
      </c>
      <c r="C144" s="11" t="s">
        <v>270</v>
      </c>
      <c r="D144" s="15" t="s">
        <v>42</v>
      </c>
      <c r="E144" s="15" t="s">
        <v>43</v>
      </c>
      <c r="F144" s="14">
        <v>80</v>
      </c>
      <c r="G144" s="14">
        <v>362</v>
      </c>
      <c r="H144" s="14">
        <v>80</v>
      </c>
      <c r="I144" s="14">
        <v>1040</v>
      </c>
      <c r="J144" s="14">
        <v>349</v>
      </c>
      <c r="K144" s="14">
        <v>117</v>
      </c>
      <c r="L144" s="15" t="s">
        <v>24</v>
      </c>
      <c r="M144" s="15" t="s">
        <v>58</v>
      </c>
      <c r="N144" s="15" t="s">
        <v>25</v>
      </c>
      <c r="O144" s="20">
        <f t="shared" si="4"/>
        <v>0.50192307692307692</v>
      </c>
    </row>
    <row r="145" spans="1:15" x14ac:dyDescent="0.3">
      <c r="A145" s="2" t="s">
        <v>317</v>
      </c>
      <c r="B145" s="15" t="s">
        <v>577</v>
      </c>
      <c r="C145" s="11" t="s">
        <v>197</v>
      </c>
      <c r="D145" s="15" t="s">
        <v>33</v>
      </c>
      <c r="E145" s="15" t="s">
        <v>34</v>
      </c>
      <c r="F145" s="14">
        <v>4929</v>
      </c>
      <c r="G145" s="14">
        <v>749</v>
      </c>
      <c r="H145" s="14">
        <v>452</v>
      </c>
      <c r="I145" s="14">
        <v>93651</v>
      </c>
      <c r="J145" s="14">
        <v>92810</v>
      </c>
      <c r="K145" s="14">
        <v>66</v>
      </c>
      <c r="L145" s="15" t="s">
        <v>44</v>
      </c>
      <c r="M145" s="15" t="s">
        <v>58</v>
      </c>
      <c r="N145" s="15" t="s">
        <v>19</v>
      </c>
      <c r="O145" s="20">
        <f t="shared" si="4"/>
        <v>6.5455787978772245E-2</v>
      </c>
    </row>
    <row r="146" spans="1:15" x14ac:dyDescent="0.3">
      <c r="A146" s="2" t="s">
        <v>318</v>
      </c>
      <c r="B146" s="15" t="s">
        <v>31</v>
      </c>
      <c r="C146" s="11" t="s">
        <v>32</v>
      </c>
      <c r="D146" s="15" t="s">
        <v>42</v>
      </c>
      <c r="E146" s="15" t="s">
        <v>43</v>
      </c>
      <c r="F146" s="14">
        <v>1878</v>
      </c>
      <c r="G146" s="14">
        <v>62</v>
      </c>
      <c r="H146" s="14">
        <v>179</v>
      </c>
      <c r="I146" s="14">
        <v>37560</v>
      </c>
      <c r="J146" s="14">
        <v>36874</v>
      </c>
      <c r="K146" s="14">
        <v>142</v>
      </c>
      <c r="L146" s="15" t="s">
        <v>77</v>
      </c>
      <c r="M146" s="15" t="s">
        <v>44</v>
      </c>
      <c r="N146" s="15" t="s">
        <v>19</v>
      </c>
      <c r="O146" s="20">
        <f t="shared" si="4"/>
        <v>5.6416400425985093E-2</v>
      </c>
    </row>
    <row r="147" spans="1:15" x14ac:dyDescent="0.3">
      <c r="A147" s="2" t="s">
        <v>319</v>
      </c>
      <c r="B147" s="15" t="s">
        <v>577</v>
      </c>
      <c r="C147" s="11" t="s">
        <v>320</v>
      </c>
      <c r="D147" s="15" t="s">
        <v>16</v>
      </c>
      <c r="E147" s="15" t="s">
        <v>17</v>
      </c>
      <c r="F147" s="14">
        <v>3065</v>
      </c>
      <c r="G147" s="14">
        <v>772</v>
      </c>
      <c r="H147" s="14">
        <v>142</v>
      </c>
      <c r="I147" s="14">
        <v>18390</v>
      </c>
      <c r="J147" s="14">
        <v>17875</v>
      </c>
      <c r="K147" s="14">
        <v>200</v>
      </c>
      <c r="L147" s="15" t="s">
        <v>58</v>
      </c>
      <c r="M147" s="15"/>
      <c r="N147" s="15" t="s">
        <v>19</v>
      </c>
      <c r="O147" s="20">
        <f t="shared" si="4"/>
        <v>0.21636759108210984</v>
      </c>
    </row>
    <row r="148" spans="1:15" x14ac:dyDescent="0.3">
      <c r="A148" s="2" t="s">
        <v>321</v>
      </c>
      <c r="B148" s="15" t="s">
        <v>31</v>
      </c>
      <c r="C148" s="11" t="s">
        <v>164</v>
      </c>
      <c r="D148" s="15" t="s">
        <v>16</v>
      </c>
      <c r="E148" s="15" t="s">
        <v>17</v>
      </c>
      <c r="F148" s="14">
        <v>3256</v>
      </c>
      <c r="G148" s="14">
        <v>459</v>
      </c>
      <c r="H148" s="14">
        <v>266</v>
      </c>
      <c r="I148" s="14">
        <v>26048</v>
      </c>
      <c r="J148" s="14">
        <v>25529</v>
      </c>
      <c r="K148" s="14">
        <v>143</v>
      </c>
      <c r="L148" s="15" t="s">
        <v>18</v>
      </c>
      <c r="M148" s="15" t="s">
        <v>58</v>
      </c>
      <c r="N148" s="15" t="s">
        <v>38</v>
      </c>
      <c r="O148" s="20">
        <f t="shared" si="4"/>
        <v>0.15283323095823095</v>
      </c>
    </row>
    <row r="149" spans="1:15" x14ac:dyDescent="0.3">
      <c r="A149" s="2" t="s">
        <v>322</v>
      </c>
      <c r="B149" s="15" t="s">
        <v>31</v>
      </c>
      <c r="C149" s="11" t="s">
        <v>166</v>
      </c>
      <c r="D149" s="15" t="s">
        <v>69</v>
      </c>
      <c r="E149" s="15" t="s">
        <v>70</v>
      </c>
      <c r="F149" s="14">
        <v>4133</v>
      </c>
      <c r="G149" s="14">
        <v>466</v>
      </c>
      <c r="H149" s="14">
        <v>327</v>
      </c>
      <c r="I149" s="14">
        <v>24798</v>
      </c>
      <c r="J149" s="14">
        <v>24620</v>
      </c>
      <c r="K149" s="14">
        <v>176</v>
      </c>
      <c r="L149" s="15" t="s">
        <v>58</v>
      </c>
      <c r="M149" s="15"/>
      <c r="N149" s="15" t="s">
        <v>25</v>
      </c>
      <c r="O149" s="20">
        <f t="shared" si="4"/>
        <v>0.19864505202032423</v>
      </c>
    </row>
    <row r="150" spans="1:15" x14ac:dyDescent="0.3">
      <c r="A150" s="2" t="s">
        <v>323</v>
      </c>
      <c r="B150" s="15" t="s">
        <v>14</v>
      </c>
      <c r="C150" s="11" t="s">
        <v>324</v>
      </c>
      <c r="D150" s="15" t="s">
        <v>69</v>
      </c>
      <c r="E150" s="15" t="s">
        <v>70</v>
      </c>
      <c r="F150" s="14">
        <v>1702</v>
      </c>
      <c r="G150" s="14">
        <v>750</v>
      </c>
      <c r="H150" s="14">
        <v>179</v>
      </c>
      <c r="I150" s="14">
        <v>34040</v>
      </c>
      <c r="J150" s="14">
        <v>33174</v>
      </c>
      <c r="K150" s="14">
        <v>76</v>
      </c>
      <c r="L150" s="15" t="s">
        <v>44</v>
      </c>
      <c r="M150" s="15"/>
      <c r="N150" s="15" t="s">
        <v>38</v>
      </c>
      <c r="O150" s="20">
        <f t="shared" si="4"/>
        <v>7.7291421856639245E-2</v>
      </c>
    </row>
    <row r="151" spans="1:15" x14ac:dyDescent="0.3">
      <c r="A151" s="2" t="s">
        <v>325</v>
      </c>
      <c r="B151" s="15" t="s">
        <v>577</v>
      </c>
      <c r="C151" s="11" t="s">
        <v>326</v>
      </c>
      <c r="D151" s="15" t="s">
        <v>42</v>
      </c>
      <c r="E151" s="15" t="s">
        <v>43</v>
      </c>
      <c r="F151" s="14">
        <v>4295</v>
      </c>
      <c r="G151" s="14">
        <v>853</v>
      </c>
      <c r="H151" s="14">
        <v>325</v>
      </c>
      <c r="I151" s="14">
        <v>85900</v>
      </c>
      <c r="J151" s="14">
        <v>85788</v>
      </c>
      <c r="K151" s="14">
        <v>290</v>
      </c>
      <c r="L151" s="15" t="s">
        <v>44</v>
      </c>
      <c r="M151" s="15" t="s">
        <v>18</v>
      </c>
      <c r="N151" s="15" t="s">
        <v>25</v>
      </c>
      <c r="O151" s="20">
        <f t="shared" si="4"/>
        <v>6.3713620488940623E-2</v>
      </c>
    </row>
    <row r="152" spans="1:15" x14ac:dyDescent="0.3">
      <c r="A152" s="2" t="s">
        <v>327</v>
      </c>
      <c r="B152" s="15" t="s">
        <v>31</v>
      </c>
      <c r="C152" s="11" t="s">
        <v>182</v>
      </c>
      <c r="D152" s="15" t="s">
        <v>49</v>
      </c>
      <c r="E152" s="15" t="s">
        <v>50</v>
      </c>
      <c r="F152" s="14">
        <v>3559</v>
      </c>
      <c r="G152" s="14">
        <v>59</v>
      </c>
      <c r="H152" s="14">
        <v>289</v>
      </c>
      <c r="I152" s="14">
        <v>35590</v>
      </c>
      <c r="J152" s="14">
        <v>35105</v>
      </c>
      <c r="K152" s="14">
        <v>122</v>
      </c>
      <c r="L152" s="15" t="s">
        <v>44</v>
      </c>
      <c r="M152" s="15" t="s">
        <v>58</v>
      </c>
      <c r="N152" s="15" t="s">
        <v>38</v>
      </c>
      <c r="O152" s="20">
        <f t="shared" si="4"/>
        <v>0.10977802753582468</v>
      </c>
    </row>
    <row r="153" spans="1:15" x14ac:dyDescent="0.3">
      <c r="A153" s="2" t="s">
        <v>328</v>
      </c>
      <c r="B153" s="15" t="s">
        <v>40</v>
      </c>
      <c r="C153" s="11" t="s">
        <v>329</v>
      </c>
      <c r="D153" s="15" t="s">
        <v>49</v>
      </c>
      <c r="E153" s="15" t="s">
        <v>50</v>
      </c>
      <c r="F153" s="14">
        <v>4804</v>
      </c>
      <c r="G153" s="14">
        <v>550</v>
      </c>
      <c r="H153" s="14">
        <v>270</v>
      </c>
      <c r="I153" s="14">
        <v>28824</v>
      </c>
      <c r="J153" s="14">
        <v>28370</v>
      </c>
      <c r="K153" s="14">
        <v>47</v>
      </c>
      <c r="L153" s="15" t="s">
        <v>18</v>
      </c>
      <c r="M153" s="15" t="s">
        <v>58</v>
      </c>
      <c r="N153" s="15" t="s">
        <v>55</v>
      </c>
      <c r="O153" s="20">
        <f t="shared" si="4"/>
        <v>0.19511518179295032</v>
      </c>
    </row>
    <row r="154" spans="1:15" x14ac:dyDescent="0.3">
      <c r="A154" s="2" t="s">
        <v>330</v>
      </c>
      <c r="B154" s="15" t="s">
        <v>14</v>
      </c>
      <c r="C154" s="11" t="s">
        <v>331</v>
      </c>
      <c r="D154" s="15" t="s">
        <v>69</v>
      </c>
      <c r="E154" s="15" t="s">
        <v>70</v>
      </c>
      <c r="F154" s="14">
        <v>754</v>
      </c>
      <c r="G154" s="14">
        <v>197</v>
      </c>
      <c r="H154" s="14">
        <v>257</v>
      </c>
      <c r="I154" s="14">
        <v>6786</v>
      </c>
      <c r="J154" s="14">
        <v>6221</v>
      </c>
      <c r="K154" s="14">
        <v>212</v>
      </c>
      <c r="L154" s="15" t="s">
        <v>77</v>
      </c>
      <c r="M154" s="15" t="s">
        <v>44</v>
      </c>
      <c r="N154" s="15" t="s">
        <v>38</v>
      </c>
      <c r="O154" s="20">
        <f t="shared" si="4"/>
        <v>0.17801355732390214</v>
      </c>
    </row>
    <row r="155" spans="1:15" x14ac:dyDescent="0.3">
      <c r="A155" s="2" t="s">
        <v>332</v>
      </c>
      <c r="B155" s="15" t="s">
        <v>31</v>
      </c>
      <c r="C155" s="11" t="s">
        <v>205</v>
      </c>
      <c r="D155" s="15" t="s">
        <v>42</v>
      </c>
      <c r="E155" s="15" t="s">
        <v>43</v>
      </c>
      <c r="F155" s="14">
        <v>985</v>
      </c>
      <c r="G155" s="14">
        <v>932</v>
      </c>
      <c r="H155" s="14">
        <v>287</v>
      </c>
      <c r="I155" s="14">
        <v>6895</v>
      </c>
      <c r="J155" s="14">
        <v>6757</v>
      </c>
      <c r="K155" s="14">
        <v>64</v>
      </c>
      <c r="L155" s="15" t="s">
        <v>18</v>
      </c>
      <c r="M155" s="15" t="s">
        <v>24</v>
      </c>
      <c r="N155" s="15" t="s">
        <v>25</v>
      </c>
      <c r="O155" s="20">
        <f t="shared" si="4"/>
        <v>0.31965192168237855</v>
      </c>
    </row>
    <row r="156" spans="1:15" x14ac:dyDescent="0.3">
      <c r="A156" s="2" t="s">
        <v>333</v>
      </c>
      <c r="B156" s="15" t="s">
        <v>577</v>
      </c>
      <c r="C156" s="11" t="s">
        <v>334</v>
      </c>
      <c r="D156" s="15" t="s">
        <v>49</v>
      </c>
      <c r="E156" s="15" t="s">
        <v>50</v>
      </c>
      <c r="F156" s="14">
        <v>2283</v>
      </c>
      <c r="G156" s="14">
        <v>210</v>
      </c>
      <c r="H156" s="14">
        <v>130</v>
      </c>
      <c r="I156" s="14">
        <v>22830</v>
      </c>
      <c r="J156" s="14">
        <v>22617</v>
      </c>
      <c r="K156" s="14">
        <v>143</v>
      </c>
      <c r="L156" s="15" t="s">
        <v>24</v>
      </c>
      <c r="M156" s="15" t="s">
        <v>58</v>
      </c>
      <c r="N156" s="15" t="s">
        <v>38</v>
      </c>
      <c r="O156" s="20">
        <f t="shared" si="4"/>
        <v>0.11489268506351293</v>
      </c>
    </row>
    <row r="157" spans="1:15" x14ac:dyDescent="0.3">
      <c r="A157" s="2" t="s">
        <v>335</v>
      </c>
      <c r="B157" s="15" t="s">
        <v>40</v>
      </c>
      <c r="C157" s="11" t="s">
        <v>336</v>
      </c>
      <c r="D157" s="15" t="s">
        <v>42</v>
      </c>
      <c r="E157" s="15" t="s">
        <v>43</v>
      </c>
      <c r="F157" s="14">
        <v>3352</v>
      </c>
      <c r="G157" s="14">
        <v>941</v>
      </c>
      <c r="H157" s="14">
        <v>482</v>
      </c>
      <c r="I157" s="14">
        <v>43576</v>
      </c>
      <c r="J157" s="14">
        <v>43338</v>
      </c>
      <c r="K157" s="14">
        <v>240</v>
      </c>
      <c r="L157" s="15" t="s">
        <v>44</v>
      </c>
      <c r="M157" s="15"/>
      <c r="N157" s="15" t="s">
        <v>38</v>
      </c>
      <c r="O157" s="20">
        <f t="shared" si="4"/>
        <v>0.1095786671562328</v>
      </c>
    </row>
    <row r="158" spans="1:15" x14ac:dyDescent="0.3">
      <c r="A158" s="2" t="s">
        <v>337</v>
      </c>
      <c r="B158" s="15" t="s">
        <v>577</v>
      </c>
      <c r="C158" s="11" t="s">
        <v>338</v>
      </c>
      <c r="D158" s="15" t="s">
        <v>33</v>
      </c>
      <c r="E158" s="15" t="s">
        <v>34</v>
      </c>
      <c r="F158" s="14">
        <v>4775</v>
      </c>
      <c r="G158" s="14">
        <v>173</v>
      </c>
      <c r="H158" s="14">
        <v>206</v>
      </c>
      <c r="I158" s="14">
        <v>47750</v>
      </c>
      <c r="J158" s="14">
        <v>47544</v>
      </c>
      <c r="K158" s="14">
        <v>187</v>
      </c>
      <c r="L158" s="15" t="s">
        <v>58</v>
      </c>
      <c r="M158" s="15" t="s">
        <v>44</v>
      </c>
      <c r="N158" s="15" t="s">
        <v>55</v>
      </c>
      <c r="O158" s="20">
        <f t="shared" si="4"/>
        <v>0.10793717277486911</v>
      </c>
    </row>
    <row r="159" spans="1:15" x14ac:dyDescent="0.3">
      <c r="A159" s="2" t="s">
        <v>339</v>
      </c>
      <c r="B159" s="15" t="s">
        <v>31</v>
      </c>
      <c r="C159" s="11" t="s">
        <v>340</v>
      </c>
      <c r="D159" s="15" t="s">
        <v>33</v>
      </c>
      <c r="E159" s="15" t="s">
        <v>34</v>
      </c>
      <c r="F159" s="14">
        <v>1762</v>
      </c>
      <c r="G159" s="14">
        <v>405</v>
      </c>
      <c r="H159" s="14">
        <v>423</v>
      </c>
      <c r="I159" s="14">
        <v>22906</v>
      </c>
      <c r="J159" s="14">
        <v>21925</v>
      </c>
      <c r="K159" s="14">
        <v>25</v>
      </c>
      <c r="L159" s="15" t="s">
        <v>77</v>
      </c>
      <c r="M159" s="15"/>
      <c r="N159" s="15" t="s">
        <v>25</v>
      </c>
      <c r="O159" s="20">
        <f t="shared" si="4"/>
        <v>0.11307081114118571</v>
      </c>
    </row>
    <row r="160" spans="1:15" x14ac:dyDescent="0.3">
      <c r="A160" s="2" t="s">
        <v>341</v>
      </c>
      <c r="B160" s="15" t="s">
        <v>40</v>
      </c>
      <c r="C160" s="11" t="s">
        <v>126</v>
      </c>
      <c r="D160" s="15" t="s">
        <v>33</v>
      </c>
      <c r="E160" s="15" t="s">
        <v>34</v>
      </c>
      <c r="F160" s="14">
        <v>2120</v>
      </c>
      <c r="G160" s="14">
        <v>158</v>
      </c>
      <c r="H160" s="14">
        <v>488</v>
      </c>
      <c r="I160" s="14">
        <v>12720</v>
      </c>
      <c r="J160" s="14">
        <v>12085</v>
      </c>
      <c r="K160" s="14">
        <v>17</v>
      </c>
      <c r="L160" s="15" t="s">
        <v>58</v>
      </c>
      <c r="M160" s="15" t="s">
        <v>44</v>
      </c>
      <c r="N160" s="15" t="s">
        <v>25</v>
      </c>
      <c r="O160" s="20">
        <f t="shared" si="4"/>
        <v>0.21745283018867925</v>
      </c>
    </row>
    <row r="161" spans="1:15" x14ac:dyDescent="0.3">
      <c r="A161" s="2" t="s">
        <v>342</v>
      </c>
      <c r="B161" s="15" t="s">
        <v>14</v>
      </c>
      <c r="C161" s="11" t="s">
        <v>343</v>
      </c>
      <c r="D161" s="15" t="s">
        <v>69</v>
      </c>
      <c r="E161" s="15" t="s">
        <v>70</v>
      </c>
      <c r="F161" s="14">
        <v>1082</v>
      </c>
      <c r="G161" s="14">
        <v>209</v>
      </c>
      <c r="H161" s="14">
        <v>484</v>
      </c>
      <c r="I161" s="14">
        <v>19476</v>
      </c>
      <c r="J161" s="14">
        <v>18654</v>
      </c>
      <c r="K161" s="14">
        <v>20</v>
      </c>
      <c r="L161" s="15" t="s">
        <v>58</v>
      </c>
      <c r="M161" s="15"/>
      <c r="N161" s="15" t="s">
        <v>55</v>
      </c>
      <c r="O161" s="20">
        <f t="shared" si="4"/>
        <v>9.1137810638734856E-2</v>
      </c>
    </row>
    <row r="162" spans="1:15" x14ac:dyDescent="0.3">
      <c r="A162" s="2" t="s">
        <v>344</v>
      </c>
      <c r="B162" s="15" t="s">
        <v>14</v>
      </c>
      <c r="C162" s="11" t="s">
        <v>345</v>
      </c>
      <c r="D162" s="15" t="s">
        <v>22</v>
      </c>
      <c r="E162" s="15" t="s">
        <v>23</v>
      </c>
      <c r="F162" s="14">
        <v>4671</v>
      </c>
      <c r="G162" s="14">
        <v>876</v>
      </c>
      <c r="H162" s="14">
        <v>366</v>
      </c>
      <c r="I162" s="14">
        <v>51381</v>
      </c>
      <c r="J162" s="14">
        <v>50565</v>
      </c>
      <c r="K162" s="14">
        <v>245</v>
      </c>
      <c r="L162" s="15" t="s">
        <v>18</v>
      </c>
      <c r="M162" s="15"/>
      <c r="N162" s="15" t="s">
        <v>25</v>
      </c>
      <c r="O162" s="20">
        <f t="shared" si="4"/>
        <v>0.11508145034156594</v>
      </c>
    </row>
    <row r="163" spans="1:15" x14ac:dyDescent="0.3">
      <c r="A163" s="2" t="s">
        <v>346</v>
      </c>
      <c r="B163" s="15" t="s">
        <v>40</v>
      </c>
      <c r="C163" s="11" t="s">
        <v>347</v>
      </c>
      <c r="D163" s="15" t="s">
        <v>33</v>
      </c>
      <c r="E163" s="15" t="s">
        <v>34</v>
      </c>
      <c r="F163" s="14">
        <v>3430</v>
      </c>
      <c r="G163" s="14">
        <v>566</v>
      </c>
      <c r="H163" s="14">
        <v>164</v>
      </c>
      <c r="I163" s="14">
        <v>48020</v>
      </c>
      <c r="J163" s="14">
        <v>47305</v>
      </c>
      <c r="K163" s="14">
        <v>120</v>
      </c>
      <c r="L163" s="15" t="s">
        <v>44</v>
      </c>
      <c r="M163" s="15"/>
      <c r="N163" s="15" t="s">
        <v>25</v>
      </c>
      <c r="O163" s="20">
        <f t="shared" si="4"/>
        <v>8.6630570595585168E-2</v>
      </c>
    </row>
    <row r="164" spans="1:15" x14ac:dyDescent="0.3">
      <c r="A164" s="2" t="s">
        <v>348</v>
      </c>
      <c r="B164" s="15" t="s">
        <v>31</v>
      </c>
      <c r="C164" s="11" t="s">
        <v>349</v>
      </c>
      <c r="D164" s="15" t="s">
        <v>49</v>
      </c>
      <c r="E164" s="15" t="s">
        <v>50</v>
      </c>
      <c r="F164" s="14">
        <v>4501</v>
      </c>
      <c r="G164" s="14">
        <v>375</v>
      </c>
      <c r="H164" s="14">
        <v>323</v>
      </c>
      <c r="I164" s="14">
        <v>22505</v>
      </c>
      <c r="J164" s="14">
        <v>21836</v>
      </c>
      <c r="K164" s="14">
        <v>132</v>
      </c>
      <c r="L164" s="15" t="s">
        <v>24</v>
      </c>
      <c r="M164" s="15"/>
      <c r="N164" s="15" t="s">
        <v>55</v>
      </c>
      <c r="O164" s="20">
        <f t="shared" si="4"/>
        <v>0.23101532992668297</v>
      </c>
    </row>
    <row r="165" spans="1:15" x14ac:dyDescent="0.3">
      <c r="A165" s="2" t="s">
        <v>350</v>
      </c>
      <c r="B165" s="15" t="s">
        <v>577</v>
      </c>
      <c r="C165" s="11" t="s">
        <v>89</v>
      </c>
      <c r="D165" s="15" t="s">
        <v>22</v>
      </c>
      <c r="E165" s="15" t="s">
        <v>23</v>
      </c>
      <c r="F165" s="14">
        <v>4934</v>
      </c>
      <c r="G165" s="14">
        <v>971</v>
      </c>
      <c r="H165" s="14">
        <v>156</v>
      </c>
      <c r="I165" s="14">
        <v>39472</v>
      </c>
      <c r="J165" s="14">
        <v>39025</v>
      </c>
      <c r="K165" s="14">
        <v>169</v>
      </c>
      <c r="L165" s="15" t="s">
        <v>77</v>
      </c>
      <c r="M165" s="15" t="s">
        <v>58</v>
      </c>
      <c r="N165" s="15" t="s">
        <v>25</v>
      </c>
      <c r="O165" s="20">
        <f t="shared" si="4"/>
        <v>0.15355188488042157</v>
      </c>
    </row>
    <row r="166" spans="1:15" x14ac:dyDescent="0.3">
      <c r="A166" s="2" t="s">
        <v>351</v>
      </c>
      <c r="B166" s="15" t="s">
        <v>14</v>
      </c>
      <c r="C166" s="11" t="s">
        <v>232</v>
      </c>
      <c r="D166" s="15" t="s">
        <v>22</v>
      </c>
      <c r="E166" s="15" t="s">
        <v>23</v>
      </c>
      <c r="F166" s="14">
        <v>3239</v>
      </c>
      <c r="G166" s="14">
        <v>43</v>
      </c>
      <c r="H166" s="14">
        <v>211</v>
      </c>
      <c r="I166" s="14">
        <v>22673</v>
      </c>
      <c r="J166" s="14">
        <v>22171</v>
      </c>
      <c r="K166" s="14">
        <v>230</v>
      </c>
      <c r="L166" s="15" t="s">
        <v>44</v>
      </c>
      <c r="M166" s="15" t="s">
        <v>58</v>
      </c>
      <c r="N166" s="15" t="s">
        <v>25</v>
      </c>
      <c r="O166" s="20">
        <f t="shared" si="4"/>
        <v>0.15405989502933004</v>
      </c>
    </row>
    <row r="167" spans="1:15" x14ac:dyDescent="0.3">
      <c r="A167" s="2" t="s">
        <v>352</v>
      </c>
      <c r="B167" s="15" t="s">
        <v>14</v>
      </c>
      <c r="C167" s="11" t="s">
        <v>65</v>
      </c>
      <c r="D167" s="15" t="s">
        <v>16</v>
      </c>
      <c r="E167" s="15" t="s">
        <v>17</v>
      </c>
      <c r="F167" s="14">
        <v>1076</v>
      </c>
      <c r="G167" s="14">
        <v>313</v>
      </c>
      <c r="H167" s="14">
        <v>306</v>
      </c>
      <c r="I167" s="14">
        <v>11836</v>
      </c>
      <c r="J167" s="14">
        <v>11596</v>
      </c>
      <c r="K167" s="14">
        <v>104</v>
      </c>
      <c r="L167" s="15" t="s">
        <v>77</v>
      </c>
      <c r="M167" s="15"/>
      <c r="N167" s="15" t="s">
        <v>25</v>
      </c>
      <c r="O167" s="20">
        <f t="shared" si="4"/>
        <v>0.14320716458262928</v>
      </c>
    </row>
    <row r="168" spans="1:15" x14ac:dyDescent="0.3">
      <c r="A168" s="2" t="s">
        <v>353</v>
      </c>
      <c r="B168" s="15" t="s">
        <v>31</v>
      </c>
      <c r="C168" s="11" t="s">
        <v>304</v>
      </c>
      <c r="D168" s="15" t="s">
        <v>22</v>
      </c>
      <c r="E168" s="15" t="s">
        <v>23</v>
      </c>
      <c r="F168" s="14">
        <v>4771</v>
      </c>
      <c r="G168" s="14">
        <v>818</v>
      </c>
      <c r="H168" s="14">
        <v>56</v>
      </c>
      <c r="I168" s="14">
        <v>57252</v>
      </c>
      <c r="J168" s="14">
        <v>56378</v>
      </c>
      <c r="K168" s="14">
        <v>150</v>
      </c>
      <c r="L168" s="15" t="s">
        <v>18</v>
      </c>
      <c r="M168" s="15"/>
      <c r="N168" s="15" t="s">
        <v>25</v>
      </c>
      <c r="O168" s="20">
        <f t="shared" si="4"/>
        <v>9.859917557465242E-2</v>
      </c>
    </row>
    <row r="169" spans="1:15" x14ac:dyDescent="0.3">
      <c r="A169" s="2" t="s">
        <v>354</v>
      </c>
      <c r="B169" s="15" t="s">
        <v>40</v>
      </c>
      <c r="C169" s="11" t="s">
        <v>355</v>
      </c>
      <c r="D169" s="15" t="s">
        <v>22</v>
      </c>
      <c r="E169" s="15" t="s">
        <v>23</v>
      </c>
      <c r="F169" s="14">
        <v>2418</v>
      </c>
      <c r="G169" s="14">
        <v>754</v>
      </c>
      <c r="H169" s="14">
        <v>54</v>
      </c>
      <c r="I169" s="14">
        <v>43524</v>
      </c>
      <c r="J169" s="14">
        <v>42743</v>
      </c>
      <c r="K169" s="14">
        <v>182</v>
      </c>
      <c r="L169" s="15" t="s">
        <v>24</v>
      </c>
      <c r="M169" s="15" t="s">
        <v>44</v>
      </c>
      <c r="N169" s="15" t="s">
        <v>55</v>
      </c>
      <c r="O169" s="20">
        <f t="shared" si="4"/>
        <v>7.412002573292896E-2</v>
      </c>
    </row>
    <row r="170" spans="1:15" x14ac:dyDescent="0.3">
      <c r="A170" s="2" t="s">
        <v>356</v>
      </c>
      <c r="B170" s="15" t="s">
        <v>577</v>
      </c>
      <c r="C170" s="11" t="s">
        <v>357</v>
      </c>
      <c r="D170" s="15" t="s">
        <v>69</v>
      </c>
      <c r="E170" s="15" t="s">
        <v>70</v>
      </c>
      <c r="F170" s="14">
        <v>3809</v>
      </c>
      <c r="G170" s="14">
        <v>273</v>
      </c>
      <c r="H170" s="14">
        <v>200</v>
      </c>
      <c r="I170" s="14">
        <v>34281</v>
      </c>
      <c r="J170" s="14">
        <v>33534</v>
      </c>
      <c r="K170" s="14">
        <v>83</v>
      </c>
      <c r="L170" s="15" t="s">
        <v>44</v>
      </c>
      <c r="M170" s="15"/>
      <c r="N170" s="15" t="s">
        <v>38</v>
      </c>
      <c r="O170" s="20">
        <f t="shared" si="4"/>
        <v>0.12490884163239112</v>
      </c>
    </row>
    <row r="171" spans="1:15" x14ac:dyDescent="0.3">
      <c r="A171" s="2" t="s">
        <v>358</v>
      </c>
      <c r="B171" s="15" t="s">
        <v>14</v>
      </c>
      <c r="C171" s="11" t="s">
        <v>359</v>
      </c>
      <c r="D171" s="15" t="s">
        <v>22</v>
      </c>
      <c r="E171" s="15" t="s">
        <v>23</v>
      </c>
      <c r="F171" s="14">
        <v>3577</v>
      </c>
      <c r="G171" s="14">
        <v>596</v>
      </c>
      <c r="H171" s="14">
        <v>493</v>
      </c>
      <c r="I171" s="14">
        <v>67963</v>
      </c>
      <c r="J171" s="14">
        <v>67839</v>
      </c>
      <c r="K171" s="14">
        <v>53</v>
      </c>
      <c r="L171" s="15" t="s">
        <v>58</v>
      </c>
      <c r="M171" s="15" t="s">
        <v>44</v>
      </c>
      <c r="N171" s="15" t="s">
        <v>55</v>
      </c>
      <c r="O171" s="20">
        <f t="shared" si="4"/>
        <v>6.8655003457763777E-2</v>
      </c>
    </row>
    <row r="172" spans="1:15" x14ac:dyDescent="0.3">
      <c r="A172" s="2" t="s">
        <v>360</v>
      </c>
      <c r="B172" s="15" t="s">
        <v>577</v>
      </c>
      <c r="C172" s="11" t="s">
        <v>361</v>
      </c>
      <c r="D172" s="15" t="s">
        <v>69</v>
      </c>
      <c r="E172" s="15" t="s">
        <v>70</v>
      </c>
      <c r="F172" s="14">
        <v>1018</v>
      </c>
      <c r="G172" s="14">
        <v>447</v>
      </c>
      <c r="H172" s="14">
        <v>332</v>
      </c>
      <c r="I172" s="14">
        <v>18324</v>
      </c>
      <c r="J172" s="14">
        <v>18164</v>
      </c>
      <c r="K172" s="14">
        <v>38</v>
      </c>
      <c r="L172" s="15" t="s">
        <v>18</v>
      </c>
      <c r="M172" s="15" t="s">
        <v>24</v>
      </c>
      <c r="N172" s="15" t="s">
        <v>55</v>
      </c>
      <c r="O172" s="20">
        <f t="shared" si="4"/>
        <v>9.8068107400130972E-2</v>
      </c>
    </row>
    <row r="173" spans="1:15" x14ac:dyDescent="0.3">
      <c r="A173" s="2" t="s">
        <v>362</v>
      </c>
      <c r="B173" s="15" t="s">
        <v>40</v>
      </c>
      <c r="C173" s="11" t="s">
        <v>363</v>
      </c>
      <c r="D173" s="15" t="s">
        <v>42</v>
      </c>
      <c r="E173" s="15" t="s">
        <v>43</v>
      </c>
      <c r="F173" s="14">
        <v>3073</v>
      </c>
      <c r="G173" s="14">
        <v>553</v>
      </c>
      <c r="H173" s="14">
        <v>174</v>
      </c>
      <c r="I173" s="14">
        <v>52241</v>
      </c>
      <c r="J173" s="14">
        <v>51605</v>
      </c>
      <c r="K173" s="14">
        <v>246</v>
      </c>
      <c r="L173" s="15" t="s">
        <v>24</v>
      </c>
      <c r="M173" s="15" t="s">
        <v>58</v>
      </c>
      <c r="N173" s="15" t="s">
        <v>55</v>
      </c>
      <c r="O173" s="20">
        <f t="shared" si="4"/>
        <v>7.2739802071170159E-2</v>
      </c>
    </row>
    <row r="174" spans="1:15" x14ac:dyDescent="0.3">
      <c r="A174" s="2" t="s">
        <v>364</v>
      </c>
      <c r="B174" s="15" t="s">
        <v>14</v>
      </c>
      <c r="C174" s="11" t="s">
        <v>365</v>
      </c>
      <c r="D174" s="15" t="s">
        <v>69</v>
      </c>
      <c r="E174" s="15" t="s">
        <v>70</v>
      </c>
      <c r="F174" s="14">
        <v>1330</v>
      </c>
      <c r="G174" s="14">
        <v>925</v>
      </c>
      <c r="H174" s="14">
        <v>35</v>
      </c>
      <c r="I174" s="14">
        <v>15960</v>
      </c>
      <c r="J174" s="14">
        <v>15379</v>
      </c>
      <c r="K174" s="14">
        <v>229</v>
      </c>
      <c r="L174" s="15" t="s">
        <v>77</v>
      </c>
      <c r="M174" s="15" t="s">
        <v>44</v>
      </c>
      <c r="N174" s="15" t="s">
        <v>55</v>
      </c>
      <c r="O174" s="20">
        <f t="shared" si="4"/>
        <v>0.14348370927318296</v>
      </c>
    </row>
    <row r="175" spans="1:15" x14ac:dyDescent="0.3">
      <c r="A175" s="2" t="s">
        <v>366</v>
      </c>
      <c r="B175" s="15" t="s">
        <v>40</v>
      </c>
      <c r="C175" s="11" t="s">
        <v>168</v>
      </c>
      <c r="D175" s="15" t="s">
        <v>22</v>
      </c>
      <c r="E175" s="15" t="s">
        <v>23</v>
      </c>
      <c r="F175" s="14">
        <v>3828</v>
      </c>
      <c r="G175" s="14">
        <v>148</v>
      </c>
      <c r="H175" s="14">
        <v>253</v>
      </c>
      <c r="I175" s="14">
        <v>30624</v>
      </c>
      <c r="J175" s="14">
        <v>30229</v>
      </c>
      <c r="K175" s="14">
        <v>235</v>
      </c>
      <c r="L175" s="15" t="s">
        <v>18</v>
      </c>
      <c r="M175" s="15" t="s">
        <v>58</v>
      </c>
      <c r="N175" s="15" t="s">
        <v>55</v>
      </c>
      <c r="O175" s="20">
        <f t="shared" si="4"/>
        <v>0.13809430512016718</v>
      </c>
    </row>
    <row r="176" spans="1:15" x14ac:dyDescent="0.3">
      <c r="A176" s="2" t="s">
        <v>367</v>
      </c>
      <c r="B176" s="15" t="s">
        <v>31</v>
      </c>
      <c r="C176" s="11" t="s">
        <v>368</v>
      </c>
      <c r="D176" s="15" t="s">
        <v>16</v>
      </c>
      <c r="E176" s="15" t="s">
        <v>17</v>
      </c>
      <c r="F176" s="14">
        <v>142</v>
      </c>
      <c r="G176" s="14">
        <v>784</v>
      </c>
      <c r="H176" s="14">
        <v>183</v>
      </c>
      <c r="I176" s="14">
        <v>1704</v>
      </c>
      <c r="J176" s="14">
        <v>995</v>
      </c>
      <c r="K176" s="14">
        <v>154</v>
      </c>
      <c r="L176" s="15" t="s">
        <v>18</v>
      </c>
      <c r="M176" s="15"/>
      <c r="N176" s="15" t="s">
        <v>19</v>
      </c>
      <c r="O176" s="20">
        <f t="shared" si="4"/>
        <v>0.6508215962441315</v>
      </c>
    </row>
    <row r="177" spans="1:15" x14ac:dyDescent="0.3">
      <c r="A177" s="2" t="s">
        <v>369</v>
      </c>
      <c r="B177" s="15" t="s">
        <v>40</v>
      </c>
      <c r="C177" s="11" t="s">
        <v>370</v>
      </c>
      <c r="D177" s="15" t="s">
        <v>69</v>
      </c>
      <c r="E177" s="15" t="s">
        <v>70</v>
      </c>
      <c r="F177" s="14">
        <v>3798</v>
      </c>
      <c r="G177" s="14">
        <v>31</v>
      </c>
      <c r="H177" s="14">
        <v>279</v>
      </c>
      <c r="I177" s="14">
        <v>75960</v>
      </c>
      <c r="J177" s="14">
        <v>75813</v>
      </c>
      <c r="K177" s="14">
        <v>266</v>
      </c>
      <c r="L177" s="15" t="s">
        <v>24</v>
      </c>
      <c r="M177" s="15"/>
      <c r="N177" s="15" t="s">
        <v>25</v>
      </c>
      <c r="O177" s="20">
        <f t="shared" si="4"/>
        <v>5.4081095313322801E-2</v>
      </c>
    </row>
    <row r="178" spans="1:15" x14ac:dyDescent="0.3">
      <c r="A178" s="2" t="s">
        <v>371</v>
      </c>
      <c r="B178" s="15" t="s">
        <v>31</v>
      </c>
      <c r="C178" s="11" t="s">
        <v>372</v>
      </c>
      <c r="D178" s="15" t="s">
        <v>42</v>
      </c>
      <c r="E178" s="15" t="s">
        <v>43</v>
      </c>
      <c r="F178" s="14">
        <v>3099</v>
      </c>
      <c r="G178" s="14">
        <v>694</v>
      </c>
      <c r="H178" s="14">
        <v>171</v>
      </c>
      <c r="I178" s="14">
        <v>43386</v>
      </c>
      <c r="J178" s="14">
        <v>42921</v>
      </c>
      <c r="K178" s="14">
        <v>52</v>
      </c>
      <c r="L178" s="15" t="s">
        <v>77</v>
      </c>
      <c r="M178" s="15"/>
      <c r="N178" s="15" t="s">
        <v>55</v>
      </c>
      <c r="O178" s="20">
        <f t="shared" si="4"/>
        <v>9.1365878393951966E-2</v>
      </c>
    </row>
    <row r="179" spans="1:15" x14ac:dyDescent="0.3">
      <c r="A179" s="2" t="s">
        <v>373</v>
      </c>
      <c r="B179" s="15" t="s">
        <v>31</v>
      </c>
      <c r="C179" s="11" t="s">
        <v>201</v>
      </c>
      <c r="D179" s="15" t="s">
        <v>69</v>
      </c>
      <c r="E179" s="15" t="s">
        <v>70</v>
      </c>
      <c r="F179" s="14">
        <v>129</v>
      </c>
      <c r="G179" s="14">
        <v>643</v>
      </c>
      <c r="H179" s="14">
        <v>136</v>
      </c>
      <c r="I179" s="14">
        <v>1290</v>
      </c>
      <c r="J179" s="14">
        <v>839</v>
      </c>
      <c r="K179" s="14">
        <v>238</v>
      </c>
      <c r="L179" s="15" t="s">
        <v>58</v>
      </c>
      <c r="M179" s="15" t="s">
        <v>77</v>
      </c>
      <c r="N179" s="15" t="s">
        <v>55</v>
      </c>
      <c r="O179" s="20">
        <f t="shared" si="4"/>
        <v>0.70387596899224802</v>
      </c>
    </row>
    <row r="180" spans="1:15" x14ac:dyDescent="0.3">
      <c r="A180" s="2" t="s">
        <v>374</v>
      </c>
      <c r="B180" s="15" t="s">
        <v>40</v>
      </c>
      <c r="C180" s="11" t="s">
        <v>312</v>
      </c>
      <c r="D180" s="15" t="s">
        <v>42</v>
      </c>
      <c r="E180" s="15" t="s">
        <v>43</v>
      </c>
      <c r="F180" s="14">
        <v>3796</v>
      </c>
      <c r="G180" s="14">
        <v>667</v>
      </c>
      <c r="H180" s="14">
        <v>395</v>
      </c>
      <c r="I180" s="14">
        <v>64532</v>
      </c>
      <c r="J180" s="14">
        <v>63550</v>
      </c>
      <c r="K180" s="14">
        <v>292</v>
      </c>
      <c r="L180" s="15" t="s">
        <v>58</v>
      </c>
      <c r="M180" s="15"/>
      <c r="N180" s="15" t="s">
        <v>19</v>
      </c>
      <c r="O180" s="20">
        <f t="shared" si="4"/>
        <v>7.5280481001673588E-2</v>
      </c>
    </row>
    <row r="181" spans="1:15" x14ac:dyDescent="0.3">
      <c r="A181" s="2" t="s">
        <v>375</v>
      </c>
      <c r="B181" s="15" t="s">
        <v>577</v>
      </c>
      <c r="C181" s="11" t="s">
        <v>357</v>
      </c>
      <c r="D181" s="15" t="s">
        <v>22</v>
      </c>
      <c r="E181" s="15" t="s">
        <v>23</v>
      </c>
      <c r="F181" s="14">
        <v>3711</v>
      </c>
      <c r="G181" s="14">
        <v>352</v>
      </c>
      <c r="H181" s="14">
        <v>290</v>
      </c>
      <c r="I181" s="14">
        <v>48243</v>
      </c>
      <c r="J181" s="14">
        <v>47579</v>
      </c>
      <c r="K181" s="14">
        <v>11</v>
      </c>
      <c r="L181" s="15" t="s">
        <v>58</v>
      </c>
      <c r="M181" s="15" t="s">
        <v>77</v>
      </c>
      <c r="N181" s="15" t="s">
        <v>55</v>
      </c>
      <c r="O181" s="20">
        <f t="shared" si="4"/>
        <v>9.023070704558174E-2</v>
      </c>
    </row>
    <row r="182" spans="1:15" x14ac:dyDescent="0.3">
      <c r="A182" s="2" t="s">
        <v>376</v>
      </c>
      <c r="B182" s="15" t="s">
        <v>577</v>
      </c>
      <c r="C182" s="11" t="s">
        <v>377</v>
      </c>
      <c r="D182" s="15" t="s">
        <v>49</v>
      </c>
      <c r="E182" s="15" t="s">
        <v>50</v>
      </c>
      <c r="F182" s="14">
        <v>606</v>
      </c>
      <c r="G182" s="14">
        <v>789</v>
      </c>
      <c r="H182" s="14">
        <v>470</v>
      </c>
      <c r="I182" s="14">
        <v>7878</v>
      </c>
      <c r="J182" s="14">
        <v>7389</v>
      </c>
      <c r="K182" s="14">
        <v>239</v>
      </c>
      <c r="L182" s="15" t="s">
        <v>18</v>
      </c>
      <c r="M182" s="15"/>
      <c r="N182" s="15" t="s">
        <v>25</v>
      </c>
      <c r="O182" s="20">
        <f t="shared" si="4"/>
        <v>0.23673521198273673</v>
      </c>
    </row>
    <row r="183" spans="1:15" x14ac:dyDescent="0.3">
      <c r="A183" s="2" t="s">
        <v>378</v>
      </c>
      <c r="B183" s="15" t="s">
        <v>40</v>
      </c>
      <c r="C183" s="11" t="s">
        <v>111</v>
      </c>
      <c r="D183" s="15" t="s">
        <v>49</v>
      </c>
      <c r="E183" s="15" t="s">
        <v>50</v>
      </c>
      <c r="F183" s="14">
        <v>4689</v>
      </c>
      <c r="G183" s="14">
        <v>134</v>
      </c>
      <c r="H183" s="14">
        <v>403</v>
      </c>
      <c r="I183" s="14">
        <v>51579</v>
      </c>
      <c r="J183" s="14">
        <v>50924</v>
      </c>
      <c r="K183" s="14">
        <v>173</v>
      </c>
      <c r="L183" s="15" t="s">
        <v>77</v>
      </c>
      <c r="M183" s="15"/>
      <c r="N183" s="15" t="s">
        <v>19</v>
      </c>
      <c r="O183" s="20">
        <f t="shared" si="4"/>
        <v>0.10132030477519921</v>
      </c>
    </row>
    <row r="184" spans="1:15" x14ac:dyDescent="0.3">
      <c r="A184" s="2" t="s">
        <v>379</v>
      </c>
      <c r="B184" s="15" t="s">
        <v>31</v>
      </c>
      <c r="C184" s="11" t="s">
        <v>380</v>
      </c>
      <c r="D184" s="15" t="s">
        <v>33</v>
      </c>
      <c r="E184" s="15" t="s">
        <v>34</v>
      </c>
      <c r="F184" s="14">
        <v>360</v>
      </c>
      <c r="G184" s="14">
        <v>590</v>
      </c>
      <c r="H184" s="14">
        <v>393</v>
      </c>
      <c r="I184" s="14">
        <v>4680</v>
      </c>
      <c r="J184" s="14">
        <v>4322</v>
      </c>
      <c r="K184" s="14">
        <v>208</v>
      </c>
      <c r="L184" s="15" t="s">
        <v>58</v>
      </c>
      <c r="M184" s="15" t="s">
        <v>77</v>
      </c>
      <c r="N184" s="15" t="s">
        <v>25</v>
      </c>
      <c r="O184" s="20">
        <f t="shared" si="4"/>
        <v>0.28696581196581195</v>
      </c>
    </row>
    <row r="185" spans="1:15" x14ac:dyDescent="0.3">
      <c r="A185" s="2" t="s">
        <v>381</v>
      </c>
      <c r="B185" s="15" t="s">
        <v>14</v>
      </c>
      <c r="C185" s="11" t="s">
        <v>382</v>
      </c>
      <c r="D185" s="15" t="s">
        <v>49</v>
      </c>
      <c r="E185" s="15" t="s">
        <v>50</v>
      </c>
      <c r="F185" s="14">
        <v>3215</v>
      </c>
      <c r="G185" s="14">
        <v>960</v>
      </c>
      <c r="H185" s="14">
        <v>202</v>
      </c>
      <c r="I185" s="14">
        <v>32150</v>
      </c>
      <c r="J185" s="14">
        <v>31404</v>
      </c>
      <c r="K185" s="14">
        <v>251</v>
      </c>
      <c r="L185" s="15" t="s">
        <v>58</v>
      </c>
      <c r="M185" s="15"/>
      <c r="N185" s="15" t="s">
        <v>38</v>
      </c>
      <c r="O185" s="20">
        <f t="shared" si="4"/>
        <v>0.13614307931570763</v>
      </c>
    </row>
    <row r="186" spans="1:15" x14ac:dyDescent="0.3">
      <c r="A186" s="2" t="s">
        <v>383</v>
      </c>
      <c r="B186" s="15" t="s">
        <v>31</v>
      </c>
      <c r="C186" s="11" t="s">
        <v>384</v>
      </c>
      <c r="D186" s="15" t="s">
        <v>42</v>
      </c>
      <c r="E186" s="15" t="s">
        <v>43</v>
      </c>
      <c r="F186" s="14">
        <v>4523</v>
      </c>
      <c r="G186" s="14">
        <v>61</v>
      </c>
      <c r="H186" s="14">
        <v>157</v>
      </c>
      <c r="I186" s="14">
        <v>49753</v>
      </c>
      <c r="J186" s="14">
        <v>49329</v>
      </c>
      <c r="K186" s="14">
        <v>71</v>
      </c>
      <c r="L186" s="15" t="s">
        <v>18</v>
      </c>
      <c r="M186" s="15" t="s">
        <v>44</v>
      </c>
      <c r="N186" s="15" t="s">
        <v>55</v>
      </c>
      <c r="O186" s="20">
        <f t="shared" si="4"/>
        <v>9.5290736237010829E-2</v>
      </c>
    </row>
    <row r="187" spans="1:15" x14ac:dyDescent="0.3">
      <c r="A187" s="2" t="s">
        <v>385</v>
      </c>
      <c r="B187" s="15" t="s">
        <v>40</v>
      </c>
      <c r="C187" s="11" t="s">
        <v>343</v>
      </c>
      <c r="D187" s="15" t="s">
        <v>42</v>
      </c>
      <c r="E187" s="15" t="s">
        <v>43</v>
      </c>
      <c r="F187" s="14">
        <v>4292</v>
      </c>
      <c r="G187" s="14">
        <v>51</v>
      </c>
      <c r="H187" s="14">
        <v>392</v>
      </c>
      <c r="I187" s="14">
        <v>55796</v>
      </c>
      <c r="J187" s="14">
        <v>54826</v>
      </c>
      <c r="K187" s="14">
        <v>264</v>
      </c>
      <c r="L187" s="15" t="s">
        <v>44</v>
      </c>
      <c r="M187" s="15" t="s">
        <v>58</v>
      </c>
      <c r="N187" s="15" t="s">
        <v>19</v>
      </c>
      <c r="O187" s="20">
        <f t="shared" si="4"/>
        <v>8.4862714173059003E-2</v>
      </c>
    </row>
    <row r="188" spans="1:15" x14ac:dyDescent="0.3">
      <c r="A188" s="2" t="s">
        <v>386</v>
      </c>
      <c r="B188" s="15" t="s">
        <v>14</v>
      </c>
      <c r="C188" s="11" t="s">
        <v>387</v>
      </c>
      <c r="D188" s="15" t="s">
        <v>16</v>
      </c>
      <c r="E188" s="15" t="s">
        <v>17</v>
      </c>
      <c r="F188" s="14">
        <v>1644</v>
      </c>
      <c r="G188" s="14">
        <v>546</v>
      </c>
      <c r="H188" s="14">
        <v>150</v>
      </c>
      <c r="I188" s="14">
        <v>27948</v>
      </c>
      <c r="J188" s="14">
        <v>27184</v>
      </c>
      <c r="K188" s="14">
        <v>300</v>
      </c>
      <c r="L188" s="15" t="s">
        <v>18</v>
      </c>
      <c r="M188" s="15" t="s">
        <v>44</v>
      </c>
      <c r="N188" s="15" t="s">
        <v>19</v>
      </c>
      <c r="O188" s="20">
        <f t="shared" si="4"/>
        <v>8.3726921425504502E-2</v>
      </c>
    </row>
    <row r="189" spans="1:15" x14ac:dyDescent="0.3">
      <c r="A189" s="2" t="s">
        <v>388</v>
      </c>
      <c r="B189" s="15" t="s">
        <v>577</v>
      </c>
      <c r="C189" s="11" t="s">
        <v>221</v>
      </c>
      <c r="D189" s="15" t="s">
        <v>16</v>
      </c>
      <c r="E189" s="15" t="s">
        <v>17</v>
      </c>
      <c r="F189" s="14">
        <v>2728</v>
      </c>
      <c r="G189" s="14">
        <v>533</v>
      </c>
      <c r="H189" s="14">
        <v>215</v>
      </c>
      <c r="I189" s="14">
        <v>40920</v>
      </c>
      <c r="J189" s="14">
        <v>40816</v>
      </c>
      <c r="K189" s="14">
        <v>137</v>
      </c>
      <c r="L189" s="15" t="s">
        <v>18</v>
      </c>
      <c r="M189" s="15"/>
      <c r="N189" s="15" t="s">
        <v>25</v>
      </c>
      <c r="O189" s="20">
        <f t="shared" si="4"/>
        <v>8.4946236559139784E-2</v>
      </c>
    </row>
    <row r="190" spans="1:15" x14ac:dyDescent="0.3">
      <c r="A190" s="2" t="s">
        <v>389</v>
      </c>
      <c r="B190" s="15" t="s">
        <v>40</v>
      </c>
      <c r="C190" s="11" t="s">
        <v>229</v>
      </c>
      <c r="D190" s="15" t="s">
        <v>16</v>
      </c>
      <c r="E190" s="15" t="s">
        <v>17</v>
      </c>
      <c r="F190" s="14">
        <v>3360</v>
      </c>
      <c r="G190" s="14">
        <v>525</v>
      </c>
      <c r="H190" s="14">
        <v>500</v>
      </c>
      <c r="I190" s="14">
        <v>60480</v>
      </c>
      <c r="J190" s="14">
        <v>59610</v>
      </c>
      <c r="K190" s="14">
        <v>192</v>
      </c>
      <c r="L190" s="15" t="s">
        <v>18</v>
      </c>
      <c r="M190" s="15" t="s">
        <v>58</v>
      </c>
      <c r="N190" s="15" t="s">
        <v>19</v>
      </c>
      <c r="O190" s="20">
        <f t="shared" si="4"/>
        <v>7.2503306878306875E-2</v>
      </c>
    </row>
    <row r="191" spans="1:15" x14ac:dyDescent="0.3">
      <c r="A191" s="2" t="s">
        <v>390</v>
      </c>
      <c r="B191" s="15" t="s">
        <v>577</v>
      </c>
      <c r="C191" s="11" t="s">
        <v>391</v>
      </c>
      <c r="D191" s="15" t="s">
        <v>22</v>
      </c>
      <c r="E191" s="15" t="s">
        <v>23</v>
      </c>
      <c r="F191" s="14">
        <v>1963</v>
      </c>
      <c r="G191" s="14">
        <v>213</v>
      </c>
      <c r="H191" s="14">
        <v>19</v>
      </c>
      <c r="I191" s="14">
        <v>39260</v>
      </c>
      <c r="J191" s="14">
        <v>38771</v>
      </c>
      <c r="K191" s="14">
        <v>145</v>
      </c>
      <c r="L191" s="15" t="s">
        <v>58</v>
      </c>
      <c r="M191" s="15"/>
      <c r="N191" s="15" t="s">
        <v>19</v>
      </c>
      <c r="O191" s="20">
        <f t="shared" si="4"/>
        <v>5.5909322465613857E-2</v>
      </c>
    </row>
    <row r="192" spans="1:15" x14ac:dyDescent="0.3">
      <c r="A192" s="2" t="s">
        <v>392</v>
      </c>
      <c r="B192" s="15" t="s">
        <v>577</v>
      </c>
      <c r="C192" s="11" t="s">
        <v>357</v>
      </c>
      <c r="D192" s="15" t="s">
        <v>33</v>
      </c>
      <c r="E192" s="15" t="s">
        <v>34</v>
      </c>
      <c r="F192" s="14">
        <v>4285</v>
      </c>
      <c r="G192" s="14">
        <v>886</v>
      </c>
      <c r="H192" s="14">
        <v>376</v>
      </c>
      <c r="I192" s="14">
        <v>55705</v>
      </c>
      <c r="J192" s="14">
        <v>55556</v>
      </c>
      <c r="K192" s="14">
        <v>51</v>
      </c>
      <c r="L192" s="15" t="s">
        <v>24</v>
      </c>
      <c r="M192" s="15" t="s">
        <v>77</v>
      </c>
      <c r="N192" s="15" t="s">
        <v>55</v>
      </c>
      <c r="O192" s="20">
        <f t="shared" si="4"/>
        <v>9.9578134817341346E-2</v>
      </c>
    </row>
    <row r="193" spans="1:15" x14ac:dyDescent="0.3">
      <c r="A193" s="2" t="s">
        <v>393</v>
      </c>
      <c r="B193" s="15" t="s">
        <v>31</v>
      </c>
      <c r="C193" s="11" t="s">
        <v>394</v>
      </c>
      <c r="D193" s="15" t="s">
        <v>69</v>
      </c>
      <c r="E193" s="15" t="s">
        <v>70</v>
      </c>
      <c r="F193" s="14">
        <v>1176</v>
      </c>
      <c r="G193" s="14">
        <v>464</v>
      </c>
      <c r="H193" s="14">
        <v>394</v>
      </c>
      <c r="I193" s="14">
        <v>14112</v>
      </c>
      <c r="J193" s="14">
        <v>13588</v>
      </c>
      <c r="K193" s="14">
        <v>272</v>
      </c>
      <c r="L193" s="15" t="s">
        <v>77</v>
      </c>
      <c r="M193" s="15"/>
      <c r="N193" s="15" t="s">
        <v>19</v>
      </c>
      <c r="O193" s="20">
        <f t="shared" si="4"/>
        <v>0.1441326530612245</v>
      </c>
    </row>
    <row r="194" spans="1:15" x14ac:dyDescent="0.3">
      <c r="A194" s="2" t="s">
        <v>395</v>
      </c>
      <c r="B194" s="15" t="s">
        <v>14</v>
      </c>
      <c r="C194" s="11" t="s">
        <v>396</v>
      </c>
      <c r="D194" s="15" t="s">
        <v>49</v>
      </c>
      <c r="E194" s="15" t="s">
        <v>50</v>
      </c>
      <c r="F194" s="14">
        <v>4858</v>
      </c>
      <c r="G194" s="14">
        <v>317</v>
      </c>
      <c r="H194" s="14">
        <v>129</v>
      </c>
      <c r="I194" s="14">
        <v>53438</v>
      </c>
      <c r="J194" s="14">
        <v>52687</v>
      </c>
      <c r="K194" s="14">
        <v>223</v>
      </c>
      <c r="L194" s="15" t="s">
        <v>77</v>
      </c>
      <c r="M194" s="15" t="s">
        <v>44</v>
      </c>
      <c r="N194" s="15" t="s">
        <v>19</v>
      </c>
      <c r="O194" s="20">
        <f t="shared" ref="O194:O257" si="5">SUM(F194,G194,H194)/I194</f>
        <v>9.9255211647142488E-2</v>
      </c>
    </row>
    <row r="195" spans="1:15" x14ac:dyDescent="0.3">
      <c r="A195" s="2" t="s">
        <v>397</v>
      </c>
      <c r="B195" s="15" t="s">
        <v>577</v>
      </c>
      <c r="C195" s="11" t="s">
        <v>270</v>
      </c>
      <c r="D195" s="15" t="s">
        <v>33</v>
      </c>
      <c r="E195" s="15" t="s">
        <v>34</v>
      </c>
      <c r="F195" s="14">
        <v>4350</v>
      </c>
      <c r="G195" s="14">
        <v>771</v>
      </c>
      <c r="H195" s="14">
        <v>7</v>
      </c>
      <c r="I195" s="14">
        <v>60900</v>
      </c>
      <c r="J195" s="14">
        <v>60592</v>
      </c>
      <c r="K195" s="14">
        <v>195</v>
      </c>
      <c r="L195" s="15" t="s">
        <v>77</v>
      </c>
      <c r="M195" s="15" t="s">
        <v>58</v>
      </c>
      <c r="N195" s="15" t="s">
        <v>25</v>
      </c>
      <c r="O195" s="20">
        <f t="shared" si="5"/>
        <v>8.4203612479474554E-2</v>
      </c>
    </row>
    <row r="196" spans="1:15" x14ac:dyDescent="0.3">
      <c r="A196" s="2" t="s">
        <v>398</v>
      </c>
      <c r="B196" s="15" t="s">
        <v>31</v>
      </c>
      <c r="C196" s="11" t="s">
        <v>399</v>
      </c>
      <c r="D196" s="15" t="s">
        <v>42</v>
      </c>
      <c r="E196" s="15" t="s">
        <v>43</v>
      </c>
      <c r="F196" s="14">
        <v>914</v>
      </c>
      <c r="G196" s="14">
        <v>464</v>
      </c>
      <c r="H196" s="14">
        <v>246</v>
      </c>
      <c r="I196" s="14">
        <v>11882</v>
      </c>
      <c r="J196" s="14">
        <v>11500</v>
      </c>
      <c r="K196" s="14">
        <v>282</v>
      </c>
      <c r="L196" s="15" t="s">
        <v>24</v>
      </c>
      <c r="M196" s="15" t="s">
        <v>44</v>
      </c>
      <c r="N196" s="15" t="s">
        <v>38</v>
      </c>
      <c r="O196" s="20">
        <f t="shared" si="5"/>
        <v>0.13667732704931829</v>
      </c>
    </row>
    <row r="197" spans="1:15" x14ac:dyDescent="0.3">
      <c r="A197" s="2" t="s">
        <v>400</v>
      </c>
      <c r="B197" s="15" t="s">
        <v>31</v>
      </c>
      <c r="C197" s="11" t="s">
        <v>401</v>
      </c>
      <c r="D197" s="15" t="s">
        <v>22</v>
      </c>
      <c r="E197" s="15" t="s">
        <v>23</v>
      </c>
      <c r="F197" s="14">
        <v>1813</v>
      </c>
      <c r="G197" s="14">
        <v>623</v>
      </c>
      <c r="H197" s="14">
        <v>72</v>
      </c>
      <c r="I197" s="14">
        <v>19943</v>
      </c>
      <c r="J197" s="14">
        <v>18959</v>
      </c>
      <c r="K197" s="14">
        <v>85</v>
      </c>
      <c r="L197" s="15" t="s">
        <v>44</v>
      </c>
      <c r="M197" s="15" t="s">
        <v>24</v>
      </c>
      <c r="N197" s="15" t="s">
        <v>38</v>
      </c>
      <c r="O197" s="20">
        <f t="shared" si="5"/>
        <v>0.12575841147269717</v>
      </c>
    </row>
    <row r="198" spans="1:15" x14ac:dyDescent="0.3">
      <c r="A198" s="2" t="s">
        <v>402</v>
      </c>
      <c r="B198" s="15" t="s">
        <v>14</v>
      </c>
      <c r="C198" s="11" t="s">
        <v>336</v>
      </c>
      <c r="D198" s="15" t="s">
        <v>16</v>
      </c>
      <c r="E198" s="15" t="s">
        <v>17</v>
      </c>
      <c r="F198" s="14">
        <v>4782</v>
      </c>
      <c r="G198" s="14">
        <v>721</v>
      </c>
      <c r="H198" s="14">
        <v>82</v>
      </c>
      <c r="I198" s="14">
        <v>86076</v>
      </c>
      <c r="J198" s="14">
        <v>85339</v>
      </c>
      <c r="K198" s="14">
        <v>19</v>
      </c>
      <c r="L198" s="15" t="s">
        <v>77</v>
      </c>
      <c r="M198" s="15"/>
      <c r="N198" s="15" t="s">
        <v>25</v>
      </c>
      <c r="O198" s="20">
        <f t="shared" si="5"/>
        <v>6.4884520656164318E-2</v>
      </c>
    </row>
    <row r="199" spans="1:15" x14ac:dyDescent="0.3">
      <c r="A199" s="2" t="s">
        <v>403</v>
      </c>
      <c r="B199" s="15" t="s">
        <v>14</v>
      </c>
      <c r="C199" s="11" t="s">
        <v>404</v>
      </c>
      <c r="D199" s="15" t="s">
        <v>49</v>
      </c>
      <c r="E199" s="15" t="s">
        <v>50</v>
      </c>
      <c r="F199" s="14">
        <v>1048</v>
      </c>
      <c r="G199" s="14">
        <v>374</v>
      </c>
      <c r="H199" s="14">
        <v>450</v>
      </c>
      <c r="I199" s="14">
        <v>9432</v>
      </c>
      <c r="J199" s="14">
        <v>8882</v>
      </c>
      <c r="K199" s="14">
        <v>158</v>
      </c>
      <c r="L199" s="15" t="s">
        <v>44</v>
      </c>
      <c r="M199" s="15" t="s">
        <v>18</v>
      </c>
      <c r="N199" s="15" t="s">
        <v>25</v>
      </c>
      <c r="O199" s="20">
        <f t="shared" si="5"/>
        <v>0.19847328244274809</v>
      </c>
    </row>
    <row r="200" spans="1:15" x14ac:dyDescent="0.3">
      <c r="A200" s="2" t="s">
        <v>405</v>
      </c>
      <c r="B200" s="15" t="s">
        <v>577</v>
      </c>
      <c r="C200" s="11" t="s">
        <v>118</v>
      </c>
      <c r="D200" s="15" t="s">
        <v>42</v>
      </c>
      <c r="E200" s="15" t="s">
        <v>43</v>
      </c>
      <c r="F200" s="14">
        <v>2509</v>
      </c>
      <c r="G200" s="14">
        <v>324</v>
      </c>
      <c r="H200" s="14">
        <v>171</v>
      </c>
      <c r="I200" s="14">
        <v>35126</v>
      </c>
      <c r="J200" s="14">
        <v>34685</v>
      </c>
      <c r="K200" s="14">
        <v>277</v>
      </c>
      <c r="L200" s="15" t="s">
        <v>77</v>
      </c>
      <c r="M200" s="15"/>
      <c r="N200" s="15" t="s">
        <v>25</v>
      </c>
      <c r="O200" s="20">
        <f t="shared" si="5"/>
        <v>8.5520696919660646E-2</v>
      </c>
    </row>
    <row r="201" spans="1:15" x14ac:dyDescent="0.3">
      <c r="A201" s="2" t="s">
        <v>406</v>
      </c>
      <c r="B201" s="15" t="s">
        <v>40</v>
      </c>
      <c r="C201" s="11" t="s">
        <v>407</v>
      </c>
      <c r="D201" s="15" t="s">
        <v>16</v>
      </c>
      <c r="E201" s="15" t="s">
        <v>17</v>
      </c>
      <c r="F201" s="14">
        <v>3718</v>
      </c>
      <c r="G201" s="14">
        <v>385</v>
      </c>
      <c r="H201" s="14">
        <v>310</v>
      </c>
      <c r="I201" s="14">
        <v>70642</v>
      </c>
      <c r="J201" s="14">
        <v>69749</v>
      </c>
      <c r="K201" s="14">
        <v>233</v>
      </c>
      <c r="L201" s="15" t="s">
        <v>44</v>
      </c>
      <c r="M201" s="15"/>
      <c r="N201" s="15" t="s">
        <v>19</v>
      </c>
      <c r="O201" s="20">
        <f t="shared" si="5"/>
        <v>6.246991874522239E-2</v>
      </c>
    </row>
    <row r="202" spans="1:15" x14ac:dyDescent="0.3">
      <c r="A202" s="2" t="s">
        <v>408</v>
      </c>
      <c r="B202" s="15" t="s">
        <v>14</v>
      </c>
      <c r="C202" s="11" t="s">
        <v>409</v>
      </c>
      <c r="D202" s="15" t="s">
        <v>16</v>
      </c>
      <c r="E202" s="15" t="s">
        <v>17</v>
      </c>
      <c r="F202" s="14">
        <v>802</v>
      </c>
      <c r="G202" s="14">
        <v>262</v>
      </c>
      <c r="H202" s="14">
        <v>244</v>
      </c>
      <c r="I202" s="14">
        <v>14436</v>
      </c>
      <c r="J202" s="14">
        <v>14280</v>
      </c>
      <c r="K202" s="14">
        <v>49</v>
      </c>
      <c r="L202" s="15" t="s">
        <v>18</v>
      </c>
      <c r="M202" s="15" t="s">
        <v>77</v>
      </c>
      <c r="N202" s="15" t="s">
        <v>55</v>
      </c>
      <c r="O202" s="20">
        <f t="shared" si="5"/>
        <v>9.0606816292601824E-2</v>
      </c>
    </row>
    <row r="203" spans="1:15" x14ac:dyDescent="0.3">
      <c r="A203" s="2" t="s">
        <v>410</v>
      </c>
      <c r="B203" s="15" t="s">
        <v>40</v>
      </c>
      <c r="C203" s="11" t="s">
        <v>411</v>
      </c>
      <c r="D203" s="15" t="s">
        <v>49</v>
      </c>
      <c r="E203" s="15" t="s">
        <v>50</v>
      </c>
      <c r="F203" s="14">
        <v>1871</v>
      </c>
      <c r="G203" s="14">
        <v>252</v>
      </c>
      <c r="H203" s="14">
        <v>335</v>
      </c>
      <c r="I203" s="14">
        <v>29936</v>
      </c>
      <c r="J203" s="14">
        <v>29576</v>
      </c>
      <c r="K203" s="14">
        <v>288</v>
      </c>
      <c r="L203" s="15" t="s">
        <v>44</v>
      </c>
      <c r="M203" s="15"/>
      <c r="N203" s="15" t="s">
        <v>25</v>
      </c>
      <c r="O203" s="20">
        <f t="shared" si="5"/>
        <v>8.2108498129342594E-2</v>
      </c>
    </row>
    <row r="204" spans="1:15" x14ac:dyDescent="0.3">
      <c r="A204" s="2" t="s">
        <v>412</v>
      </c>
      <c r="B204" s="15" t="s">
        <v>31</v>
      </c>
      <c r="C204" s="11" t="s">
        <v>413</v>
      </c>
      <c r="D204" s="15" t="s">
        <v>42</v>
      </c>
      <c r="E204" s="15" t="s">
        <v>43</v>
      </c>
      <c r="F204" s="14">
        <v>3773</v>
      </c>
      <c r="G204" s="14">
        <v>299</v>
      </c>
      <c r="H204" s="14">
        <v>38</v>
      </c>
      <c r="I204" s="14">
        <v>71687</v>
      </c>
      <c r="J204" s="14">
        <v>71447</v>
      </c>
      <c r="K204" s="14">
        <v>286</v>
      </c>
      <c r="L204" s="15" t="s">
        <v>44</v>
      </c>
      <c r="M204" s="15"/>
      <c r="N204" s="15" t="s">
        <v>55</v>
      </c>
      <c r="O204" s="20">
        <f t="shared" si="5"/>
        <v>5.7332570758993957E-2</v>
      </c>
    </row>
    <row r="205" spans="1:15" x14ac:dyDescent="0.3">
      <c r="A205" s="2" t="s">
        <v>414</v>
      </c>
      <c r="B205" s="15" t="s">
        <v>31</v>
      </c>
      <c r="C205" s="11" t="s">
        <v>331</v>
      </c>
      <c r="D205" s="15" t="s">
        <v>42</v>
      </c>
      <c r="E205" s="15" t="s">
        <v>43</v>
      </c>
      <c r="F205" s="14">
        <v>2234</v>
      </c>
      <c r="G205" s="14">
        <v>653</v>
      </c>
      <c r="H205" s="14">
        <v>432</v>
      </c>
      <c r="I205" s="14">
        <v>11170</v>
      </c>
      <c r="J205" s="14">
        <v>10569</v>
      </c>
      <c r="K205" s="14">
        <v>198</v>
      </c>
      <c r="L205" s="15" t="s">
        <v>77</v>
      </c>
      <c r="M205" s="15" t="s">
        <v>58</v>
      </c>
      <c r="N205" s="15" t="s">
        <v>55</v>
      </c>
      <c r="O205" s="20">
        <f t="shared" si="5"/>
        <v>0.29713518352730528</v>
      </c>
    </row>
    <row r="206" spans="1:15" x14ac:dyDescent="0.3">
      <c r="A206" s="2" t="s">
        <v>415</v>
      </c>
      <c r="B206" s="15" t="s">
        <v>14</v>
      </c>
      <c r="C206" s="11" t="s">
        <v>302</v>
      </c>
      <c r="D206" s="15" t="s">
        <v>69</v>
      </c>
      <c r="E206" s="15" t="s">
        <v>70</v>
      </c>
      <c r="F206" s="14">
        <v>3820</v>
      </c>
      <c r="G206" s="14">
        <v>697</v>
      </c>
      <c r="H206" s="14">
        <v>268</v>
      </c>
      <c r="I206" s="14">
        <v>45840</v>
      </c>
      <c r="J206" s="14">
        <v>45631</v>
      </c>
      <c r="K206" s="14">
        <v>171</v>
      </c>
      <c r="L206" s="15" t="s">
        <v>58</v>
      </c>
      <c r="M206" s="15" t="s">
        <v>77</v>
      </c>
      <c r="N206" s="15" t="s">
        <v>19</v>
      </c>
      <c r="O206" s="20">
        <f t="shared" si="5"/>
        <v>0.1043848167539267</v>
      </c>
    </row>
    <row r="207" spans="1:15" x14ac:dyDescent="0.3">
      <c r="A207" s="2" t="s">
        <v>416</v>
      </c>
      <c r="B207" s="15" t="s">
        <v>14</v>
      </c>
      <c r="C207" s="11" t="s">
        <v>46</v>
      </c>
      <c r="D207" s="15" t="s">
        <v>22</v>
      </c>
      <c r="E207" s="15" t="s">
        <v>23</v>
      </c>
      <c r="F207" s="14">
        <v>941</v>
      </c>
      <c r="G207" s="14">
        <v>121</v>
      </c>
      <c r="H207" s="14">
        <v>458</v>
      </c>
      <c r="I207" s="14">
        <v>14115</v>
      </c>
      <c r="J207" s="14">
        <v>13838</v>
      </c>
      <c r="K207" s="14">
        <v>87</v>
      </c>
      <c r="L207" s="15" t="s">
        <v>24</v>
      </c>
      <c r="M207" s="15" t="s">
        <v>18</v>
      </c>
      <c r="N207" s="15" t="s">
        <v>25</v>
      </c>
      <c r="O207" s="20">
        <f t="shared" si="5"/>
        <v>0.10768685795253277</v>
      </c>
    </row>
    <row r="208" spans="1:15" x14ac:dyDescent="0.3">
      <c r="A208" s="2" t="s">
        <v>417</v>
      </c>
      <c r="B208" s="15" t="s">
        <v>14</v>
      </c>
      <c r="C208" s="11" t="s">
        <v>418</v>
      </c>
      <c r="D208" s="15" t="s">
        <v>42</v>
      </c>
      <c r="E208" s="15" t="s">
        <v>43</v>
      </c>
      <c r="F208" s="14">
        <v>4274</v>
      </c>
      <c r="G208" s="14">
        <v>340</v>
      </c>
      <c r="H208" s="14">
        <v>281</v>
      </c>
      <c r="I208" s="14">
        <v>34192</v>
      </c>
      <c r="J208" s="14">
        <v>33446</v>
      </c>
      <c r="K208" s="14">
        <v>129</v>
      </c>
      <c r="L208" s="15" t="s">
        <v>58</v>
      </c>
      <c r="M208" s="15" t="s">
        <v>77</v>
      </c>
      <c r="N208" s="15" t="s">
        <v>38</v>
      </c>
      <c r="O208" s="20">
        <f t="shared" si="5"/>
        <v>0.14316214319138981</v>
      </c>
    </row>
    <row r="209" spans="1:15" x14ac:dyDescent="0.3">
      <c r="A209" s="2" t="s">
        <v>419</v>
      </c>
      <c r="B209" s="15" t="s">
        <v>577</v>
      </c>
      <c r="C209" s="11" t="s">
        <v>46</v>
      </c>
      <c r="D209" s="15" t="s">
        <v>69</v>
      </c>
      <c r="E209" s="15" t="s">
        <v>70</v>
      </c>
      <c r="F209" s="14">
        <v>2949</v>
      </c>
      <c r="G209" s="14">
        <v>476</v>
      </c>
      <c r="H209" s="14">
        <v>403</v>
      </c>
      <c r="I209" s="14">
        <v>44235</v>
      </c>
      <c r="J209" s="14">
        <v>43705</v>
      </c>
      <c r="K209" s="14">
        <v>135</v>
      </c>
      <c r="L209" s="15" t="s">
        <v>44</v>
      </c>
      <c r="M209" s="15" t="s">
        <v>77</v>
      </c>
      <c r="N209" s="15" t="s">
        <v>19</v>
      </c>
      <c r="O209" s="20">
        <f t="shared" si="5"/>
        <v>8.6537809426924378E-2</v>
      </c>
    </row>
    <row r="210" spans="1:15" x14ac:dyDescent="0.3">
      <c r="A210" s="2" t="s">
        <v>420</v>
      </c>
      <c r="B210" s="15" t="s">
        <v>14</v>
      </c>
      <c r="C210" s="11" t="s">
        <v>421</v>
      </c>
      <c r="D210" s="15" t="s">
        <v>69</v>
      </c>
      <c r="E210" s="15" t="s">
        <v>70</v>
      </c>
      <c r="F210" s="14">
        <v>3160</v>
      </c>
      <c r="G210" s="14">
        <v>204</v>
      </c>
      <c r="H210" s="14">
        <v>297</v>
      </c>
      <c r="I210" s="14">
        <v>44240</v>
      </c>
      <c r="J210" s="14">
        <v>43666</v>
      </c>
      <c r="K210" s="14">
        <v>49</v>
      </c>
      <c r="L210" s="15" t="s">
        <v>58</v>
      </c>
      <c r="M210" s="15" t="s">
        <v>44</v>
      </c>
      <c r="N210" s="15" t="s">
        <v>19</v>
      </c>
      <c r="O210" s="20">
        <f t="shared" si="5"/>
        <v>8.2753164556962022E-2</v>
      </c>
    </row>
    <row r="211" spans="1:15" x14ac:dyDescent="0.3">
      <c r="A211" s="2" t="s">
        <v>422</v>
      </c>
      <c r="B211" s="15" t="s">
        <v>577</v>
      </c>
      <c r="C211" s="11" t="s">
        <v>345</v>
      </c>
      <c r="D211" s="15" t="s">
        <v>49</v>
      </c>
      <c r="E211" s="15" t="s">
        <v>50</v>
      </c>
      <c r="F211" s="14">
        <v>257</v>
      </c>
      <c r="G211" s="14">
        <v>966</v>
      </c>
      <c r="H211" s="14">
        <v>398</v>
      </c>
      <c r="I211" s="14">
        <v>3341</v>
      </c>
      <c r="J211" s="14">
        <v>2753</v>
      </c>
      <c r="K211" s="14">
        <v>287</v>
      </c>
      <c r="L211" s="15" t="s">
        <v>44</v>
      </c>
      <c r="M211" s="15" t="s">
        <v>18</v>
      </c>
      <c r="N211" s="15" t="s">
        <v>19</v>
      </c>
      <c r="O211" s="20">
        <f t="shared" si="5"/>
        <v>0.48518407662376534</v>
      </c>
    </row>
    <row r="212" spans="1:15" x14ac:dyDescent="0.3">
      <c r="A212" s="2" t="s">
        <v>423</v>
      </c>
      <c r="B212" s="15" t="s">
        <v>14</v>
      </c>
      <c r="C212" s="11" t="s">
        <v>424</v>
      </c>
      <c r="D212" s="15" t="s">
        <v>42</v>
      </c>
      <c r="E212" s="15" t="s">
        <v>43</v>
      </c>
      <c r="F212" s="14">
        <v>2120</v>
      </c>
      <c r="G212" s="14">
        <v>38</v>
      </c>
      <c r="H212" s="14">
        <v>212</v>
      </c>
      <c r="I212" s="14">
        <v>12720</v>
      </c>
      <c r="J212" s="14">
        <v>12564</v>
      </c>
      <c r="K212" s="14">
        <v>21</v>
      </c>
      <c r="L212" s="15" t="s">
        <v>44</v>
      </c>
      <c r="M212" s="15" t="s">
        <v>18</v>
      </c>
      <c r="N212" s="15" t="s">
        <v>19</v>
      </c>
      <c r="O212" s="20">
        <f t="shared" si="5"/>
        <v>0.18632075471698112</v>
      </c>
    </row>
    <row r="213" spans="1:15" x14ac:dyDescent="0.3">
      <c r="A213" s="2" t="s">
        <v>425</v>
      </c>
      <c r="B213" s="15" t="s">
        <v>577</v>
      </c>
      <c r="C213" s="11" t="s">
        <v>193</v>
      </c>
      <c r="D213" s="15" t="s">
        <v>69</v>
      </c>
      <c r="E213" s="15" t="s">
        <v>70</v>
      </c>
      <c r="F213" s="14">
        <v>3874</v>
      </c>
      <c r="G213" s="14">
        <v>884</v>
      </c>
      <c r="H213" s="14">
        <v>19</v>
      </c>
      <c r="I213" s="14">
        <v>38740</v>
      </c>
      <c r="J213" s="14">
        <v>38552</v>
      </c>
      <c r="K213" s="14">
        <v>219</v>
      </c>
      <c r="L213" s="15" t="s">
        <v>58</v>
      </c>
      <c r="M213" s="15"/>
      <c r="N213" s="15" t="s">
        <v>55</v>
      </c>
      <c r="O213" s="20">
        <f t="shared" si="5"/>
        <v>0.123309241094476</v>
      </c>
    </row>
    <row r="214" spans="1:15" x14ac:dyDescent="0.3">
      <c r="A214" s="2" t="s">
        <v>426</v>
      </c>
      <c r="B214" s="15" t="s">
        <v>40</v>
      </c>
      <c r="C214" s="11" t="s">
        <v>427</v>
      </c>
      <c r="D214" s="15" t="s">
        <v>42</v>
      </c>
      <c r="E214" s="15" t="s">
        <v>43</v>
      </c>
      <c r="F214" s="14">
        <v>2696</v>
      </c>
      <c r="G214" s="14">
        <v>628</v>
      </c>
      <c r="H214" s="14">
        <v>443</v>
      </c>
      <c r="I214" s="14">
        <v>45832</v>
      </c>
      <c r="J214" s="14">
        <v>45632</v>
      </c>
      <c r="K214" s="14">
        <v>248</v>
      </c>
      <c r="L214" s="15" t="s">
        <v>18</v>
      </c>
      <c r="M214" s="15"/>
      <c r="N214" s="15" t="s">
        <v>38</v>
      </c>
      <c r="O214" s="20">
        <f t="shared" si="5"/>
        <v>8.21914819340199E-2</v>
      </c>
    </row>
    <row r="215" spans="1:15" x14ac:dyDescent="0.3">
      <c r="A215" s="2" t="s">
        <v>428</v>
      </c>
      <c r="B215" s="15" t="s">
        <v>31</v>
      </c>
      <c r="C215" s="11" t="s">
        <v>15</v>
      </c>
      <c r="D215" s="15" t="s">
        <v>49</v>
      </c>
      <c r="E215" s="15" t="s">
        <v>50</v>
      </c>
      <c r="F215" s="14">
        <v>521</v>
      </c>
      <c r="G215" s="14">
        <v>746</v>
      </c>
      <c r="H215" s="14">
        <v>315</v>
      </c>
      <c r="I215" s="14">
        <v>4168</v>
      </c>
      <c r="J215" s="14">
        <v>3399</v>
      </c>
      <c r="K215" s="14">
        <v>282</v>
      </c>
      <c r="L215" s="15" t="s">
        <v>18</v>
      </c>
      <c r="M215" s="15"/>
      <c r="N215" s="15" t="s">
        <v>19</v>
      </c>
      <c r="O215" s="20">
        <f t="shared" si="5"/>
        <v>0.37955854126679461</v>
      </c>
    </row>
    <row r="216" spans="1:15" x14ac:dyDescent="0.3">
      <c r="A216" s="2" t="s">
        <v>429</v>
      </c>
      <c r="B216" s="15" t="s">
        <v>40</v>
      </c>
      <c r="C216" s="11" t="s">
        <v>430</v>
      </c>
      <c r="D216" s="15" t="s">
        <v>49</v>
      </c>
      <c r="E216" s="15" t="s">
        <v>50</v>
      </c>
      <c r="F216" s="14">
        <v>4872</v>
      </c>
      <c r="G216" s="14">
        <v>925</v>
      </c>
      <c r="H216" s="14">
        <v>176</v>
      </c>
      <c r="I216" s="14">
        <v>82824</v>
      </c>
      <c r="J216" s="14">
        <v>82543</v>
      </c>
      <c r="K216" s="14">
        <v>89</v>
      </c>
      <c r="L216" s="15" t="s">
        <v>18</v>
      </c>
      <c r="M216" s="15" t="s">
        <v>44</v>
      </c>
      <c r="N216" s="15" t="s">
        <v>19</v>
      </c>
      <c r="O216" s="20">
        <f t="shared" si="5"/>
        <v>7.2116777745580993E-2</v>
      </c>
    </row>
    <row r="217" spans="1:15" x14ac:dyDescent="0.3">
      <c r="A217" s="2" t="s">
        <v>431</v>
      </c>
      <c r="B217" s="15" t="s">
        <v>577</v>
      </c>
      <c r="C217" s="11" t="s">
        <v>263</v>
      </c>
      <c r="D217" s="15" t="s">
        <v>33</v>
      </c>
      <c r="E217" s="15" t="s">
        <v>34</v>
      </c>
      <c r="F217" s="14">
        <v>1509</v>
      </c>
      <c r="G217" s="14">
        <v>88</v>
      </c>
      <c r="H217" s="14">
        <v>163</v>
      </c>
      <c r="I217" s="14">
        <v>30180</v>
      </c>
      <c r="J217" s="14">
        <v>29689</v>
      </c>
      <c r="K217" s="14">
        <v>119</v>
      </c>
      <c r="L217" s="15" t="s">
        <v>44</v>
      </c>
      <c r="M217" s="15"/>
      <c r="N217" s="15" t="s">
        <v>19</v>
      </c>
      <c r="O217" s="20">
        <f t="shared" si="5"/>
        <v>5.8316766070245198E-2</v>
      </c>
    </row>
    <row r="218" spans="1:15" x14ac:dyDescent="0.3">
      <c r="A218" s="2" t="s">
        <v>432</v>
      </c>
      <c r="B218" s="15" t="s">
        <v>40</v>
      </c>
      <c r="C218" s="11" t="s">
        <v>357</v>
      </c>
      <c r="D218" s="15" t="s">
        <v>49</v>
      </c>
      <c r="E218" s="15" t="s">
        <v>50</v>
      </c>
      <c r="F218" s="14">
        <v>4606</v>
      </c>
      <c r="G218" s="14">
        <v>931</v>
      </c>
      <c r="H218" s="14">
        <v>230</v>
      </c>
      <c r="I218" s="14">
        <v>92120</v>
      </c>
      <c r="J218" s="14">
        <v>91440</v>
      </c>
      <c r="K218" s="14">
        <v>56</v>
      </c>
      <c r="L218" s="15" t="s">
        <v>77</v>
      </c>
      <c r="M218" s="15" t="s">
        <v>24</v>
      </c>
      <c r="N218" s="15" t="s">
        <v>38</v>
      </c>
      <c r="O218" s="20">
        <f t="shared" si="5"/>
        <v>6.2603126356925748E-2</v>
      </c>
    </row>
    <row r="219" spans="1:15" x14ac:dyDescent="0.3">
      <c r="A219" s="2" t="s">
        <v>433</v>
      </c>
      <c r="B219" s="15" t="s">
        <v>40</v>
      </c>
      <c r="C219" s="11" t="s">
        <v>249</v>
      </c>
      <c r="D219" s="15" t="s">
        <v>42</v>
      </c>
      <c r="E219" s="15" t="s">
        <v>43</v>
      </c>
      <c r="F219" s="14">
        <v>1869</v>
      </c>
      <c r="G219" s="14">
        <v>453</v>
      </c>
      <c r="H219" s="14">
        <v>490</v>
      </c>
      <c r="I219" s="14">
        <v>14952</v>
      </c>
      <c r="J219" s="14">
        <v>14309</v>
      </c>
      <c r="K219" s="14">
        <v>275</v>
      </c>
      <c r="L219" s="15" t="s">
        <v>77</v>
      </c>
      <c r="M219" s="15" t="s">
        <v>58</v>
      </c>
      <c r="N219" s="15" t="s">
        <v>19</v>
      </c>
      <c r="O219" s="20">
        <f t="shared" si="5"/>
        <v>0.18806848582129482</v>
      </c>
    </row>
    <row r="220" spans="1:15" x14ac:dyDescent="0.3">
      <c r="A220" s="2" t="s">
        <v>434</v>
      </c>
      <c r="B220" s="15" t="s">
        <v>14</v>
      </c>
      <c r="C220" s="11" t="s">
        <v>170</v>
      </c>
      <c r="D220" s="15" t="s">
        <v>16</v>
      </c>
      <c r="E220" s="15" t="s">
        <v>17</v>
      </c>
      <c r="F220" s="14">
        <v>1188</v>
      </c>
      <c r="G220" s="14">
        <v>470</v>
      </c>
      <c r="H220" s="14">
        <v>174</v>
      </c>
      <c r="I220" s="14">
        <v>7128</v>
      </c>
      <c r="J220" s="14">
        <v>6145</v>
      </c>
      <c r="K220" s="14">
        <v>270</v>
      </c>
      <c r="L220" s="15" t="s">
        <v>58</v>
      </c>
      <c r="M220" s="15" t="s">
        <v>24</v>
      </c>
      <c r="N220" s="15" t="s">
        <v>25</v>
      </c>
      <c r="O220" s="20">
        <f t="shared" si="5"/>
        <v>0.25701459034792368</v>
      </c>
    </row>
    <row r="221" spans="1:15" x14ac:dyDescent="0.3">
      <c r="A221" s="2" t="s">
        <v>435</v>
      </c>
      <c r="B221" s="15" t="s">
        <v>31</v>
      </c>
      <c r="C221" s="11" t="s">
        <v>411</v>
      </c>
      <c r="D221" s="15" t="s">
        <v>33</v>
      </c>
      <c r="E221" s="15" t="s">
        <v>34</v>
      </c>
      <c r="F221" s="14">
        <v>84</v>
      </c>
      <c r="G221" s="14">
        <v>897</v>
      </c>
      <c r="H221" s="14">
        <v>85</v>
      </c>
      <c r="I221" s="14">
        <v>588</v>
      </c>
      <c r="J221" s="14">
        <v>8</v>
      </c>
      <c r="K221" s="14">
        <v>12</v>
      </c>
      <c r="L221" s="15" t="s">
        <v>58</v>
      </c>
      <c r="M221" s="15"/>
      <c r="N221" s="15" t="s">
        <v>25</v>
      </c>
      <c r="O221" s="20">
        <f t="shared" si="5"/>
        <v>1.8129251700680271</v>
      </c>
    </row>
    <row r="222" spans="1:15" x14ac:dyDescent="0.3">
      <c r="A222" s="2" t="s">
        <v>436</v>
      </c>
      <c r="B222" s="15" t="s">
        <v>40</v>
      </c>
      <c r="C222" s="11" t="s">
        <v>251</v>
      </c>
      <c r="D222" s="15" t="s">
        <v>69</v>
      </c>
      <c r="E222" s="15" t="s">
        <v>70</v>
      </c>
      <c r="F222" s="14">
        <v>4453</v>
      </c>
      <c r="G222" s="14">
        <v>111</v>
      </c>
      <c r="H222" s="14">
        <v>420</v>
      </c>
      <c r="I222" s="14">
        <v>31171</v>
      </c>
      <c r="J222" s="14">
        <v>30565</v>
      </c>
      <c r="K222" s="14">
        <v>23</v>
      </c>
      <c r="L222" s="15" t="s">
        <v>44</v>
      </c>
      <c r="M222" s="15" t="s">
        <v>24</v>
      </c>
      <c r="N222" s="15" t="s">
        <v>55</v>
      </c>
      <c r="O222" s="20">
        <f t="shared" si="5"/>
        <v>0.15989220750056141</v>
      </c>
    </row>
    <row r="223" spans="1:15" x14ac:dyDescent="0.3">
      <c r="A223" s="2" t="s">
        <v>437</v>
      </c>
      <c r="B223" s="15" t="s">
        <v>40</v>
      </c>
      <c r="C223" s="11" t="s">
        <v>438</v>
      </c>
      <c r="D223" s="15" t="s">
        <v>16</v>
      </c>
      <c r="E223" s="15" t="s">
        <v>17</v>
      </c>
      <c r="F223" s="14">
        <v>1814</v>
      </c>
      <c r="G223" s="14">
        <v>653</v>
      </c>
      <c r="H223" s="14">
        <v>363</v>
      </c>
      <c r="I223" s="14">
        <v>25396</v>
      </c>
      <c r="J223" s="14">
        <v>25286</v>
      </c>
      <c r="K223" s="14">
        <v>39</v>
      </c>
      <c r="L223" s="15" t="s">
        <v>58</v>
      </c>
      <c r="M223" s="15"/>
      <c r="N223" s="15" t="s">
        <v>19</v>
      </c>
      <c r="O223" s="20">
        <f t="shared" si="5"/>
        <v>0.11143487163332809</v>
      </c>
    </row>
    <row r="224" spans="1:15" x14ac:dyDescent="0.3">
      <c r="A224" s="2" t="s">
        <v>439</v>
      </c>
      <c r="B224" s="15" t="s">
        <v>14</v>
      </c>
      <c r="C224" s="11" t="s">
        <v>355</v>
      </c>
      <c r="D224" s="15" t="s">
        <v>49</v>
      </c>
      <c r="E224" s="15" t="s">
        <v>50</v>
      </c>
      <c r="F224" s="14">
        <v>3338</v>
      </c>
      <c r="G224" s="14">
        <v>277</v>
      </c>
      <c r="H224" s="14">
        <v>118</v>
      </c>
      <c r="I224" s="14">
        <v>60084</v>
      </c>
      <c r="J224" s="14">
        <v>59842</v>
      </c>
      <c r="K224" s="14">
        <v>252</v>
      </c>
      <c r="L224" s="15" t="s">
        <v>58</v>
      </c>
      <c r="M224" s="15"/>
      <c r="N224" s="15" t="s">
        <v>19</v>
      </c>
      <c r="O224" s="20">
        <f t="shared" si="5"/>
        <v>6.2129685107516146E-2</v>
      </c>
    </row>
    <row r="225" spans="1:15" x14ac:dyDescent="0.3">
      <c r="A225" s="2" t="s">
        <v>440</v>
      </c>
      <c r="B225" s="15" t="s">
        <v>40</v>
      </c>
      <c r="C225" s="11" t="s">
        <v>441</v>
      </c>
      <c r="D225" s="15" t="s">
        <v>49</v>
      </c>
      <c r="E225" s="15" t="s">
        <v>50</v>
      </c>
      <c r="F225" s="14">
        <v>602</v>
      </c>
      <c r="G225" s="14">
        <v>594</v>
      </c>
      <c r="H225" s="14">
        <v>156</v>
      </c>
      <c r="I225" s="14">
        <v>4214</v>
      </c>
      <c r="J225" s="14">
        <v>3363</v>
      </c>
      <c r="K225" s="14">
        <v>164</v>
      </c>
      <c r="L225" s="15" t="s">
        <v>18</v>
      </c>
      <c r="M225" s="15"/>
      <c r="N225" s="15" t="s">
        <v>38</v>
      </c>
      <c r="O225" s="20">
        <f t="shared" si="5"/>
        <v>0.32083531086853345</v>
      </c>
    </row>
    <row r="226" spans="1:15" x14ac:dyDescent="0.3">
      <c r="A226" s="2" t="s">
        <v>442</v>
      </c>
      <c r="B226" s="15" t="s">
        <v>14</v>
      </c>
      <c r="C226" s="11" t="s">
        <v>370</v>
      </c>
      <c r="D226" s="15" t="s">
        <v>42</v>
      </c>
      <c r="E226" s="15" t="s">
        <v>43</v>
      </c>
      <c r="F226" s="14">
        <v>4672</v>
      </c>
      <c r="G226" s="14">
        <v>325</v>
      </c>
      <c r="H226" s="14">
        <v>32</v>
      </c>
      <c r="I226" s="14">
        <v>88768</v>
      </c>
      <c r="J226" s="14">
        <v>87833</v>
      </c>
      <c r="K226" s="14">
        <v>118</v>
      </c>
      <c r="L226" s="15" t="s">
        <v>77</v>
      </c>
      <c r="M226" s="15" t="s">
        <v>18</v>
      </c>
      <c r="N226" s="15" t="s">
        <v>38</v>
      </c>
      <c r="O226" s="20">
        <f t="shared" si="5"/>
        <v>5.6653298485940883E-2</v>
      </c>
    </row>
    <row r="227" spans="1:15" x14ac:dyDescent="0.3">
      <c r="A227" s="2" t="s">
        <v>443</v>
      </c>
      <c r="B227" s="15" t="s">
        <v>31</v>
      </c>
      <c r="C227" s="11" t="s">
        <v>444</v>
      </c>
      <c r="D227" s="15" t="s">
        <v>42</v>
      </c>
      <c r="E227" s="15" t="s">
        <v>43</v>
      </c>
      <c r="F227" s="14">
        <v>1741</v>
      </c>
      <c r="G227" s="14">
        <v>164</v>
      </c>
      <c r="H227" s="14">
        <v>318</v>
      </c>
      <c r="I227" s="14">
        <v>8705</v>
      </c>
      <c r="J227" s="14">
        <v>8272</v>
      </c>
      <c r="K227" s="14">
        <v>121</v>
      </c>
      <c r="L227" s="15" t="s">
        <v>18</v>
      </c>
      <c r="M227" s="15"/>
      <c r="N227" s="15" t="s">
        <v>25</v>
      </c>
      <c r="O227" s="20">
        <f t="shared" si="5"/>
        <v>0.25537047673750718</v>
      </c>
    </row>
    <row r="228" spans="1:15" x14ac:dyDescent="0.3">
      <c r="A228" s="2" t="s">
        <v>445</v>
      </c>
      <c r="B228" s="15" t="s">
        <v>31</v>
      </c>
      <c r="C228" s="11" t="s">
        <v>446</v>
      </c>
      <c r="D228" s="15" t="s">
        <v>22</v>
      </c>
      <c r="E228" s="15" t="s">
        <v>23</v>
      </c>
      <c r="F228" s="14">
        <v>246</v>
      </c>
      <c r="G228" s="14">
        <v>149</v>
      </c>
      <c r="H228" s="14">
        <v>130</v>
      </c>
      <c r="I228" s="14">
        <v>4674</v>
      </c>
      <c r="J228" s="14">
        <v>4390</v>
      </c>
      <c r="K228" s="14">
        <v>217</v>
      </c>
      <c r="L228" s="15" t="s">
        <v>44</v>
      </c>
      <c r="M228" s="15" t="s">
        <v>77</v>
      </c>
      <c r="N228" s="15" t="s">
        <v>25</v>
      </c>
      <c r="O228" s="20">
        <f t="shared" si="5"/>
        <v>0.11232349165596919</v>
      </c>
    </row>
    <row r="229" spans="1:15" x14ac:dyDescent="0.3">
      <c r="A229" s="2" t="s">
        <v>447</v>
      </c>
      <c r="B229" s="15" t="s">
        <v>31</v>
      </c>
      <c r="C229" s="11" t="s">
        <v>448</v>
      </c>
      <c r="D229" s="15" t="s">
        <v>33</v>
      </c>
      <c r="E229" s="15" t="s">
        <v>34</v>
      </c>
      <c r="F229" s="14">
        <v>4808</v>
      </c>
      <c r="G229" s="14">
        <v>772</v>
      </c>
      <c r="H229" s="14">
        <v>320</v>
      </c>
      <c r="I229" s="14">
        <v>72120</v>
      </c>
      <c r="J229" s="14">
        <v>71696</v>
      </c>
      <c r="K229" s="14">
        <v>195</v>
      </c>
      <c r="L229" s="15" t="s">
        <v>44</v>
      </c>
      <c r="M229" s="15" t="s">
        <v>18</v>
      </c>
      <c r="N229" s="15" t="s">
        <v>55</v>
      </c>
      <c r="O229" s="20">
        <f t="shared" si="5"/>
        <v>8.1808097615085965E-2</v>
      </c>
    </row>
    <row r="230" spans="1:15" x14ac:dyDescent="0.3">
      <c r="A230" s="2" t="s">
        <v>449</v>
      </c>
      <c r="B230" s="15" t="s">
        <v>31</v>
      </c>
      <c r="C230" s="11" t="s">
        <v>150</v>
      </c>
      <c r="D230" s="15" t="s">
        <v>42</v>
      </c>
      <c r="E230" s="15" t="s">
        <v>43</v>
      </c>
      <c r="F230" s="14">
        <v>4799</v>
      </c>
      <c r="G230" s="14">
        <v>694</v>
      </c>
      <c r="H230" s="14">
        <v>289</v>
      </c>
      <c r="I230" s="14">
        <v>43191</v>
      </c>
      <c r="J230" s="14">
        <v>42228</v>
      </c>
      <c r="K230" s="14">
        <v>118</v>
      </c>
      <c r="L230" s="15" t="s">
        <v>44</v>
      </c>
      <c r="M230" s="15"/>
      <c r="N230" s="15" t="s">
        <v>25</v>
      </c>
      <c r="O230" s="20">
        <f t="shared" si="5"/>
        <v>0.13387048227640017</v>
      </c>
    </row>
    <row r="231" spans="1:15" x14ac:dyDescent="0.3">
      <c r="A231" s="2" t="s">
        <v>450</v>
      </c>
      <c r="B231" s="15" t="s">
        <v>40</v>
      </c>
      <c r="C231" s="11" t="s">
        <v>312</v>
      </c>
      <c r="D231" s="15" t="s">
        <v>16</v>
      </c>
      <c r="E231" s="15" t="s">
        <v>17</v>
      </c>
      <c r="F231" s="14">
        <v>3663</v>
      </c>
      <c r="G231" s="14">
        <v>17</v>
      </c>
      <c r="H231" s="14">
        <v>295</v>
      </c>
      <c r="I231" s="14">
        <v>51282</v>
      </c>
      <c r="J231" s="14">
        <v>50567</v>
      </c>
      <c r="K231" s="14">
        <v>84</v>
      </c>
      <c r="L231" s="15" t="s">
        <v>18</v>
      </c>
      <c r="M231" s="15"/>
      <c r="N231" s="15" t="s">
        <v>19</v>
      </c>
      <c r="O231" s="20">
        <f t="shared" si="5"/>
        <v>7.7512577512577507E-2</v>
      </c>
    </row>
    <row r="232" spans="1:15" x14ac:dyDescent="0.3">
      <c r="A232" s="2" t="s">
        <v>451</v>
      </c>
      <c r="B232" s="15" t="s">
        <v>31</v>
      </c>
      <c r="C232" s="11" t="s">
        <v>427</v>
      </c>
      <c r="D232" s="15" t="s">
        <v>22</v>
      </c>
      <c r="E232" s="15" t="s">
        <v>23</v>
      </c>
      <c r="F232" s="14">
        <v>1430</v>
      </c>
      <c r="G232" s="14">
        <v>376</v>
      </c>
      <c r="H232" s="14">
        <v>33</v>
      </c>
      <c r="I232" s="14">
        <v>21450</v>
      </c>
      <c r="J232" s="14">
        <v>20509</v>
      </c>
      <c r="K232" s="14">
        <v>251</v>
      </c>
      <c r="L232" s="15" t="s">
        <v>77</v>
      </c>
      <c r="M232" s="15"/>
      <c r="N232" s="15" t="s">
        <v>38</v>
      </c>
      <c r="O232" s="20">
        <f t="shared" si="5"/>
        <v>8.5734265734265735E-2</v>
      </c>
    </row>
    <row r="233" spans="1:15" x14ac:dyDescent="0.3">
      <c r="A233" s="2" t="s">
        <v>452</v>
      </c>
      <c r="B233" s="15" t="s">
        <v>14</v>
      </c>
      <c r="C233" s="11" t="s">
        <v>453</v>
      </c>
      <c r="D233" s="15" t="s">
        <v>33</v>
      </c>
      <c r="E233" s="15" t="s">
        <v>34</v>
      </c>
      <c r="F233" s="14">
        <v>249</v>
      </c>
      <c r="G233" s="14">
        <v>592</v>
      </c>
      <c r="H233" s="14">
        <v>230</v>
      </c>
      <c r="I233" s="14">
        <v>1494</v>
      </c>
      <c r="J233" s="14">
        <v>1044</v>
      </c>
      <c r="K233" s="14">
        <v>201</v>
      </c>
      <c r="L233" s="15" t="s">
        <v>24</v>
      </c>
      <c r="M233" s="15" t="s">
        <v>44</v>
      </c>
      <c r="N233" s="15" t="s">
        <v>55</v>
      </c>
      <c r="O233" s="20">
        <f t="shared" si="5"/>
        <v>0.7168674698795181</v>
      </c>
    </row>
    <row r="234" spans="1:15" x14ac:dyDescent="0.3">
      <c r="A234" s="2" t="s">
        <v>454</v>
      </c>
      <c r="B234" s="15" t="s">
        <v>40</v>
      </c>
      <c r="C234" s="11" t="s">
        <v>131</v>
      </c>
      <c r="D234" s="15" t="s">
        <v>49</v>
      </c>
      <c r="E234" s="15" t="s">
        <v>50</v>
      </c>
      <c r="F234" s="14">
        <v>2382</v>
      </c>
      <c r="G234" s="14">
        <v>265</v>
      </c>
      <c r="H234" s="14">
        <v>134</v>
      </c>
      <c r="I234" s="14">
        <v>38112</v>
      </c>
      <c r="J234" s="14">
        <v>37437</v>
      </c>
      <c r="K234" s="14">
        <v>249</v>
      </c>
      <c r="L234" s="15" t="s">
        <v>77</v>
      </c>
      <c r="M234" s="15" t="s">
        <v>44</v>
      </c>
      <c r="N234" s="15" t="s">
        <v>25</v>
      </c>
      <c r="O234" s="20">
        <f t="shared" si="5"/>
        <v>7.2969143576826198E-2</v>
      </c>
    </row>
    <row r="235" spans="1:15" x14ac:dyDescent="0.3">
      <c r="A235" s="2" t="s">
        <v>455</v>
      </c>
      <c r="B235" s="15" t="s">
        <v>40</v>
      </c>
      <c r="C235" s="11" t="s">
        <v>456</v>
      </c>
      <c r="D235" s="15" t="s">
        <v>22</v>
      </c>
      <c r="E235" s="15" t="s">
        <v>23</v>
      </c>
      <c r="F235" s="14">
        <v>1272</v>
      </c>
      <c r="G235" s="14">
        <v>465</v>
      </c>
      <c r="H235" s="14">
        <v>99</v>
      </c>
      <c r="I235" s="14">
        <v>24168</v>
      </c>
      <c r="J235" s="14">
        <v>23719</v>
      </c>
      <c r="K235" s="14">
        <v>42</v>
      </c>
      <c r="L235" s="15" t="s">
        <v>24</v>
      </c>
      <c r="M235" s="15" t="s">
        <v>77</v>
      </c>
      <c r="N235" s="15" t="s">
        <v>25</v>
      </c>
      <c r="O235" s="20">
        <f t="shared" si="5"/>
        <v>7.5968222442899705E-2</v>
      </c>
    </row>
    <row r="236" spans="1:15" x14ac:dyDescent="0.3">
      <c r="A236" s="2" t="s">
        <v>457</v>
      </c>
      <c r="B236" s="15" t="s">
        <v>40</v>
      </c>
      <c r="C236" s="11" t="s">
        <v>387</v>
      </c>
      <c r="D236" s="15" t="s">
        <v>49</v>
      </c>
      <c r="E236" s="15" t="s">
        <v>50</v>
      </c>
      <c r="F236" s="14">
        <v>3196</v>
      </c>
      <c r="G236" s="14">
        <v>941</v>
      </c>
      <c r="H236" s="14">
        <v>376</v>
      </c>
      <c r="I236" s="14">
        <v>35156</v>
      </c>
      <c r="J236" s="14">
        <v>34444</v>
      </c>
      <c r="K236" s="14">
        <v>241</v>
      </c>
      <c r="L236" s="15" t="s">
        <v>58</v>
      </c>
      <c r="M236" s="15" t="s">
        <v>44</v>
      </c>
      <c r="N236" s="15" t="s">
        <v>55</v>
      </c>
      <c r="O236" s="20">
        <f t="shared" si="5"/>
        <v>0.1283706906360223</v>
      </c>
    </row>
    <row r="237" spans="1:15" x14ac:dyDescent="0.3">
      <c r="A237" s="2" t="s">
        <v>458</v>
      </c>
      <c r="B237" s="15" t="s">
        <v>40</v>
      </c>
      <c r="C237" s="11" t="s">
        <v>79</v>
      </c>
      <c r="D237" s="15" t="s">
        <v>22</v>
      </c>
      <c r="E237" s="15" t="s">
        <v>23</v>
      </c>
      <c r="F237" s="14">
        <v>1257</v>
      </c>
      <c r="G237" s="14">
        <v>19</v>
      </c>
      <c r="H237" s="14">
        <v>351</v>
      </c>
      <c r="I237" s="14">
        <v>12570</v>
      </c>
      <c r="J237" s="14">
        <v>11660</v>
      </c>
      <c r="K237" s="14">
        <v>194</v>
      </c>
      <c r="L237" s="15" t="s">
        <v>58</v>
      </c>
      <c r="M237" s="15"/>
      <c r="N237" s="15" t="s">
        <v>19</v>
      </c>
      <c r="O237" s="20">
        <f t="shared" si="5"/>
        <v>0.12943516308671441</v>
      </c>
    </row>
    <row r="238" spans="1:15" x14ac:dyDescent="0.3">
      <c r="A238" s="2" t="s">
        <v>459</v>
      </c>
      <c r="B238" s="15" t="s">
        <v>31</v>
      </c>
      <c r="C238" s="11" t="s">
        <v>336</v>
      </c>
      <c r="D238" s="15" t="s">
        <v>33</v>
      </c>
      <c r="E238" s="15" t="s">
        <v>34</v>
      </c>
      <c r="F238" s="14">
        <v>3770</v>
      </c>
      <c r="G238" s="14">
        <v>917</v>
      </c>
      <c r="H238" s="14">
        <v>129</v>
      </c>
      <c r="I238" s="14">
        <v>71630</v>
      </c>
      <c r="J238" s="14">
        <v>71322</v>
      </c>
      <c r="K238" s="14">
        <v>76</v>
      </c>
      <c r="L238" s="15" t="s">
        <v>18</v>
      </c>
      <c r="M238" s="15" t="s">
        <v>44</v>
      </c>
      <c r="N238" s="15" t="s">
        <v>55</v>
      </c>
      <c r="O238" s="20">
        <f t="shared" si="5"/>
        <v>6.7234398994834563E-2</v>
      </c>
    </row>
    <row r="239" spans="1:15" x14ac:dyDescent="0.3">
      <c r="A239" s="2" t="s">
        <v>460</v>
      </c>
      <c r="B239" s="15" t="s">
        <v>14</v>
      </c>
      <c r="C239" s="11" t="s">
        <v>461</v>
      </c>
      <c r="D239" s="15" t="s">
        <v>22</v>
      </c>
      <c r="E239" s="15" t="s">
        <v>23</v>
      </c>
      <c r="F239" s="14">
        <v>4725</v>
      </c>
      <c r="G239" s="14">
        <v>400</v>
      </c>
      <c r="H239" s="14">
        <v>362</v>
      </c>
      <c r="I239" s="14">
        <v>75600</v>
      </c>
      <c r="J239" s="14">
        <v>74927</v>
      </c>
      <c r="K239" s="14">
        <v>43</v>
      </c>
      <c r="L239" s="15" t="s">
        <v>44</v>
      </c>
      <c r="M239" s="15" t="s">
        <v>24</v>
      </c>
      <c r="N239" s="15" t="s">
        <v>19</v>
      </c>
      <c r="O239" s="20">
        <f t="shared" si="5"/>
        <v>7.2579365079365077E-2</v>
      </c>
    </row>
    <row r="240" spans="1:15" x14ac:dyDescent="0.3">
      <c r="A240" s="2" t="s">
        <v>462</v>
      </c>
      <c r="B240" s="15" t="s">
        <v>577</v>
      </c>
      <c r="C240" s="11" t="s">
        <v>143</v>
      </c>
      <c r="D240" s="15" t="s">
        <v>22</v>
      </c>
      <c r="E240" s="15" t="s">
        <v>23</v>
      </c>
      <c r="F240" s="14">
        <v>4188</v>
      </c>
      <c r="G240" s="14">
        <v>942</v>
      </c>
      <c r="H240" s="14">
        <v>118</v>
      </c>
      <c r="I240" s="14">
        <v>20940</v>
      </c>
      <c r="J240" s="14">
        <v>20471</v>
      </c>
      <c r="K240" s="14">
        <v>102</v>
      </c>
      <c r="L240" s="15" t="s">
        <v>58</v>
      </c>
      <c r="M240" s="15"/>
      <c r="N240" s="15" t="s">
        <v>25</v>
      </c>
      <c r="O240" s="20">
        <f t="shared" si="5"/>
        <v>0.25062082139446035</v>
      </c>
    </row>
    <row r="241" spans="1:15" x14ac:dyDescent="0.3">
      <c r="A241" s="2" t="s">
        <v>463</v>
      </c>
      <c r="B241" s="15" t="s">
        <v>14</v>
      </c>
      <c r="C241" s="11" t="s">
        <v>73</v>
      </c>
      <c r="D241" s="15" t="s">
        <v>42</v>
      </c>
      <c r="E241" s="15" t="s">
        <v>43</v>
      </c>
      <c r="F241" s="14">
        <v>929</v>
      </c>
      <c r="G241" s="14">
        <v>192</v>
      </c>
      <c r="H241" s="14">
        <v>322</v>
      </c>
      <c r="I241" s="14">
        <v>16722</v>
      </c>
      <c r="J241" s="14">
        <v>15996</v>
      </c>
      <c r="K241" s="14">
        <v>145</v>
      </c>
      <c r="L241" s="15" t="s">
        <v>24</v>
      </c>
      <c r="M241" s="15"/>
      <c r="N241" s="15" t="s">
        <v>38</v>
      </c>
      <c r="O241" s="20">
        <f t="shared" si="5"/>
        <v>8.6293505561535699E-2</v>
      </c>
    </row>
    <row r="242" spans="1:15" x14ac:dyDescent="0.3">
      <c r="A242" s="2" t="s">
        <v>464</v>
      </c>
      <c r="B242" s="15" t="s">
        <v>40</v>
      </c>
      <c r="C242" s="11" t="s">
        <v>465</v>
      </c>
      <c r="D242" s="15" t="s">
        <v>33</v>
      </c>
      <c r="E242" s="15" t="s">
        <v>34</v>
      </c>
      <c r="F242" s="14">
        <v>4321</v>
      </c>
      <c r="G242" s="14">
        <v>874</v>
      </c>
      <c r="H242" s="14">
        <v>172</v>
      </c>
      <c r="I242" s="14">
        <v>30247</v>
      </c>
      <c r="J242" s="14">
        <v>29254</v>
      </c>
      <c r="K242" s="14">
        <v>122</v>
      </c>
      <c r="L242" s="15" t="s">
        <v>18</v>
      </c>
      <c r="M242" s="15" t="s">
        <v>24</v>
      </c>
      <c r="N242" s="15" t="s">
        <v>38</v>
      </c>
      <c r="O242" s="20">
        <f t="shared" si="5"/>
        <v>0.17743908486792079</v>
      </c>
    </row>
    <row r="243" spans="1:15" x14ac:dyDescent="0.3">
      <c r="A243" s="2" t="s">
        <v>466</v>
      </c>
      <c r="B243" s="15" t="s">
        <v>40</v>
      </c>
      <c r="C243" s="11" t="s">
        <v>223</v>
      </c>
      <c r="D243" s="15" t="s">
        <v>16</v>
      </c>
      <c r="E243" s="15" t="s">
        <v>17</v>
      </c>
      <c r="F243" s="14">
        <v>4767</v>
      </c>
      <c r="G243" s="14">
        <v>190</v>
      </c>
      <c r="H243" s="14">
        <v>340</v>
      </c>
      <c r="I243" s="14">
        <v>28602</v>
      </c>
      <c r="J243" s="14">
        <v>28044</v>
      </c>
      <c r="K243" s="14">
        <v>210</v>
      </c>
      <c r="L243" s="15" t="s">
        <v>77</v>
      </c>
      <c r="M243" s="15"/>
      <c r="N243" s="15" t="s">
        <v>55</v>
      </c>
      <c r="O243" s="20">
        <f t="shared" si="5"/>
        <v>0.18519683938186141</v>
      </c>
    </row>
    <row r="244" spans="1:15" x14ac:dyDescent="0.3">
      <c r="A244" s="2" t="s">
        <v>467</v>
      </c>
      <c r="B244" s="15" t="s">
        <v>14</v>
      </c>
      <c r="C244" s="11" t="s">
        <v>468</v>
      </c>
      <c r="D244" s="15" t="s">
        <v>49</v>
      </c>
      <c r="E244" s="15" t="s">
        <v>50</v>
      </c>
      <c r="F244" s="14">
        <v>3592</v>
      </c>
      <c r="G244" s="14">
        <v>911</v>
      </c>
      <c r="H244" s="14">
        <v>375</v>
      </c>
      <c r="I244" s="14">
        <v>50288</v>
      </c>
      <c r="J244" s="14">
        <v>49490</v>
      </c>
      <c r="K244" s="14">
        <v>32</v>
      </c>
      <c r="L244" s="15" t="s">
        <v>58</v>
      </c>
      <c r="M244" s="15"/>
      <c r="N244" s="15" t="s">
        <v>25</v>
      </c>
      <c r="O244" s="20">
        <f t="shared" si="5"/>
        <v>9.7001272669424113E-2</v>
      </c>
    </row>
    <row r="245" spans="1:15" x14ac:dyDescent="0.3">
      <c r="A245" s="2" t="s">
        <v>469</v>
      </c>
      <c r="B245" s="15" t="s">
        <v>577</v>
      </c>
      <c r="C245" s="11" t="s">
        <v>470</v>
      </c>
      <c r="D245" s="15" t="s">
        <v>69</v>
      </c>
      <c r="E245" s="15" t="s">
        <v>70</v>
      </c>
      <c r="F245" s="14">
        <v>4661</v>
      </c>
      <c r="G245" s="14">
        <v>935</v>
      </c>
      <c r="H245" s="14">
        <v>433</v>
      </c>
      <c r="I245" s="14">
        <v>23305</v>
      </c>
      <c r="J245" s="14">
        <v>22583</v>
      </c>
      <c r="K245" s="14">
        <v>63</v>
      </c>
      <c r="L245" s="15" t="s">
        <v>58</v>
      </c>
      <c r="M245" s="15" t="s">
        <v>77</v>
      </c>
      <c r="N245" s="15" t="s">
        <v>19</v>
      </c>
      <c r="O245" s="20">
        <f t="shared" si="5"/>
        <v>0.25869984981763572</v>
      </c>
    </row>
    <row r="246" spans="1:15" x14ac:dyDescent="0.3">
      <c r="A246" s="2" t="s">
        <v>471</v>
      </c>
      <c r="B246" s="15" t="s">
        <v>40</v>
      </c>
      <c r="C246" s="11" t="s">
        <v>472</v>
      </c>
      <c r="D246" s="15" t="s">
        <v>16</v>
      </c>
      <c r="E246" s="15" t="s">
        <v>17</v>
      </c>
      <c r="F246" s="14">
        <v>4134</v>
      </c>
      <c r="G246" s="14">
        <v>824</v>
      </c>
      <c r="H246" s="14">
        <v>99</v>
      </c>
      <c r="I246" s="14">
        <v>41340</v>
      </c>
      <c r="J246" s="14">
        <v>41050</v>
      </c>
      <c r="K246" s="14">
        <v>177</v>
      </c>
      <c r="L246" s="15" t="s">
        <v>24</v>
      </c>
      <c r="M246" s="15"/>
      <c r="N246" s="15" t="s">
        <v>25</v>
      </c>
      <c r="O246" s="20">
        <f t="shared" si="5"/>
        <v>0.12232704402515723</v>
      </c>
    </row>
    <row r="247" spans="1:15" x14ac:dyDescent="0.3">
      <c r="A247" s="2" t="s">
        <v>473</v>
      </c>
      <c r="B247" s="15" t="s">
        <v>40</v>
      </c>
      <c r="C247" s="11" t="s">
        <v>474</v>
      </c>
      <c r="D247" s="15" t="s">
        <v>49</v>
      </c>
      <c r="E247" s="15" t="s">
        <v>50</v>
      </c>
      <c r="F247" s="14">
        <v>400</v>
      </c>
      <c r="G247" s="14">
        <v>680</v>
      </c>
      <c r="H247" s="14">
        <v>434</v>
      </c>
      <c r="I247" s="14">
        <v>6400</v>
      </c>
      <c r="J247" s="14">
        <v>5472</v>
      </c>
      <c r="K247" s="14">
        <v>160</v>
      </c>
      <c r="L247" s="15" t="s">
        <v>18</v>
      </c>
      <c r="M247" s="15" t="s">
        <v>44</v>
      </c>
      <c r="N247" s="15" t="s">
        <v>25</v>
      </c>
      <c r="O247" s="20">
        <f t="shared" si="5"/>
        <v>0.23656250000000001</v>
      </c>
    </row>
    <row r="248" spans="1:15" x14ac:dyDescent="0.3">
      <c r="A248" s="2" t="s">
        <v>475</v>
      </c>
      <c r="B248" s="15" t="s">
        <v>40</v>
      </c>
      <c r="C248" s="11" t="s">
        <v>476</v>
      </c>
      <c r="D248" s="15" t="s">
        <v>16</v>
      </c>
      <c r="E248" s="15" t="s">
        <v>17</v>
      </c>
      <c r="F248" s="14">
        <v>3960</v>
      </c>
      <c r="G248" s="14">
        <v>266</v>
      </c>
      <c r="H248" s="14">
        <v>8</v>
      </c>
      <c r="I248" s="14">
        <v>35640</v>
      </c>
      <c r="J248" s="14">
        <v>34850</v>
      </c>
      <c r="K248" s="14">
        <v>208</v>
      </c>
      <c r="L248" s="15" t="s">
        <v>44</v>
      </c>
      <c r="M248" s="15" t="s">
        <v>24</v>
      </c>
      <c r="N248" s="15" t="s">
        <v>55</v>
      </c>
      <c r="O248" s="20">
        <f t="shared" si="5"/>
        <v>0.11879910213243547</v>
      </c>
    </row>
    <row r="249" spans="1:15" x14ac:dyDescent="0.3">
      <c r="A249" s="2" t="s">
        <v>477</v>
      </c>
      <c r="B249" s="15" t="s">
        <v>40</v>
      </c>
      <c r="C249" s="11" t="s">
        <v>57</v>
      </c>
      <c r="D249" s="15" t="s">
        <v>33</v>
      </c>
      <c r="E249" s="15" t="s">
        <v>34</v>
      </c>
      <c r="F249" s="14">
        <v>886</v>
      </c>
      <c r="G249" s="14">
        <v>126</v>
      </c>
      <c r="H249" s="14">
        <v>153</v>
      </c>
      <c r="I249" s="14">
        <v>4430</v>
      </c>
      <c r="J249" s="14">
        <v>4037</v>
      </c>
      <c r="K249" s="14">
        <v>212</v>
      </c>
      <c r="L249" s="15" t="s">
        <v>18</v>
      </c>
      <c r="M249" s="15"/>
      <c r="N249" s="15" t="s">
        <v>38</v>
      </c>
      <c r="O249" s="20">
        <f t="shared" si="5"/>
        <v>0.26297968397291194</v>
      </c>
    </row>
    <row r="250" spans="1:15" x14ac:dyDescent="0.3">
      <c r="A250" s="2" t="s">
        <v>478</v>
      </c>
      <c r="B250" s="15" t="s">
        <v>14</v>
      </c>
      <c r="C250" s="11" t="s">
        <v>424</v>
      </c>
      <c r="D250" s="15" t="s">
        <v>49</v>
      </c>
      <c r="E250" s="15" t="s">
        <v>50</v>
      </c>
      <c r="F250" s="14">
        <v>827</v>
      </c>
      <c r="G250" s="14">
        <v>77</v>
      </c>
      <c r="H250" s="14">
        <v>402</v>
      </c>
      <c r="I250" s="14">
        <v>14886</v>
      </c>
      <c r="J250" s="14">
        <v>14129</v>
      </c>
      <c r="K250" s="14">
        <v>254</v>
      </c>
      <c r="L250" s="15" t="s">
        <v>58</v>
      </c>
      <c r="M250" s="15"/>
      <c r="N250" s="15" t="s">
        <v>25</v>
      </c>
      <c r="O250" s="20">
        <f t="shared" si="5"/>
        <v>8.7733440816874911E-2</v>
      </c>
    </row>
    <row r="251" spans="1:15" x14ac:dyDescent="0.3">
      <c r="A251" s="2" t="s">
        <v>479</v>
      </c>
      <c r="B251" s="15" t="s">
        <v>40</v>
      </c>
      <c r="C251" s="11" t="s">
        <v>168</v>
      </c>
      <c r="D251" s="15" t="s">
        <v>16</v>
      </c>
      <c r="E251" s="15" t="s">
        <v>17</v>
      </c>
      <c r="F251" s="14">
        <v>3813</v>
      </c>
      <c r="G251" s="14">
        <v>935</v>
      </c>
      <c r="H251" s="14">
        <v>274</v>
      </c>
      <c r="I251" s="14">
        <v>68634</v>
      </c>
      <c r="J251" s="14">
        <v>68488</v>
      </c>
      <c r="K251" s="14">
        <v>251</v>
      </c>
      <c r="L251" s="15" t="s">
        <v>77</v>
      </c>
      <c r="M251" s="15" t="s">
        <v>44</v>
      </c>
      <c r="N251" s="15" t="s">
        <v>19</v>
      </c>
      <c r="O251" s="20">
        <f t="shared" si="5"/>
        <v>7.3170731707317069E-2</v>
      </c>
    </row>
    <row r="252" spans="1:15" x14ac:dyDescent="0.3">
      <c r="A252" s="2" t="s">
        <v>480</v>
      </c>
      <c r="B252" s="15" t="s">
        <v>31</v>
      </c>
      <c r="C252" s="11" t="s">
        <v>481</v>
      </c>
      <c r="D252" s="15" t="s">
        <v>42</v>
      </c>
      <c r="E252" s="15" t="s">
        <v>43</v>
      </c>
      <c r="F252" s="14">
        <v>1377</v>
      </c>
      <c r="G252" s="14">
        <v>796</v>
      </c>
      <c r="H252" s="14">
        <v>387</v>
      </c>
      <c r="I252" s="14">
        <v>22032</v>
      </c>
      <c r="J252" s="14">
        <v>21869</v>
      </c>
      <c r="K252" s="14">
        <v>189</v>
      </c>
      <c r="L252" s="15" t="s">
        <v>77</v>
      </c>
      <c r="M252" s="15" t="s">
        <v>24</v>
      </c>
      <c r="N252" s="15" t="s">
        <v>38</v>
      </c>
      <c r="O252" s="20">
        <f t="shared" si="5"/>
        <v>0.11619462599854757</v>
      </c>
    </row>
    <row r="253" spans="1:15" x14ac:dyDescent="0.3">
      <c r="A253" s="2" t="s">
        <v>482</v>
      </c>
      <c r="B253" s="15" t="s">
        <v>40</v>
      </c>
      <c r="C253" s="11" t="s">
        <v>359</v>
      </c>
      <c r="D253" s="15" t="s">
        <v>42</v>
      </c>
      <c r="E253" s="15" t="s">
        <v>43</v>
      </c>
      <c r="F253" s="14">
        <v>2089</v>
      </c>
      <c r="G253" s="14">
        <v>476</v>
      </c>
      <c r="H253" s="14">
        <v>69</v>
      </c>
      <c r="I253" s="14">
        <v>16712</v>
      </c>
      <c r="J253" s="14">
        <v>16309</v>
      </c>
      <c r="K253" s="14">
        <v>64</v>
      </c>
      <c r="L253" s="15" t="s">
        <v>58</v>
      </c>
      <c r="M253" s="15" t="s">
        <v>18</v>
      </c>
      <c r="N253" s="15" t="s">
        <v>19</v>
      </c>
      <c r="O253" s="20">
        <f t="shared" si="5"/>
        <v>0.15761129727142173</v>
      </c>
    </row>
    <row r="254" spans="1:15" x14ac:dyDescent="0.3">
      <c r="A254" s="2" t="s">
        <v>483</v>
      </c>
      <c r="B254" s="15" t="s">
        <v>14</v>
      </c>
      <c r="C254" s="11" t="s">
        <v>484</v>
      </c>
      <c r="D254" s="15" t="s">
        <v>16</v>
      </c>
      <c r="E254" s="15" t="s">
        <v>17</v>
      </c>
      <c r="F254" s="14">
        <v>3791</v>
      </c>
      <c r="G254" s="14">
        <v>593</v>
      </c>
      <c r="H254" s="14">
        <v>228</v>
      </c>
      <c r="I254" s="14">
        <v>53074</v>
      </c>
      <c r="J254" s="14">
        <v>52613</v>
      </c>
      <c r="K254" s="14">
        <v>205</v>
      </c>
      <c r="L254" s="15" t="s">
        <v>58</v>
      </c>
      <c r="M254" s="15" t="s">
        <v>77</v>
      </c>
      <c r="N254" s="15" t="s">
        <v>19</v>
      </c>
      <c r="O254" s="20">
        <f t="shared" si="5"/>
        <v>8.6897539284772202E-2</v>
      </c>
    </row>
    <row r="255" spans="1:15" x14ac:dyDescent="0.3">
      <c r="A255" s="2" t="s">
        <v>485</v>
      </c>
      <c r="B255" s="15" t="s">
        <v>14</v>
      </c>
      <c r="C255" s="11" t="s">
        <v>486</v>
      </c>
      <c r="D255" s="15" t="s">
        <v>49</v>
      </c>
      <c r="E255" s="15" t="s">
        <v>50</v>
      </c>
      <c r="F255" s="14">
        <v>2692</v>
      </c>
      <c r="G255" s="14">
        <v>115</v>
      </c>
      <c r="H255" s="14">
        <v>64</v>
      </c>
      <c r="I255" s="14">
        <v>21536</v>
      </c>
      <c r="J255" s="14">
        <v>21120</v>
      </c>
      <c r="K255" s="14">
        <v>224</v>
      </c>
      <c r="L255" s="15" t="s">
        <v>77</v>
      </c>
      <c r="M255" s="15" t="s">
        <v>44</v>
      </c>
      <c r="N255" s="15" t="s">
        <v>55</v>
      </c>
      <c r="O255" s="20">
        <f t="shared" si="5"/>
        <v>0.13331166419019316</v>
      </c>
    </row>
    <row r="256" spans="1:15" x14ac:dyDescent="0.3">
      <c r="A256" s="2" t="s">
        <v>487</v>
      </c>
      <c r="B256" s="15" t="s">
        <v>40</v>
      </c>
      <c r="C256" s="11" t="s">
        <v>21</v>
      </c>
      <c r="D256" s="15" t="s">
        <v>33</v>
      </c>
      <c r="E256" s="15" t="s">
        <v>34</v>
      </c>
      <c r="F256" s="14">
        <v>3767</v>
      </c>
      <c r="G256" s="14">
        <v>514</v>
      </c>
      <c r="H256" s="14">
        <v>238</v>
      </c>
      <c r="I256" s="14">
        <v>37670</v>
      </c>
      <c r="J256" s="14">
        <v>36807</v>
      </c>
      <c r="K256" s="14">
        <v>226</v>
      </c>
      <c r="L256" s="15" t="s">
        <v>58</v>
      </c>
      <c r="M256" s="15" t="s">
        <v>77</v>
      </c>
      <c r="N256" s="15" t="s">
        <v>19</v>
      </c>
      <c r="O256" s="20">
        <f t="shared" si="5"/>
        <v>0.11996283514733209</v>
      </c>
    </row>
    <row r="257" spans="1:15" x14ac:dyDescent="0.3">
      <c r="A257" s="2" t="s">
        <v>488</v>
      </c>
      <c r="B257" s="15" t="s">
        <v>577</v>
      </c>
      <c r="C257" s="11" t="s">
        <v>247</v>
      </c>
      <c r="D257" s="15" t="s">
        <v>42</v>
      </c>
      <c r="E257" s="15" t="s">
        <v>43</v>
      </c>
      <c r="F257" s="14">
        <v>2143</v>
      </c>
      <c r="G257" s="14">
        <v>12</v>
      </c>
      <c r="H257" s="14">
        <v>204</v>
      </c>
      <c r="I257" s="14">
        <v>40717</v>
      </c>
      <c r="J257" s="14">
        <v>40125</v>
      </c>
      <c r="K257" s="14">
        <v>248</v>
      </c>
      <c r="L257" s="15" t="s">
        <v>77</v>
      </c>
      <c r="M257" s="15" t="s">
        <v>18</v>
      </c>
      <c r="N257" s="15" t="s">
        <v>55</v>
      </c>
      <c r="O257" s="20">
        <f t="shared" si="5"/>
        <v>5.7936488444630008E-2</v>
      </c>
    </row>
    <row r="258" spans="1:15" x14ac:dyDescent="0.3">
      <c r="A258" s="2" t="s">
        <v>489</v>
      </c>
      <c r="B258" s="15" t="s">
        <v>40</v>
      </c>
      <c r="C258" s="11" t="s">
        <v>288</v>
      </c>
      <c r="D258" s="15" t="s">
        <v>49</v>
      </c>
      <c r="E258" s="15" t="s">
        <v>50</v>
      </c>
      <c r="F258" s="14">
        <v>3090</v>
      </c>
      <c r="G258" s="14">
        <v>697</v>
      </c>
      <c r="H258" s="14">
        <v>164</v>
      </c>
      <c r="I258" s="14">
        <v>49440</v>
      </c>
      <c r="J258" s="14">
        <v>48524</v>
      </c>
      <c r="K258" s="14">
        <v>25</v>
      </c>
      <c r="L258" s="15" t="s">
        <v>77</v>
      </c>
      <c r="M258" s="15" t="s">
        <v>58</v>
      </c>
      <c r="N258" s="15" t="s">
        <v>55</v>
      </c>
      <c r="O258" s="20">
        <f t="shared" ref="O258:O301" si="6">SUM(F258,G258,H258)/I258</f>
        <v>7.9915048543689318E-2</v>
      </c>
    </row>
    <row r="259" spans="1:15" x14ac:dyDescent="0.3">
      <c r="A259" s="2" t="s">
        <v>490</v>
      </c>
      <c r="B259" s="15" t="s">
        <v>31</v>
      </c>
      <c r="C259" s="11" t="s">
        <v>491</v>
      </c>
      <c r="D259" s="15" t="s">
        <v>33</v>
      </c>
      <c r="E259" s="15" t="s">
        <v>34</v>
      </c>
      <c r="F259" s="14">
        <v>3601</v>
      </c>
      <c r="G259" s="14">
        <v>695</v>
      </c>
      <c r="H259" s="14">
        <v>75</v>
      </c>
      <c r="I259" s="14">
        <v>21606</v>
      </c>
      <c r="J259" s="14">
        <v>21454</v>
      </c>
      <c r="K259" s="14">
        <v>172</v>
      </c>
      <c r="L259" s="15" t="s">
        <v>58</v>
      </c>
      <c r="M259" s="15"/>
      <c r="N259" s="15" t="s">
        <v>25</v>
      </c>
      <c r="O259" s="20">
        <f t="shared" si="6"/>
        <v>0.2023049153013052</v>
      </c>
    </row>
    <row r="260" spans="1:15" x14ac:dyDescent="0.3">
      <c r="A260" s="2" t="s">
        <v>492</v>
      </c>
      <c r="B260" s="15" t="s">
        <v>40</v>
      </c>
      <c r="C260" s="11" t="s">
        <v>244</v>
      </c>
      <c r="D260" s="15" t="s">
        <v>22</v>
      </c>
      <c r="E260" s="15" t="s">
        <v>23</v>
      </c>
      <c r="F260" s="14">
        <v>562</v>
      </c>
      <c r="G260" s="14">
        <v>158</v>
      </c>
      <c r="H260" s="14">
        <v>149</v>
      </c>
      <c r="I260" s="14">
        <v>3372</v>
      </c>
      <c r="J260" s="14">
        <v>2940</v>
      </c>
      <c r="K260" s="14">
        <v>93</v>
      </c>
      <c r="L260" s="15" t="s">
        <v>77</v>
      </c>
      <c r="M260" s="15" t="s">
        <v>18</v>
      </c>
      <c r="N260" s="15" t="s">
        <v>55</v>
      </c>
      <c r="O260" s="20">
        <f t="shared" si="6"/>
        <v>0.25771055753262156</v>
      </c>
    </row>
    <row r="261" spans="1:15" x14ac:dyDescent="0.3">
      <c r="A261" s="2" t="s">
        <v>493</v>
      </c>
      <c r="B261" s="15" t="s">
        <v>31</v>
      </c>
      <c r="C261" s="11" t="s">
        <v>494</v>
      </c>
      <c r="D261" s="15" t="s">
        <v>33</v>
      </c>
      <c r="E261" s="15" t="s">
        <v>34</v>
      </c>
      <c r="F261" s="14">
        <v>4332</v>
      </c>
      <c r="G261" s="14">
        <v>771</v>
      </c>
      <c r="H261" s="14">
        <v>219</v>
      </c>
      <c r="I261" s="14">
        <v>60648</v>
      </c>
      <c r="J261" s="14">
        <v>60397</v>
      </c>
      <c r="K261" s="14">
        <v>10</v>
      </c>
      <c r="L261" s="15" t="s">
        <v>24</v>
      </c>
      <c r="M261" s="15"/>
      <c r="N261" s="15" t="s">
        <v>38</v>
      </c>
      <c r="O261" s="20">
        <f t="shared" si="6"/>
        <v>8.7752275425405618E-2</v>
      </c>
    </row>
    <row r="262" spans="1:15" x14ac:dyDescent="0.3">
      <c r="A262" s="2" t="s">
        <v>495</v>
      </c>
      <c r="B262" s="15" t="s">
        <v>31</v>
      </c>
      <c r="C262" s="11" t="s">
        <v>496</v>
      </c>
      <c r="D262" s="15" t="s">
        <v>49</v>
      </c>
      <c r="E262" s="15" t="s">
        <v>50</v>
      </c>
      <c r="F262" s="14">
        <v>4853</v>
      </c>
      <c r="G262" s="14">
        <v>837</v>
      </c>
      <c r="H262" s="14">
        <v>340</v>
      </c>
      <c r="I262" s="14">
        <v>72795</v>
      </c>
      <c r="J262" s="14">
        <v>72237</v>
      </c>
      <c r="K262" s="14">
        <v>170</v>
      </c>
      <c r="L262" s="15" t="s">
        <v>18</v>
      </c>
      <c r="M262" s="15"/>
      <c r="N262" s="15" t="s">
        <v>25</v>
      </c>
      <c r="O262" s="20">
        <f t="shared" si="6"/>
        <v>8.2835359571399134E-2</v>
      </c>
    </row>
    <row r="263" spans="1:15" x14ac:dyDescent="0.3">
      <c r="A263" s="2" t="s">
        <v>497</v>
      </c>
      <c r="B263" s="15" t="s">
        <v>577</v>
      </c>
      <c r="C263" s="11" t="s">
        <v>465</v>
      </c>
      <c r="D263" s="15" t="s">
        <v>49</v>
      </c>
      <c r="E263" s="15" t="s">
        <v>50</v>
      </c>
      <c r="F263" s="14">
        <v>1206</v>
      </c>
      <c r="G263" s="14">
        <v>238</v>
      </c>
      <c r="H263" s="14">
        <v>36</v>
      </c>
      <c r="I263" s="14">
        <v>9648</v>
      </c>
      <c r="J263" s="14">
        <v>9417</v>
      </c>
      <c r="K263" s="14">
        <v>237</v>
      </c>
      <c r="L263" s="15" t="s">
        <v>18</v>
      </c>
      <c r="M263" s="15" t="s">
        <v>58</v>
      </c>
      <c r="N263" s="15" t="s">
        <v>38</v>
      </c>
      <c r="O263" s="20">
        <f t="shared" si="6"/>
        <v>0.15339966832504145</v>
      </c>
    </row>
    <row r="264" spans="1:15" x14ac:dyDescent="0.3">
      <c r="A264" s="2" t="s">
        <v>498</v>
      </c>
      <c r="B264" s="15" t="s">
        <v>31</v>
      </c>
      <c r="C264" s="11" t="s">
        <v>499</v>
      </c>
      <c r="D264" s="15" t="s">
        <v>16</v>
      </c>
      <c r="E264" s="15" t="s">
        <v>17</v>
      </c>
      <c r="F264" s="14">
        <v>2603</v>
      </c>
      <c r="G264" s="14">
        <v>690</v>
      </c>
      <c r="H264" s="14">
        <v>205</v>
      </c>
      <c r="I264" s="14">
        <v>13015</v>
      </c>
      <c r="J264" s="14">
        <v>12130</v>
      </c>
      <c r="K264" s="14">
        <v>20</v>
      </c>
      <c r="L264" s="15" t="s">
        <v>44</v>
      </c>
      <c r="M264" s="15"/>
      <c r="N264" s="15" t="s">
        <v>19</v>
      </c>
      <c r="O264" s="20">
        <f t="shared" si="6"/>
        <v>0.26876680752977333</v>
      </c>
    </row>
    <row r="265" spans="1:15" x14ac:dyDescent="0.3">
      <c r="A265" s="2" t="s">
        <v>500</v>
      </c>
      <c r="B265" s="15" t="s">
        <v>14</v>
      </c>
      <c r="C265" s="11" t="s">
        <v>501</v>
      </c>
      <c r="D265" s="15" t="s">
        <v>49</v>
      </c>
      <c r="E265" s="15" t="s">
        <v>50</v>
      </c>
      <c r="F265" s="14">
        <v>59</v>
      </c>
      <c r="G265" s="14">
        <v>163</v>
      </c>
      <c r="H265" s="14">
        <v>93</v>
      </c>
      <c r="I265" s="14">
        <v>590</v>
      </c>
      <c r="J265" s="14">
        <v>475</v>
      </c>
      <c r="K265" s="14">
        <v>293</v>
      </c>
      <c r="L265" s="15" t="s">
        <v>44</v>
      </c>
      <c r="M265" s="15"/>
      <c r="N265" s="15" t="s">
        <v>55</v>
      </c>
      <c r="O265" s="20">
        <f t="shared" si="6"/>
        <v>0.53389830508474578</v>
      </c>
    </row>
    <row r="266" spans="1:15" x14ac:dyDescent="0.3">
      <c r="A266" s="2" t="s">
        <v>502</v>
      </c>
      <c r="B266" s="15" t="s">
        <v>14</v>
      </c>
      <c r="C266" s="11" t="s">
        <v>503</v>
      </c>
      <c r="D266" s="15" t="s">
        <v>42</v>
      </c>
      <c r="E266" s="15" t="s">
        <v>43</v>
      </c>
      <c r="F266" s="14">
        <v>1877</v>
      </c>
      <c r="G266" s="14">
        <v>745</v>
      </c>
      <c r="H266" s="14">
        <v>225</v>
      </c>
      <c r="I266" s="14">
        <v>11262</v>
      </c>
      <c r="J266" s="14">
        <v>10967</v>
      </c>
      <c r="K266" s="14">
        <v>41</v>
      </c>
      <c r="L266" s="15" t="s">
        <v>58</v>
      </c>
      <c r="M266" s="15" t="s">
        <v>18</v>
      </c>
      <c r="N266" s="15" t="s">
        <v>19</v>
      </c>
      <c r="O266" s="20">
        <f t="shared" si="6"/>
        <v>0.25279701651571657</v>
      </c>
    </row>
    <row r="267" spans="1:15" x14ac:dyDescent="0.3">
      <c r="A267" s="2" t="s">
        <v>504</v>
      </c>
      <c r="B267" s="15" t="s">
        <v>40</v>
      </c>
      <c r="C267" s="11" t="s">
        <v>126</v>
      </c>
      <c r="D267" s="15" t="s">
        <v>33</v>
      </c>
      <c r="E267" s="15" t="s">
        <v>34</v>
      </c>
      <c r="F267" s="14">
        <v>4182</v>
      </c>
      <c r="G267" s="14">
        <v>640</v>
      </c>
      <c r="H267" s="14">
        <v>240</v>
      </c>
      <c r="I267" s="14">
        <v>50184</v>
      </c>
      <c r="J267" s="14">
        <v>49351</v>
      </c>
      <c r="K267" s="14">
        <v>10</v>
      </c>
      <c r="L267" s="15" t="s">
        <v>18</v>
      </c>
      <c r="M267" s="15" t="s">
        <v>58</v>
      </c>
      <c r="N267" s="15" t="s">
        <v>38</v>
      </c>
      <c r="O267" s="20">
        <f t="shared" si="6"/>
        <v>0.10086880280567512</v>
      </c>
    </row>
    <row r="268" spans="1:15" x14ac:dyDescent="0.3">
      <c r="A268" s="2" t="s">
        <v>505</v>
      </c>
      <c r="B268" s="15" t="s">
        <v>14</v>
      </c>
      <c r="C268" s="11" t="s">
        <v>391</v>
      </c>
      <c r="D268" s="15" t="s">
        <v>16</v>
      </c>
      <c r="E268" s="15" t="s">
        <v>17</v>
      </c>
      <c r="F268" s="14">
        <v>4187</v>
      </c>
      <c r="G268" s="14">
        <v>66</v>
      </c>
      <c r="H268" s="14">
        <v>31</v>
      </c>
      <c r="I268" s="14">
        <v>66992</v>
      </c>
      <c r="J268" s="14">
        <v>66614</v>
      </c>
      <c r="K268" s="14">
        <v>62</v>
      </c>
      <c r="L268" s="15" t="s">
        <v>58</v>
      </c>
      <c r="M268" s="15"/>
      <c r="N268" s="15" t="s">
        <v>55</v>
      </c>
      <c r="O268" s="20">
        <f t="shared" si="6"/>
        <v>6.3947934081681396E-2</v>
      </c>
    </row>
    <row r="269" spans="1:15" x14ac:dyDescent="0.3">
      <c r="A269" s="2" t="s">
        <v>506</v>
      </c>
      <c r="B269" s="15" t="s">
        <v>31</v>
      </c>
      <c r="C269" s="11" t="s">
        <v>507</v>
      </c>
      <c r="D269" s="15" t="s">
        <v>16</v>
      </c>
      <c r="E269" s="15" t="s">
        <v>17</v>
      </c>
      <c r="F269" s="14">
        <v>4579</v>
      </c>
      <c r="G269" s="14">
        <v>125</v>
      </c>
      <c r="H269" s="14">
        <v>300</v>
      </c>
      <c r="I269" s="14">
        <v>59527</v>
      </c>
      <c r="J269" s="14">
        <v>59400</v>
      </c>
      <c r="K269" s="14">
        <v>269</v>
      </c>
      <c r="L269" s="15" t="s">
        <v>58</v>
      </c>
      <c r="M269" s="15" t="s">
        <v>24</v>
      </c>
      <c r="N269" s="15" t="s">
        <v>19</v>
      </c>
      <c r="O269" s="20">
        <f t="shared" si="6"/>
        <v>8.4062694239588759E-2</v>
      </c>
    </row>
    <row r="270" spans="1:15" x14ac:dyDescent="0.3">
      <c r="A270" s="2" t="s">
        <v>508</v>
      </c>
      <c r="B270" s="15" t="s">
        <v>31</v>
      </c>
      <c r="C270" s="11" t="s">
        <v>509</v>
      </c>
      <c r="D270" s="15" t="s">
        <v>69</v>
      </c>
      <c r="E270" s="15" t="s">
        <v>70</v>
      </c>
      <c r="F270" s="14">
        <v>4561</v>
      </c>
      <c r="G270" s="14">
        <v>51</v>
      </c>
      <c r="H270" s="14">
        <v>441</v>
      </c>
      <c r="I270" s="14">
        <v>22805</v>
      </c>
      <c r="J270" s="14">
        <v>21890</v>
      </c>
      <c r="K270" s="14">
        <v>45</v>
      </c>
      <c r="L270" s="15" t="s">
        <v>58</v>
      </c>
      <c r="M270" s="15"/>
      <c r="N270" s="15" t="s">
        <v>25</v>
      </c>
      <c r="O270" s="20">
        <f t="shared" si="6"/>
        <v>0.22157421618066214</v>
      </c>
    </row>
    <row r="271" spans="1:15" x14ac:dyDescent="0.3">
      <c r="A271" s="2" t="s">
        <v>510</v>
      </c>
      <c r="B271" s="15" t="s">
        <v>577</v>
      </c>
      <c r="C271" s="11" t="s">
        <v>409</v>
      </c>
      <c r="D271" s="15" t="s">
        <v>16</v>
      </c>
      <c r="E271" s="15" t="s">
        <v>17</v>
      </c>
      <c r="F271" s="14">
        <v>3774</v>
      </c>
      <c r="G271" s="14">
        <v>239</v>
      </c>
      <c r="H271" s="14">
        <v>39</v>
      </c>
      <c r="I271" s="14">
        <v>60384</v>
      </c>
      <c r="J271" s="14">
        <v>59490</v>
      </c>
      <c r="K271" s="14">
        <v>241</v>
      </c>
      <c r="L271" s="15" t="s">
        <v>77</v>
      </c>
      <c r="M271" s="15"/>
      <c r="N271" s="15" t="s">
        <v>38</v>
      </c>
      <c r="O271" s="20">
        <f t="shared" si="6"/>
        <v>6.7103868574456813E-2</v>
      </c>
    </row>
    <row r="272" spans="1:15" x14ac:dyDescent="0.3">
      <c r="A272" s="2" t="s">
        <v>511</v>
      </c>
      <c r="B272" s="15" t="s">
        <v>31</v>
      </c>
      <c r="C272" s="11" t="s">
        <v>512</v>
      </c>
      <c r="D272" s="15" t="s">
        <v>69</v>
      </c>
      <c r="E272" s="15" t="s">
        <v>70</v>
      </c>
      <c r="F272" s="14">
        <v>3575</v>
      </c>
      <c r="G272" s="14">
        <v>749</v>
      </c>
      <c r="H272" s="14">
        <v>111</v>
      </c>
      <c r="I272" s="14">
        <v>21450</v>
      </c>
      <c r="J272" s="14">
        <v>20785</v>
      </c>
      <c r="K272" s="14">
        <v>195</v>
      </c>
      <c r="L272" s="15" t="s">
        <v>77</v>
      </c>
      <c r="M272" s="15"/>
      <c r="N272" s="15" t="s">
        <v>38</v>
      </c>
      <c r="O272" s="20">
        <f t="shared" si="6"/>
        <v>0.20675990675990677</v>
      </c>
    </row>
    <row r="273" spans="1:15" x14ac:dyDescent="0.3">
      <c r="A273" s="2" t="s">
        <v>513</v>
      </c>
      <c r="B273" s="15" t="s">
        <v>31</v>
      </c>
      <c r="C273" s="11" t="s">
        <v>481</v>
      </c>
      <c r="D273" s="15" t="s">
        <v>22</v>
      </c>
      <c r="E273" s="15" t="s">
        <v>23</v>
      </c>
      <c r="F273" s="14">
        <v>4941</v>
      </c>
      <c r="G273" s="14">
        <v>414</v>
      </c>
      <c r="H273" s="14">
        <v>266</v>
      </c>
      <c r="I273" s="14">
        <v>39528</v>
      </c>
      <c r="J273" s="14">
        <v>39154</v>
      </c>
      <c r="K273" s="14">
        <v>217</v>
      </c>
      <c r="L273" s="15" t="s">
        <v>18</v>
      </c>
      <c r="M273" s="15"/>
      <c r="N273" s="15" t="s">
        <v>25</v>
      </c>
      <c r="O273" s="20">
        <f t="shared" si="6"/>
        <v>0.14220299534507186</v>
      </c>
    </row>
    <row r="274" spans="1:15" x14ac:dyDescent="0.3">
      <c r="A274" s="2" t="s">
        <v>514</v>
      </c>
      <c r="B274" s="15" t="s">
        <v>577</v>
      </c>
      <c r="C274" s="11" t="s">
        <v>515</v>
      </c>
      <c r="D274" s="15" t="s">
        <v>33</v>
      </c>
      <c r="E274" s="15" t="s">
        <v>34</v>
      </c>
      <c r="F274" s="14">
        <v>3641</v>
      </c>
      <c r="G274" s="14">
        <v>226</v>
      </c>
      <c r="H274" s="14">
        <v>46</v>
      </c>
      <c r="I274" s="14">
        <v>40051</v>
      </c>
      <c r="J274" s="14">
        <v>39319</v>
      </c>
      <c r="K274" s="14">
        <v>296</v>
      </c>
      <c r="L274" s="15" t="s">
        <v>44</v>
      </c>
      <c r="M274" s="15"/>
      <c r="N274" s="15" t="s">
        <v>25</v>
      </c>
      <c r="O274" s="20">
        <f t="shared" si="6"/>
        <v>9.7700431949264685E-2</v>
      </c>
    </row>
    <row r="275" spans="1:15" x14ac:dyDescent="0.3">
      <c r="A275" s="2" t="s">
        <v>516</v>
      </c>
      <c r="B275" s="15" t="s">
        <v>14</v>
      </c>
      <c r="C275" s="11" t="s">
        <v>331</v>
      </c>
      <c r="D275" s="15" t="s">
        <v>42</v>
      </c>
      <c r="E275" s="15" t="s">
        <v>43</v>
      </c>
      <c r="F275" s="14">
        <v>3535</v>
      </c>
      <c r="G275" s="14">
        <v>494</v>
      </c>
      <c r="H275" s="14">
        <v>152</v>
      </c>
      <c r="I275" s="14">
        <v>53025</v>
      </c>
      <c r="J275" s="14">
        <v>52791</v>
      </c>
      <c r="K275" s="14">
        <v>44</v>
      </c>
      <c r="L275" s="15" t="s">
        <v>44</v>
      </c>
      <c r="M275" s="15" t="s">
        <v>58</v>
      </c>
      <c r="N275" s="15" t="s">
        <v>25</v>
      </c>
      <c r="O275" s="20">
        <f t="shared" si="6"/>
        <v>7.8849599245638849E-2</v>
      </c>
    </row>
    <row r="276" spans="1:15" x14ac:dyDescent="0.3">
      <c r="A276" s="2" t="s">
        <v>517</v>
      </c>
      <c r="B276" s="15" t="s">
        <v>40</v>
      </c>
      <c r="C276" s="11" t="s">
        <v>491</v>
      </c>
      <c r="D276" s="15" t="s">
        <v>16</v>
      </c>
      <c r="E276" s="15" t="s">
        <v>17</v>
      </c>
      <c r="F276" s="14">
        <v>1741</v>
      </c>
      <c r="G276" s="14">
        <v>831</v>
      </c>
      <c r="H276" s="14">
        <v>345</v>
      </c>
      <c r="I276" s="14">
        <v>17410</v>
      </c>
      <c r="J276" s="14">
        <v>16844</v>
      </c>
      <c r="K276" s="14">
        <v>58</v>
      </c>
      <c r="L276" s="15" t="s">
        <v>24</v>
      </c>
      <c r="M276" s="15" t="s">
        <v>77</v>
      </c>
      <c r="N276" s="15" t="s">
        <v>55</v>
      </c>
      <c r="O276" s="20">
        <f t="shared" si="6"/>
        <v>0.16754738655944859</v>
      </c>
    </row>
    <row r="277" spans="1:15" x14ac:dyDescent="0.3">
      <c r="A277" s="2" t="s">
        <v>518</v>
      </c>
      <c r="B277" s="15" t="s">
        <v>14</v>
      </c>
      <c r="C277" s="11" t="s">
        <v>519</v>
      </c>
      <c r="D277" s="15" t="s">
        <v>42</v>
      </c>
      <c r="E277" s="15" t="s">
        <v>43</v>
      </c>
      <c r="F277" s="14">
        <v>1556</v>
      </c>
      <c r="G277" s="14">
        <v>195</v>
      </c>
      <c r="H277" s="14">
        <v>131</v>
      </c>
      <c r="I277" s="14">
        <v>9336</v>
      </c>
      <c r="J277" s="14">
        <v>8875</v>
      </c>
      <c r="K277" s="14">
        <v>137</v>
      </c>
      <c r="L277" s="15" t="s">
        <v>24</v>
      </c>
      <c r="M277" s="15"/>
      <c r="N277" s="15" t="s">
        <v>25</v>
      </c>
      <c r="O277" s="20">
        <f t="shared" si="6"/>
        <v>0.2015852613538989</v>
      </c>
    </row>
    <row r="278" spans="1:15" x14ac:dyDescent="0.3">
      <c r="A278" s="2" t="s">
        <v>520</v>
      </c>
      <c r="B278" s="15" t="s">
        <v>40</v>
      </c>
      <c r="C278" s="11" t="s">
        <v>288</v>
      </c>
      <c r="D278" s="15" t="s">
        <v>49</v>
      </c>
      <c r="E278" s="15" t="s">
        <v>50</v>
      </c>
      <c r="F278" s="14">
        <v>4236</v>
      </c>
      <c r="G278" s="14">
        <v>711</v>
      </c>
      <c r="H278" s="14">
        <v>298</v>
      </c>
      <c r="I278" s="14">
        <v>21180</v>
      </c>
      <c r="J278" s="14">
        <v>20516</v>
      </c>
      <c r="K278" s="14">
        <v>238</v>
      </c>
      <c r="L278" s="15" t="s">
        <v>44</v>
      </c>
      <c r="M278" s="15" t="s">
        <v>18</v>
      </c>
      <c r="N278" s="15" t="s">
        <v>55</v>
      </c>
      <c r="O278" s="20">
        <f t="shared" si="6"/>
        <v>0.24763928234183191</v>
      </c>
    </row>
    <row r="279" spans="1:15" x14ac:dyDescent="0.3">
      <c r="A279" s="2" t="s">
        <v>521</v>
      </c>
      <c r="B279" s="15" t="s">
        <v>14</v>
      </c>
      <c r="C279" s="11" t="s">
        <v>522</v>
      </c>
      <c r="D279" s="15" t="s">
        <v>22</v>
      </c>
      <c r="E279" s="15" t="s">
        <v>23</v>
      </c>
      <c r="F279" s="14">
        <v>4516</v>
      </c>
      <c r="G279" s="14">
        <v>836</v>
      </c>
      <c r="H279" s="14">
        <v>169</v>
      </c>
      <c r="I279" s="14">
        <v>49676</v>
      </c>
      <c r="J279" s="14">
        <v>49257</v>
      </c>
      <c r="K279" s="14">
        <v>282</v>
      </c>
      <c r="L279" s="15" t="s">
        <v>44</v>
      </c>
      <c r="M279" s="15"/>
      <c r="N279" s="15" t="s">
        <v>19</v>
      </c>
      <c r="O279" s="20">
        <f t="shared" si="6"/>
        <v>0.11114018842096787</v>
      </c>
    </row>
    <row r="280" spans="1:15" x14ac:dyDescent="0.3">
      <c r="A280" s="2" t="s">
        <v>523</v>
      </c>
      <c r="B280" s="15" t="s">
        <v>577</v>
      </c>
      <c r="C280" s="11" t="s">
        <v>191</v>
      </c>
      <c r="D280" s="15" t="s">
        <v>49</v>
      </c>
      <c r="E280" s="15" t="s">
        <v>50</v>
      </c>
      <c r="F280" s="14">
        <v>4905</v>
      </c>
      <c r="G280" s="14">
        <v>845</v>
      </c>
      <c r="H280" s="14">
        <v>129</v>
      </c>
      <c r="I280" s="14">
        <v>98100</v>
      </c>
      <c r="J280" s="14">
        <v>97772</v>
      </c>
      <c r="K280" s="14">
        <v>279</v>
      </c>
      <c r="L280" s="15" t="s">
        <v>44</v>
      </c>
      <c r="M280" s="15"/>
      <c r="N280" s="15" t="s">
        <v>55</v>
      </c>
      <c r="O280" s="20">
        <f t="shared" si="6"/>
        <v>5.9928644240570844E-2</v>
      </c>
    </row>
    <row r="281" spans="1:15" x14ac:dyDescent="0.3">
      <c r="A281" s="2" t="s">
        <v>524</v>
      </c>
      <c r="B281" s="15" t="s">
        <v>577</v>
      </c>
      <c r="C281" s="11" t="s">
        <v>164</v>
      </c>
      <c r="D281" s="15" t="s">
        <v>69</v>
      </c>
      <c r="E281" s="15" t="s">
        <v>70</v>
      </c>
      <c r="F281" s="14">
        <v>4275</v>
      </c>
      <c r="G281" s="14">
        <v>680</v>
      </c>
      <c r="H281" s="14">
        <v>385</v>
      </c>
      <c r="I281" s="14">
        <v>64125</v>
      </c>
      <c r="J281" s="14">
        <v>63650</v>
      </c>
      <c r="K281" s="14">
        <v>104</v>
      </c>
      <c r="L281" s="15" t="s">
        <v>58</v>
      </c>
      <c r="M281" s="15"/>
      <c r="N281" s="15" t="s">
        <v>55</v>
      </c>
      <c r="O281" s="20">
        <f t="shared" si="6"/>
        <v>8.3274853801169585E-2</v>
      </c>
    </row>
    <row r="282" spans="1:15" x14ac:dyDescent="0.3">
      <c r="A282" s="2" t="s">
        <v>525</v>
      </c>
      <c r="B282" s="15" t="s">
        <v>577</v>
      </c>
      <c r="C282" s="11" t="s">
        <v>526</v>
      </c>
      <c r="D282" s="15" t="s">
        <v>49</v>
      </c>
      <c r="E282" s="15" t="s">
        <v>50</v>
      </c>
      <c r="F282" s="14">
        <v>3166</v>
      </c>
      <c r="G282" s="14">
        <v>90</v>
      </c>
      <c r="H282" s="14">
        <v>341</v>
      </c>
      <c r="I282" s="14">
        <v>56988</v>
      </c>
      <c r="J282" s="14">
        <v>56125</v>
      </c>
      <c r="K282" s="14">
        <v>135</v>
      </c>
      <c r="L282" s="15" t="s">
        <v>24</v>
      </c>
      <c r="M282" s="15" t="s">
        <v>58</v>
      </c>
      <c r="N282" s="15" t="s">
        <v>25</v>
      </c>
      <c r="O282" s="20">
        <f t="shared" si="6"/>
        <v>6.3118551273952411E-2</v>
      </c>
    </row>
    <row r="283" spans="1:15" x14ac:dyDescent="0.3">
      <c r="A283" s="2" t="s">
        <v>527</v>
      </c>
      <c r="B283" s="15" t="s">
        <v>31</v>
      </c>
      <c r="C283" s="11" t="s">
        <v>528</v>
      </c>
      <c r="D283" s="15" t="s">
        <v>69</v>
      </c>
      <c r="E283" s="15" t="s">
        <v>70</v>
      </c>
      <c r="F283" s="14">
        <v>1488</v>
      </c>
      <c r="G283" s="14">
        <v>417</v>
      </c>
      <c r="H283" s="14">
        <v>168</v>
      </c>
      <c r="I283" s="14">
        <v>19344</v>
      </c>
      <c r="J283" s="14">
        <v>18395</v>
      </c>
      <c r="K283" s="14">
        <v>30</v>
      </c>
      <c r="L283" s="15" t="s">
        <v>18</v>
      </c>
      <c r="M283" s="15"/>
      <c r="N283" s="15" t="s">
        <v>19</v>
      </c>
      <c r="O283" s="20">
        <f t="shared" si="6"/>
        <v>0.1071650124069479</v>
      </c>
    </row>
    <row r="284" spans="1:15" x14ac:dyDescent="0.3">
      <c r="A284" s="2" t="s">
        <v>529</v>
      </c>
      <c r="B284" s="15" t="s">
        <v>14</v>
      </c>
      <c r="C284" s="11" t="s">
        <v>530</v>
      </c>
      <c r="D284" s="15" t="s">
        <v>16</v>
      </c>
      <c r="E284" s="15" t="s">
        <v>17</v>
      </c>
      <c r="F284" s="14">
        <v>3367</v>
      </c>
      <c r="G284" s="14">
        <v>302</v>
      </c>
      <c r="H284" s="14">
        <v>57</v>
      </c>
      <c r="I284" s="14">
        <v>63973</v>
      </c>
      <c r="J284" s="14">
        <v>63789</v>
      </c>
      <c r="K284" s="14">
        <v>157</v>
      </c>
      <c r="L284" s="15" t="s">
        <v>44</v>
      </c>
      <c r="M284" s="15" t="s">
        <v>24</v>
      </c>
      <c r="N284" s="15" t="s">
        <v>38</v>
      </c>
      <c r="O284" s="20">
        <f t="shared" si="6"/>
        <v>5.8243321401216137E-2</v>
      </c>
    </row>
    <row r="285" spans="1:15" x14ac:dyDescent="0.3">
      <c r="A285" s="2" t="s">
        <v>531</v>
      </c>
      <c r="B285" s="15" t="s">
        <v>14</v>
      </c>
      <c r="C285" s="11" t="s">
        <v>99</v>
      </c>
      <c r="D285" s="15" t="s">
        <v>22</v>
      </c>
      <c r="E285" s="15" t="s">
        <v>23</v>
      </c>
      <c r="F285" s="14">
        <v>571</v>
      </c>
      <c r="G285" s="14">
        <v>190</v>
      </c>
      <c r="H285" s="14">
        <v>352</v>
      </c>
      <c r="I285" s="14">
        <v>9707</v>
      </c>
      <c r="J285" s="14">
        <v>9418</v>
      </c>
      <c r="K285" s="14">
        <v>231</v>
      </c>
      <c r="L285" s="15" t="s">
        <v>77</v>
      </c>
      <c r="M285" s="15"/>
      <c r="N285" s="15" t="s">
        <v>25</v>
      </c>
      <c r="O285" s="20">
        <f t="shared" si="6"/>
        <v>0.11465952405480581</v>
      </c>
    </row>
    <row r="286" spans="1:15" x14ac:dyDescent="0.3">
      <c r="A286" s="2" t="s">
        <v>532</v>
      </c>
      <c r="B286" s="15" t="s">
        <v>577</v>
      </c>
      <c r="C286" s="11" t="s">
        <v>424</v>
      </c>
      <c r="D286" s="15" t="s">
        <v>22</v>
      </c>
      <c r="E286" s="15" t="s">
        <v>23</v>
      </c>
      <c r="F286" s="14">
        <v>4021</v>
      </c>
      <c r="G286" s="14">
        <v>794</v>
      </c>
      <c r="H286" s="14">
        <v>77</v>
      </c>
      <c r="I286" s="14">
        <v>36189</v>
      </c>
      <c r="J286" s="14">
        <v>35505</v>
      </c>
      <c r="K286" s="14">
        <v>174</v>
      </c>
      <c r="L286" s="15" t="s">
        <v>77</v>
      </c>
      <c r="M286" s="15" t="s">
        <v>58</v>
      </c>
      <c r="N286" s="15" t="s">
        <v>19</v>
      </c>
      <c r="O286" s="20">
        <f t="shared" si="6"/>
        <v>0.13517919809886983</v>
      </c>
    </row>
    <row r="287" spans="1:15" x14ac:dyDescent="0.3">
      <c r="A287" s="2" t="s">
        <v>533</v>
      </c>
      <c r="B287" s="15" t="s">
        <v>577</v>
      </c>
      <c r="C287" s="11" t="s">
        <v>534</v>
      </c>
      <c r="D287" s="15" t="s">
        <v>69</v>
      </c>
      <c r="E287" s="15" t="s">
        <v>70</v>
      </c>
      <c r="F287" s="14">
        <v>3389</v>
      </c>
      <c r="G287" s="14">
        <v>344</v>
      </c>
      <c r="H287" s="14">
        <v>229</v>
      </c>
      <c r="I287" s="14">
        <v>20334</v>
      </c>
      <c r="J287" s="14">
        <v>19443</v>
      </c>
      <c r="K287" s="14">
        <v>228</v>
      </c>
      <c r="L287" s="15" t="s">
        <v>24</v>
      </c>
      <c r="M287" s="15" t="s">
        <v>18</v>
      </c>
      <c r="N287" s="15" t="s">
        <v>25</v>
      </c>
      <c r="O287" s="20">
        <f t="shared" si="6"/>
        <v>0.19484607062063539</v>
      </c>
    </row>
    <row r="288" spans="1:15" x14ac:dyDescent="0.3">
      <c r="A288" s="2" t="s">
        <v>535</v>
      </c>
      <c r="B288" s="15" t="s">
        <v>31</v>
      </c>
      <c r="C288" s="11" t="s">
        <v>399</v>
      </c>
      <c r="D288" s="15" t="s">
        <v>16</v>
      </c>
      <c r="E288" s="15" t="s">
        <v>17</v>
      </c>
      <c r="F288" s="14">
        <v>1164</v>
      </c>
      <c r="G288" s="14">
        <v>616</v>
      </c>
      <c r="H288" s="14">
        <v>324</v>
      </c>
      <c r="I288" s="14">
        <v>6984</v>
      </c>
      <c r="J288" s="14">
        <v>6636</v>
      </c>
      <c r="K288" s="14">
        <v>82</v>
      </c>
      <c r="L288" s="15" t="s">
        <v>24</v>
      </c>
      <c r="M288" s="15" t="s">
        <v>44</v>
      </c>
      <c r="N288" s="15" t="s">
        <v>38</v>
      </c>
      <c r="O288" s="20">
        <f t="shared" si="6"/>
        <v>0.30126002290950743</v>
      </c>
    </row>
    <row r="289" spans="1:15" x14ac:dyDescent="0.3">
      <c r="A289" s="2" t="s">
        <v>536</v>
      </c>
      <c r="B289" s="15" t="s">
        <v>577</v>
      </c>
      <c r="C289" s="11" t="s">
        <v>537</v>
      </c>
      <c r="D289" s="15" t="s">
        <v>42</v>
      </c>
      <c r="E289" s="15" t="s">
        <v>43</v>
      </c>
      <c r="F289" s="14">
        <v>4780</v>
      </c>
      <c r="G289" s="14">
        <v>691</v>
      </c>
      <c r="H289" s="14">
        <v>380</v>
      </c>
      <c r="I289" s="14">
        <v>86040</v>
      </c>
      <c r="J289" s="14">
        <v>85743</v>
      </c>
      <c r="K289" s="14">
        <v>262</v>
      </c>
      <c r="L289" s="15" t="s">
        <v>24</v>
      </c>
      <c r="M289" s="15" t="s">
        <v>77</v>
      </c>
      <c r="N289" s="15" t="s">
        <v>38</v>
      </c>
      <c r="O289" s="20">
        <f t="shared" si="6"/>
        <v>6.800325430032543E-2</v>
      </c>
    </row>
    <row r="290" spans="1:15" x14ac:dyDescent="0.3">
      <c r="A290" s="2" t="s">
        <v>538</v>
      </c>
      <c r="B290" s="15" t="s">
        <v>40</v>
      </c>
      <c r="C290" s="11" t="s">
        <v>304</v>
      </c>
      <c r="D290" s="15" t="s">
        <v>42</v>
      </c>
      <c r="E290" s="15" t="s">
        <v>43</v>
      </c>
      <c r="F290" s="14">
        <v>2751</v>
      </c>
      <c r="G290" s="14">
        <v>33</v>
      </c>
      <c r="H290" s="14">
        <v>430</v>
      </c>
      <c r="I290" s="14">
        <v>44016</v>
      </c>
      <c r="J290" s="14">
        <v>43415</v>
      </c>
      <c r="K290" s="14">
        <v>129</v>
      </c>
      <c r="L290" s="15" t="s">
        <v>44</v>
      </c>
      <c r="M290" s="15" t="s">
        <v>58</v>
      </c>
      <c r="N290" s="15" t="s">
        <v>25</v>
      </c>
      <c r="O290" s="20">
        <f t="shared" si="6"/>
        <v>7.3018902217375503E-2</v>
      </c>
    </row>
    <row r="291" spans="1:15" x14ac:dyDescent="0.3">
      <c r="A291" s="2" t="s">
        <v>539</v>
      </c>
      <c r="B291" s="15" t="s">
        <v>31</v>
      </c>
      <c r="C291" s="11" t="s">
        <v>540</v>
      </c>
      <c r="D291" s="15" t="s">
        <v>42</v>
      </c>
      <c r="E291" s="15" t="s">
        <v>43</v>
      </c>
      <c r="F291" s="14">
        <v>2107</v>
      </c>
      <c r="G291" s="14">
        <v>550</v>
      </c>
      <c r="H291" s="14">
        <v>349</v>
      </c>
      <c r="I291" s="14">
        <v>35819</v>
      </c>
      <c r="J291" s="14">
        <v>35340</v>
      </c>
      <c r="K291" s="14">
        <v>191</v>
      </c>
      <c r="L291" s="15" t="s">
        <v>44</v>
      </c>
      <c r="M291" s="15"/>
      <c r="N291" s="15" t="s">
        <v>38</v>
      </c>
      <c r="O291" s="20">
        <f t="shared" si="6"/>
        <v>8.3921940869371006E-2</v>
      </c>
    </row>
    <row r="292" spans="1:15" x14ac:dyDescent="0.3">
      <c r="A292" s="2" t="s">
        <v>541</v>
      </c>
      <c r="B292" s="15" t="s">
        <v>40</v>
      </c>
      <c r="C292" s="11" t="s">
        <v>91</v>
      </c>
      <c r="D292" s="15" t="s">
        <v>69</v>
      </c>
      <c r="E292" s="15" t="s">
        <v>70</v>
      </c>
      <c r="F292" s="14">
        <v>4663</v>
      </c>
      <c r="G292" s="14">
        <v>145</v>
      </c>
      <c r="H292" s="14">
        <v>225</v>
      </c>
      <c r="I292" s="14">
        <v>69945</v>
      </c>
      <c r="J292" s="14">
        <v>69596</v>
      </c>
      <c r="K292" s="14">
        <v>35</v>
      </c>
      <c r="L292" s="15" t="s">
        <v>24</v>
      </c>
      <c r="M292" s="15"/>
      <c r="N292" s="15" t="s">
        <v>25</v>
      </c>
      <c r="O292" s="20">
        <f t="shared" si="6"/>
        <v>7.1956537279290869E-2</v>
      </c>
    </row>
    <row r="293" spans="1:15" x14ac:dyDescent="0.3">
      <c r="A293" s="2" t="s">
        <v>542</v>
      </c>
      <c r="B293" s="15" t="s">
        <v>40</v>
      </c>
      <c r="C293" s="11" t="s">
        <v>543</v>
      </c>
      <c r="D293" s="15" t="s">
        <v>22</v>
      </c>
      <c r="E293" s="15" t="s">
        <v>23</v>
      </c>
      <c r="F293" s="14">
        <v>880</v>
      </c>
      <c r="G293" s="14">
        <v>297</v>
      </c>
      <c r="H293" s="14">
        <v>345</v>
      </c>
      <c r="I293" s="14">
        <v>12320</v>
      </c>
      <c r="J293" s="14">
        <v>11978</v>
      </c>
      <c r="K293" s="14">
        <v>238</v>
      </c>
      <c r="L293" s="15" t="s">
        <v>18</v>
      </c>
      <c r="M293" s="15"/>
      <c r="N293" s="15" t="s">
        <v>25</v>
      </c>
      <c r="O293" s="20">
        <f t="shared" si="6"/>
        <v>0.12353896103896105</v>
      </c>
    </row>
    <row r="294" spans="1:15" x14ac:dyDescent="0.3">
      <c r="A294" s="2" t="s">
        <v>544</v>
      </c>
      <c r="B294" s="15" t="s">
        <v>40</v>
      </c>
      <c r="C294" s="11" t="s">
        <v>545</v>
      </c>
      <c r="D294" s="15" t="s">
        <v>22</v>
      </c>
      <c r="E294" s="15" t="s">
        <v>23</v>
      </c>
      <c r="F294" s="14">
        <v>2634</v>
      </c>
      <c r="G294" s="14">
        <v>726</v>
      </c>
      <c r="H294" s="14">
        <v>241</v>
      </c>
      <c r="I294" s="14">
        <v>28974</v>
      </c>
      <c r="J294" s="14">
        <v>28102</v>
      </c>
      <c r="K294" s="14">
        <v>277</v>
      </c>
      <c r="L294" s="15" t="s">
        <v>58</v>
      </c>
      <c r="M294" s="15"/>
      <c r="N294" s="15" t="s">
        <v>38</v>
      </c>
      <c r="O294" s="20">
        <f t="shared" si="6"/>
        <v>0.12428384068475185</v>
      </c>
    </row>
    <row r="295" spans="1:15" x14ac:dyDescent="0.3">
      <c r="A295" s="2" t="s">
        <v>546</v>
      </c>
      <c r="B295" s="15" t="s">
        <v>40</v>
      </c>
      <c r="C295" s="11" t="s">
        <v>547</v>
      </c>
      <c r="D295" s="15" t="s">
        <v>42</v>
      </c>
      <c r="E295" s="15" t="s">
        <v>43</v>
      </c>
      <c r="F295" s="14">
        <v>4731</v>
      </c>
      <c r="G295" s="14">
        <v>173</v>
      </c>
      <c r="H295" s="14">
        <v>276</v>
      </c>
      <c r="I295" s="14">
        <v>28386</v>
      </c>
      <c r="J295" s="14">
        <v>28185</v>
      </c>
      <c r="K295" s="14">
        <v>89</v>
      </c>
      <c r="L295" s="15" t="s">
        <v>44</v>
      </c>
      <c r="M295" s="15" t="s">
        <v>24</v>
      </c>
      <c r="N295" s="15" t="s">
        <v>55</v>
      </c>
      <c r="O295" s="20">
        <f t="shared" si="6"/>
        <v>0.18248432325794406</v>
      </c>
    </row>
    <row r="296" spans="1:15" x14ac:dyDescent="0.3">
      <c r="A296" s="2" t="s">
        <v>548</v>
      </c>
      <c r="B296" s="15" t="s">
        <v>14</v>
      </c>
      <c r="C296" s="11" t="s">
        <v>430</v>
      </c>
      <c r="D296" s="15" t="s">
        <v>49</v>
      </c>
      <c r="E296" s="15" t="s">
        <v>50</v>
      </c>
      <c r="F296" s="14">
        <v>1952</v>
      </c>
      <c r="G296" s="14">
        <v>344</v>
      </c>
      <c r="H296" s="14">
        <v>287</v>
      </c>
      <c r="I296" s="14">
        <v>15616</v>
      </c>
      <c r="J296" s="14">
        <v>15403</v>
      </c>
      <c r="K296" s="14">
        <v>235</v>
      </c>
      <c r="L296" s="15" t="s">
        <v>18</v>
      </c>
      <c r="M296" s="15" t="s">
        <v>24</v>
      </c>
      <c r="N296" s="15" t="s">
        <v>38</v>
      </c>
      <c r="O296" s="20">
        <f t="shared" si="6"/>
        <v>0.16540727459016394</v>
      </c>
    </row>
    <row r="297" spans="1:15" x14ac:dyDescent="0.3">
      <c r="A297" s="2" t="s">
        <v>549</v>
      </c>
      <c r="B297" s="15" t="s">
        <v>14</v>
      </c>
      <c r="C297" s="11" t="s">
        <v>550</v>
      </c>
      <c r="D297" s="15" t="s">
        <v>69</v>
      </c>
      <c r="E297" s="15" t="s">
        <v>70</v>
      </c>
      <c r="F297" s="14">
        <v>3440</v>
      </c>
      <c r="G297" s="14">
        <v>13</v>
      </c>
      <c r="H297" s="14">
        <v>20</v>
      </c>
      <c r="I297" s="14">
        <v>58480</v>
      </c>
      <c r="J297" s="14">
        <v>58146</v>
      </c>
      <c r="K297" s="14">
        <v>210</v>
      </c>
      <c r="L297" s="15" t="s">
        <v>24</v>
      </c>
      <c r="M297" s="15" t="s">
        <v>77</v>
      </c>
      <c r="N297" s="15" t="s">
        <v>19</v>
      </c>
      <c r="O297" s="20">
        <f t="shared" si="6"/>
        <v>5.9387824897400819E-2</v>
      </c>
    </row>
    <row r="298" spans="1:15" x14ac:dyDescent="0.3">
      <c r="A298" s="2" t="s">
        <v>551</v>
      </c>
      <c r="B298" s="15" t="s">
        <v>14</v>
      </c>
      <c r="C298" s="11" t="s">
        <v>552</v>
      </c>
      <c r="D298" s="15" t="s">
        <v>22</v>
      </c>
      <c r="E298" s="15" t="s">
        <v>23</v>
      </c>
      <c r="F298" s="14">
        <v>2166</v>
      </c>
      <c r="G298" s="14">
        <v>354</v>
      </c>
      <c r="H298" s="14">
        <v>117</v>
      </c>
      <c r="I298" s="14">
        <v>10830</v>
      </c>
      <c r="J298" s="14">
        <v>10245</v>
      </c>
      <c r="K298" s="14">
        <v>24</v>
      </c>
      <c r="L298" s="15" t="s">
        <v>58</v>
      </c>
      <c r="M298" s="15" t="s">
        <v>44</v>
      </c>
      <c r="N298" s="15" t="s">
        <v>19</v>
      </c>
      <c r="O298" s="20">
        <f t="shared" si="6"/>
        <v>0.24349030470914126</v>
      </c>
    </row>
    <row r="299" spans="1:15" x14ac:dyDescent="0.3">
      <c r="A299" s="2" t="s">
        <v>553</v>
      </c>
      <c r="B299" s="15" t="s">
        <v>40</v>
      </c>
      <c r="C299" s="11" t="s">
        <v>68</v>
      </c>
      <c r="D299" s="15" t="s">
        <v>49</v>
      </c>
      <c r="E299" s="15" t="s">
        <v>50</v>
      </c>
      <c r="F299" s="14">
        <v>4303</v>
      </c>
      <c r="G299" s="14">
        <v>451</v>
      </c>
      <c r="H299" s="14">
        <v>286</v>
      </c>
      <c r="I299" s="14">
        <v>86060</v>
      </c>
      <c r="J299" s="14">
        <v>85823</v>
      </c>
      <c r="K299" s="14">
        <v>14</v>
      </c>
      <c r="L299" s="15" t="s">
        <v>18</v>
      </c>
      <c r="M299" s="15"/>
      <c r="N299" s="15" t="s">
        <v>25</v>
      </c>
      <c r="O299" s="20">
        <f t="shared" si="6"/>
        <v>5.8563792702765516E-2</v>
      </c>
    </row>
    <row r="300" spans="1:15" x14ac:dyDescent="0.3">
      <c r="A300" s="2" t="s">
        <v>554</v>
      </c>
      <c r="B300" s="15" t="s">
        <v>40</v>
      </c>
      <c r="C300" s="11" t="s">
        <v>73</v>
      </c>
      <c r="D300" s="15" t="s">
        <v>49</v>
      </c>
      <c r="E300" s="15" t="s">
        <v>50</v>
      </c>
      <c r="F300" s="14">
        <v>2581</v>
      </c>
      <c r="G300" s="14">
        <v>517</v>
      </c>
      <c r="H300" s="14">
        <v>117</v>
      </c>
      <c r="I300" s="14">
        <v>23229</v>
      </c>
      <c r="J300" s="14">
        <v>22331</v>
      </c>
      <c r="K300" s="14">
        <v>70</v>
      </c>
      <c r="L300" s="15" t="s">
        <v>18</v>
      </c>
      <c r="M300" s="15" t="s">
        <v>58</v>
      </c>
      <c r="N300" s="15" t="s">
        <v>25</v>
      </c>
      <c r="O300" s="20">
        <f t="shared" si="6"/>
        <v>0.13840458048129492</v>
      </c>
    </row>
    <row r="301" spans="1:15" x14ac:dyDescent="0.3">
      <c r="A301" s="2" t="s">
        <v>555</v>
      </c>
      <c r="B301" s="15" t="s">
        <v>14</v>
      </c>
      <c r="C301" s="11" t="s">
        <v>314</v>
      </c>
      <c r="D301" s="15" t="s">
        <v>42</v>
      </c>
      <c r="E301" s="15" t="s">
        <v>43</v>
      </c>
      <c r="F301" s="14">
        <v>4494</v>
      </c>
      <c r="G301" s="14">
        <v>717</v>
      </c>
      <c r="H301" s="14">
        <v>45</v>
      </c>
      <c r="I301" s="14">
        <v>62916</v>
      </c>
      <c r="J301" s="14">
        <v>62688</v>
      </c>
      <c r="K301" s="14">
        <v>191</v>
      </c>
      <c r="L301" s="15" t="s">
        <v>24</v>
      </c>
      <c r="M301" s="15"/>
      <c r="N301" s="15" t="s">
        <v>19</v>
      </c>
      <c r="O301" s="20">
        <f t="shared" si="6"/>
        <v>8.3539958039290485E-2</v>
      </c>
    </row>
  </sheetData>
  <mergeCells count="3">
    <mergeCell ref="S36:U36"/>
    <mergeCell ref="S24:X24"/>
    <mergeCell ref="S2: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83AE-FFD4-44AB-9EAA-3361872BDC16}">
  <dimension ref="A1:AG301"/>
  <sheetViews>
    <sheetView zoomScale="97" workbookViewId="0">
      <selection activeCell="I10" sqref="I10"/>
    </sheetView>
  </sheetViews>
  <sheetFormatPr defaultRowHeight="14.4" x14ac:dyDescent="0.3"/>
  <cols>
    <col min="3" max="3" width="12.77734375" customWidth="1"/>
    <col min="4" max="4" width="11.6640625" customWidth="1"/>
    <col min="5" max="5" width="36.33203125" customWidth="1"/>
    <col min="9" max="9" width="10.77734375" customWidth="1"/>
    <col min="12" max="12" width="21" customWidth="1"/>
    <col min="13" max="13" width="17.6640625" customWidth="1"/>
    <col min="14" max="14" width="15.5546875" customWidth="1"/>
    <col min="18" max="18" width="12.5546875" bestFit="1" customWidth="1"/>
    <col min="19" max="19" width="15.5546875" bestFit="1" customWidth="1"/>
    <col min="20" max="20" width="13.109375" bestFit="1" customWidth="1"/>
    <col min="21" max="21" width="16.6640625" bestFit="1" customWidth="1"/>
    <col min="22" max="22" width="11.5546875" bestFit="1" customWidth="1"/>
    <col min="23" max="23" width="13.109375" bestFit="1" customWidth="1"/>
    <col min="24" max="24" width="16.6640625" bestFit="1" customWidth="1"/>
    <col min="25" max="25" width="11.5546875" bestFit="1" customWidth="1"/>
    <col min="26" max="26" width="13.109375" bestFit="1" customWidth="1"/>
    <col min="27" max="27" width="16.6640625" bestFit="1" customWidth="1"/>
    <col min="28" max="28" width="11.5546875" bestFit="1" customWidth="1"/>
    <col min="29" max="29" width="13.109375" bestFit="1" customWidth="1"/>
    <col min="30" max="30" width="16.6640625" bestFit="1" customWidth="1"/>
    <col min="31" max="31" width="16.33203125" bestFit="1" customWidth="1"/>
    <col min="32" max="32" width="17.88671875" bestFit="1" customWidth="1"/>
    <col min="33" max="33" width="21.5546875" bestFit="1" customWidth="1"/>
  </cols>
  <sheetData>
    <row r="1" spans="1:31" x14ac:dyDescent="0.3">
      <c r="A1" s="98" t="s">
        <v>0</v>
      </c>
      <c r="B1" s="99" t="s">
        <v>1</v>
      </c>
      <c r="C1" s="99" t="s">
        <v>2</v>
      </c>
      <c r="D1" s="99" t="s">
        <v>3</v>
      </c>
      <c r="E1" s="99" t="s">
        <v>4</v>
      </c>
      <c r="F1" s="99" t="s">
        <v>5</v>
      </c>
      <c r="G1" s="99" t="s">
        <v>6</v>
      </c>
      <c r="H1" s="99" t="s">
        <v>7</v>
      </c>
      <c r="I1" s="99" t="s">
        <v>8</v>
      </c>
      <c r="J1" s="99" t="s">
        <v>9</v>
      </c>
      <c r="K1" s="99" t="s">
        <v>10</v>
      </c>
      <c r="L1" s="99" t="s">
        <v>11</v>
      </c>
      <c r="M1" s="100" t="s">
        <v>12</v>
      </c>
      <c r="N1" s="110" t="s">
        <v>560</v>
      </c>
    </row>
    <row r="2" spans="1:31" ht="15.6" x14ac:dyDescent="0.3">
      <c r="A2" s="101" t="s">
        <v>435</v>
      </c>
      <c r="B2" s="102" t="s">
        <v>31</v>
      </c>
      <c r="C2" s="103">
        <v>45445</v>
      </c>
      <c r="D2" s="102" t="s">
        <v>33</v>
      </c>
      <c r="E2" s="102" t="s">
        <v>34</v>
      </c>
      <c r="F2" s="102">
        <v>84</v>
      </c>
      <c r="G2" s="102">
        <v>897</v>
      </c>
      <c r="H2" s="102">
        <v>85</v>
      </c>
      <c r="I2" s="102">
        <v>588</v>
      </c>
      <c r="J2" s="102">
        <v>8</v>
      </c>
      <c r="K2" s="102">
        <v>12</v>
      </c>
      <c r="L2" s="102" t="s">
        <v>58</v>
      </c>
      <c r="M2" s="104" t="s">
        <v>25</v>
      </c>
      <c r="N2" s="20">
        <f t="shared" ref="N2:N65" si="0">SUM(F2,G2,H2)/I2</f>
        <v>1.8129251700680271</v>
      </c>
      <c r="R2" s="111" t="s">
        <v>592</v>
      </c>
      <c r="S2" s="111"/>
      <c r="T2" s="111"/>
      <c r="U2" s="111"/>
    </row>
    <row r="3" spans="1:31" x14ac:dyDescent="0.3">
      <c r="A3" s="101" t="s">
        <v>165</v>
      </c>
      <c r="B3" s="102" t="s">
        <v>31</v>
      </c>
      <c r="C3" s="103">
        <v>45762</v>
      </c>
      <c r="D3" s="102" t="s">
        <v>16</v>
      </c>
      <c r="E3" s="102" t="s">
        <v>17</v>
      </c>
      <c r="F3" s="102">
        <v>103</v>
      </c>
      <c r="G3" s="102">
        <v>770</v>
      </c>
      <c r="H3" s="102">
        <v>19</v>
      </c>
      <c r="I3" s="102">
        <v>1030</v>
      </c>
      <c r="J3" s="102">
        <v>410</v>
      </c>
      <c r="K3" s="102">
        <v>262</v>
      </c>
      <c r="L3" s="102" t="s">
        <v>18</v>
      </c>
      <c r="M3" s="104" t="s">
        <v>38</v>
      </c>
      <c r="N3" s="20">
        <f t="shared" si="0"/>
        <v>0.86601941747572819</v>
      </c>
      <c r="R3" s="112" t="s">
        <v>578</v>
      </c>
      <c r="S3" s="113" t="s">
        <v>594</v>
      </c>
    </row>
    <row r="4" spans="1:31" x14ac:dyDescent="0.3">
      <c r="A4" s="101" t="s">
        <v>452</v>
      </c>
      <c r="B4" s="102" t="s">
        <v>14</v>
      </c>
      <c r="C4" s="103">
        <v>45776</v>
      </c>
      <c r="D4" s="102" t="s">
        <v>33</v>
      </c>
      <c r="E4" s="102" t="s">
        <v>34</v>
      </c>
      <c r="F4" s="102">
        <v>249</v>
      </c>
      <c r="G4" s="102">
        <v>592</v>
      </c>
      <c r="H4" s="102">
        <v>230</v>
      </c>
      <c r="I4" s="102">
        <v>1494</v>
      </c>
      <c r="J4" s="102">
        <v>1044</v>
      </c>
      <c r="K4" s="102">
        <v>201</v>
      </c>
      <c r="L4" s="102" t="s">
        <v>285</v>
      </c>
      <c r="M4" s="104" t="s">
        <v>55</v>
      </c>
      <c r="N4" s="20">
        <f t="shared" si="0"/>
        <v>0.7168674698795181</v>
      </c>
      <c r="R4" s="79" t="s">
        <v>40</v>
      </c>
      <c r="S4" s="114">
        <v>0.12197289956132547</v>
      </c>
    </row>
    <row r="5" spans="1:31" x14ac:dyDescent="0.3">
      <c r="A5" s="101" t="s">
        <v>373</v>
      </c>
      <c r="B5" s="102" t="s">
        <v>31</v>
      </c>
      <c r="C5" s="103">
        <v>45603</v>
      </c>
      <c r="D5" s="102" t="s">
        <v>69</v>
      </c>
      <c r="E5" s="102" t="s">
        <v>70</v>
      </c>
      <c r="F5" s="102">
        <v>129</v>
      </c>
      <c r="G5" s="102">
        <v>643</v>
      </c>
      <c r="H5" s="102">
        <v>136</v>
      </c>
      <c r="I5" s="102">
        <v>1290</v>
      </c>
      <c r="J5" s="102">
        <v>839</v>
      </c>
      <c r="K5" s="102">
        <v>238</v>
      </c>
      <c r="L5" s="102" t="s">
        <v>162</v>
      </c>
      <c r="M5" s="104" t="s">
        <v>55</v>
      </c>
      <c r="N5" s="20">
        <f t="shared" si="0"/>
        <v>0.70387596899224802</v>
      </c>
      <c r="R5" s="79" t="s">
        <v>31</v>
      </c>
      <c r="S5" s="114">
        <v>0.19329257693923488</v>
      </c>
    </row>
    <row r="6" spans="1:31" x14ac:dyDescent="0.3">
      <c r="A6" s="101" t="s">
        <v>367</v>
      </c>
      <c r="B6" s="102" t="s">
        <v>31</v>
      </c>
      <c r="C6" s="103">
        <v>45674</v>
      </c>
      <c r="D6" s="102" t="s">
        <v>16</v>
      </c>
      <c r="E6" s="102" t="s">
        <v>17</v>
      </c>
      <c r="F6" s="102">
        <v>142</v>
      </c>
      <c r="G6" s="102">
        <v>784</v>
      </c>
      <c r="H6" s="102">
        <v>183</v>
      </c>
      <c r="I6" s="102">
        <v>1704</v>
      </c>
      <c r="J6" s="102">
        <v>995</v>
      </c>
      <c r="K6" s="102">
        <v>154</v>
      </c>
      <c r="L6" s="102" t="s">
        <v>18</v>
      </c>
      <c r="M6" s="104" t="s">
        <v>19</v>
      </c>
      <c r="N6" s="20">
        <f t="shared" si="0"/>
        <v>0.6508215962441315</v>
      </c>
      <c r="R6" s="79" t="s">
        <v>14</v>
      </c>
      <c r="S6" s="114">
        <v>0.14368407434207892</v>
      </c>
    </row>
    <row r="7" spans="1:31" x14ac:dyDescent="0.3">
      <c r="A7" s="101" t="s">
        <v>173</v>
      </c>
      <c r="B7" s="102" t="s">
        <v>14</v>
      </c>
      <c r="C7" s="103">
        <v>45618</v>
      </c>
      <c r="D7" s="102" t="s">
        <v>42</v>
      </c>
      <c r="E7" s="102" t="s">
        <v>43</v>
      </c>
      <c r="F7" s="102">
        <v>53</v>
      </c>
      <c r="G7" s="102">
        <v>81</v>
      </c>
      <c r="H7" s="102">
        <v>379</v>
      </c>
      <c r="I7" s="102">
        <v>954</v>
      </c>
      <c r="J7" s="102">
        <v>7</v>
      </c>
      <c r="K7" s="102">
        <v>148</v>
      </c>
      <c r="L7" s="102" t="s">
        <v>77</v>
      </c>
      <c r="M7" s="104" t="s">
        <v>38</v>
      </c>
      <c r="N7" s="20">
        <f t="shared" si="0"/>
        <v>0.53773584905660377</v>
      </c>
      <c r="R7" s="79" t="s">
        <v>577</v>
      </c>
      <c r="S7" s="114">
        <v>0.13118493770753806</v>
      </c>
    </row>
    <row r="8" spans="1:31" x14ac:dyDescent="0.3">
      <c r="A8" s="101" t="s">
        <v>500</v>
      </c>
      <c r="B8" s="102" t="s">
        <v>14</v>
      </c>
      <c r="C8" s="103">
        <v>45687</v>
      </c>
      <c r="D8" s="102" t="s">
        <v>49</v>
      </c>
      <c r="E8" s="102" t="s">
        <v>50</v>
      </c>
      <c r="F8" s="102">
        <v>59</v>
      </c>
      <c r="G8" s="102">
        <v>163</v>
      </c>
      <c r="H8" s="102">
        <v>93</v>
      </c>
      <c r="I8" s="102">
        <v>590</v>
      </c>
      <c r="J8" s="102">
        <v>475</v>
      </c>
      <c r="K8" s="102">
        <v>293</v>
      </c>
      <c r="L8" s="102" t="s">
        <v>44</v>
      </c>
      <c r="M8" s="104" t="s">
        <v>55</v>
      </c>
      <c r="N8" s="20">
        <f t="shared" si="0"/>
        <v>0.53389830508474578</v>
      </c>
      <c r="R8" s="79" t="s">
        <v>579</v>
      </c>
      <c r="S8" s="114">
        <v>0.14828272479852853</v>
      </c>
    </row>
    <row r="9" spans="1:31" x14ac:dyDescent="0.3">
      <c r="A9" s="101" t="s">
        <v>316</v>
      </c>
      <c r="B9" s="102" t="s">
        <v>577</v>
      </c>
      <c r="C9" s="103">
        <v>45567</v>
      </c>
      <c r="D9" s="102" t="s">
        <v>42</v>
      </c>
      <c r="E9" s="102" t="s">
        <v>43</v>
      </c>
      <c r="F9" s="102">
        <v>80</v>
      </c>
      <c r="G9" s="102">
        <v>362</v>
      </c>
      <c r="H9" s="102">
        <v>80</v>
      </c>
      <c r="I9" s="102">
        <v>1040</v>
      </c>
      <c r="J9" s="102">
        <v>349</v>
      </c>
      <c r="K9" s="102">
        <v>117</v>
      </c>
      <c r="L9" s="102" t="s">
        <v>146</v>
      </c>
      <c r="M9" s="104" t="s">
        <v>25</v>
      </c>
      <c r="N9" s="20">
        <f t="shared" si="0"/>
        <v>0.50192307692307692</v>
      </c>
    </row>
    <row r="10" spans="1:31" x14ac:dyDescent="0.3">
      <c r="A10" s="101" t="s">
        <v>422</v>
      </c>
      <c r="B10" s="102" t="s">
        <v>577</v>
      </c>
      <c r="C10" s="103">
        <v>45707</v>
      </c>
      <c r="D10" s="102" t="s">
        <v>49</v>
      </c>
      <c r="E10" s="102" t="s">
        <v>50</v>
      </c>
      <c r="F10" s="102">
        <v>257</v>
      </c>
      <c r="G10" s="102">
        <v>966</v>
      </c>
      <c r="H10" s="102">
        <v>398</v>
      </c>
      <c r="I10" s="102">
        <v>3341</v>
      </c>
      <c r="J10" s="102">
        <v>2753</v>
      </c>
      <c r="K10" s="102">
        <v>287</v>
      </c>
      <c r="L10" s="102" t="s">
        <v>209</v>
      </c>
      <c r="M10" s="104" t="s">
        <v>19</v>
      </c>
      <c r="N10" s="20">
        <f t="shared" si="0"/>
        <v>0.48518407662376534</v>
      </c>
    </row>
    <row r="11" spans="1:31" ht="15.6" x14ac:dyDescent="0.3">
      <c r="A11" s="101" t="s">
        <v>188</v>
      </c>
      <c r="B11" s="102" t="s">
        <v>40</v>
      </c>
      <c r="C11" s="103">
        <v>45749</v>
      </c>
      <c r="D11" s="102" t="s">
        <v>69</v>
      </c>
      <c r="E11" s="102" t="s">
        <v>70</v>
      </c>
      <c r="F11" s="102">
        <v>199</v>
      </c>
      <c r="G11" s="102">
        <v>772</v>
      </c>
      <c r="H11" s="102">
        <v>400</v>
      </c>
      <c r="I11" s="102">
        <v>3582</v>
      </c>
      <c r="J11" s="102">
        <v>2988</v>
      </c>
      <c r="K11" s="102">
        <v>43</v>
      </c>
      <c r="L11" s="102" t="s">
        <v>44</v>
      </c>
      <c r="M11" s="104" t="s">
        <v>19</v>
      </c>
      <c r="N11" s="20">
        <f t="shared" si="0"/>
        <v>0.38274706867671693</v>
      </c>
      <c r="R11" s="153" t="s">
        <v>593</v>
      </c>
      <c r="S11" s="153"/>
      <c r="T11" s="153"/>
      <c r="U11" s="153"/>
    </row>
    <row r="12" spans="1:31" x14ac:dyDescent="0.3">
      <c r="A12" s="101" t="s">
        <v>428</v>
      </c>
      <c r="B12" s="102" t="s">
        <v>31</v>
      </c>
      <c r="C12" s="103">
        <v>45649</v>
      </c>
      <c r="D12" s="102" t="s">
        <v>49</v>
      </c>
      <c r="E12" s="102" t="s">
        <v>50</v>
      </c>
      <c r="F12" s="102">
        <v>521</v>
      </c>
      <c r="G12" s="102">
        <v>746</v>
      </c>
      <c r="H12" s="102">
        <v>315</v>
      </c>
      <c r="I12" s="102">
        <v>4168</v>
      </c>
      <c r="J12" s="102">
        <v>3399</v>
      </c>
      <c r="K12" s="102">
        <v>282</v>
      </c>
      <c r="L12" s="102" t="s">
        <v>18</v>
      </c>
      <c r="M12" s="104" t="s">
        <v>19</v>
      </c>
      <c r="N12" s="20">
        <f t="shared" si="0"/>
        <v>0.37955854126679461</v>
      </c>
      <c r="R12" s="115" t="s">
        <v>0</v>
      </c>
      <c r="S12" s="115" t="s">
        <v>1</v>
      </c>
      <c r="T12" s="115" t="s">
        <v>2</v>
      </c>
      <c r="U12" s="115" t="s">
        <v>3</v>
      </c>
      <c r="V12" s="115" t="s">
        <v>4</v>
      </c>
      <c r="W12" s="115" t="s">
        <v>5</v>
      </c>
      <c r="X12" s="115" t="s">
        <v>6</v>
      </c>
      <c r="Y12" s="115" t="s">
        <v>7</v>
      </c>
      <c r="Z12" s="115" t="s">
        <v>8</v>
      </c>
      <c r="AA12" s="115" t="s">
        <v>9</v>
      </c>
      <c r="AB12" s="115" t="s">
        <v>10</v>
      </c>
      <c r="AC12" s="115" t="s">
        <v>11</v>
      </c>
      <c r="AD12" s="115" t="s">
        <v>12</v>
      </c>
      <c r="AE12" s="116" t="s">
        <v>560</v>
      </c>
    </row>
    <row r="13" spans="1:31" x14ac:dyDescent="0.3">
      <c r="A13" s="101" t="s">
        <v>155</v>
      </c>
      <c r="B13" s="102" t="s">
        <v>577</v>
      </c>
      <c r="C13" s="103">
        <v>45712</v>
      </c>
      <c r="D13" s="102" t="s">
        <v>42</v>
      </c>
      <c r="E13" s="102" t="s">
        <v>43</v>
      </c>
      <c r="F13" s="102">
        <v>804</v>
      </c>
      <c r="G13" s="102">
        <v>639</v>
      </c>
      <c r="H13" s="102">
        <v>43</v>
      </c>
      <c r="I13" s="102">
        <v>4020</v>
      </c>
      <c r="J13" s="102">
        <v>3144</v>
      </c>
      <c r="K13" s="102">
        <v>11</v>
      </c>
      <c r="L13" s="102" t="s">
        <v>87</v>
      </c>
      <c r="M13" s="104" t="s">
        <v>55</v>
      </c>
      <c r="N13" s="20">
        <f t="shared" si="0"/>
        <v>0.36965174129353234</v>
      </c>
      <c r="R13" s="117" t="s">
        <v>435</v>
      </c>
      <c r="S13" s="117" t="s">
        <v>31</v>
      </c>
      <c r="T13" s="118">
        <v>45445</v>
      </c>
      <c r="U13" s="117" t="s">
        <v>33</v>
      </c>
      <c r="V13" s="117" t="s">
        <v>34</v>
      </c>
      <c r="W13" s="117">
        <v>84</v>
      </c>
      <c r="X13" s="117">
        <v>897</v>
      </c>
      <c r="Y13" s="117">
        <v>85</v>
      </c>
      <c r="Z13" s="117">
        <v>588</v>
      </c>
      <c r="AA13" s="117">
        <v>8</v>
      </c>
      <c r="AB13" s="117">
        <v>12</v>
      </c>
      <c r="AC13" s="117" t="s">
        <v>58</v>
      </c>
      <c r="AD13" s="117" t="s">
        <v>25</v>
      </c>
      <c r="AE13" s="119">
        <f t="shared" ref="AE13:AE22" si="1">SUM(W13,X13,Y13)/Z13</f>
        <v>1.8129251700680271</v>
      </c>
    </row>
    <row r="14" spans="1:31" x14ac:dyDescent="0.3">
      <c r="A14" s="101" t="s">
        <v>246</v>
      </c>
      <c r="B14" s="102" t="s">
        <v>14</v>
      </c>
      <c r="C14" s="103">
        <v>45553</v>
      </c>
      <c r="D14" s="102" t="s">
        <v>16</v>
      </c>
      <c r="E14" s="102" t="s">
        <v>17</v>
      </c>
      <c r="F14" s="102">
        <v>1000</v>
      </c>
      <c r="G14" s="102">
        <v>978</v>
      </c>
      <c r="H14" s="102">
        <v>162</v>
      </c>
      <c r="I14" s="102">
        <v>6000</v>
      </c>
      <c r="J14" s="102">
        <v>5221</v>
      </c>
      <c r="K14" s="102">
        <v>223</v>
      </c>
      <c r="L14" s="102" t="s">
        <v>105</v>
      </c>
      <c r="M14" s="104" t="s">
        <v>38</v>
      </c>
      <c r="N14" s="20">
        <f t="shared" si="0"/>
        <v>0.35666666666666669</v>
      </c>
      <c r="R14" s="117" t="s">
        <v>165</v>
      </c>
      <c r="S14" s="117" t="s">
        <v>31</v>
      </c>
      <c r="T14" s="118">
        <v>45762</v>
      </c>
      <c r="U14" s="117" t="s">
        <v>16</v>
      </c>
      <c r="V14" s="117" t="s">
        <v>17</v>
      </c>
      <c r="W14" s="117">
        <v>103</v>
      </c>
      <c r="X14" s="117">
        <v>770</v>
      </c>
      <c r="Y14" s="117">
        <v>19</v>
      </c>
      <c r="Z14" s="117">
        <v>1030</v>
      </c>
      <c r="AA14" s="117">
        <v>410</v>
      </c>
      <c r="AB14" s="117">
        <v>262</v>
      </c>
      <c r="AC14" s="117" t="s">
        <v>18</v>
      </c>
      <c r="AD14" s="117" t="s">
        <v>38</v>
      </c>
      <c r="AE14" s="119">
        <f t="shared" si="1"/>
        <v>0.86601941747572819</v>
      </c>
    </row>
    <row r="15" spans="1:31" x14ac:dyDescent="0.3">
      <c r="A15" s="101" t="s">
        <v>287</v>
      </c>
      <c r="B15" s="102" t="s">
        <v>577</v>
      </c>
      <c r="C15" s="103">
        <v>45753</v>
      </c>
      <c r="D15" s="102" t="s">
        <v>42</v>
      </c>
      <c r="E15" s="102" t="s">
        <v>43</v>
      </c>
      <c r="F15" s="102">
        <v>736</v>
      </c>
      <c r="G15" s="102">
        <v>771</v>
      </c>
      <c r="H15" s="102">
        <v>225</v>
      </c>
      <c r="I15" s="102">
        <v>5152</v>
      </c>
      <c r="J15" s="102">
        <v>4706</v>
      </c>
      <c r="K15" s="102">
        <v>19</v>
      </c>
      <c r="L15" s="102" t="s">
        <v>58</v>
      </c>
      <c r="M15" s="104" t="s">
        <v>38</v>
      </c>
      <c r="N15" s="20">
        <f t="shared" si="0"/>
        <v>0.33618012422360249</v>
      </c>
      <c r="R15" s="117" t="s">
        <v>452</v>
      </c>
      <c r="S15" s="117" t="s">
        <v>14</v>
      </c>
      <c r="T15" s="118">
        <v>45776</v>
      </c>
      <c r="U15" s="117" t="s">
        <v>33</v>
      </c>
      <c r="V15" s="117" t="s">
        <v>34</v>
      </c>
      <c r="W15" s="117">
        <v>249</v>
      </c>
      <c r="X15" s="117">
        <v>592</v>
      </c>
      <c r="Y15" s="117">
        <v>230</v>
      </c>
      <c r="Z15" s="117">
        <v>1494</v>
      </c>
      <c r="AA15" s="117">
        <v>1044</v>
      </c>
      <c r="AB15" s="117">
        <v>201</v>
      </c>
      <c r="AC15" s="117" t="s">
        <v>285</v>
      </c>
      <c r="AD15" s="117" t="s">
        <v>55</v>
      </c>
      <c r="AE15" s="119">
        <f t="shared" si="1"/>
        <v>0.7168674698795181</v>
      </c>
    </row>
    <row r="16" spans="1:31" x14ac:dyDescent="0.3">
      <c r="A16" s="101" t="s">
        <v>283</v>
      </c>
      <c r="B16" s="102" t="s">
        <v>31</v>
      </c>
      <c r="C16" s="103">
        <v>45502</v>
      </c>
      <c r="D16" s="102" t="s">
        <v>33</v>
      </c>
      <c r="E16" s="102" t="s">
        <v>34</v>
      </c>
      <c r="F16" s="102">
        <v>498</v>
      </c>
      <c r="G16" s="102">
        <v>701</v>
      </c>
      <c r="H16" s="102">
        <v>412</v>
      </c>
      <c r="I16" s="102">
        <v>4980</v>
      </c>
      <c r="J16" s="102">
        <v>4185</v>
      </c>
      <c r="K16" s="102">
        <v>185</v>
      </c>
      <c r="L16" s="102" t="s">
        <v>264</v>
      </c>
      <c r="M16" s="104" t="s">
        <v>55</v>
      </c>
      <c r="N16" s="20">
        <f t="shared" si="0"/>
        <v>0.32349397590361445</v>
      </c>
      <c r="R16" s="117" t="s">
        <v>373</v>
      </c>
      <c r="S16" s="117" t="s">
        <v>31</v>
      </c>
      <c r="T16" s="118">
        <v>45603</v>
      </c>
      <c r="U16" s="117" t="s">
        <v>69</v>
      </c>
      <c r="V16" s="117" t="s">
        <v>70</v>
      </c>
      <c r="W16" s="117">
        <v>129</v>
      </c>
      <c r="X16" s="117">
        <v>643</v>
      </c>
      <c r="Y16" s="117">
        <v>136</v>
      </c>
      <c r="Z16" s="117">
        <v>1290</v>
      </c>
      <c r="AA16" s="117">
        <v>839</v>
      </c>
      <c r="AB16" s="117">
        <v>238</v>
      </c>
      <c r="AC16" s="117" t="s">
        <v>162</v>
      </c>
      <c r="AD16" s="117" t="s">
        <v>55</v>
      </c>
      <c r="AE16" s="119">
        <f t="shared" si="1"/>
        <v>0.70387596899224802</v>
      </c>
    </row>
    <row r="17" spans="1:33" x14ac:dyDescent="0.3">
      <c r="A17" s="101" t="s">
        <v>440</v>
      </c>
      <c r="B17" s="102" t="s">
        <v>40</v>
      </c>
      <c r="C17" s="103">
        <v>45790</v>
      </c>
      <c r="D17" s="102" t="s">
        <v>49</v>
      </c>
      <c r="E17" s="102" t="s">
        <v>50</v>
      </c>
      <c r="F17" s="102">
        <v>602</v>
      </c>
      <c r="G17" s="102">
        <v>594</v>
      </c>
      <c r="H17" s="102">
        <v>156</v>
      </c>
      <c r="I17" s="102">
        <v>4214</v>
      </c>
      <c r="J17" s="102">
        <v>3363</v>
      </c>
      <c r="K17" s="102">
        <v>164</v>
      </c>
      <c r="L17" s="102" t="s">
        <v>18</v>
      </c>
      <c r="M17" s="104" t="s">
        <v>38</v>
      </c>
      <c r="N17" s="20">
        <f t="shared" si="0"/>
        <v>0.32083531086853345</v>
      </c>
      <c r="R17" s="117" t="s">
        <v>367</v>
      </c>
      <c r="S17" s="117" t="s">
        <v>31</v>
      </c>
      <c r="T17" s="118">
        <v>45674</v>
      </c>
      <c r="U17" s="117" t="s">
        <v>16</v>
      </c>
      <c r="V17" s="117" t="s">
        <v>17</v>
      </c>
      <c r="W17" s="117">
        <v>142</v>
      </c>
      <c r="X17" s="117">
        <v>784</v>
      </c>
      <c r="Y17" s="117">
        <v>183</v>
      </c>
      <c r="Z17" s="117">
        <v>1704</v>
      </c>
      <c r="AA17" s="117">
        <v>995</v>
      </c>
      <c r="AB17" s="117">
        <v>154</v>
      </c>
      <c r="AC17" s="117" t="s">
        <v>18</v>
      </c>
      <c r="AD17" s="117" t="s">
        <v>19</v>
      </c>
      <c r="AE17" s="119">
        <f t="shared" si="1"/>
        <v>0.6508215962441315</v>
      </c>
    </row>
    <row r="18" spans="1:33" x14ac:dyDescent="0.3">
      <c r="A18" s="101" t="s">
        <v>332</v>
      </c>
      <c r="B18" s="102" t="s">
        <v>31</v>
      </c>
      <c r="C18" s="103">
        <v>45574</v>
      </c>
      <c r="D18" s="102" t="s">
        <v>42</v>
      </c>
      <c r="E18" s="102" t="s">
        <v>43</v>
      </c>
      <c r="F18" s="102">
        <v>985</v>
      </c>
      <c r="G18" s="102">
        <v>932</v>
      </c>
      <c r="H18" s="102">
        <v>287</v>
      </c>
      <c r="I18" s="102">
        <v>6895</v>
      </c>
      <c r="J18" s="102">
        <v>6757</v>
      </c>
      <c r="K18" s="102">
        <v>64</v>
      </c>
      <c r="L18" s="102" t="s">
        <v>66</v>
      </c>
      <c r="M18" s="104" t="s">
        <v>25</v>
      </c>
      <c r="N18" s="20">
        <f t="shared" si="0"/>
        <v>0.31965192168237855</v>
      </c>
      <c r="R18" s="117" t="s">
        <v>173</v>
      </c>
      <c r="S18" s="117" t="s">
        <v>14</v>
      </c>
      <c r="T18" s="118">
        <v>45618</v>
      </c>
      <c r="U18" s="117" t="s">
        <v>42</v>
      </c>
      <c r="V18" s="117" t="s">
        <v>43</v>
      </c>
      <c r="W18" s="117">
        <v>53</v>
      </c>
      <c r="X18" s="117">
        <v>81</v>
      </c>
      <c r="Y18" s="117">
        <v>379</v>
      </c>
      <c r="Z18" s="117">
        <v>954</v>
      </c>
      <c r="AA18" s="117">
        <v>7</v>
      </c>
      <c r="AB18" s="117">
        <v>148</v>
      </c>
      <c r="AC18" s="117" t="s">
        <v>77</v>
      </c>
      <c r="AD18" s="117" t="s">
        <v>38</v>
      </c>
      <c r="AE18" s="119">
        <f t="shared" si="1"/>
        <v>0.53773584905660377</v>
      </c>
    </row>
    <row r="19" spans="1:33" x14ac:dyDescent="0.3">
      <c r="A19" s="101" t="s">
        <v>280</v>
      </c>
      <c r="B19" s="102" t="s">
        <v>31</v>
      </c>
      <c r="C19" s="103">
        <v>45695</v>
      </c>
      <c r="D19" s="102" t="s">
        <v>16</v>
      </c>
      <c r="E19" s="102" t="s">
        <v>17</v>
      </c>
      <c r="F19" s="102">
        <v>1970</v>
      </c>
      <c r="G19" s="102">
        <v>675</v>
      </c>
      <c r="H19" s="102">
        <v>478</v>
      </c>
      <c r="I19" s="102">
        <v>9850</v>
      </c>
      <c r="J19" s="102">
        <v>8924</v>
      </c>
      <c r="K19" s="102">
        <v>117</v>
      </c>
      <c r="L19" s="102" t="s">
        <v>44</v>
      </c>
      <c r="M19" s="104" t="s">
        <v>55</v>
      </c>
      <c r="N19" s="20">
        <f t="shared" si="0"/>
        <v>0.31705583756345179</v>
      </c>
      <c r="R19" s="117" t="s">
        <v>500</v>
      </c>
      <c r="S19" s="117" t="s">
        <v>14</v>
      </c>
      <c r="T19" s="118">
        <v>45687</v>
      </c>
      <c r="U19" s="117" t="s">
        <v>49</v>
      </c>
      <c r="V19" s="117" t="s">
        <v>50</v>
      </c>
      <c r="W19" s="117">
        <v>59</v>
      </c>
      <c r="X19" s="117">
        <v>163</v>
      </c>
      <c r="Y19" s="117">
        <v>93</v>
      </c>
      <c r="Z19" s="117">
        <v>590</v>
      </c>
      <c r="AA19" s="117">
        <v>475</v>
      </c>
      <c r="AB19" s="117">
        <v>293</v>
      </c>
      <c r="AC19" s="117" t="s">
        <v>44</v>
      </c>
      <c r="AD19" s="117" t="s">
        <v>55</v>
      </c>
      <c r="AE19" s="119">
        <f t="shared" si="1"/>
        <v>0.53389830508474578</v>
      </c>
    </row>
    <row r="20" spans="1:33" x14ac:dyDescent="0.3">
      <c r="A20" s="101" t="s">
        <v>535</v>
      </c>
      <c r="B20" s="102" t="s">
        <v>31</v>
      </c>
      <c r="C20" s="103">
        <v>45519</v>
      </c>
      <c r="D20" s="102" t="s">
        <v>16</v>
      </c>
      <c r="E20" s="102" t="s">
        <v>17</v>
      </c>
      <c r="F20" s="102">
        <v>1164</v>
      </c>
      <c r="G20" s="102">
        <v>616</v>
      </c>
      <c r="H20" s="102">
        <v>324</v>
      </c>
      <c r="I20" s="102">
        <v>6984</v>
      </c>
      <c r="J20" s="102">
        <v>6636</v>
      </c>
      <c r="K20" s="102">
        <v>82</v>
      </c>
      <c r="L20" s="102" t="s">
        <v>285</v>
      </c>
      <c r="M20" s="104" t="s">
        <v>38</v>
      </c>
      <c r="N20" s="20">
        <f t="shared" si="0"/>
        <v>0.30126002290950743</v>
      </c>
      <c r="R20" s="117" t="s">
        <v>316</v>
      </c>
      <c r="S20" s="117" t="s">
        <v>577</v>
      </c>
      <c r="T20" s="118">
        <v>45567</v>
      </c>
      <c r="U20" s="117" t="s">
        <v>42</v>
      </c>
      <c r="V20" s="117" t="s">
        <v>43</v>
      </c>
      <c r="W20" s="117">
        <v>80</v>
      </c>
      <c r="X20" s="117">
        <v>362</v>
      </c>
      <c r="Y20" s="117">
        <v>80</v>
      </c>
      <c r="Z20" s="117">
        <v>1040</v>
      </c>
      <c r="AA20" s="117">
        <v>349</v>
      </c>
      <c r="AB20" s="117">
        <v>117</v>
      </c>
      <c r="AC20" s="117" t="s">
        <v>146</v>
      </c>
      <c r="AD20" s="117" t="s">
        <v>25</v>
      </c>
      <c r="AE20" s="119">
        <f t="shared" si="1"/>
        <v>0.50192307692307692</v>
      </c>
    </row>
    <row r="21" spans="1:33" x14ac:dyDescent="0.3">
      <c r="A21" s="101" t="s">
        <v>414</v>
      </c>
      <c r="B21" s="102" t="s">
        <v>31</v>
      </c>
      <c r="C21" s="103">
        <v>45658</v>
      </c>
      <c r="D21" s="102" t="s">
        <v>42</v>
      </c>
      <c r="E21" s="102" t="s">
        <v>43</v>
      </c>
      <c r="F21" s="102">
        <v>2234</v>
      </c>
      <c r="G21" s="102">
        <v>653</v>
      </c>
      <c r="H21" s="102">
        <v>432</v>
      </c>
      <c r="I21" s="102">
        <v>11170</v>
      </c>
      <c r="J21" s="102">
        <v>10569</v>
      </c>
      <c r="K21" s="102">
        <v>198</v>
      </c>
      <c r="L21" s="102" t="s">
        <v>264</v>
      </c>
      <c r="M21" s="104" t="s">
        <v>55</v>
      </c>
      <c r="N21" s="20">
        <f t="shared" si="0"/>
        <v>0.29713518352730528</v>
      </c>
      <c r="R21" s="117" t="s">
        <v>422</v>
      </c>
      <c r="S21" s="117" t="s">
        <v>577</v>
      </c>
      <c r="T21" s="118">
        <v>45707</v>
      </c>
      <c r="U21" s="117" t="s">
        <v>49</v>
      </c>
      <c r="V21" s="117" t="s">
        <v>50</v>
      </c>
      <c r="W21" s="117">
        <v>257</v>
      </c>
      <c r="X21" s="117">
        <v>966</v>
      </c>
      <c r="Y21" s="117">
        <v>398</v>
      </c>
      <c r="Z21" s="117">
        <v>3341</v>
      </c>
      <c r="AA21" s="117">
        <v>2753</v>
      </c>
      <c r="AB21" s="117">
        <v>287</v>
      </c>
      <c r="AC21" s="117" t="s">
        <v>209</v>
      </c>
      <c r="AD21" s="117" t="s">
        <v>19</v>
      </c>
      <c r="AE21" s="119">
        <f t="shared" si="1"/>
        <v>0.48518407662376534</v>
      </c>
    </row>
    <row r="22" spans="1:33" x14ac:dyDescent="0.3">
      <c r="A22" s="101" t="s">
        <v>181</v>
      </c>
      <c r="B22" s="102" t="s">
        <v>14</v>
      </c>
      <c r="C22" s="103">
        <v>45499</v>
      </c>
      <c r="D22" s="102" t="s">
        <v>42</v>
      </c>
      <c r="E22" s="102" t="s">
        <v>43</v>
      </c>
      <c r="F22" s="102">
        <v>432</v>
      </c>
      <c r="G22" s="102">
        <v>171</v>
      </c>
      <c r="H22" s="102">
        <v>280</v>
      </c>
      <c r="I22" s="102">
        <v>3024</v>
      </c>
      <c r="J22" s="102">
        <v>2285</v>
      </c>
      <c r="K22" s="102">
        <v>184</v>
      </c>
      <c r="L22" s="102" t="s">
        <v>24</v>
      </c>
      <c r="M22" s="104" t="s">
        <v>38</v>
      </c>
      <c r="N22" s="20">
        <f t="shared" si="0"/>
        <v>0.29199735449735448</v>
      </c>
      <c r="R22" s="117" t="s">
        <v>188</v>
      </c>
      <c r="S22" s="117" t="s">
        <v>40</v>
      </c>
      <c r="T22" s="118">
        <v>45749</v>
      </c>
      <c r="U22" s="117" t="s">
        <v>69</v>
      </c>
      <c r="V22" s="117" t="s">
        <v>70</v>
      </c>
      <c r="W22" s="117">
        <v>199</v>
      </c>
      <c r="X22" s="117">
        <v>772</v>
      </c>
      <c r="Y22" s="117">
        <v>400</v>
      </c>
      <c r="Z22" s="117">
        <v>3582</v>
      </c>
      <c r="AA22" s="117">
        <v>2988</v>
      </c>
      <c r="AB22" s="117">
        <v>43</v>
      </c>
      <c r="AC22" s="117" t="s">
        <v>44</v>
      </c>
      <c r="AD22" s="117" t="s">
        <v>19</v>
      </c>
      <c r="AE22" s="119">
        <f t="shared" si="1"/>
        <v>0.38274706867671693</v>
      </c>
    </row>
    <row r="23" spans="1:33" x14ac:dyDescent="0.3">
      <c r="A23" s="101" t="s">
        <v>379</v>
      </c>
      <c r="B23" s="102" t="s">
        <v>31</v>
      </c>
      <c r="C23" s="103">
        <v>45643</v>
      </c>
      <c r="D23" s="102" t="s">
        <v>33</v>
      </c>
      <c r="E23" s="102" t="s">
        <v>34</v>
      </c>
      <c r="F23" s="102">
        <v>360</v>
      </c>
      <c r="G23" s="102">
        <v>590</v>
      </c>
      <c r="H23" s="102">
        <v>393</v>
      </c>
      <c r="I23" s="102">
        <v>4680</v>
      </c>
      <c r="J23" s="102">
        <v>4322</v>
      </c>
      <c r="K23" s="102">
        <v>208</v>
      </c>
      <c r="L23" s="102" t="s">
        <v>162</v>
      </c>
      <c r="M23" s="104" t="s">
        <v>25</v>
      </c>
      <c r="N23" s="20">
        <f t="shared" si="0"/>
        <v>0.28696581196581195</v>
      </c>
    </row>
    <row r="24" spans="1:33" x14ac:dyDescent="0.3">
      <c r="A24" s="101" t="s">
        <v>108</v>
      </c>
      <c r="B24" s="102" t="s">
        <v>31</v>
      </c>
      <c r="C24" s="103">
        <v>45642</v>
      </c>
      <c r="D24" s="102" t="s">
        <v>22</v>
      </c>
      <c r="E24" s="102" t="s">
        <v>23</v>
      </c>
      <c r="F24" s="102">
        <v>438</v>
      </c>
      <c r="G24" s="102">
        <v>153</v>
      </c>
      <c r="H24" s="102">
        <v>275</v>
      </c>
      <c r="I24" s="102">
        <v>3066</v>
      </c>
      <c r="J24" s="102">
        <v>2701</v>
      </c>
      <c r="K24" s="102">
        <v>282</v>
      </c>
      <c r="L24" s="102" t="s">
        <v>44</v>
      </c>
      <c r="M24" s="104" t="s">
        <v>55</v>
      </c>
      <c r="N24" s="20">
        <f t="shared" si="0"/>
        <v>0.28245270711024134</v>
      </c>
    </row>
    <row r="25" spans="1:33" ht="15.6" x14ac:dyDescent="0.3">
      <c r="A25" s="101" t="s">
        <v>231</v>
      </c>
      <c r="B25" s="102" t="s">
        <v>31</v>
      </c>
      <c r="C25" s="103">
        <v>45637</v>
      </c>
      <c r="D25" s="102" t="s">
        <v>69</v>
      </c>
      <c r="E25" s="102" t="s">
        <v>70</v>
      </c>
      <c r="F25" s="102">
        <v>1431</v>
      </c>
      <c r="G25" s="102">
        <v>951</v>
      </c>
      <c r="H25" s="102">
        <v>26</v>
      </c>
      <c r="I25" s="102">
        <v>8586</v>
      </c>
      <c r="J25" s="102">
        <v>8396</v>
      </c>
      <c r="K25" s="102">
        <v>150</v>
      </c>
      <c r="L25" s="102" t="s">
        <v>116</v>
      </c>
      <c r="M25" s="104" t="s">
        <v>19</v>
      </c>
      <c r="N25" s="20">
        <f t="shared" si="0"/>
        <v>0.28045655718611695</v>
      </c>
      <c r="R25" s="153" t="s">
        <v>595</v>
      </c>
      <c r="S25" s="153"/>
      <c r="T25" s="153"/>
      <c r="U25" s="153"/>
    </row>
    <row r="26" spans="1:33" x14ac:dyDescent="0.3">
      <c r="A26" s="101" t="s">
        <v>498</v>
      </c>
      <c r="B26" s="102" t="s">
        <v>31</v>
      </c>
      <c r="C26" s="103">
        <v>45524</v>
      </c>
      <c r="D26" s="102" t="s">
        <v>16</v>
      </c>
      <c r="E26" s="102" t="s">
        <v>17</v>
      </c>
      <c r="F26" s="102">
        <v>2603</v>
      </c>
      <c r="G26" s="102">
        <v>690</v>
      </c>
      <c r="H26" s="102">
        <v>205</v>
      </c>
      <c r="I26" s="102">
        <v>13015</v>
      </c>
      <c r="J26" s="102">
        <v>12130</v>
      </c>
      <c r="K26" s="102">
        <v>20</v>
      </c>
      <c r="L26" s="102" t="s">
        <v>44</v>
      </c>
      <c r="M26" s="104" t="s">
        <v>19</v>
      </c>
      <c r="N26" s="20">
        <f t="shared" si="0"/>
        <v>0.26876680752977333</v>
      </c>
      <c r="R26" s="120"/>
      <c r="S26" s="120" t="s">
        <v>582</v>
      </c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</row>
    <row r="27" spans="1:33" x14ac:dyDescent="0.3">
      <c r="A27" s="101" t="s">
        <v>477</v>
      </c>
      <c r="B27" s="102" t="s">
        <v>40</v>
      </c>
      <c r="C27" s="103">
        <v>45690</v>
      </c>
      <c r="D27" s="102" t="s">
        <v>33</v>
      </c>
      <c r="E27" s="102" t="s">
        <v>34</v>
      </c>
      <c r="F27" s="102">
        <v>886</v>
      </c>
      <c r="G27" s="102">
        <v>126</v>
      </c>
      <c r="H27" s="102">
        <v>153</v>
      </c>
      <c r="I27" s="102">
        <v>4430</v>
      </c>
      <c r="J27" s="102">
        <v>4037</v>
      </c>
      <c r="K27" s="102">
        <v>212</v>
      </c>
      <c r="L27" s="102" t="s">
        <v>18</v>
      </c>
      <c r="M27" s="104" t="s">
        <v>38</v>
      </c>
      <c r="N27" s="20">
        <f t="shared" si="0"/>
        <v>0.26297968397291194</v>
      </c>
      <c r="R27" s="120"/>
      <c r="S27" s="120" t="s">
        <v>40</v>
      </c>
      <c r="T27" s="120"/>
      <c r="U27" s="120"/>
      <c r="V27" s="120" t="s">
        <v>31</v>
      </c>
      <c r="W27" s="120"/>
      <c r="X27" s="120"/>
      <c r="Y27" s="120" t="s">
        <v>14</v>
      </c>
      <c r="Z27" s="120"/>
      <c r="AA27" s="120"/>
      <c r="AB27" s="120" t="s">
        <v>577</v>
      </c>
      <c r="AC27" s="120"/>
      <c r="AD27" s="120"/>
      <c r="AE27" s="120" t="s">
        <v>584</v>
      </c>
      <c r="AF27" s="120" t="s">
        <v>585</v>
      </c>
      <c r="AG27" s="120" t="s">
        <v>587</v>
      </c>
    </row>
    <row r="28" spans="1:33" x14ac:dyDescent="0.3">
      <c r="A28" s="101" t="s">
        <v>469</v>
      </c>
      <c r="B28" s="102" t="s">
        <v>577</v>
      </c>
      <c r="C28" s="103">
        <v>45590</v>
      </c>
      <c r="D28" s="102" t="s">
        <v>69</v>
      </c>
      <c r="E28" s="102" t="s">
        <v>70</v>
      </c>
      <c r="F28" s="102">
        <v>4661</v>
      </c>
      <c r="G28" s="102">
        <v>935</v>
      </c>
      <c r="H28" s="102">
        <v>433</v>
      </c>
      <c r="I28" s="102">
        <v>23305</v>
      </c>
      <c r="J28" s="102">
        <v>22583</v>
      </c>
      <c r="K28" s="102">
        <v>63</v>
      </c>
      <c r="L28" s="102" t="s">
        <v>162</v>
      </c>
      <c r="M28" s="104" t="s">
        <v>19</v>
      </c>
      <c r="N28" s="20">
        <f t="shared" si="0"/>
        <v>0.25869984981763572</v>
      </c>
      <c r="R28" s="112" t="s">
        <v>578</v>
      </c>
      <c r="S28" s="113" t="s">
        <v>583</v>
      </c>
      <c r="T28" s="113" t="s">
        <v>586</v>
      </c>
      <c r="U28" s="113" t="s">
        <v>588</v>
      </c>
      <c r="V28" s="113" t="s">
        <v>583</v>
      </c>
      <c r="W28" s="113" t="s">
        <v>586</v>
      </c>
      <c r="X28" s="113" t="s">
        <v>588</v>
      </c>
      <c r="Y28" s="113" t="s">
        <v>583</v>
      </c>
      <c r="Z28" s="113" t="s">
        <v>586</v>
      </c>
      <c r="AA28" s="113" t="s">
        <v>588</v>
      </c>
      <c r="AB28" s="113" t="s">
        <v>583</v>
      </c>
      <c r="AC28" s="113" t="s">
        <v>586</v>
      </c>
      <c r="AD28" s="113" t="s">
        <v>588</v>
      </c>
      <c r="AE28" s="113"/>
      <c r="AF28" s="113"/>
      <c r="AG28" s="113"/>
    </row>
    <row r="29" spans="1:33" x14ac:dyDescent="0.3">
      <c r="A29" s="101" t="s">
        <v>492</v>
      </c>
      <c r="B29" s="102" t="s">
        <v>40</v>
      </c>
      <c r="C29" s="103">
        <v>45698</v>
      </c>
      <c r="D29" s="102" t="s">
        <v>22</v>
      </c>
      <c r="E29" s="102" t="s">
        <v>23</v>
      </c>
      <c r="F29" s="102">
        <v>562</v>
      </c>
      <c r="G29" s="102">
        <v>158</v>
      </c>
      <c r="H29" s="102">
        <v>149</v>
      </c>
      <c r="I29" s="102">
        <v>3372</v>
      </c>
      <c r="J29" s="102">
        <v>2940</v>
      </c>
      <c r="K29" s="102">
        <v>93</v>
      </c>
      <c r="L29" s="102" t="s">
        <v>127</v>
      </c>
      <c r="M29" s="104" t="s">
        <v>55</v>
      </c>
      <c r="N29" s="20">
        <f t="shared" si="0"/>
        <v>0.25771055753262156</v>
      </c>
      <c r="R29" s="79" t="s">
        <v>42</v>
      </c>
      <c r="S29" s="113">
        <v>44476</v>
      </c>
      <c r="T29" s="113">
        <v>7400</v>
      </c>
      <c r="U29" s="113">
        <v>4589</v>
      </c>
      <c r="V29" s="113">
        <v>43948</v>
      </c>
      <c r="W29" s="113">
        <v>6975</v>
      </c>
      <c r="X29" s="113">
        <v>3890</v>
      </c>
      <c r="Y29" s="113">
        <v>48649</v>
      </c>
      <c r="Z29" s="113">
        <v>5791</v>
      </c>
      <c r="AA29" s="113">
        <v>3607</v>
      </c>
      <c r="AB29" s="113">
        <v>24926</v>
      </c>
      <c r="AC29" s="113">
        <v>6305</v>
      </c>
      <c r="AD29" s="113">
        <v>2422</v>
      </c>
      <c r="AE29" s="113">
        <v>161999</v>
      </c>
      <c r="AF29" s="113">
        <v>26471</v>
      </c>
      <c r="AG29" s="113">
        <v>14508</v>
      </c>
    </row>
    <row r="30" spans="1:33" x14ac:dyDescent="0.3">
      <c r="A30" s="101" t="s">
        <v>434</v>
      </c>
      <c r="B30" s="102" t="s">
        <v>14</v>
      </c>
      <c r="C30" s="103">
        <v>45685</v>
      </c>
      <c r="D30" s="102" t="s">
        <v>16</v>
      </c>
      <c r="E30" s="102" t="s">
        <v>17</v>
      </c>
      <c r="F30" s="102">
        <v>1188</v>
      </c>
      <c r="G30" s="102">
        <v>470</v>
      </c>
      <c r="H30" s="102">
        <v>174</v>
      </c>
      <c r="I30" s="102">
        <v>7128</v>
      </c>
      <c r="J30" s="102">
        <v>6145</v>
      </c>
      <c r="K30" s="102">
        <v>270</v>
      </c>
      <c r="L30" s="102" t="s">
        <v>37</v>
      </c>
      <c r="M30" s="104" t="s">
        <v>25</v>
      </c>
      <c r="N30" s="20">
        <f t="shared" si="0"/>
        <v>0.25701459034792368</v>
      </c>
      <c r="R30" s="79" t="s">
        <v>49</v>
      </c>
      <c r="S30" s="113">
        <v>71602</v>
      </c>
      <c r="T30" s="113">
        <v>12904</v>
      </c>
      <c r="U30" s="113">
        <v>6495</v>
      </c>
      <c r="V30" s="113">
        <v>34202</v>
      </c>
      <c r="W30" s="113">
        <v>5286</v>
      </c>
      <c r="X30" s="113">
        <v>2655</v>
      </c>
      <c r="Y30" s="113">
        <v>43761</v>
      </c>
      <c r="Z30" s="113">
        <v>7110</v>
      </c>
      <c r="AA30" s="113">
        <v>5125</v>
      </c>
      <c r="AB30" s="113">
        <v>23903</v>
      </c>
      <c r="AC30" s="113">
        <v>4310</v>
      </c>
      <c r="AD30" s="113">
        <v>2077</v>
      </c>
      <c r="AE30" s="113">
        <v>173468</v>
      </c>
      <c r="AF30" s="113">
        <v>29610</v>
      </c>
      <c r="AG30" s="113">
        <v>16352</v>
      </c>
    </row>
    <row r="31" spans="1:33" x14ac:dyDescent="0.3">
      <c r="A31" s="101" t="s">
        <v>443</v>
      </c>
      <c r="B31" s="102" t="s">
        <v>31</v>
      </c>
      <c r="C31" s="103">
        <v>45511</v>
      </c>
      <c r="D31" s="102" t="s">
        <v>42</v>
      </c>
      <c r="E31" s="102" t="s">
        <v>43</v>
      </c>
      <c r="F31" s="102">
        <v>1741</v>
      </c>
      <c r="G31" s="102">
        <v>164</v>
      </c>
      <c r="H31" s="102">
        <v>318</v>
      </c>
      <c r="I31" s="102">
        <v>8705</v>
      </c>
      <c r="J31" s="102">
        <v>8272</v>
      </c>
      <c r="K31" s="102">
        <v>121</v>
      </c>
      <c r="L31" s="102" t="s">
        <v>18</v>
      </c>
      <c r="M31" s="104" t="s">
        <v>25</v>
      </c>
      <c r="N31" s="20">
        <f t="shared" si="0"/>
        <v>0.25537047673750718</v>
      </c>
      <c r="R31" s="79" t="s">
        <v>16</v>
      </c>
      <c r="S31" s="113">
        <v>36368</v>
      </c>
      <c r="T31" s="113">
        <v>5964</v>
      </c>
      <c r="U31" s="113">
        <v>3353</v>
      </c>
      <c r="V31" s="113">
        <v>32148</v>
      </c>
      <c r="W31" s="113">
        <v>8110</v>
      </c>
      <c r="X31" s="113">
        <v>3386</v>
      </c>
      <c r="Y31" s="113">
        <v>27029</v>
      </c>
      <c r="Z31" s="113">
        <v>4550</v>
      </c>
      <c r="AA31" s="113">
        <v>1913</v>
      </c>
      <c r="AB31" s="113">
        <v>32400</v>
      </c>
      <c r="AC31" s="113">
        <v>4577</v>
      </c>
      <c r="AD31" s="113">
        <v>2668</v>
      </c>
      <c r="AE31" s="113">
        <v>127945</v>
      </c>
      <c r="AF31" s="113">
        <v>23201</v>
      </c>
      <c r="AG31" s="113">
        <v>11320</v>
      </c>
    </row>
    <row r="32" spans="1:33" x14ac:dyDescent="0.3">
      <c r="A32" s="101" t="s">
        <v>502</v>
      </c>
      <c r="B32" s="102" t="s">
        <v>14</v>
      </c>
      <c r="C32" s="103">
        <v>45708</v>
      </c>
      <c r="D32" s="102" t="s">
        <v>42</v>
      </c>
      <c r="E32" s="102" t="s">
        <v>43</v>
      </c>
      <c r="F32" s="102">
        <v>1877</v>
      </c>
      <c r="G32" s="102">
        <v>745</v>
      </c>
      <c r="H32" s="102">
        <v>225</v>
      </c>
      <c r="I32" s="102">
        <v>11262</v>
      </c>
      <c r="J32" s="102">
        <v>10967</v>
      </c>
      <c r="K32" s="102">
        <v>41</v>
      </c>
      <c r="L32" s="102" t="s">
        <v>61</v>
      </c>
      <c r="M32" s="104" t="s">
        <v>19</v>
      </c>
      <c r="N32" s="20">
        <f t="shared" si="0"/>
        <v>0.25279701651571657</v>
      </c>
      <c r="R32" s="79" t="s">
        <v>33</v>
      </c>
      <c r="S32" s="113">
        <v>29405</v>
      </c>
      <c r="T32" s="113">
        <v>4950</v>
      </c>
      <c r="U32" s="113">
        <v>3223</v>
      </c>
      <c r="V32" s="113">
        <v>42649</v>
      </c>
      <c r="W32" s="113">
        <v>10049</v>
      </c>
      <c r="X32" s="113">
        <v>3846</v>
      </c>
      <c r="Y32" s="113">
        <v>20466</v>
      </c>
      <c r="Z32" s="113">
        <v>5090</v>
      </c>
      <c r="AA32" s="113">
        <v>3026</v>
      </c>
      <c r="AB32" s="113">
        <v>31968</v>
      </c>
      <c r="AC32" s="113">
        <v>3866</v>
      </c>
      <c r="AD32" s="113">
        <v>2012</v>
      </c>
      <c r="AE32" s="113">
        <v>124488</v>
      </c>
      <c r="AF32" s="113">
        <v>23955</v>
      </c>
      <c r="AG32" s="113">
        <v>12107</v>
      </c>
    </row>
    <row r="33" spans="1:33" x14ac:dyDescent="0.3">
      <c r="A33" s="101" t="s">
        <v>462</v>
      </c>
      <c r="B33" s="102" t="s">
        <v>577</v>
      </c>
      <c r="C33" s="103">
        <v>45712</v>
      </c>
      <c r="D33" s="102" t="s">
        <v>22</v>
      </c>
      <c r="E33" s="102" t="s">
        <v>23</v>
      </c>
      <c r="F33" s="102">
        <v>4188</v>
      </c>
      <c r="G33" s="102">
        <v>942</v>
      </c>
      <c r="H33" s="102">
        <v>118</v>
      </c>
      <c r="I33" s="102">
        <v>20940</v>
      </c>
      <c r="J33" s="102">
        <v>20471</v>
      </c>
      <c r="K33" s="102">
        <v>102</v>
      </c>
      <c r="L33" s="102" t="s">
        <v>58</v>
      </c>
      <c r="M33" s="104" t="s">
        <v>25</v>
      </c>
      <c r="N33" s="20">
        <f t="shared" si="0"/>
        <v>0.25062082139446035</v>
      </c>
      <c r="R33" s="79" t="s">
        <v>22</v>
      </c>
      <c r="S33" s="113">
        <v>31963</v>
      </c>
      <c r="T33" s="113">
        <v>4792</v>
      </c>
      <c r="U33" s="113">
        <v>3377</v>
      </c>
      <c r="V33" s="113">
        <v>25567</v>
      </c>
      <c r="W33" s="113">
        <v>5112</v>
      </c>
      <c r="X33" s="113">
        <v>1946</v>
      </c>
      <c r="Y33" s="113">
        <v>31899</v>
      </c>
      <c r="Z33" s="113">
        <v>4861</v>
      </c>
      <c r="AA33" s="113">
        <v>3910</v>
      </c>
      <c r="AB33" s="113">
        <v>27067</v>
      </c>
      <c r="AC33" s="113">
        <v>3928</v>
      </c>
      <c r="AD33" s="113">
        <v>1052</v>
      </c>
      <c r="AE33" s="113">
        <v>116496</v>
      </c>
      <c r="AF33" s="113">
        <v>18693</v>
      </c>
      <c r="AG33" s="113">
        <v>10285</v>
      </c>
    </row>
    <row r="34" spans="1:33" x14ac:dyDescent="0.3">
      <c r="A34" s="101" t="s">
        <v>520</v>
      </c>
      <c r="B34" s="102" t="s">
        <v>40</v>
      </c>
      <c r="C34" s="103">
        <v>45753</v>
      </c>
      <c r="D34" s="102" t="s">
        <v>49</v>
      </c>
      <c r="E34" s="102" t="s">
        <v>50</v>
      </c>
      <c r="F34" s="102">
        <v>4236</v>
      </c>
      <c r="G34" s="102">
        <v>711</v>
      </c>
      <c r="H34" s="102">
        <v>298</v>
      </c>
      <c r="I34" s="102">
        <v>21180</v>
      </c>
      <c r="J34" s="102">
        <v>20516</v>
      </c>
      <c r="K34" s="102">
        <v>238</v>
      </c>
      <c r="L34" s="102" t="s">
        <v>209</v>
      </c>
      <c r="M34" s="104" t="s">
        <v>55</v>
      </c>
      <c r="N34" s="20">
        <f t="shared" si="0"/>
        <v>0.24763928234183191</v>
      </c>
      <c r="R34" s="79" t="s">
        <v>69</v>
      </c>
      <c r="S34" s="113">
        <v>28947</v>
      </c>
      <c r="T34" s="113">
        <v>3171</v>
      </c>
      <c r="U34" s="113">
        <v>2263</v>
      </c>
      <c r="V34" s="113">
        <v>25770</v>
      </c>
      <c r="W34" s="113">
        <v>5912</v>
      </c>
      <c r="X34" s="113">
        <v>2128</v>
      </c>
      <c r="Y34" s="113">
        <v>29593</v>
      </c>
      <c r="Z34" s="113">
        <v>6326</v>
      </c>
      <c r="AA34" s="113">
        <v>3299</v>
      </c>
      <c r="AB34" s="113">
        <v>31285</v>
      </c>
      <c r="AC34" s="113">
        <v>5586</v>
      </c>
      <c r="AD34" s="113">
        <v>2589</v>
      </c>
      <c r="AE34" s="113">
        <v>115595</v>
      </c>
      <c r="AF34" s="113">
        <v>20995</v>
      </c>
      <c r="AG34" s="113">
        <v>10279</v>
      </c>
    </row>
    <row r="35" spans="1:33" x14ac:dyDescent="0.3">
      <c r="A35" s="101" t="s">
        <v>551</v>
      </c>
      <c r="B35" s="102" t="s">
        <v>14</v>
      </c>
      <c r="C35" s="103">
        <v>45650</v>
      </c>
      <c r="D35" s="102" t="s">
        <v>22</v>
      </c>
      <c r="E35" s="102" t="s">
        <v>23</v>
      </c>
      <c r="F35" s="102">
        <v>2166</v>
      </c>
      <c r="G35" s="102">
        <v>354</v>
      </c>
      <c r="H35" s="102">
        <v>117</v>
      </c>
      <c r="I35" s="102">
        <v>10830</v>
      </c>
      <c r="J35" s="102">
        <v>10245</v>
      </c>
      <c r="K35" s="102">
        <v>24</v>
      </c>
      <c r="L35" s="102" t="s">
        <v>87</v>
      </c>
      <c r="M35" s="104" t="s">
        <v>19</v>
      </c>
      <c r="N35" s="20">
        <f t="shared" si="0"/>
        <v>0.24349030470914126</v>
      </c>
      <c r="R35" s="79" t="s">
        <v>579</v>
      </c>
      <c r="S35" s="113">
        <v>242761</v>
      </c>
      <c r="T35" s="113">
        <v>39181</v>
      </c>
      <c r="U35" s="113">
        <v>23300</v>
      </c>
      <c r="V35" s="113">
        <v>204284</v>
      </c>
      <c r="W35" s="113">
        <v>41444</v>
      </c>
      <c r="X35" s="113">
        <v>17851</v>
      </c>
      <c r="Y35" s="113">
        <v>201397</v>
      </c>
      <c r="Z35" s="113">
        <v>33728</v>
      </c>
      <c r="AA35" s="113">
        <v>20880</v>
      </c>
      <c r="AB35" s="113">
        <v>171549</v>
      </c>
      <c r="AC35" s="113">
        <v>28572</v>
      </c>
      <c r="AD35" s="113">
        <v>12820</v>
      </c>
      <c r="AE35" s="113">
        <v>819991</v>
      </c>
      <c r="AF35" s="113">
        <v>142925</v>
      </c>
      <c r="AG35" s="113">
        <v>74851</v>
      </c>
    </row>
    <row r="36" spans="1:33" x14ac:dyDescent="0.3">
      <c r="A36" s="101" t="s">
        <v>376</v>
      </c>
      <c r="B36" s="102" t="s">
        <v>577</v>
      </c>
      <c r="C36" s="103">
        <v>45737</v>
      </c>
      <c r="D36" s="102" t="s">
        <v>49</v>
      </c>
      <c r="E36" s="102" t="s">
        <v>50</v>
      </c>
      <c r="F36" s="102">
        <v>606</v>
      </c>
      <c r="G36" s="102">
        <v>789</v>
      </c>
      <c r="H36" s="102">
        <v>470</v>
      </c>
      <c r="I36" s="102">
        <v>7878</v>
      </c>
      <c r="J36" s="102">
        <v>7389</v>
      </c>
      <c r="K36" s="102">
        <v>239</v>
      </c>
      <c r="L36" s="102" t="s">
        <v>18</v>
      </c>
      <c r="M36" s="104" t="s">
        <v>25</v>
      </c>
      <c r="N36" s="20">
        <f t="shared" si="0"/>
        <v>0.23673521198273673</v>
      </c>
    </row>
    <row r="37" spans="1:33" x14ac:dyDescent="0.3">
      <c r="A37" s="101" t="s">
        <v>473</v>
      </c>
      <c r="B37" s="102" t="s">
        <v>40</v>
      </c>
      <c r="C37" s="103">
        <v>45576</v>
      </c>
      <c r="D37" s="102" t="s">
        <v>49</v>
      </c>
      <c r="E37" s="102" t="s">
        <v>50</v>
      </c>
      <c r="F37" s="102">
        <v>400</v>
      </c>
      <c r="G37" s="102">
        <v>680</v>
      </c>
      <c r="H37" s="102">
        <v>434</v>
      </c>
      <c r="I37" s="102">
        <v>6400</v>
      </c>
      <c r="J37" s="102">
        <v>5472</v>
      </c>
      <c r="K37" s="102">
        <v>160</v>
      </c>
      <c r="L37" s="102" t="s">
        <v>102</v>
      </c>
      <c r="M37" s="104" t="s">
        <v>25</v>
      </c>
      <c r="N37" s="20">
        <f t="shared" si="0"/>
        <v>0.23656250000000001</v>
      </c>
    </row>
    <row r="38" spans="1:33" x14ac:dyDescent="0.3">
      <c r="A38" s="101" t="s">
        <v>286</v>
      </c>
      <c r="B38" s="102" t="s">
        <v>31</v>
      </c>
      <c r="C38" s="103">
        <v>45457</v>
      </c>
      <c r="D38" s="102" t="s">
        <v>33</v>
      </c>
      <c r="E38" s="102" t="s">
        <v>34</v>
      </c>
      <c r="F38" s="102">
        <v>4363</v>
      </c>
      <c r="G38" s="102">
        <v>649</v>
      </c>
      <c r="H38" s="102">
        <v>140</v>
      </c>
      <c r="I38" s="102">
        <v>21815</v>
      </c>
      <c r="J38" s="102">
        <v>21481</v>
      </c>
      <c r="K38" s="102">
        <v>157</v>
      </c>
      <c r="L38" s="102" t="s">
        <v>66</v>
      </c>
      <c r="M38" s="104" t="s">
        <v>25</v>
      </c>
      <c r="N38" s="20">
        <f t="shared" si="0"/>
        <v>0.23616777446710979</v>
      </c>
    </row>
    <row r="39" spans="1:33" x14ac:dyDescent="0.3">
      <c r="A39" s="101" t="s">
        <v>282</v>
      </c>
      <c r="B39" s="102" t="s">
        <v>40</v>
      </c>
      <c r="C39" s="103">
        <v>45586</v>
      </c>
      <c r="D39" s="102" t="s">
        <v>33</v>
      </c>
      <c r="E39" s="102" t="s">
        <v>34</v>
      </c>
      <c r="F39" s="102">
        <v>780</v>
      </c>
      <c r="G39" s="102">
        <v>928</v>
      </c>
      <c r="H39" s="102">
        <v>301</v>
      </c>
      <c r="I39" s="102">
        <v>8580</v>
      </c>
      <c r="J39" s="102">
        <v>8081</v>
      </c>
      <c r="K39" s="102">
        <v>91</v>
      </c>
      <c r="L39" s="102" t="s">
        <v>66</v>
      </c>
      <c r="M39" s="104" t="s">
        <v>55</v>
      </c>
      <c r="N39" s="20">
        <f t="shared" si="0"/>
        <v>0.23414918414918415</v>
      </c>
    </row>
    <row r="40" spans="1:33" x14ac:dyDescent="0.3">
      <c r="A40" s="101" t="s">
        <v>313</v>
      </c>
      <c r="B40" s="102" t="s">
        <v>14</v>
      </c>
      <c r="C40" s="103">
        <v>45535</v>
      </c>
      <c r="D40" s="102" t="s">
        <v>49</v>
      </c>
      <c r="E40" s="102" t="s">
        <v>50</v>
      </c>
      <c r="F40" s="102">
        <v>3170</v>
      </c>
      <c r="G40" s="102">
        <v>857</v>
      </c>
      <c r="H40" s="102">
        <v>379</v>
      </c>
      <c r="I40" s="102">
        <v>19020</v>
      </c>
      <c r="J40" s="102">
        <v>18559</v>
      </c>
      <c r="K40" s="102">
        <v>240</v>
      </c>
      <c r="L40" s="102" t="s">
        <v>18</v>
      </c>
      <c r="M40" s="104" t="s">
        <v>38</v>
      </c>
      <c r="N40" s="20">
        <f t="shared" si="0"/>
        <v>0.2316508937960042</v>
      </c>
    </row>
    <row r="41" spans="1:33" x14ac:dyDescent="0.3">
      <c r="A41" s="101" t="s">
        <v>348</v>
      </c>
      <c r="B41" s="102" t="s">
        <v>31</v>
      </c>
      <c r="C41" s="103">
        <v>45755</v>
      </c>
      <c r="D41" s="102" t="s">
        <v>49</v>
      </c>
      <c r="E41" s="102" t="s">
        <v>50</v>
      </c>
      <c r="F41" s="102">
        <v>4501</v>
      </c>
      <c r="G41" s="102">
        <v>375</v>
      </c>
      <c r="H41" s="102">
        <v>323</v>
      </c>
      <c r="I41" s="102">
        <v>22505</v>
      </c>
      <c r="J41" s="102">
        <v>21836</v>
      </c>
      <c r="K41" s="102">
        <v>132</v>
      </c>
      <c r="L41" s="102" t="s">
        <v>24</v>
      </c>
      <c r="M41" s="104" t="s">
        <v>55</v>
      </c>
      <c r="N41" s="20">
        <f t="shared" si="0"/>
        <v>0.23101532992668297</v>
      </c>
    </row>
    <row r="42" spans="1:33" x14ac:dyDescent="0.3">
      <c r="A42" s="101" t="s">
        <v>508</v>
      </c>
      <c r="B42" s="102" t="s">
        <v>31</v>
      </c>
      <c r="C42" s="103">
        <v>45601</v>
      </c>
      <c r="D42" s="102" t="s">
        <v>69</v>
      </c>
      <c r="E42" s="102" t="s">
        <v>70</v>
      </c>
      <c r="F42" s="102">
        <v>4561</v>
      </c>
      <c r="G42" s="102">
        <v>51</v>
      </c>
      <c r="H42" s="102">
        <v>441</v>
      </c>
      <c r="I42" s="102">
        <v>22805</v>
      </c>
      <c r="J42" s="102">
        <v>21890</v>
      </c>
      <c r="K42" s="102">
        <v>45</v>
      </c>
      <c r="L42" s="102" t="s">
        <v>58</v>
      </c>
      <c r="M42" s="104" t="s">
        <v>25</v>
      </c>
      <c r="N42" s="20">
        <f t="shared" si="0"/>
        <v>0.22157421618066214</v>
      </c>
    </row>
    <row r="43" spans="1:33" x14ac:dyDescent="0.3">
      <c r="A43" s="101" t="s">
        <v>132</v>
      </c>
      <c r="B43" s="102" t="s">
        <v>577</v>
      </c>
      <c r="C43" s="103">
        <v>45721</v>
      </c>
      <c r="D43" s="102" t="s">
        <v>16</v>
      </c>
      <c r="E43" s="102" t="s">
        <v>17</v>
      </c>
      <c r="F43" s="102">
        <v>1543</v>
      </c>
      <c r="G43" s="102">
        <v>820</v>
      </c>
      <c r="H43" s="102">
        <v>333</v>
      </c>
      <c r="I43" s="102">
        <v>12344</v>
      </c>
      <c r="J43" s="102">
        <v>11496</v>
      </c>
      <c r="K43" s="102">
        <v>241</v>
      </c>
      <c r="L43" s="102" t="s">
        <v>58</v>
      </c>
      <c r="M43" s="104" t="s">
        <v>38</v>
      </c>
      <c r="N43" s="20">
        <f t="shared" si="0"/>
        <v>0.21840570317563188</v>
      </c>
    </row>
    <row r="44" spans="1:33" x14ac:dyDescent="0.3">
      <c r="A44" s="101" t="s">
        <v>134</v>
      </c>
      <c r="B44" s="102" t="s">
        <v>31</v>
      </c>
      <c r="C44" s="103">
        <v>45640</v>
      </c>
      <c r="D44" s="102" t="s">
        <v>42</v>
      </c>
      <c r="E44" s="102" t="s">
        <v>43</v>
      </c>
      <c r="F44" s="102">
        <v>2174</v>
      </c>
      <c r="G44" s="102">
        <v>658</v>
      </c>
      <c r="H44" s="102">
        <v>15</v>
      </c>
      <c r="I44" s="102">
        <v>13044</v>
      </c>
      <c r="J44" s="102">
        <v>12206</v>
      </c>
      <c r="K44" s="102">
        <v>137</v>
      </c>
      <c r="L44" s="102" t="s">
        <v>66</v>
      </c>
      <c r="M44" s="104" t="s">
        <v>55</v>
      </c>
      <c r="N44" s="20">
        <f t="shared" si="0"/>
        <v>0.21826126954921804</v>
      </c>
    </row>
    <row r="45" spans="1:33" x14ac:dyDescent="0.3">
      <c r="A45" s="101" t="s">
        <v>341</v>
      </c>
      <c r="B45" s="102" t="s">
        <v>40</v>
      </c>
      <c r="C45" s="103">
        <v>45621</v>
      </c>
      <c r="D45" s="102" t="s">
        <v>33</v>
      </c>
      <c r="E45" s="102" t="s">
        <v>34</v>
      </c>
      <c r="F45" s="102">
        <v>2120</v>
      </c>
      <c r="G45" s="102">
        <v>158</v>
      </c>
      <c r="H45" s="102">
        <v>488</v>
      </c>
      <c r="I45" s="102">
        <v>12720</v>
      </c>
      <c r="J45" s="102">
        <v>12085</v>
      </c>
      <c r="K45" s="102">
        <v>17</v>
      </c>
      <c r="L45" s="102" t="s">
        <v>87</v>
      </c>
      <c r="M45" s="104" t="s">
        <v>25</v>
      </c>
      <c r="N45" s="20">
        <f t="shared" si="0"/>
        <v>0.21745283018867925</v>
      </c>
    </row>
    <row r="46" spans="1:33" x14ac:dyDescent="0.3">
      <c r="A46" s="101" t="s">
        <v>319</v>
      </c>
      <c r="B46" s="102" t="s">
        <v>577</v>
      </c>
      <c r="C46" s="103">
        <v>45448</v>
      </c>
      <c r="D46" s="102" t="s">
        <v>16</v>
      </c>
      <c r="E46" s="102" t="s">
        <v>17</v>
      </c>
      <c r="F46" s="102">
        <v>3065</v>
      </c>
      <c r="G46" s="102">
        <v>772</v>
      </c>
      <c r="H46" s="102">
        <v>142</v>
      </c>
      <c r="I46" s="102">
        <v>18390</v>
      </c>
      <c r="J46" s="102">
        <v>17875</v>
      </c>
      <c r="K46" s="102">
        <v>200</v>
      </c>
      <c r="L46" s="102" t="s">
        <v>58</v>
      </c>
      <c r="M46" s="104" t="s">
        <v>19</v>
      </c>
      <c r="N46" s="20">
        <f t="shared" si="0"/>
        <v>0.21636759108210984</v>
      </c>
    </row>
    <row r="47" spans="1:33" x14ac:dyDescent="0.3">
      <c r="A47" s="101" t="s">
        <v>103</v>
      </c>
      <c r="B47" s="102" t="s">
        <v>31</v>
      </c>
      <c r="C47" s="103">
        <v>45688</v>
      </c>
      <c r="D47" s="102" t="s">
        <v>42</v>
      </c>
      <c r="E47" s="102" t="s">
        <v>43</v>
      </c>
      <c r="F47" s="102">
        <v>2566</v>
      </c>
      <c r="G47" s="102">
        <v>118</v>
      </c>
      <c r="H47" s="102">
        <v>37</v>
      </c>
      <c r="I47" s="102">
        <v>12830</v>
      </c>
      <c r="J47" s="102">
        <v>12264</v>
      </c>
      <c r="K47" s="102">
        <v>221</v>
      </c>
      <c r="L47" s="102" t="s">
        <v>105</v>
      </c>
      <c r="M47" s="104" t="s">
        <v>38</v>
      </c>
      <c r="N47" s="20">
        <f t="shared" si="0"/>
        <v>0.21208106001558846</v>
      </c>
    </row>
    <row r="48" spans="1:33" x14ac:dyDescent="0.3">
      <c r="A48" s="101" t="s">
        <v>307</v>
      </c>
      <c r="B48" s="102" t="s">
        <v>40</v>
      </c>
      <c r="C48" s="103">
        <v>45504</v>
      </c>
      <c r="D48" s="102" t="s">
        <v>69</v>
      </c>
      <c r="E48" s="102" t="s">
        <v>70</v>
      </c>
      <c r="F48" s="102">
        <v>3008</v>
      </c>
      <c r="G48" s="102">
        <v>94</v>
      </c>
      <c r="H48" s="102">
        <v>37</v>
      </c>
      <c r="I48" s="102">
        <v>15040</v>
      </c>
      <c r="J48" s="102">
        <v>14639</v>
      </c>
      <c r="K48" s="102">
        <v>277</v>
      </c>
      <c r="L48" s="102" t="s">
        <v>77</v>
      </c>
      <c r="M48" s="104" t="s">
        <v>19</v>
      </c>
      <c r="N48" s="20">
        <f t="shared" si="0"/>
        <v>0.20871010638297871</v>
      </c>
    </row>
    <row r="49" spans="1:14" x14ac:dyDescent="0.3">
      <c r="A49" s="101" t="s">
        <v>220</v>
      </c>
      <c r="B49" s="102" t="s">
        <v>14</v>
      </c>
      <c r="C49" s="103">
        <v>45449</v>
      </c>
      <c r="D49" s="102" t="s">
        <v>69</v>
      </c>
      <c r="E49" s="102" t="s">
        <v>70</v>
      </c>
      <c r="F49" s="102">
        <v>1436</v>
      </c>
      <c r="G49" s="102">
        <v>765</v>
      </c>
      <c r="H49" s="102">
        <v>496</v>
      </c>
      <c r="I49" s="102">
        <v>12924</v>
      </c>
      <c r="J49" s="102">
        <v>12701</v>
      </c>
      <c r="K49" s="102">
        <v>197</v>
      </c>
      <c r="L49" s="102" t="s">
        <v>209</v>
      </c>
      <c r="M49" s="104" t="s">
        <v>25</v>
      </c>
      <c r="N49" s="20">
        <f t="shared" si="0"/>
        <v>0.20868152274837512</v>
      </c>
    </row>
    <row r="50" spans="1:14" x14ac:dyDescent="0.3">
      <c r="A50" s="101" t="s">
        <v>511</v>
      </c>
      <c r="B50" s="102" t="s">
        <v>31</v>
      </c>
      <c r="C50" s="103">
        <v>45582</v>
      </c>
      <c r="D50" s="102" t="s">
        <v>69</v>
      </c>
      <c r="E50" s="102" t="s">
        <v>70</v>
      </c>
      <c r="F50" s="102">
        <v>3575</v>
      </c>
      <c r="G50" s="102">
        <v>749</v>
      </c>
      <c r="H50" s="102">
        <v>111</v>
      </c>
      <c r="I50" s="102">
        <v>21450</v>
      </c>
      <c r="J50" s="102">
        <v>20785</v>
      </c>
      <c r="K50" s="102">
        <v>195</v>
      </c>
      <c r="L50" s="102" t="s">
        <v>77</v>
      </c>
      <c r="M50" s="104" t="s">
        <v>38</v>
      </c>
      <c r="N50" s="20">
        <f t="shared" si="0"/>
        <v>0.20675990675990677</v>
      </c>
    </row>
    <row r="51" spans="1:14" x14ac:dyDescent="0.3">
      <c r="A51" s="101" t="s">
        <v>202</v>
      </c>
      <c r="B51" s="102" t="s">
        <v>40</v>
      </c>
      <c r="C51" s="103">
        <v>45720</v>
      </c>
      <c r="D51" s="102" t="s">
        <v>33</v>
      </c>
      <c r="E51" s="102" t="s">
        <v>34</v>
      </c>
      <c r="F51" s="102">
        <v>1249</v>
      </c>
      <c r="G51" s="102">
        <v>116</v>
      </c>
      <c r="H51" s="102">
        <v>420</v>
      </c>
      <c r="I51" s="102">
        <v>8743</v>
      </c>
      <c r="J51" s="102">
        <v>8538</v>
      </c>
      <c r="K51" s="102">
        <v>63</v>
      </c>
      <c r="L51" s="102" t="s">
        <v>71</v>
      </c>
      <c r="M51" s="104" t="s">
        <v>38</v>
      </c>
      <c r="N51" s="20">
        <f t="shared" si="0"/>
        <v>0.20416333066453163</v>
      </c>
    </row>
    <row r="52" spans="1:14" x14ac:dyDescent="0.3">
      <c r="A52" s="101" t="s">
        <v>305</v>
      </c>
      <c r="B52" s="102" t="s">
        <v>31</v>
      </c>
      <c r="C52" s="103">
        <v>45484</v>
      </c>
      <c r="D52" s="102" t="s">
        <v>22</v>
      </c>
      <c r="E52" s="102" t="s">
        <v>23</v>
      </c>
      <c r="F52" s="102">
        <v>3134</v>
      </c>
      <c r="G52" s="102">
        <v>888</v>
      </c>
      <c r="H52" s="102">
        <v>444</v>
      </c>
      <c r="I52" s="102">
        <v>21938</v>
      </c>
      <c r="J52" s="102">
        <v>21337</v>
      </c>
      <c r="K52" s="102">
        <v>130</v>
      </c>
      <c r="L52" s="102" t="s">
        <v>66</v>
      </c>
      <c r="M52" s="104" t="s">
        <v>55</v>
      </c>
      <c r="N52" s="20">
        <f t="shared" si="0"/>
        <v>0.20357370772176134</v>
      </c>
    </row>
    <row r="53" spans="1:14" x14ac:dyDescent="0.3">
      <c r="A53" s="101" t="s">
        <v>490</v>
      </c>
      <c r="B53" s="102" t="s">
        <v>31</v>
      </c>
      <c r="C53" s="103">
        <v>45509</v>
      </c>
      <c r="D53" s="102" t="s">
        <v>33</v>
      </c>
      <c r="E53" s="102" t="s">
        <v>34</v>
      </c>
      <c r="F53" s="102">
        <v>3601</v>
      </c>
      <c r="G53" s="102">
        <v>695</v>
      </c>
      <c r="H53" s="102">
        <v>75</v>
      </c>
      <c r="I53" s="102">
        <v>21606</v>
      </c>
      <c r="J53" s="102">
        <v>21454</v>
      </c>
      <c r="K53" s="102">
        <v>172</v>
      </c>
      <c r="L53" s="102" t="s">
        <v>58</v>
      </c>
      <c r="M53" s="104" t="s">
        <v>25</v>
      </c>
      <c r="N53" s="20">
        <f t="shared" si="0"/>
        <v>0.2023049153013052</v>
      </c>
    </row>
    <row r="54" spans="1:14" x14ac:dyDescent="0.3">
      <c r="A54" s="101" t="s">
        <v>518</v>
      </c>
      <c r="B54" s="102" t="s">
        <v>14</v>
      </c>
      <c r="C54" s="103">
        <v>45450</v>
      </c>
      <c r="D54" s="102" t="s">
        <v>42</v>
      </c>
      <c r="E54" s="102" t="s">
        <v>43</v>
      </c>
      <c r="F54" s="102">
        <v>1556</v>
      </c>
      <c r="G54" s="102">
        <v>195</v>
      </c>
      <c r="H54" s="102">
        <v>131</v>
      </c>
      <c r="I54" s="102">
        <v>9336</v>
      </c>
      <c r="J54" s="102">
        <v>8875</v>
      </c>
      <c r="K54" s="102">
        <v>137</v>
      </c>
      <c r="L54" s="102" t="s">
        <v>24</v>
      </c>
      <c r="M54" s="104" t="s">
        <v>25</v>
      </c>
      <c r="N54" s="20">
        <f t="shared" si="0"/>
        <v>0.2015852613538989</v>
      </c>
    </row>
    <row r="55" spans="1:14" x14ac:dyDescent="0.3">
      <c r="A55" s="101" t="s">
        <v>322</v>
      </c>
      <c r="B55" s="102" t="s">
        <v>31</v>
      </c>
      <c r="C55" s="103">
        <v>45762</v>
      </c>
      <c r="D55" s="102" t="s">
        <v>69</v>
      </c>
      <c r="E55" s="102" t="s">
        <v>70</v>
      </c>
      <c r="F55" s="102">
        <v>4133</v>
      </c>
      <c r="G55" s="102">
        <v>466</v>
      </c>
      <c r="H55" s="102">
        <v>327</v>
      </c>
      <c r="I55" s="102">
        <v>24798</v>
      </c>
      <c r="J55" s="102">
        <v>24620</v>
      </c>
      <c r="K55" s="102">
        <v>176</v>
      </c>
      <c r="L55" s="102" t="s">
        <v>58</v>
      </c>
      <c r="M55" s="104" t="s">
        <v>25</v>
      </c>
      <c r="N55" s="20">
        <f t="shared" si="0"/>
        <v>0.19864505202032423</v>
      </c>
    </row>
    <row r="56" spans="1:14" x14ac:dyDescent="0.3">
      <c r="A56" s="101" t="s">
        <v>403</v>
      </c>
      <c r="B56" s="102" t="s">
        <v>14</v>
      </c>
      <c r="C56" s="103">
        <v>45549</v>
      </c>
      <c r="D56" s="102" t="s">
        <v>49</v>
      </c>
      <c r="E56" s="102" t="s">
        <v>50</v>
      </c>
      <c r="F56" s="102">
        <v>1048</v>
      </c>
      <c r="G56" s="102">
        <v>374</v>
      </c>
      <c r="H56" s="102">
        <v>450</v>
      </c>
      <c r="I56" s="102">
        <v>9432</v>
      </c>
      <c r="J56" s="102">
        <v>8882</v>
      </c>
      <c r="K56" s="102">
        <v>158</v>
      </c>
      <c r="L56" s="102" t="s">
        <v>209</v>
      </c>
      <c r="M56" s="104" t="s">
        <v>25</v>
      </c>
      <c r="N56" s="20">
        <f t="shared" si="0"/>
        <v>0.19847328244274809</v>
      </c>
    </row>
    <row r="57" spans="1:14" x14ac:dyDescent="0.3">
      <c r="A57" s="101" t="s">
        <v>328</v>
      </c>
      <c r="B57" s="102" t="s">
        <v>40</v>
      </c>
      <c r="C57" s="103">
        <v>45769</v>
      </c>
      <c r="D57" s="102" t="s">
        <v>49</v>
      </c>
      <c r="E57" s="102" t="s">
        <v>50</v>
      </c>
      <c r="F57" s="102">
        <v>4804</v>
      </c>
      <c r="G57" s="102">
        <v>550</v>
      </c>
      <c r="H57" s="102">
        <v>270</v>
      </c>
      <c r="I57" s="102">
        <v>28824</v>
      </c>
      <c r="J57" s="102">
        <v>28370</v>
      </c>
      <c r="K57" s="102">
        <v>47</v>
      </c>
      <c r="L57" s="102" t="s">
        <v>82</v>
      </c>
      <c r="M57" s="104" t="s">
        <v>55</v>
      </c>
      <c r="N57" s="20">
        <f t="shared" si="0"/>
        <v>0.19511518179295032</v>
      </c>
    </row>
    <row r="58" spans="1:14" x14ac:dyDescent="0.3">
      <c r="A58" s="101" t="s">
        <v>533</v>
      </c>
      <c r="B58" s="102" t="s">
        <v>577</v>
      </c>
      <c r="C58" s="103">
        <v>45560</v>
      </c>
      <c r="D58" s="102" t="s">
        <v>69</v>
      </c>
      <c r="E58" s="102" t="s">
        <v>70</v>
      </c>
      <c r="F58" s="102">
        <v>3389</v>
      </c>
      <c r="G58" s="102">
        <v>344</v>
      </c>
      <c r="H58" s="102">
        <v>229</v>
      </c>
      <c r="I58" s="102">
        <v>20334</v>
      </c>
      <c r="J58" s="102">
        <v>19443</v>
      </c>
      <c r="K58" s="102">
        <v>228</v>
      </c>
      <c r="L58" s="102" t="s">
        <v>29</v>
      </c>
      <c r="M58" s="104" t="s">
        <v>25</v>
      </c>
      <c r="N58" s="20">
        <f t="shared" si="0"/>
        <v>0.19484607062063539</v>
      </c>
    </row>
    <row r="59" spans="1:14" x14ac:dyDescent="0.3">
      <c r="A59" s="101" t="s">
        <v>185</v>
      </c>
      <c r="B59" s="102" t="s">
        <v>31</v>
      </c>
      <c r="C59" s="103">
        <v>45634</v>
      </c>
      <c r="D59" s="102" t="s">
        <v>33</v>
      </c>
      <c r="E59" s="102" t="s">
        <v>34</v>
      </c>
      <c r="F59" s="102">
        <v>2610</v>
      </c>
      <c r="G59" s="102">
        <v>126</v>
      </c>
      <c r="H59" s="102">
        <v>288</v>
      </c>
      <c r="I59" s="102">
        <v>15660</v>
      </c>
      <c r="J59" s="102">
        <v>15145</v>
      </c>
      <c r="K59" s="102">
        <v>73</v>
      </c>
      <c r="L59" s="102" t="s">
        <v>24</v>
      </c>
      <c r="M59" s="104" t="s">
        <v>19</v>
      </c>
      <c r="N59" s="20">
        <f t="shared" si="0"/>
        <v>0.19310344827586207</v>
      </c>
    </row>
    <row r="60" spans="1:14" x14ac:dyDescent="0.3">
      <c r="A60" s="101" t="s">
        <v>217</v>
      </c>
      <c r="B60" s="102" t="s">
        <v>31</v>
      </c>
      <c r="C60" s="103">
        <v>45766</v>
      </c>
      <c r="D60" s="102" t="s">
        <v>49</v>
      </c>
      <c r="E60" s="102" t="s">
        <v>50</v>
      </c>
      <c r="F60" s="102">
        <v>4177</v>
      </c>
      <c r="G60" s="102">
        <v>569</v>
      </c>
      <c r="H60" s="102">
        <v>55</v>
      </c>
      <c r="I60" s="102">
        <v>25062</v>
      </c>
      <c r="J60" s="102">
        <v>24847</v>
      </c>
      <c r="K60" s="102">
        <v>230</v>
      </c>
      <c r="L60" s="102" t="s">
        <v>24</v>
      </c>
      <c r="M60" s="104" t="s">
        <v>19</v>
      </c>
      <c r="N60" s="20">
        <f t="shared" si="0"/>
        <v>0.19156491900087783</v>
      </c>
    </row>
    <row r="61" spans="1:14" x14ac:dyDescent="0.3">
      <c r="A61" s="101" t="s">
        <v>110</v>
      </c>
      <c r="B61" s="102" t="s">
        <v>14</v>
      </c>
      <c r="C61" s="103">
        <v>45504</v>
      </c>
      <c r="D61" s="102" t="s">
        <v>42</v>
      </c>
      <c r="E61" s="102" t="s">
        <v>43</v>
      </c>
      <c r="F61" s="102">
        <v>2278</v>
      </c>
      <c r="G61" s="102">
        <v>10</v>
      </c>
      <c r="H61" s="102">
        <v>321</v>
      </c>
      <c r="I61" s="102">
        <v>13668</v>
      </c>
      <c r="J61" s="102">
        <v>12676</v>
      </c>
      <c r="K61" s="102">
        <v>275</v>
      </c>
      <c r="L61" s="102" t="s">
        <v>105</v>
      </c>
      <c r="M61" s="104" t="s">
        <v>55</v>
      </c>
      <c r="N61" s="20">
        <f t="shared" si="0"/>
        <v>0.19088381621305239</v>
      </c>
    </row>
    <row r="62" spans="1:14" x14ac:dyDescent="0.3">
      <c r="A62" s="101" t="s">
        <v>433</v>
      </c>
      <c r="B62" s="102" t="s">
        <v>40</v>
      </c>
      <c r="C62" s="103">
        <v>45454</v>
      </c>
      <c r="D62" s="102" t="s">
        <v>42</v>
      </c>
      <c r="E62" s="102" t="s">
        <v>43</v>
      </c>
      <c r="F62" s="102">
        <v>1869</v>
      </c>
      <c r="G62" s="102">
        <v>453</v>
      </c>
      <c r="H62" s="102">
        <v>490</v>
      </c>
      <c r="I62" s="102">
        <v>14952</v>
      </c>
      <c r="J62" s="102">
        <v>14309</v>
      </c>
      <c r="K62" s="102">
        <v>275</v>
      </c>
      <c r="L62" s="102" t="s">
        <v>264</v>
      </c>
      <c r="M62" s="104" t="s">
        <v>19</v>
      </c>
      <c r="N62" s="20">
        <f t="shared" si="0"/>
        <v>0.18806848582129482</v>
      </c>
    </row>
    <row r="63" spans="1:14" x14ac:dyDescent="0.3">
      <c r="A63" s="101" t="s">
        <v>423</v>
      </c>
      <c r="B63" s="102" t="s">
        <v>14</v>
      </c>
      <c r="C63" s="103">
        <v>45491</v>
      </c>
      <c r="D63" s="102" t="s">
        <v>42</v>
      </c>
      <c r="E63" s="102" t="s">
        <v>43</v>
      </c>
      <c r="F63" s="102">
        <v>2120</v>
      </c>
      <c r="G63" s="102">
        <v>38</v>
      </c>
      <c r="H63" s="102">
        <v>212</v>
      </c>
      <c r="I63" s="102">
        <v>12720</v>
      </c>
      <c r="J63" s="102">
        <v>12564</v>
      </c>
      <c r="K63" s="102">
        <v>21</v>
      </c>
      <c r="L63" s="102" t="s">
        <v>209</v>
      </c>
      <c r="M63" s="104" t="s">
        <v>19</v>
      </c>
      <c r="N63" s="20">
        <f t="shared" si="0"/>
        <v>0.18632075471698112</v>
      </c>
    </row>
    <row r="64" spans="1:14" x14ac:dyDescent="0.3">
      <c r="A64" s="101" t="s">
        <v>466</v>
      </c>
      <c r="B64" s="102" t="s">
        <v>40</v>
      </c>
      <c r="C64" s="103">
        <v>45480</v>
      </c>
      <c r="D64" s="102" t="s">
        <v>16</v>
      </c>
      <c r="E64" s="102" t="s">
        <v>17</v>
      </c>
      <c r="F64" s="102">
        <v>4767</v>
      </c>
      <c r="G64" s="102">
        <v>190</v>
      </c>
      <c r="H64" s="102">
        <v>340</v>
      </c>
      <c r="I64" s="102">
        <v>28602</v>
      </c>
      <c r="J64" s="102">
        <v>28044</v>
      </c>
      <c r="K64" s="102">
        <v>210</v>
      </c>
      <c r="L64" s="102" t="s">
        <v>77</v>
      </c>
      <c r="M64" s="104" t="s">
        <v>55</v>
      </c>
      <c r="N64" s="20">
        <f t="shared" si="0"/>
        <v>0.18519683938186141</v>
      </c>
    </row>
    <row r="65" spans="1:14" x14ac:dyDescent="0.3">
      <c r="A65" s="101" t="s">
        <v>130</v>
      </c>
      <c r="B65" s="102" t="s">
        <v>31</v>
      </c>
      <c r="C65" s="103">
        <v>45724</v>
      </c>
      <c r="D65" s="102" t="s">
        <v>16</v>
      </c>
      <c r="E65" s="102" t="s">
        <v>17</v>
      </c>
      <c r="F65" s="102">
        <v>456</v>
      </c>
      <c r="G65" s="102">
        <v>629</v>
      </c>
      <c r="H65" s="102">
        <v>428</v>
      </c>
      <c r="I65" s="102">
        <v>8208</v>
      </c>
      <c r="J65" s="102">
        <v>7377</v>
      </c>
      <c r="K65" s="102">
        <v>205</v>
      </c>
      <c r="L65" s="102" t="s">
        <v>74</v>
      </c>
      <c r="M65" s="104" t="s">
        <v>38</v>
      </c>
      <c r="N65" s="20">
        <f t="shared" si="0"/>
        <v>0.18433235867446393</v>
      </c>
    </row>
    <row r="66" spans="1:14" x14ac:dyDescent="0.3">
      <c r="A66" s="101" t="s">
        <v>546</v>
      </c>
      <c r="B66" s="102" t="s">
        <v>40</v>
      </c>
      <c r="C66" s="103">
        <v>45462</v>
      </c>
      <c r="D66" s="102" t="s">
        <v>42</v>
      </c>
      <c r="E66" s="102" t="s">
        <v>43</v>
      </c>
      <c r="F66" s="102">
        <v>4731</v>
      </c>
      <c r="G66" s="102">
        <v>173</v>
      </c>
      <c r="H66" s="102">
        <v>276</v>
      </c>
      <c r="I66" s="102">
        <v>28386</v>
      </c>
      <c r="J66" s="102">
        <v>28185</v>
      </c>
      <c r="K66" s="102">
        <v>89</v>
      </c>
      <c r="L66" s="102" t="s">
        <v>105</v>
      </c>
      <c r="M66" s="104" t="s">
        <v>55</v>
      </c>
      <c r="N66" s="20">
        <f t="shared" ref="N66:N129" si="2">SUM(F66,G66,H66)/I66</f>
        <v>0.18248432325794406</v>
      </c>
    </row>
    <row r="67" spans="1:14" x14ac:dyDescent="0.3">
      <c r="A67" s="101" t="s">
        <v>39</v>
      </c>
      <c r="B67" s="102" t="s">
        <v>40</v>
      </c>
      <c r="C67" s="103">
        <v>45596</v>
      </c>
      <c r="D67" s="102" t="s">
        <v>42</v>
      </c>
      <c r="E67" s="102" t="s">
        <v>43</v>
      </c>
      <c r="F67" s="102">
        <v>2945</v>
      </c>
      <c r="G67" s="102">
        <v>930</v>
      </c>
      <c r="H67" s="102">
        <v>355</v>
      </c>
      <c r="I67" s="102">
        <v>23560</v>
      </c>
      <c r="J67" s="102">
        <v>23275</v>
      </c>
      <c r="K67" s="102">
        <v>256</v>
      </c>
      <c r="L67" s="102" t="s">
        <v>44</v>
      </c>
      <c r="M67" s="104" t="s">
        <v>25</v>
      </c>
      <c r="N67" s="20">
        <f t="shared" si="2"/>
        <v>0.17954159592529711</v>
      </c>
    </row>
    <row r="68" spans="1:14" x14ac:dyDescent="0.3">
      <c r="A68" s="101" t="s">
        <v>330</v>
      </c>
      <c r="B68" s="102" t="s">
        <v>14</v>
      </c>
      <c r="C68" s="103">
        <v>45658</v>
      </c>
      <c r="D68" s="102" t="s">
        <v>69</v>
      </c>
      <c r="E68" s="102" t="s">
        <v>70</v>
      </c>
      <c r="F68" s="102">
        <v>754</v>
      </c>
      <c r="G68" s="102">
        <v>197</v>
      </c>
      <c r="H68" s="102">
        <v>257</v>
      </c>
      <c r="I68" s="102">
        <v>6786</v>
      </c>
      <c r="J68" s="102">
        <v>6221</v>
      </c>
      <c r="K68" s="102">
        <v>212</v>
      </c>
      <c r="L68" s="102" t="s">
        <v>178</v>
      </c>
      <c r="M68" s="104" t="s">
        <v>38</v>
      </c>
      <c r="N68" s="20">
        <f t="shared" si="2"/>
        <v>0.17801355732390214</v>
      </c>
    </row>
    <row r="69" spans="1:14" x14ac:dyDescent="0.3">
      <c r="A69" s="101" t="s">
        <v>121</v>
      </c>
      <c r="B69" s="102" t="s">
        <v>40</v>
      </c>
      <c r="C69" s="103">
        <v>45663</v>
      </c>
      <c r="D69" s="102" t="s">
        <v>42</v>
      </c>
      <c r="E69" s="102" t="s">
        <v>43</v>
      </c>
      <c r="F69" s="102">
        <v>3024</v>
      </c>
      <c r="G69" s="102">
        <v>925</v>
      </c>
      <c r="H69" s="102">
        <v>350</v>
      </c>
      <c r="I69" s="102">
        <v>24192</v>
      </c>
      <c r="J69" s="102">
        <v>23518</v>
      </c>
      <c r="K69" s="102">
        <v>36</v>
      </c>
      <c r="L69" s="102" t="s">
        <v>18</v>
      </c>
      <c r="M69" s="104" t="s">
        <v>38</v>
      </c>
      <c r="N69" s="20">
        <f t="shared" si="2"/>
        <v>0.17770337301587302</v>
      </c>
    </row>
    <row r="70" spans="1:14" x14ac:dyDescent="0.3">
      <c r="A70" s="101" t="s">
        <v>464</v>
      </c>
      <c r="B70" s="102" t="s">
        <v>40</v>
      </c>
      <c r="C70" s="103">
        <v>45675</v>
      </c>
      <c r="D70" s="102" t="s">
        <v>33</v>
      </c>
      <c r="E70" s="102" t="s">
        <v>34</v>
      </c>
      <c r="F70" s="102">
        <v>4321</v>
      </c>
      <c r="G70" s="102">
        <v>874</v>
      </c>
      <c r="H70" s="102">
        <v>172</v>
      </c>
      <c r="I70" s="102">
        <v>30247</v>
      </c>
      <c r="J70" s="102">
        <v>29254</v>
      </c>
      <c r="K70" s="102">
        <v>122</v>
      </c>
      <c r="L70" s="102" t="s">
        <v>66</v>
      </c>
      <c r="M70" s="104" t="s">
        <v>38</v>
      </c>
      <c r="N70" s="20">
        <f t="shared" si="2"/>
        <v>0.17743908486792079</v>
      </c>
    </row>
    <row r="71" spans="1:14" x14ac:dyDescent="0.3">
      <c r="A71" s="101" t="s">
        <v>267</v>
      </c>
      <c r="B71" s="102" t="s">
        <v>14</v>
      </c>
      <c r="C71" s="103">
        <v>45570</v>
      </c>
      <c r="D71" s="102" t="s">
        <v>33</v>
      </c>
      <c r="E71" s="102" t="s">
        <v>34</v>
      </c>
      <c r="F71" s="102">
        <v>1957</v>
      </c>
      <c r="G71" s="102">
        <v>877</v>
      </c>
      <c r="H71" s="102">
        <v>238</v>
      </c>
      <c r="I71" s="102">
        <v>17613</v>
      </c>
      <c r="J71" s="102">
        <v>16865</v>
      </c>
      <c r="K71" s="102">
        <v>297</v>
      </c>
      <c r="L71" s="102" t="s">
        <v>29</v>
      </c>
      <c r="M71" s="104" t="s">
        <v>38</v>
      </c>
      <c r="N71" s="20">
        <f t="shared" si="2"/>
        <v>0.17441662408448305</v>
      </c>
    </row>
    <row r="72" spans="1:14" x14ac:dyDescent="0.3">
      <c r="A72" s="101" t="s">
        <v>294</v>
      </c>
      <c r="B72" s="102" t="s">
        <v>14</v>
      </c>
      <c r="C72" s="103">
        <v>45494</v>
      </c>
      <c r="D72" s="102" t="s">
        <v>22</v>
      </c>
      <c r="E72" s="102" t="s">
        <v>23</v>
      </c>
      <c r="F72" s="102">
        <v>2147</v>
      </c>
      <c r="G72" s="102">
        <v>430</v>
      </c>
      <c r="H72" s="102">
        <v>393</v>
      </c>
      <c r="I72" s="102">
        <v>17176</v>
      </c>
      <c r="J72" s="102">
        <v>16483</v>
      </c>
      <c r="K72" s="102">
        <v>170</v>
      </c>
      <c r="L72" s="102" t="s">
        <v>77</v>
      </c>
      <c r="M72" s="104" t="s">
        <v>55</v>
      </c>
      <c r="N72" s="20">
        <f t="shared" si="2"/>
        <v>0.17291569632044715</v>
      </c>
    </row>
    <row r="73" spans="1:14" x14ac:dyDescent="0.3">
      <c r="A73" s="101" t="s">
        <v>100</v>
      </c>
      <c r="B73" s="102" t="s">
        <v>31</v>
      </c>
      <c r="C73" s="103">
        <v>45720</v>
      </c>
      <c r="D73" s="102" t="s">
        <v>69</v>
      </c>
      <c r="E73" s="102" t="s">
        <v>70</v>
      </c>
      <c r="F73" s="102">
        <v>432</v>
      </c>
      <c r="G73" s="102">
        <v>624</v>
      </c>
      <c r="H73" s="102">
        <v>123</v>
      </c>
      <c r="I73" s="102">
        <v>6912</v>
      </c>
      <c r="J73" s="102">
        <v>6259</v>
      </c>
      <c r="K73" s="102">
        <v>79</v>
      </c>
      <c r="L73" s="102" t="s">
        <v>102</v>
      </c>
      <c r="M73" s="104" t="s">
        <v>25</v>
      </c>
      <c r="N73" s="20">
        <f t="shared" si="2"/>
        <v>0.17057291666666666</v>
      </c>
    </row>
    <row r="74" spans="1:14" x14ac:dyDescent="0.3">
      <c r="A74" s="101" t="s">
        <v>140</v>
      </c>
      <c r="B74" s="102" t="s">
        <v>14</v>
      </c>
      <c r="C74" s="103">
        <v>45779</v>
      </c>
      <c r="D74" s="102" t="s">
        <v>69</v>
      </c>
      <c r="E74" s="102" t="s">
        <v>70</v>
      </c>
      <c r="F74" s="102">
        <v>1108</v>
      </c>
      <c r="G74" s="102">
        <v>177</v>
      </c>
      <c r="H74" s="102">
        <v>212</v>
      </c>
      <c r="I74" s="102">
        <v>8864</v>
      </c>
      <c r="J74" s="102">
        <v>8710</v>
      </c>
      <c r="K74" s="102">
        <v>97</v>
      </c>
      <c r="L74" s="102" t="s">
        <v>24</v>
      </c>
      <c r="M74" s="104" t="s">
        <v>55</v>
      </c>
      <c r="N74" s="20">
        <f t="shared" si="2"/>
        <v>0.16888537906137185</v>
      </c>
    </row>
    <row r="75" spans="1:14" x14ac:dyDescent="0.3">
      <c r="A75" s="101" t="s">
        <v>224</v>
      </c>
      <c r="B75" s="102" t="s">
        <v>14</v>
      </c>
      <c r="C75" s="103">
        <v>45667</v>
      </c>
      <c r="D75" s="102" t="s">
        <v>49</v>
      </c>
      <c r="E75" s="102" t="s">
        <v>50</v>
      </c>
      <c r="F75" s="102">
        <v>2214</v>
      </c>
      <c r="G75" s="102">
        <v>249</v>
      </c>
      <c r="H75" s="102">
        <v>152</v>
      </c>
      <c r="I75" s="102">
        <v>15498</v>
      </c>
      <c r="J75" s="102">
        <v>14800</v>
      </c>
      <c r="K75" s="102">
        <v>180</v>
      </c>
      <c r="L75" s="102" t="s">
        <v>18</v>
      </c>
      <c r="M75" s="104" t="s">
        <v>25</v>
      </c>
      <c r="N75" s="20">
        <f t="shared" si="2"/>
        <v>0.16873144921925409</v>
      </c>
    </row>
    <row r="76" spans="1:14" x14ac:dyDescent="0.3">
      <c r="A76" s="101" t="s">
        <v>233</v>
      </c>
      <c r="B76" s="102" t="s">
        <v>31</v>
      </c>
      <c r="C76" s="103">
        <v>45603</v>
      </c>
      <c r="D76" s="102" t="s">
        <v>49</v>
      </c>
      <c r="E76" s="102" t="s">
        <v>50</v>
      </c>
      <c r="F76" s="102">
        <v>2647</v>
      </c>
      <c r="G76" s="102">
        <v>304</v>
      </c>
      <c r="H76" s="102">
        <v>170</v>
      </c>
      <c r="I76" s="102">
        <v>18529</v>
      </c>
      <c r="J76" s="102">
        <v>17841</v>
      </c>
      <c r="K76" s="102">
        <v>46</v>
      </c>
      <c r="L76" s="102" t="s">
        <v>58</v>
      </c>
      <c r="M76" s="104" t="s">
        <v>25</v>
      </c>
      <c r="N76" s="20">
        <f t="shared" si="2"/>
        <v>0.16843866371633656</v>
      </c>
    </row>
    <row r="77" spans="1:14" x14ac:dyDescent="0.3">
      <c r="A77" s="101" t="s">
        <v>275</v>
      </c>
      <c r="B77" s="102" t="s">
        <v>577</v>
      </c>
      <c r="C77" s="103">
        <v>45734</v>
      </c>
      <c r="D77" s="102" t="s">
        <v>16</v>
      </c>
      <c r="E77" s="102" t="s">
        <v>17</v>
      </c>
      <c r="F77" s="102">
        <v>3704</v>
      </c>
      <c r="G77" s="102">
        <v>186</v>
      </c>
      <c r="H77" s="102">
        <v>458</v>
      </c>
      <c r="I77" s="102">
        <v>25928</v>
      </c>
      <c r="J77" s="102">
        <v>25081</v>
      </c>
      <c r="K77" s="102">
        <v>131</v>
      </c>
      <c r="L77" s="102" t="s">
        <v>58</v>
      </c>
      <c r="M77" s="104" t="s">
        <v>19</v>
      </c>
      <c r="N77" s="20">
        <f t="shared" si="2"/>
        <v>0.16769515581610614</v>
      </c>
    </row>
    <row r="78" spans="1:14" x14ac:dyDescent="0.3">
      <c r="A78" s="101" t="s">
        <v>517</v>
      </c>
      <c r="B78" s="102" t="s">
        <v>40</v>
      </c>
      <c r="C78" s="103">
        <v>45509</v>
      </c>
      <c r="D78" s="102" t="s">
        <v>16</v>
      </c>
      <c r="E78" s="102" t="s">
        <v>17</v>
      </c>
      <c r="F78" s="102">
        <v>1741</v>
      </c>
      <c r="G78" s="102">
        <v>831</v>
      </c>
      <c r="H78" s="102">
        <v>345</v>
      </c>
      <c r="I78" s="102">
        <v>17410</v>
      </c>
      <c r="J78" s="102">
        <v>16844</v>
      </c>
      <c r="K78" s="102">
        <v>58</v>
      </c>
      <c r="L78" s="102" t="s">
        <v>71</v>
      </c>
      <c r="M78" s="104" t="s">
        <v>55</v>
      </c>
      <c r="N78" s="20">
        <f t="shared" si="2"/>
        <v>0.16754738655944859</v>
      </c>
    </row>
    <row r="79" spans="1:14" x14ac:dyDescent="0.3">
      <c r="A79" s="101" t="s">
        <v>260</v>
      </c>
      <c r="B79" s="102" t="s">
        <v>14</v>
      </c>
      <c r="C79" s="103">
        <v>45512</v>
      </c>
      <c r="D79" s="102" t="s">
        <v>33</v>
      </c>
      <c r="E79" s="102" t="s">
        <v>34</v>
      </c>
      <c r="F79" s="102">
        <v>3649</v>
      </c>
      <c r="G79" s="102">
        <v>215</v>
      </c>
      <c r="H79" s="102">
        <v>413</v>
      </c>
      <c r="I79" s="102">
        <v>25543</v>
      </c>
      <c r="J79" s="102">
        <v>24963</v>
      </c>
      <c r="K79" s="102">
        <v>167</v>
      </c>
      <c r="L79" s="102" t="s">
        <v>146</v>
      </c>
      <c r="M79" s="104" t="s">
        <v>19</v>
      </c>
      <c r="N79" s="20">
        <f t="shared" si="2"/>
        <v>0.16744313510550835</v>
      </c>
    </row>
    <row r="80" spans="1:14" x14ac:dyDescent="0.3">
      <c r="A80" s="101" t="s">
        <v>142</v>
      </c>
      <c r="B80" s="102" t="s">
        <v>14</v>
      </c>
      <c r="C80" s="103">
        <v>45712</v>
      </c>
      <c r="D80" s="102" t="s">
        <v>42</v>
      </c>
      <c r="E80" s="102" t="s">
        <v>43</v>
      </c>
      <c r="F80" s="102">
        <v>2704</v>
      </c>
      <c r="G80" s="102">
        <v>752</v>
      </c>
      <c r="H80" s="102">
        <v>153</v>
      </c>
      <c r="I80" s="102">
        <v>21632</v>
      </c>
      <c r="J80" s="102">
        <v>20792</v>
      </c>
      <c r="K80" s="102">
        <v>127</v>
      </c>
      <c r="L80" s="102" t="s">
        <v>144</v>
      </c>
      <c r="M80" s="104" t="s">
        <v>19</v>
      </c>
      <c r="N80" s="20">
        <f t="shared" si="2"/>
        <v>0.16683616863905326</v>
      </c>
    </row>
    <row r="81" spans="1:14" x14ac:dyDescent="0.3">
      <c r="A81" s="101" t="s">
        <v>548</v>
      </c>
      <c r="B81" s="102" t="s">
        <v>14</v>
      </c>
      <c r="C81" s="103">
        <v>45783</v>
      </c>
      <c r="D81" s="102" t="s">
        <v>49</v>
      </c>
      <c r="E81" s="102" t="s">
        <v>50</v>
      </c>
      <c r="F81" s="102">
        <v>1952</v>
      </c>
      <c r="G81" s="102">
        <v>344</v>
      </c>
      <c r="H81" s="102">
        <v>287</v>
      </c>
      <c r="I81" s="102">
        <v>15616</v>
      </c>
      <c r="J81" s="102">
        <v>15403</v>
      </c>
      <c r="K81" s="102">
        <v>235</v>
      </c>
      <c r="L81" s="102" t="s">
        <v>66</v>
      </c>
      <c r="M81" s="104" t="s">
        <v>38</v>
      </c>
      <c r="N81" s="20">
        <f t="shared" si="2"/>
        <v>0.16540727459016394</v>
      </c>
    </row>
    <row r="82" spans="1:14" x14ac:dyDescent="0.3">
      <c r="A82" s="101" t="s">
        <v>156</v>
      </c>
      <c r="B82" s="102" t="s">
        <v>577</v>
      </c>
      <c r="C82" s="103">
        <v>45729</v>
      </c>
      <c r="D82" s="102" t="s">
        <v>42</v>
      </c>
      <c r="E82" s="102" t="s">
        <v>43</v>
      </c>
      <c r="F82" s="102">
        <v>1686</v>
      </c>
      <c r="G82" s="102">
        <v>904</v>
      </c>
      <c r="H82" s="102">
        <v>472</v>
      </c>
      <c r="I82" s="102">
        <v>18546</v>
      </c>
      <c r="J82" s="102">
        <v>18171</v>
      </c>
      <c r="K82" s="102">
        <v>52</v>
      </c>
      <c r="L82" s="102" t="s">
        <v>71</v>
      </c>
      <c r="M82" s="104" t="s">
        <v>25</v>
      </c>
      <c r="N82" s="20">
        <f t="shared" si="2"/>
        <v>0.16510298716704411</v>
      </c>
    </row>
    <row r="83" spans="1:14" x14ac:dyDescent="0.3">
      <c r="A83" s="101" t="s">
        <v>169</v>
      </c>
      <c r="B83" s="102" t="s">
        <v>31</v>
      </c>
      <c r="C83" s="103">
        <v>45685</v>
      </c>
      <c r="D83" s="102" t="s">
        <v>69</v>
      </c>
      <c r="E83" s="102" t="s">
        <v>70</v>
      </c>
      <c r="F83" s="102">
        <v>904</v>
      </c>
      <c r="G83" s="102">
        <v>973</v>
      </c>
      <c r="H83" s="102">
        <v>63</v>
      </c>
      <c r="I83" s="102">
        <v>11752</v>
      </c>
      <c r="J83" s="102">
        <v>11580</v>
      </c>
      <c r="K83" s="102">
        <v>84</v>
      </c>
      <c r="L83" s="102" t="s">
        <v>58</v>
      </c>
      <c r="M83" s="104" t="s">
        <v>19</v>
      </c>
      <c r="N83" s="20">
        <f t="shared" si="2"/>
        <v>0.1650782845473111</v>
      </c>
    </row>
    <row r="84" spans="1:14" x14ac:dyDescent="0.3">
      <c r="A84" s="101" t="s">
        <v>212</v>
      </c>
      <c r="B84" s="102" t="s">
        <v>577</v>
      </c>
      <c r="C84" s="103">
        <v>45580</v>
      </c>
      <c r="D84" s="102" t="s">
        <v>69</v>
      </c>
      <c r="E84" s="102" t="s">
        <v>70</v>
      </c>
      <c r="F84" s="102">
        <v>1094</v>
      </c>
      <c r="G84" s="102">
        <v>472</v>
      </c>
      <c r="H84" s="102">
        <v>21</v>
      </c>
      <c r="I84" s="102">
        <v>9846</v>
      </c>
      <c r="J84" s="102">
        <v>9609</v>
      </c>
      <c r="K84" s="102">
        <v>112</v>
      </c>
      <c r="L84" s="102" t="s">
        <v>214</v>
      </c>
      <c r="M84" s="104" t="s">
        <v>38</v>
      </c>
      <c r="N84" s="20">
        <f t="shared" si="2"/>
        <v>0.16118220597196831</v>
      </c>
    </row>
    <row r="85" spans="1:14" x14ac:dyDescent="0.3">
      <c r="A85" s="101" t="s">
        <v>308</v>
      </c>
      <c r="B85" s="102" t="s">
        <v>14</v>
      </c>
      <c r="C85" s="103">
        <v>45745</v>
      </c>
      <c r="D85" s="102" t="s">
        <v>49</v>
      </c>
      <c r="E85" s="102" t="s">
        <v>50</v>
      </c>
      <c r="F85" s="102">
        <v>305</v>
      </c>
      <c r="G85" s="102">
        <v>187</v>
      </c>
      <c r="H85" s="102">
        <v>243</v>
      </c>
      <c r="I85" s="102">
        <v>4575</v>
      </c>
      <c r="J85" s="102">
        <v>3704</v>
      </c>
      <c r="K85" s="102">
        <v>234</v>
      </c>
      <c r="L85" s="102" t="s">
        <v>285</v>
      </c>
      <c r="M85" s="104" t="s">
        <v>55</v>
      </c>
      <c r="N85" s="20">
        <f t="shared" si="2"/>
        <v>0.16065573770491803</v>
      </c>
    </row>
    <row r="86" spans="1:14" x14ac:dyDescent="0.3">
      <c r="A86" s="101" t="s">
        <v>436</v>
      </c>
      <c r="B86" s="102" t="s">
        <v>40</v>
      </c>
      <c r="C86" s="103">
        <v>45739</v>
      </c>
      <c r="D86" s="102" t="s">
        <v>69</v>
      </c>
      <c r="E86" s="102" t="s">
        <v>70</v>
      </c>
      <c r="F86" s="102">
        <v>4453</v>
      </c>
      <c r="G86" s="102">
        <v>111</v>
      </c>
      <c r="H86" s="102">
        <v>420</v>
      </c>
      <c r="I86" s="102">
        <v>31171</v>
      </c>
      <c r="J86" s="102">
        <v>30565</v>
      </c>
      <c r="K86" s="102">
        <v>23</v>
      </c>
      <c r="L86" s="102" t="s">
        <v>105</v>
      </c>
      <c r="M86" s="104" t="s">
        <v>55</v>
      </c>
      <c r="N86" s="20">
        <f t="shared" si="2"/>
        <v>0.15989220750056141</v>
      </c>
    </row>
    <row r="87" spans="1:14" x14ac:dyDescent="0.3">
      <c r="A87" s="101" t="s">
        <v>482</v>
      </c>
      <c r="B87" s="102" t="s">
        <v>40</v>
      </c>
      <c r="C87" s="103">
        <v>45775</v>
      </c>
      <c r="D87" s="102" t="s">
        <v>42</v>
      </c>
      <c r="E87" s="102" t="s">
        <v>43</v>
      </c>
      <c r="F87" s="102">
        <v>2089</v>
      </c>
      <c r="G87" s="102">
        <v>476</v>
      </c>
      <c r="H87" s="102">
        <v>69</v>
      </c>
      <c r="I87" s="102">
        <v>16712</v>
      </c>
      <c r="J87" s="102">
        <v>16309</v>
      </c>
      <c r="K87" s="102">
        <v>64</v>
      </c>
      <c r="L87" s="102" t="s">
        <v>61</v>
      </c>
      <c r="M87" s="104" t="s">
        <v>19</v>
      </c>
      <c r="N87" s="20">
        <f t="shared" si="2"/>
        <v>0.15761129727142173</v>
      </c>
    </row>
    <row r="88" spans="1:14" x14ac:dyDescent="0.3">
      <c r="A88" s="101" t="s">
        <v>153</v>
      </c>
      <c r="B88" s="102" t="s">
        <v>40</v>
      </c>
      <c r="C88" s="103">
        <v>45660</v>
      </c>
      <c r="D88" s="102" t="s">
        <v>49</v>
      </c>
      <c r="E88" s="102" t="s">
        <v>50</v>
      </c>
      <c r="F88" s="102">
        <v>947</v>
      </c>
      <c r="G88" s="102">
        <v>338</v>
      </c>
      <c r="H88" s="102">
        <v>350</v>
      </c>
      <c r="I88" s="102">
        <v>10417</v>
      </c>
      <c r="J88" s="102">
        <v>9730</v>
      </c>
      <c r="K88" s="102">
        <v>34</v>
      </c>
      <c r="L88" s="102" t="s">
        <v>29</v>
      </c>
      <c r="M88" s="104" t="s">
        <v>38</v>
      </c>
      <c r="N88" s="20">
        <f t="shared" si="2"/>
        <v>0.1569549774407219</v>
      </c>
    </row>
    <row r="89" spans="1:14" x14ac:dyDescent="0.3">
      <c r="A89" s="101" t="s">
        <v>311</v>
      </c>
      <c r="B89" s="102" t="s">
        <v>40</v>
      </c>
      <c r="C89" s="103">
        <v>45488</v>
      </c>
      <c r="D89" s="102" t="s">
        <v>49</v>
      </c>
      <c r="E89" s="102" t="s">
        <v>50</v>
      </c>
      <c r="F89" s="102">
        <v>2291</v>
      </c>
      <c r="G89" s="102">
        <v>78</v>
      </c>
      <c r="H89" s="102">
        <v>485</v>
      </c>
      <c r="I89" s="102">
        <v>18328</v>
      </c>
      <c r="J89" s="102">
        <v>18101</v>
      </c>
      <c r="K89" s="102">
        <v>10</v>
      </c>
      <c r="L89" s="102" t="s">
        <v>77</v>
      </c>
      <c r="M89" s="104" t="s">
        <v>19</v>
      </c>
      <c r="N89" s="20">
        <f t="shared" si="2"/>
        <v>0.15571802706241816</v>
      </c>
    </row>
    <row r="90" spans="1:14" x14ac:dyDescent="0.3">
      <c r="A90" s="101" t="s">
        <v>351</v>
      </c>
      <c r="B90" s="102" t="s">
        <v>14</v>
      </c>
      <c r="C90" s="103">
        <v>45637</v>
      </c>
      <c r="D90" s="102" t="s">
        <v>22</v>
      </c>
      <c r="E90" s="102" t="s">
        <v>23</v>
      </c>
      <c r="F90" s="102">
        <v>3239</v>
      </c>
      <c r="G90" s="102">
        <v>43</v>
      </c>
      <c r="H90" s="102">
        <v>211</v>
      </c>
      <c r="I90" s="102">
        <v>22673</v>
      </c>
      <c r="J90" s="102">
        <v>22171</v>
      </c>
      <c r="K90" s="102">
        <v>230</v>
      </c>
      <c r="L90" s="102" t="s">
        <v>214</v>
      </c>
      <c r="M90" s="104" t="s">
        <v>25</v>
      </c>
      <c r="N90" s="20">
        <f t="shared" si="2"/>
        <v>0.15405989502933004</v>
      </c>
    </row>
    <row r="91" spans="1:14" x14ac:dyDescent="0.3">
      <c r="A91" s="101" t="s">
        <v>350</v>
      </c>
      <c r="B91" s="102" t="s">
        <v>577</v>
      </c>
      <c r="C91" s="103">
        <v>45715</v>
      </c>
      <c r="D91" s="102" t="s">
        <v>22</v>
      </c>
      <c r="E91" s="102" t="s">
        <v>23</v>
      </c>
      <c r="F91" s="102">
        <v>4934</v>
      </c>
      <c r="G91" s="102">
        <v>971</v>
      </c>
      <c r="H91" s="102">
        <v>156</v>
      </c>
      <c r="I91" s="102">
        <v>39472</v>
      </c>
      <c r="J91" s="102">
        <v>39025</v>
      </c>
      <c r="K91" s="102">
        <v>169</v>
      </c>
      <c r="L91" s="102" t="s">
        <v>264</v>
      </c>
      <c r="M91" s="104" t="s">
        <v>25</v>
      </c>
      <c r="N91" s="20">
        <f t="shared" si="2"/>
        <v>0.15355188488042157</v>
      </c>
    </row>
    <row r="92" spans="1:14" x14ac:dyDescent="0.3">
      <c r="A92" s="101" t="s">
        <v>497</v>
      </c>
      <c r="B92" s="102" t="s">
        <v>577</v>
      </c>
      <c r="C92" s="103">
        <v>45675</v>
      </c>
      <c r="D92" s="102" t="s">
        <v>49</v>
      </c>
      <c r="E92" s="102" t="s">
        <v>50</v>
      </c>
      <c r="F92" s="102">
        <v>1206</v>
      </c>
      <c r="G92" s="102">
        <v>238</v>
      </c>
      <c r="H92" s="102">
        <v>36</v>
      </c>
      <c r="I92" s="102">
        <v>9648</v>
      </c>
      <c r="J92" s="102">
        <v>9417</v>
      </c>
      <c r="K92" s="102">
        <v>237</v>
      </c>
      <c r="L92" s="102" t="s">
        <v>82</v>
      </c>
      <c r="M92" s="104" t="s">
        <v>38</v>
      </c>
      <c r="N92" s="20">
        <f t="shared" si="2"/>
        <v>0.15339966832504145</v>
      </c>
    </row>
    <row r="93" spans="1:14" x14ac:dyDescent="0.3">
      <c r="A93" s="101" t="s">
        <v>321</v>
      </c>
      <c r="B93" s="102" t="s">
        <v>31</v>
      </c>
      <c r="C93" s="103">
        <v>45586</v>
      </c>
      <c r="D93" s="102" t="s">
        <v>16</v>
      </c>
      <c r="E93" s="102" t="s">
        <v>17</v>
      </c>
      <c r="F93" s="102">
        <v>3256</v>
      </c>
      <c r="G93" s="102">
        <v>459</v>
      </c>
      <c r="H93" s="102">
        <v>266</v>
      </c>
      <c r="I93" s="102">
        <v>26048</v>
      </c>
      <c r="J93" s="102">
        <v>25529</v>
      </c>
      <c r="K93" s="102">
        <v>143</v>
      </c>
      <c r="L93" s="102" t="s">
        <v>82</v>
      </c>
      <c r="M93" s="104" t="s">
        <v>38</v>
      </c>
      <c r="N93" s="20">
        <f t="shared" si="2"/>
        <v>0.15283323095823095</v>
      </c>
    </row>
    <row r="94" spans="1:14" x14ac:dyDescent="0.3">
      <c r="A94" s="101" t="s">
        <v>30</v>
      </c>
      <c r="B94" s="102" t="s">
        <v>31</v>
      </c>
      <c r="C94" s="103">
        <v>45516</v>
      </c>
      <c r="D94" s="102" t="s">
        <v>33</v>
      </c>
      <c r="E94" s="102" t="s">
        <v>34</v>
      </c>
      <c r="F94" s="102">
        <v>2404</v>
      </c>
      <c r="G94" s="102">
        <v>363</v>
      </c>
      <c r="H94" s="102">
        <v>138</v>
      </c>
      <c r="I94" s="102">
        <v>19232</v>
      </c>
      <c r="J94" s="102">
        <v>18636</v>
      </c>
      <c r="K94" s="102">
        <v>128</v>
      </c>
      <c r="L94" s="102" t="s">
        <v>18</v>
      </c>
      <c r="M94" s="104" t="s">
        <v>19</v>
      </c>
      <c r="N94" s="20">
        <f t="shared" si="2"/>
        <v>0.15105033277870217</v>
      </c>
    </row>
    <row r="95" spans="1:14" x14ac:dyDescent="0.3">
      <c r="A95" s="101" t="s">
        <v>64</v>
      </c>
      <c r="B95" s="102" t="s">
        <v>40</v>
      </c>
      <c r="C95" s="103">
        <v>45704</v>
      </c>
      <c r="D95" s="102" t="s">
        <v>33</v>
      </c>
      <c r="E95" s="102" t="s">
        <v>34</v>
      </c>
      <c r="F95" s="102">
        <v>4242</v>
      </c>
      <c r="G95" s="102">
        <v>555</v>
      </c>
      <c r="H95" s="102">
        <v>131</v>
      </c>
      <c r="I95" s="102">
        <v>33936</v>
      </c>
      <c r="J95" s="102">
        <v>33802</v>
      </c>
      <c r="K95" s="102">
        <v>265</v>
      </c>
      <c r="L95" s="102" t="s">
        <v>66</v>
      </c>
      <c r="M95" s="104" t="s">
        <v>38</v>
      </c>
      <c r="N95" s="20">
        <f t="shared" si="2"/>
        <v>0.14521452145214522</v>
      </c>
    </row>
    <row r="96" spans="1:14" x14ac:dyDescent="0.3">
      <c r="A96" s="101" t="s">
        <v>393</v>
      </c>
      <c r="B96" s="102" t="s">
        <v>31</v>
      </c>
      <c r="C96" s="103">
        <v>45625</v>
      </c>
      <c r="D96" s="102" t="s">
        <v>69</v>
      </c>
      <c r="E96" s="102" t="s">
        <v>70</v>
      </c>
      <c r="F96" s="102">
        <v>1176</v>
      </c>
      <c r="G96" s="102">
        <v>464</v>
      </c>
      <c r="H96" s="102">
        <v>394</v>
      </c>
      <c r="I96" s="102">
        <v>14112</v>
      </c>
      <c r="J96" s="102">
        <v>13588</v>
      </c>
      <c r="K96" s="102">
        <v>272</v>
      </c>
      <c r="L96" s="102" t="s">
        <v>77</v>
      </c>
      <c r="M96" s="104" t="s">
        <v>19</v>
      </c>
      <c r="N96" s="20">
        <f t="shared" si="2"/>
        <v>0.1441326530612245</v>
      </c>
    </row>
    <row r="97" spans="1:14" x14ac:dyDescent="0.3">
      <c r="A97" s="101" t="s">
        <v>364</v>
      </c>
      <c r="B97" s="102" t="s">
        <v>14</v>
      </c>
      <c r="C97" s="103">
        <v>45631</v>
      </c>
      <c r="D97" s="102" t="s">
        <v>69</v>
      </c>
      <c r="E97" s="102" t="s">
        <v>70</v>
      </c>
      <c r="F97" s="102">
        <v>1330</v>
      </c>
      <c r="G97" s="102">
        <v>925</v>
      </c>
      <c r="H97" s="102">
        <v>35</v>
      </c>
      <c r="I97" s="102">
        <v>15960</v>
      </c>
      <c r="J97" s="102">
        <v>15379</v>
      </c>
      <c r="K97" s="102">
        <v>229</v>
      </c>
      <c r="L97" s="102" t="s">
        <v>178</v>
      </c>
      <c r="M97" s="104" t="s">
        <v>55</v>
      </c>
      <c r="N97" s="20">
        <f t="shared" si="2"/>
        <v>0.14348370927318296</v>
      </c>
    </row>
    <row r="98" spans="1:14" x14ac:dyDescent="0.3">
      <c r="A98" s="101" t="s">
        <v>352</v>
      </c>
      <c r="B98" s="102" t="s">
        <v>14</v>
      </c>
      <c r="C98" s="103">
        <v>45704</v>
      </c>
      <c r="D98" s="102" t="s">
        <v>16</v>
      </c>
      <c r="E98" s="102" t="s">
        <v>17</v>
      </c>
      <c r="F98" s="102">
        <v>1076</v>
      </c>
      <c r="G98" s="102">
        <v>313</v>
      </c>
      <c r="H98" s="102">
        <v>306</v>
      </c>
      <c r="I98" s="102">
        <v>11836</v>
      </c>
      <c r="J98" s="102">
        <v>11596</v>
      </c>
      <c r="K98" s="102">
        <v>104</v>
      </c>
      <c r="L98" s="102" t="s">
        <v>77</v>
      </c>
      <c r="M98" s="104" t="s">
        <v>25</v>
      </c>
      <c r="N98" s="20">
        <f t="shared" si="2"/>
        <v>0.14320716458262928</v>
      </c>
    </row>
    <row r="99" spans="1:14" x14ac:dyDescent="0.3">
      <c r="A99" s="101" t="s">
        <v>417</v>
      </c>
      <c r="B99" s="102" t="s">
        <v>14</v>
      </c>
      <c r="C99" s="103">
        <v>45655</v>
      </c>
      <c r="D99" s="102" t="s">
        <v>42</v>
      </c>
      <c r="E99" s="102" t="s">
        <v>43</v>
      </c>
      <c r="F99" s="102">
        <v>4274</v>
      </c>
      <c r="G99" s="102">
        <v>340</v>
      </c>
      <c r="H99" s="102">
        <v>281</v>
      </c>
      <c r="I99" s="102">
        <v>34192</v>
      </c>
      <c r="J99" s="102">
        <v>33446</v>
      </c>
      <c r="K99" s="102">
        <v>129</v>
      </c>
      <c r="L99" s="102" t="s">
        <v>162</v>
      </c>
      <c r="M99" s="104" t="s">
        <v>38</v>
      </c>
      <c r="N99" s="20">
        <f t="shared" si="2"/>
        <v>0.14316214319138981</v>
      </c>
    </row>
    <row r="100" spans="1:14" x14ac:dyDescent="0.3">
      <c r="A100" s="101" t="s">
        <v>171</v>
      </c>
      <c r="B100" s="102" t="s">
        <v>14</v>
      </c>
      <c r="C100" s="103">
        <v>45540</v>
      </c>
      <c r="D100" s="102" t="s">
        <v>69</v>
      </c>
      <c r="E100" s="102" t="s">
        <v>70</v>
      </c>
      <c r="F100" s="102">
        <v>4886</v>
      </c>
      <c r="G100" s="102">
        <v>983</v>
      </c>
      <c r="H100" s="102">
        <v>409</v>
      </c>
      <c r="I100" s="102">
        <v>43974</v>
      </c>
      <c r="J100" s="102">
        <v>43239</v>
      </c>
      <c r="K100" s="102">
        <v>65</v>
      </c>
      <c r="L100" s="102" t="s">
        <v>24</v>
      </c>
      <c r="M100" s="104" t="s">
        <v>19</v>
      </c>
      <c r="N100" s="20">
        <f t="shared" si="2"/>
        <v>0.14276618001546368</v>
      </c>
    </row>
    <row r="101" spans="1:14" x14ac:dyDescent="0.3">
      <c r="A101" s="101" t="s">
        <v>289</v>
      </c>
      <c r="B101" s="102" t="s">
        <v>14</v>
      </c>
      <c r="C101" s="103">
        <v>45543</v>
      </c>
      <c r="D101" s="102" t="s">
        <v>42</v>
      </c>
      <c r="E101" s="102" t="s">
        <v>43</v>
      </c>
      <c r="F101" s="102">
        <v>3811</v>
      </c>
      <c r="G101" s="102">
        <v>866</v>
      </c>
      <c r="H101" s="102">
        <v>216</v>
      </c>
      <c r="I101" s="102">
        <v>34299</v>
      </c>
      <c r="J101" s="102">
        <v>34088</v>
      </c>
      <c r="K101" s="102">
        <v>233</v>
      </c>
      <c r="L101" s="102" t="s">
        <v>58</v>
      </c>
      <c r="M101" s="104" t="s">
        <v>38</v>
      </c>
      <c r="N101" s="20">
        <f t="shared" si="2"/>
        <v>0.14265722032712325</v>
      </c>
    </row>
    <row r="102" spans="1:14" x14ac:dyDescent="0.3">
      <c r="A102" s="101" t="s">
        <v>513</v>
      </c>
      <c r="B102" s="102" t="s">
        <v>31</v>
      </c>
      <c r="C102" s="103">
        <v>45743</v>
      </c>
      <c r="D102" s="102" t="s">
        <v>22</v>
      </c>
      <c r="E102" s="102" t="s">
        <v>23</v>
      </c>
      <c r="F102" s="102">
        <v>4941</v>
      </c>
      <c r="G102" s="102">
        <v>414</v>
      </c>
      <c r="H102" s="102">
        <v>266</v>
      </c>
      <c r="I102" s="102">
        <v>39528</v>
      </c>
      <c r="J102" s="102">
        <v>39154</v>
      </c>
      <c r="K102" s="102">
        <v>217</v>
      </c>
      <c r="L102" s="102" t="s">
        <v>18</v>
      </c>
      <c r="M102" s="104" t="s">
        <v>25</v>
      </c>
      <c r="N102" s="20">
        <f t="shared" si="2"/>
        <v>0.14220299534507186</v>
      </c>
    </row>
    <row r="103" spans="1:14" x14ac:dyDescent="0.3">
      <c r="A103" s="101" t="s">
        <v>128</v>
      </c>
      <c r="B103" s="102" t="s">
        <v>14</v>
      </c>
      <c r="C103" s="103">
        <v>45723</v>
      </c>
      <c r="D103" s="102" t="s">
        <v>49</v>
      </c>
      <c r="E103" s="102" t="s">
        <v>50</v>
      </c>
      <c r="F103" s="102">
        <v>4750</v>
      </c>
      <c r="G103" s="102">
        <v>151</v>
      </c>
      <c r="H103" s="102">
        <v>415</v>
      </c>
      <c r="I103" s="102">
        <v>38000</v>
      </c>
      <c r="J103" s="102">
        <v>37792</v>
      </c>
      <c r="K103" s="102">
        <v>299</v>
      </c>
      <c r="L103" s="102" t="s">
        <v>61</v>
      </c>
      <c r="M103" s="104" t="s">
        <v>25</v>
      </c>
      <c r="N103" s="20">
        <f t="shared" si="2"/>
        <v>0.13989473684210527</v>
      </c>
    </row>
    <row r="104" spans="1:14" x14ac:dyDescent="0.3">
      <c r="A104" s="101" t="s">
        <v>554</v>
      </c>
      <c r="B104" s="102" t="s">
        <v>40</v>
      </c>
      <c r="C104" s="103">
        <v>45530</v>
      </c>
      <c r="D104" s="102" t="s">
        <v>49</v>
      </c>
      <c r="E104" s="102" t="s">
        <v>50</v>
      </c>
      <c r="F104" s="102">
        <v>2581</v>
      </c>
      <c r="G104" s="102">
        <v>517</v>
      </c>
      <c r="H104" s="102">
        <v>117</v>
      </c>
      <c r="I104" s="102">
        <v>23229</v>
      </c>
      <c r="J104" s="102">
        <v>22331</v>
      </c>
      <c r="K104" s="102">
        <v>70</v>
      </c>
      <c r="L104" s="102" t="s">
        <v>82</v>
      </c>
      <c r="M104" s="104" t="s">
        <v>25</v>
      </c>
      <c r="N104" s="20">
        <f t="shared" si="2"/>
        <v>0.13840458048129492</v>
      </c>
    </row>
    <row r="105" spans="1:14" x14ac:dyDescent="0.3">
      <c r="A105" s="101" t="s">
        <v>366</v>
      </c>
      <c r="B105" s="102" t="s">
        <v>40</v>
      </c>
      <c r="C105" s="103">
        <v>45465</v>
      </c>
      <c r="D105" s="102" t="s">
        <v>22</v>
      </c>
      <c r="E105" s="102" t="s">
        <v>23</v>
      </c>
      <c r="F105" s="102">
        <v>3828</v>
      </c>
      <c r="G105" s="102">
        <v>148</v>
      </c>
      <c r="H105" s="102">
        <v>253</v>
      </c>
      <c r="I105" s="102">
        <v>30624</v>
      </c>
      <c r="J105" s="102">
        <v>30229</v>
      </c>
      <c r="K105" s="102">
        <v>235</v>
      </c>
      <c r="L105" s="102" t="s">
        <v>82</v>
      </c>
      <c r="M105" s="104" t="s">
        <v>55</v>
      </c>
      <c r="N105" s="20">
        <f t="shared" si="2"/>
        <v>0.13809430512016718</v>
      </c>
    </row>
    <row r="106" spans="1:14" x14ac:dyDescent="0.3">
      <c r="A106" s="101" t="s">
        <v>250</v>
      </c>
      <c r="B106" s="102" t="s">
        <v>577</v>
      </c>
      <c r="C106" s="103">
        <v>45739</v>
      </c>
      <c r="D106" s="102" t="s">
        <v>33</v>
      </c>
      <c r="E106" s="102" t="s">
        <v>34</v>
      </c>
      <c r="F106" s="102">
        <v>3655</v>
      </c>
      <c r="G106" s="102">
        <v>568</v>
      </c>
      <c r="H106" s="102">
        <v>286</v>
      </c>
      <c r="I106" s="102">
        <v>32895</v>
      </c>
      <c r="J106" s="102">
        <v>32015</v>
      </c>
      <c r="K106" s="102">
        <v>199</v>
      </c>
      <c r="L106" s="102" t="s">
        <v>44</v>
      </c>
      <c r="M106" s="104" t="s">
        <v>55</v>
      </c>
      <c r="N106" s="20">
        <f t="shared" si="2"/>
        <v>0.13707250341997265</v>
      </c>
    </row>
    <row r="107" spans="1:14" x14ac:dyDescent="0.3">
      <c r="A107" s="101" t="s">
        <v>398</v>
      </c>
      <c r="B107" s="102" t="s">
        <v>31</v>
      </c>
      <c r="C107" s="103">
        <v>45519</v>
      </c>
      <c r="D107" s="102" t="s">
        <v>42</v>
      </c>
      <c r="E107" s="102" t="s">
        <v>43</v>
      </c>
      <c r="F107" s="102">
        <v>914</v>
      </c>
      <c r="G107" s="102">
        <v>464</v>
      </c>
      <c r="H107" s="102">
        <v>246</v>
      </c>
      <c r="I107" s="102">
        <v>11882</v>
      </c>
      <c r="J107" s="102">
        <v>11500</v>
      </c>
      <c r="K107" s="102">
        <v>282</v>
      </c>
      <c r="L107" s="102" t="s">
        <v>285</v>
      </c>
      <c r="M107" s="104" t="s">
        <v>38</v>
      </c>
      <c r="N107" s="20">
        <f t="shared" si="2"/>
        <v>0.13667732704931829</v>
      </c>
    </row>
    <row r="108" spans="1:14" x14ac:dyDescent="0.3">
      <c r="A108" s="101" t="s">
        <v>381</v>
      </c>
      <c r="B108" s="102" t="s">
        <v>14</v>
      </c>
      <c r="C108" s="103">
        <v>45501</v>
      </c>
      <c r="D108" s="102" t="s">
        <v>49</v>
      </c>
      <c r="E108" s="102" t="s">
        <v>50</v>
      </c>
      <c r="F108" s="102">
        <v>3215</v>
      </c>
      <c r="G108" s="102">
        <v>960</v>
      </c>
      <c r="H108" s="102">
        <v>202</v>
      </c>
      <c r="I108" s="102">
        <v>32150</v>
      </c>
      <c r="J108" s="102">
        <v>31404</v>
      </c>
      <c r="K108" s="102">
        <v>251</v>
      </c>
      <c r="L108" s="102" t="s">
        <v>58</v>
      </c>
      <c r="M108" s="104" t="s">
        <v>38</v>
      </c>
      <c r="N108" s="20">
        <f t="shared" si="2"/>
        <v>0.13614307931570763</v>
      </c>
    </row>
    <row r="109" spans="1:14" x14ac:dyDescent="0.3">
      <c r="A109" s="101" t="s">
        <v>230</v>
      </c>
      <c r="B109" s="102" t="s">
        <v>14</v>
      </c>
      <c r="C109" s="103">
        <v>45586</v>
      </c>
      <c r="D109" s="102" t="s">
        <v>33</v>
      </c>
      <c r="E109" s="102" t="s">
        <v>34</v>
      </c>
      <c r="F109" s="102">
        <v>3801</v>
      </c>
      <c r="G109" s="102">
        <v>967</v>
      </c>
      <c r="H109" s="102">
        <v>401</v>
      </c>
      <c r="I109" s="102">
        <v>38010</v>
      </c>
      <c r="J109" s="102">
        <v>37625</v>
      </c>
      <c r="K109" s="102">
        <v>236</v>
      </c>
      <c r="L109" s="102" t="s">
        <v>58</v>
      </c>
      <c r="M109" s="104" t="s">
        <v>55</v>
      </c>
      <c r="N109" s="20">
        <f t="shared" si="2"/>
        <v>0.13599052880820836</v>
      </c>
    </row>
    <row r="110" spans="1:14" x14ac:dyDescent="0.3">
      <c r="A110" s="101" t="s">
        <v>222</v>
      </c>
      <c r="B110" s="102" t="s">
        <v>40</v>
      </c>
      <c r="C110" s="103">
        <v>45480</v>
      </c>
      <c r="D110" s="102" t="s">
        <v>33</v>
      </c>
      <c r="E110" s="102" t="s">
        <v>34</v>
      </c>
      <c r="F110" s="102">
        <v>302</v>
      </c>
      <c r="G110" s="102">
        <v>47</v>
      </c>
      <c r="H110" s="102">
        <v>430</v>
      </c>
      <c r="I110" s="102">
        <v>5738</v>
      </c>
      <c r="J110" s="102">
        <v>4890</v>
      </c>
      <c r="K110" s="102">
        <v>25</v>
      </c>
      <c r="L110" s="102" t="s">
        <v>29</v>
      </c>
      <c r="M110" s="104" t="s">
        <v>25</v>
      </c>
      <c r="N110" s="20">
        <f t="shared" si="2"/>
        <v>0.13576158940397351</v>
      </c>
    </row>
    <row r="111" spans="1:14" x14ac:dyDescent="0.3">
      <c r="A111" s="101" t="s">
        <v>532</v>
      </c>
      <c r="B111" s="102" t="s">
        <v>577</v>
      </c>
      <c r="C111" s="103">
        <v>45491</v>
      </c>
      <c r="D111" s="102" t="s">
        <v>22</v>
      </c>
      <c r="E111" s="102" t="s">
        <v>23</v>
      </c>
      <c r="F111" s="102">
        <v>4021</v>
      </c>
      <c r="G111" s="102">
        <v>794</v>
      </c>
      <c r="H111" s="102">
        <v>77</v>
      </c>
      <c r="I111" s="102">
        <v>36189</v>
      </c>
      <c r="J111" s="102">
        <v>35505</v>
      </c>
      <c r="K111" s="102">
        <v>174</v>
      </c>
      <c r="L111" s="102" t="s">
        <v>264</v>
      </c>
      <c r="M111" s="104" t="s">
        <v>19</v>
      </c>
      <c r="N111" s="20">
        <f t="shared" si="2"/>
        <v>0.13517919809886983</v>
      </c>
    </row>
    <row r="112" spans="1:14" x14ac:dyDescent="0.3">
      <c r="A112" s="101" t="s">
        <v>149</v>
      </c>
      <c r="B112" s="102" t="s">
        <v>577</v>
      </c>
      <c r="C112" s="103">
        <v>45476</v>
      </c>
      <c r="D112" s="102" t="s">
        <v>33</v>
      </c>
      <c r="E112" s="102" t="s">
        <v>34</v>
      </c>
      <c r="F112" s="102">
        <v>2754</v>
      </c>
      <c r="G112" s="102">
        <v>130</v>
      </c>
      <c r="H112" s="102">
        <v>90</v>
      </c>
      <c r="I112" s="102">
        <v>22032</v>
      </c>
      <c r="J112" s="102">
        <v>21288</v>
      </c>
      <c r="K112" s="102">
        <v>112</v>
      </c>
      <c r="L112" s="102" t="s">
        <v>24</v>
      </c>
      <c r="M112" s="104" t="s">
        <v>19</v>
      </c>
      <c r="N112" s="20">
        <f t="shared" si="2"/>
        <v>0.13498547567175018</v>
      </c>
    </row>
    <row r="113" spans="1:14" x14ac:dyDescent="0.3">
      <c r="A113" s="101" t="s">
        <v>298</v>
      </c>
      <c r="B113" s="102" t="s">
        <v>31</v>
      </c>
      <c r="C113" s="103">
        <v>45720</v>
      </c>
      <c r="D113" s="102" t="s">
        <v>33</v>
      </c>
      <c r="E113" s="102" t="s">
        <v>34</v>
      </c>
      <c r="F113" s="102">
        <v>1947</v>
      </c>
      <c r="G113" s="102">
        <v>842</v>
      </c>
      <c r="H113" s="102">
        <v>101</v>
      </c>
      <c r="I113" s="102">
        <v>21417</v>
      </c>
      <c r="J113" s="102">
        <v>20967</v>
      </c>
      <c r="K113" s="102">
        <v>186</v>
      </c>
      <c r="L113" s="102" t="s">
        <v>24</v>
      </c>
      <c r="M113" s="104" t="s">
        <v>25</v>
      </c>
      <c r="N113" s="20">
        <f t="shared" si="2"/>
        <v>0.13493953401503478</v>
      </c>
    </row>
    <row r="114" spans="1:14" x14ac:dyDescent="0.3">
      <c r="A114" s="101" t="s">
        <v>449</v>
      </c>
      <c r="B114" s="102" t="s">
        <v>31</v>
      </c>
      <c r="C114" s="103">
        <v>45476</v>
      </c>
      <c r="D114" s="102" t="s">
        <v>42</v>
      </c>
      <c r="E114" s="102" t="s">
        <v>43</v>
      </c>
      <c r="F114" s="102">
        <v>4799</v>
      </c>
      <c r="G114" s="102">
        <v>694</v>
      </c>
      <c r="H114" s="102">
        <v>289</v>
      </c>
      <c r="I114" s="102">
        <v>43191</v>
      </c>
      <c r="J114" s="102">
        <v>42228</v>
      </c>
      <c r="K114" s="102">
        <v>118</v>
      </c>
      <c r="L114" s="102" t="s">
        <v>44</v>
      </c>
      <c r="M114" s="104" t="s">
        <v>25</v>
      </c>
      <c r="N114" s="20">
        <f t="shared" si="2"/>
        <v>0.13387048227640017</v>
      </c>
    </row>
    <row r="115" spans="1:14" x14ac:dyDescent="0.3">
      <c r="A115" s="101" t="s">
        <v>196</v>
      </c>
      <c r="B115" s="102" t="s">
        <v>577</v>
      </c>
      <c r="C115" s="103">
        <v>45593</v>
      </c>
      <c r="D115" s="102" t="s">
        <v>16</v>
      </c>
      <c r="E115" s="102" t="s">
        <v>17</v>
      </c>
      <c r="F115" s="102">
        <v>1855</v>
      </c>
      <c r="G115" s="102">
        <v>200</v>
      </c>
      <c r="H115" s="102">
        <v>174</v>
      </c>
      <c r="I115" s="102">
        <v>16695</v>
      </c>
      <c r="J115" s="102">
        <v>16330</v>
      </c>
      <c r="K115" s="102">
        <v>123</v>
      </c>
      <c r="L115" s="102" t="s">
        <v>24</v>
      </c>
      <c r="M115" s="104" t="s">
        <v>38</v>
      </c>
      <c r="N115" s="20">
        <f t="shared" si="2"/>
        <v>0.13351302785265048</v>
      </c>
    </row>
    <row r="116" spans="1:14" x14ac:dyDescent="0.3">
      <c r="A116" s="101" t="s">
        <v>485</v>
      </c>
      <c r="B116" s="102" t="s">
        <v>14</v>
      </c>
      <c r="C116" s="103">
        <v>45671</v>
      </c>
      <c r="D116" s="102" t="s">
        <v>49</v>
      </c>
      <c r="E116" s="102" t="s">
        <v>50</v>
      </c>
      <c r="F116" s="102">
        <v>2692</v>
      </c>
      <c r="G116" s="102">
        <v>115</v>
      </c>
      <c r="H116" s="102">
        <v>64</v>
      </c>
      <c r="I116" s="102">
        <v>21536</v>
      </c>
      <c r="J116" s="102">
        <v>21120</v>
      </c>
      <c r="K116" s="102">
        <v>224</v>
      </c>
      <c r="L116" s="102" t="s">
        <v>178</v>
      </c>
      <c r="M116" s="104" t="s">
        <v>55</v>
      </c>
      <c r="N116" s="20">
        <f t="shared" si="2"/>
        <v>0.13331166419019316</v>
      </c>
    </row>
    <row r="117" spans="1:14" x14ac:dyDescent="0.3">
      <c r="A117" s="101" t="s">
        <v>297</v>
      </c>
      <c r="B117" s="102" t="s">
        <v>31</v>
      </c>
      <c r="C117" s="103">
        <v>45586</v>
      </c>
      <c r="D117" s="102" t="s">
        <v>16</v>
      </c>
      <c r="E117" s="102" t="s">
        <v>17</v>
      </c>
      <c r="F117" s="102">
        <v>4840</v>
      </c>
      <c r="G117" s="102">
        <v>658</v>
      </c>
      <c r="H117" s="102">
        <v>211</v>
      </c>
      <c r="I117" s="102">
        <v>43560</v>
      </c>
      <c r="J117" s="102">
        <v>43225</v>
      </c>
      <c r="K117" s="102">
        <v>57</v>
      </c>
      <c r="L117" s="102" t="s">
        <v>66</v>
      </c>
      <c r="M117" s="104" t="s">
        <v>25</v>
      </c>
      <c r="N117" s="20">
        <f t="shared" si="2"/>
        <v>0.13106060606060607</v>
      </c>
    </row>
    <row r="118" spans="1:14" x14ac:dyDescent="0.3">
      <c r="A118" s="101" t="s">
        <v>458</v>
      </c>
      <c r="B118" s="102" t="s">
        <v>40</v>
      </c>
      <c r="C118" s="103">
        <v>45523</v>
      </c>
      <c r="D118" s="102" t="s">
        <v>22</v>
      </c>
      <c r="E118" s="102" t="s">
        <v>23</v>
      </c>
      <c r="F118" s="102">
        <v>1257</v>
      </c>
      <c r="G118" s="102">
        <v>19</v>
      </c>
      <c r="H118" s="102">
        <v>351</v>
      </c>
      <c r="I118" s="102">
        <v>12570</v>
      </c>
      <c r="J118" s="102">
        <v>11660</v>
      </c>
      <c r="K118" s="102">
        <v>194</v>
      </c>
      <c r="L118" s="102" t="s">
        <v>58</v>
      </c>
      <c r="M118" s="104" t="s">
        <v>19</v>
      </c>
      <c r="N118" s="20">
        <f t="shared" si="2"/>
        <v>0.12943516308671441</v>
      </c>
    </row>
    <row r="119" spans="1:14" x14ac:dyDescent="0.3">
      <c r="A119" s="101" t="s">
        <v>271</v>
      </c>
      <c r="B119" s="102" t="s">
        <v>14</v>
      </c>
      <c r="C119" s="103">
        <v>45610</v>
      </c>
      <c r="D119" s="102" t="s">
        <v>33</v>
      </c>
      <c r="E119" s="102" t="s">
        <v>34</v>
      </c>
      <c r="F119" s="102">
        <v>4000</v>
      </c>
      <c r="G119" s="102">
        <v>689</v>
      </c>
      <c r="H119" s="102">
        <v>488</v>
      </c>
      <c r="I119" s="102">
        <v>40000</v>
      </c>
      <c r="J119" s="102">
        <v>39569</v>
      </c>
      <c r="K119" s="102">
        <v>44</v>
      </c>
      <c r="L119" s="102" t="s">
        <v>144</v>
      </c>
      <c r="M119" s="104" t="s">
        <v>38</v>
      </c>
      <c r="N119" s="20">
        <f t="shared" si="2"/>
        <v>0.12942500000000001</v>
      </c>
    </row>
    <row r="120" spans="1:14" x14ac:dyDescent="0.3">
      <c r="A120" s="101" t="s">
        <v>160</v>
      </c>
      <c r="B120" s="102" t="s">
        <v>40</v>
      </c>
      <c r="C120" s="103">
        <v>45644</v>
      </c>
      <c r="D120" s="102" t="s">
        <v>42</v>
      </c>
      <c r="E120" s="102" t="s">
        <v>43</v>
      </c>
      <c r="F120" s="102">
        <v>2946</v>
      </c>
      <c r="G120" s="102">
        <v>498</v>
      </c>
      <c r="H120" s="102">
        <v>367</v>
      </c>
      <c r="I120" s="102">
        <v>29460</v>
      </c>
      <c r="J120" s="102">
        <v>28527</v>
      </c>
      <c r="K120" s="102">
        <v>60</v>
      </c>
      <c r="L120" s="102" t="s">
        <v>162</v>
      </c>
      <c r="M120" s="104" t="s">
        <v>25</v>
      </c>
      <c r="N120" s="20">
        <f t="shared" si="2"/>
        <v>0.12936184657162253</v>
      </c>
    </row>
    <row r="121" spans="1:14" x14ac:dyDescent="0.3">
      <c r="A121" s="101" t="s">
        <v>252</v>
      </c>
      <c r="B121" s="102" t="s">
        <v>31</v>
      </c>
      <c r="C121" s="103">
        <v>45457</v>
      </c>
      <c r="D121" s="102" t="s">
        <v>42</v>
      </c>
      <c r="E121" s="102" t="s">
        <v>43</v>
      </c>
      <c r="F121" s="102">
        <v>498</v>
      </c>
      <c r="G121" s="102">
        <v>38</v>
      </c>
      <c r="H121" s="102">
        <v>42</v>
      </c>
      <c r="I121" s="102">
        <v>4482</v>
      </c>
      <c r="J121" s="102">
        <v>3647</v>
      </c>
      <c r="K121" s="102">
        <v>32</v>
      </c>
      <c r="L121" s="102" t="s">
        <v>162</v>
      </c>
      <c r="M121" s="104" t="s">
        <v>55</v>
      </c>
      <c r="N121" s="20">
        <f t="shared" si="2"/>
        <v>0.12896028558679162</v>
      </c>
    </row>
    <row r="122" spans="1:14" x14ac:dyDescent="0.3">
      <c r="A122" s="101" t="s">
        <v>59</v>
      </c>
      <c r="B122" s="102" t="s">
        <v>40</v>
      </c>
      <c r="C122" s="103">
        <v>45494</v>
      </c>
      <c r="D122" s="102" t="s">
        <v>16</v>
      </c>
      <c r="E122" s="102" t="s">
        <v>17</v>
      </c>
      <c r="F122" s="102">
        <v>1946</v>
      </c>
      <c r="G122" s="102">
        <v>686</v>
      </c>
      <c r="H122" s="102">
        <v>377</v>
      </c>
      <c r="I122" s="102">
        <v>23352</v>
      </c>
      <c r="J122" s="102">
        <v>22982</v>
      </c>
      <c r="K122" s="102">
        <v>213</v>
      </c>
      <c r="L122" s="102" t="s">
        <v>61</v>
      </c>
      <c r="M122" s="104" t="s">
        <v>38</v>
      </c>
      <c r="N122" s="20">
        <f t="shared" si="2"/>
        <v>0.12885405960945528</v>
      </c>
    </row>
    <row r="123" spans="1:14" x14ac:dyDescent="0.3">
      <c r="A123" s="101" t="s">
        <v>457</v>
      </c>
      <c r="B123" s="102" t="s">
        <v>40</v>
      </c>
      <c r="C123" s="103">
        <v>45648</v>
      </c>
      <c r="D123" s="102" t="s">
        <v>49</v>
      </c>
      <c r="E123" s="102" t="s">
        <v>50</v>
      </c>
      <c r="F123" s="102">
        <v>3196</v>
      </c>
      <c r="G123" s="102">
        <v>941</v>
      </c>
      <c r="H123" s="102">
        <v>376</v>
      </c>
      <c r="I123" s="102">
        <v>35156</v>
      </c>
      <c r="J123" s="102">
        <v>34444</v>
      </c>
      <c r="K123" s="102">
        <v>241</v>
      </c>
      <c r="L123" s="102" t="s">
        <v>87</v>
      </c>
      <c r="M123" s="104" t="s">
        <v>55</v>
      </c>
      <c r="N123" s="20">
        <f t="shared" si="2"/>
        <v>0.1283706906360223</v>
      </c>
    </row>
    <row r="124" spans="1:14" x14ac:dyDescent="0.3">
      <c r="A124" s="101" t="s">
        <v>112</v>
      </c>
      <c r="B124" s="102" t="s">
        <v>40</v>
      </c>
      <c r="C124" s="103">
        <v>45525</v>
      </c>
      <c r="D124" s="102" t="s">
        <v>49</v>
      </c>
      <c r="E124" s="102" t="s">
        <v>50</v>
      </c>
      <c r="F124" s="102">
        <v>1407</v>
      </c>
      <c r="G124" s="102">
        <v>400</v>
      </c>
      <c r="H124" s="102">
        <v>351</v>
      </c>
      <c r="I124" s="102">
        <v>16884</v>
      </c>
      <c r="J124" s="102">
        <v>15954</v>
      </c>
      <c r="K124" s="102">
        <v>113</v>
      </c>
      <c r="L124" s="102" t="s">
        <v>71</v>
      </c>
      <c r="M124" s="104" t="s">
        <v>38</v>
      </c>
      <c r="N124" s="20">
        <f t="shared" si="2"/>
        <v>0.12781331438047855</v>
      </c>
    </row>
    <row r="125" spans="1:14" x14ac:dyDescent="0.3">
      <c r="A125" s="101" t="s">
        <v>123</v>
      </c>
      <c r="B125" s="102" t="s">
        <v>577</v>
      </c>
      <c r="C125" s="103">
        <v>45705</v>
      </c>
      <c r="D125" s="102" t="s">
        <v>16</v>
      </c>
      <c r="E125" s="102" t="s">
        <v>17</v>
      </c>
      <c r="F125" s="102">
        <v>3138</v>
      </c>
      <c r="G125" s="102">
        <v>123</v>
      </c>
      <c r="H125" s="102">
        <v>291</v>
      </c>
      <c r="I125" s="102">
        <v>28242</v>
      </c>
      <c r="J125" s="102">
        <v>27550</v>
      </c>
      <c r="K125" s="102">
        <v>87</v>
      </c>
      <c r="L125" s="102" t="s">
        <v>77</v>
      </c>
      <c r="M125" s="104" t="s">
        <v>55</v>
      </c>
      <c r="N125" s="20">
        <f t="shared" si="2"/>
        <v>0.12577012959422137</v>
      </c>
    </row>
    <row r="126" spans="1:14" x14ac:dyDescent="0.3">
      <c r="A126" s="101" t="s">
        <v>400</v>
      </c>
      <c r="B126" s="102" t="s">
        <v>31</v>
      </c>
      <c r="C126" s="103">
        <v>45645</v>
      </c>
      <c r="D126" s="102" t="s">
        <v>22</v>
      </c>
      <c r="E126" s="102" t="s">
        <v>23</v>
      </c>
      <c r="F126" s="102">
        <v>1813</v>
      </c>
      <c r="G126" s="102">
        <v>623</v>
      </c>
      <c r="H126" s="102">
        <v>72</v>
      </c>
      <c r="I126" s="102">
        <v>19943</v>
      </c>
      <c r="J126" s="102">
        <v>18959</v>
      </c>
      <c r="K126" s="102">
        <v>85</v>
      </c>
      <c r="L126" s="102" t="s">
        <v>105</v>
      </c>
      <c r="M126" s="104" t="s">
        <v>38</v>
      </c>
      <c r="N126" s="20">
        <f t="shared" si="2"/>
        <v>0.12575841147269717</v>
      </c>
    </row>
    <row r="127" spans="1:14" x14ac:dyDescent="0.3">
      <c r="A127" s="101" t="s">
        <v>293</v>
      </c>
      <c r="B127" s="102" t="s">
        <v>14</v>
      </c>
      <c r="C127" s="103">
        <v>45667</v>
      </c>
      <c r="D127" s="102" t="s">
        <v>49</v>
      </c>
      <c r="E127" s="102" t="s">
        <v>50</v>
      </c>
      <c r="F127" s="102">
        <v>3092</v>
      </c>
      <c r="G127" s="102">
        <v>106</v>
      </c>
      <c r="H127" s="102">
        <v>291</v>
      </c>
      <c r="I127" s="102">
        <v>27828</v>
      </c>
      <c r="J127" s="102">
        <v>27217</v>
      </c>
      <c r="K127" s="102">
        <v>102</v>
      </c>
      <c r="L127" s="102" t="s">
        <v>58</v>
      </c>
      <c r="M127" s="104" t="s">
        <v>55</v>
      </c>
      <c r="N127" s="20">
        <f t="shared" si="2"/>
        <v>0.12537731780940059</v>
      </c>
    </row>
    <row r="128" spans="1:14" x14ac:dyDescent="0.3">
      <c r="A128" s="101" t="s">
        <v>356</v>
      </c>
      <c r="B128" s="102" t="s">
        <v>577</v>
      </c>
      <c r="C128" s="103">
        <v>45629</v>
      </c>
      <c r="D128" s="102" t="s">
        <v>69</v>
      </c>
      <c r="E128" s="102" t="s">
        <v>70</v>
      </c>
      <c r="F128" s="102">
        <v>3809</v>
      </c>
      <c r="G128" s="102">
        <v>273</v>
      </c>
      <c r="H128" s="102">
        <v>200</v>
      </c>
      <c r="I128" s="102">
        <v>34281</v>
      </c>
      <c r="J128" s="102">
        <v>33534</v>
      </c>
      <c r="K128" s="102">
        <v>83</v>
      </c>
      <c r="L128" s="102" t="s">
        <v>44</v>
      </c>
      <c r="M128" s="104" t="s">
        <v>38</v>
      </c>
      <c r="N128" s="20">
        <f t="shared" si="2"/>
        <v>0.12490884163239112</v>
      </c>
    </row>
    <row r="129" spans="1:14" x14ac:dyDescent="0.3">
      <c r="A129" s="101" t="s">
        <v>544</v>
      </c>
      <c r="B129" s="102" t="s">
        <v>40</v>
      </c>
      <c r="C129" s="103">
        <v>45791</v>
      </c>
      <c r="D129" s="102" t="s">
        <v>22</v>
      </c>
      <c r="E129" s="102" t="s">
        <v>23</v>
      </c>
      <c r="F129" s="102">
        <v>2634</v>
      </c>
      <c r="G129" s="102">
        <v>726</v>
      </c>
      <c r="H129" s="102">
        <v>241</v>
      </c>
      <c r="I129" s="102">
        <v>28974</v>
      </c>
      <c r="J129" s="102">
        <v>28102</v>
      </c>
      <c r="K129" s="102">
        <v>277</v>
      </c>
      <c r="L129" s="102" t="s">
        <v>58</v>
      </c>
      <c r="M129" s="104" t="s">
        <v>38</v>
      </c>
      <c r="N129" s="20">
        <f t="shared" si="2"/>
        <v>0.12428384068475185</v>
      </c>
    </row>
    <row r="130" spans="1:14" x14ac:dyDescent="0.3">
      <c r="A130" s="101" t="s">
        <v>542</v>
      </c>
      <c r="B130" s="102" t="s">
        <v>40</v>
      </c>
      <c r="C130" s="103">
        <v>45613</v>
      </c>
      <c r="D130" s="102" t="s">
        <v>22</v>
      </c>
      <c r="E130" s="102" t="s">
        <v>23</v>
      </c>
      <c r="F130" s="102">
        <v>880</v>
      </c>
      <c r="G130" s="102">
        <v>297</v>
      </c>
      <c r="H130" s="102">
        <v>345</v>
      </c>
      <c r="I130" s="102">
        <v>12320</v>
      </c>
      <c r="J130" s="102">
        <v>11978</v>
      </c>
      <c r="K130" s="102">
        <v>238</v>
      </c>
      <c r="L130" s="102" t="s">
        <v>18</v>
      </c>
      <c r="M130" s="104" t="s">
        <v>25</v>
      </c>
      <c r="N130" s="20">
        <f t="shared" ref="N130:N193" si="3">SUM(F130,G130,H130)/I130</f>
        <v>0.12353896103896105</v>
      </c>
    </row>
    <row r="131" spans="1:14" x14ac:dyDescent="0.3">
      <c r="A131" s="101" t="s">
        <v>425</v>
      </c>
      <c r="B131" s="102" t="s">
        <v>577</v>
      </c>
      <c r="C131" s="103">
        <v>45719</v>
      </c>
      <c r="D131" s="102" t="s">
        <v>69</v>
      </c>
      <c r="E131" s="102" t="s">
        <v>70</v>
      </c>
      <c r="F131" s="102">
        <v>3874</v>
      </c>
      <c r="G131" s="102">
        <v>884</v>
      </c>
      <c r="H131" s="102">
        <v>19</v>
      </c>
      <c r="I131" s="102">
        <v>38740</v>
      </c>
      <c r="J131" s="102">
        <v>38552</v>
      </c>
      <c r="K131" s="102">
        <v>219</v>
      </c>
      <c r="L131" s="102" t="s">
        <v>58</v>
      </c>
      <c r="M131" s="104" t="s">
        <v>55</v>
      </c>
      <c r="N131" s="20">
        <f t="shared" si="3"/>
        <v>0.123309241094476</v>
      </c>
    </row>
    <row r="132" spans="1:14" x14ac:dyDescent="0.3">
      <c r="A132" s="101" t="s">
        <v>262</v>
      </c>
      <c r="B132" s="102" t="s">
        <v>31</v>
      </c>
      <c r="C132" s="103">
        <v>45502</v>
      </c>
      <c r="D132" s="102" t="s">
        <v>16</v>
      </c>
      <c r="E132" s="102" t="s">
        <v>17</v>
      </c>
      <c r="F132" s="102">
        <v>3523</v>
      </c>
      <c r="G132" s="102">
        <v>753</v>
      </c>
      <c r="H132" s="102">
        <v>482</v>
      </c>
      <c r="I132" s="102">
        <v>38753</v>
      </c>
      <c r="J132" s="102">
        <v>38579</v>
      </c>
      <c r="K132" s="102">
        <v>270</v>
      </c>
      <c r="L132" s="102" t="s">
        <v>264</v>
      </c>
      <c r="M132" s="104" t="s">
        <v>25</v>
      </c>
      <c r="N132" s="20">
        <f t="shared" si="3"/>
        <v>0.12277759141227776</v>
      </c>
    </row>
    <row r="133" spans="1:14" x14ac:dyDescent="0.3">
      <c r="A133" s="101" t="s">
        <v>471</v>
      </c>
      <c r="B133" s="102" t="s">
        <v>40</v>
      </c>
      <c r="C133" s="103">
        <v>45669</v>
      </c>
      <c r="D133" s="102" t="s">
        <v>16</v>
      </c>
      <c r="E133" s="102" t="s">
        <v>17</v>
      </c>
      <c r="F133" s="102">
        <v>4134</v>
      </c>
      <c r="G133" s="102">
        <v>824</v>
      </c>
      <c r="H133" s="102">
        <v>99</v>
      </c>
      <c r="I133" s="102">
        <v>41340</v>
      </c>
      <c r="J133" s="102">
        <v>41050</v>
      </c>
      <c r="K133" s="102">
        <v>177</v>
      </c>
      <c r="L133" s="102" t="s">
        <v>24</v>
      </c>
      <c r="M133" s="104" t="s">
        <v>25</v>
      </c>
      <c r="N133" s="20">
        <f t="shared" si="3"/>
        <v>0.12232704402515723</v>
      </c>
    </row>
    <row r="134" spans="1:14" x14ac:dyDescent="0.3">
      <c r="A134" s="101" t="s">
        <v>198</v>
      </c>
      <c r="B134" s="102" t="s">
        <v>31</v>
      </c>
      <c r="C134" s="103">
        <v>45505</v>
      </c>
      <c r="D134" s="102" t="s">
        <v>16</v>
      </c>
      <c r="E134" s="102" t="s">
        <v>17</v>
      </c>
      <c r="F134" s="102">
        <v>1674</v>
      </c>
      <c r="G134" s="102">
        <v>929</v>
      </c>
      <c r="H134" s="102">
        <v>37</v>
      </c>
      <c r="I134" s="102">
        <v>21762</v>
      </c>
      <c r="J134" s="102">
        <v>20998</v>
      </c>
      <c r="K134" s="102">
        <v>255</v>
      </c>
      <c r="L134" s="102" t="s">
        <v>162</v>
      </c>
      <c r="M134" s="104" t="s">
        <v>38</v>
      </c>
      <c r="N134" s="20">
        <f t="shared" si="3"/>
        <v>0.12131237937689551</v>
      </c>
    </row>
    <row r="135" spans="1:14" x14ac:dyDescent="0.3">
      <c r="A135" s="101" t="s">
        <v>487</v>
      </c>
      <c r="B135" s="102" t="s">
        <v>40</v>
      </c>
      <c r="C135" s="103">
        <v>45750</v>
      </c>
      <c r="D135" s="102" t="s">
        <v>33</v>
      </c>
      <c r="E135" s="102" t="s">
        <v>34</v>
      </c>
      <c r="F135" s="102">
        <v>3767</v>
      </c>
      <c r="G135" s="102">
        <v>514</v>
      </c>
      <c r="H135" s="102">
        <v>238</v>
      </c>
      <c r="I135" s="102">
        <v>37670</v>
      </c>
      <c r="J135" s="102">
        <v>36807</v>
      </c>
      <c r="K135" s="102">
        <v>226</v>
      </c>
      <c r="L135" s="102" t="s">
        <v>162</v>
      </c>
      <c r="M135" s="104" t="s">
        <v>19</v>
      </c>
      <c r="N135" s="20">
        <f t="shared" si="3"/>
        <v>0.11996283514733209</v>
      </c>
    </row>
    <row r="136" spans="1:14" x14ac:dyDescent="0.3">
      <c r="A136" s="101" t="s">
        <v>190</v>
      </c>
      <c r="B136" s="102" t="s">
        <v>577</v>
      </c>
      <c r="C136" s="103">
        <v>45537</v>
      </c>
      <c r="D136" s="102" t="s">
        <v>42</v>
      </c>
      <c r="E136" s="102" t="s">
        <v>43</v>
      </c>
      <c r="F136" s="102">
        <v>2551</v>
      </c>
      <c r="G136" s="102">
        <v>915</v>
      </c>
      <c r="H136" s="102">
        <v>205</v>
      </c>
      <c r="I136" s="102">
        <v>30612</v>
      </c>
      <c r="J136" s="102">
        <v>30360</v>
      </c>
      <c r="K136" s="102">
        <v>227</v>
      </c>
      <c r="L136" s="102" t="s">
        <v>74</v>
      </c>
      <c r="M136" s="104" t="s">
        <v>25</v>
      </c>
      <c r="N136" s="20">
        <f t="shared" si="3"/>
        <v>0.1199202926956749</v>
      </c>
    </row>
    <row r="137" spans="1:14" x14ac:dyDescent="0.3">
      <c r="A137" s="101" t="s">
        <v>179</v>
      </c>
      <c r="B137" s="102" t="s">
        <v>31</v>
      </c>
      <c r="C137" s="103">
        <v>45744</v>
      </c>
      <c r="D137" s="102" t="s">
        <v>33</v>
      </c>
      <c r="E137" s="102" t="s">
        <v>34</v>
      </c>
      <c r="F137" s="102">
        <v>1881</v>
      </c>
      <c r="G137" s="102">
        <v>501</v>
      </c>
      <c r="H137" s="102">
        <v>99</v>
      </c>
      <c r="I137" s="102">
        <v>20691</v>
      </c>
      <c r="J137" s="102">
        <v>19987</v>
      </c>
      <c r="K137" s="102">
        <v>289</v>
      </c>
      <c r="L137" s="102" t="s">
        <v>77</v>
      </c>
      <c r="M137" s="104" t="s">
        <v>25</v>
      </c>
      <c r="N137" s="20">
        <f t="shared" si="3"/>
        <v>0.11990720603160794</v>
      </c>
    </row>
    <row r="138" spans="1:14" x14ac:dyDescent="0.3">
      <c r="A138" s="101" t="s">
        <v>475</v>
      </c>
      <c r="B138" s="102" t="s">
        <v>40</v>
      </c>
      <c r="C138" s="103">
        <v>45531</v>
      </c>
      <c r="D138" s="102" t="s">
        <v>16</v>
      </c>
      <c r="E138" s="102" t="s">
        <v>17</v>
      </c>
      <c r="F138" s="102">
        <v>3960</v>
      </c>
      <c r="G138" s="102">
        <v>266</v>
      </c>
      <c r="H138" s="102">
        <v>8</v>
      </c>
      <c r="I138" s="102">
        <v>35640</v>
      </c>
      <c r="J138" s="102">
        <v>34850</v>
      </c>
      <c r="K138" s="102">
        <v>208</v>
      </c>
      <c r="L138" s="102" t="s">
        <v>105</v>
      </c>
      <c r="M138" s="104" t="s">
        <v>55</v>
      </c>
      <c r="N138" s="20">
        <f t="shared" si="3"/>
        <v>0.11879910213243547</v>
      </c>
    </row>
    <row r="139" spans="1:14" x14ac:dyDescent="0.3">
      <c r="A139" s="101" t="s">
        <v>117</v>
      </c>
      <c r="B139" s="102" t="s">
        <v>31</v>
      </c>
      <c r="C139" s="103">
        <v>45626</v>
      </c>
      <c r="D139" s="102" t="s">
        <v>69</v>
      </c>
      <c r="E139" s="102" t="s">
        <v>70</v>
      </c>
      <c r="F139" s="102">
        <v>3775</v>
      </c>
      <c r="G139" s="102">
        <v>16</v>
      </c>
      <c r="H139" s="102">
        <v>239</v>
      </c>
      <c r="I139" s="102">
        <v>33975</v>
      </c>
      <c r="J139" s="102">
        <v>33310</v>
      </c>
      <c r="K139" s="102">
        <v>271</v>
      </c>
      <c r="L139" s="102" t="s">
        <v>61</v>
      </c>
      <c r="M139" s="104" t="s">
        <v>38</v>
      </c>
      <c r="N139" s="20">
        <f t="shared" si="3"/>
        <v>0.11861662987490802</v>
      </c>
    </row>
    <row r="140" spans="1:14" x14ac:dyDescent="0.3">
      <c r="A140" s="101" t="s">
        <v>277</v>
      </c>
      <c r="B140" s="102" t="s">
        <v>14</v>
      </c>
      <c r="C140" s="103">
        <v>45600</v>
      </c>
      <c r="D140" s="102" t="s">
        <v>49</v>
      </c>
      <c r="E140" s="102" t="s">
        <v>50</v>
      </c>
      <c r="F140" s="102">
        <v>1606</v>
      </c>
      <c r="G140" s="102">
        <v>451</v>
      </c>
      <c r="H140" s="102">
        <v>405</v>
      </c>
      <c r="I140" s="102">
        <v>20878</v>
      </c>
      <c r="J140" s="102">
        <v>20190</v>
      </c>
      <c r="K140" s="102">
        <v>219</v>
      </c>
      <c r="L140" s="102" t="s">
        <v>82</v>
      </c>
      <c r="M140" s="104" t="s">
        <v>25</v>
      </c>
      <c r="N140" s="20">
        <f t="shared" si="3"/>
        <v>0.11792317271769326</v>
      </c>
    </row>
    <row r="141" spans="1:14" x14ac:dyDescent="0.3">
      <c r="A141" s="101" t="s">
        <v>480</v>
      </c>
      <c r="B141" s="102" t="s">
        <v>31</v>
      </c>
      <c r="C141" s="103">
        <v>45743</v>
      </c>
      <c r="D141" s="102" t="s">
        <v>42</v>
      </c>
      <c r="E141" s="102" t="s">
        <v>43</v>
      </c>
      <c r="F141" s="102">
        <v>1377</v>
      </c>
      <c r="G141" s="102">
        <v>796</v>
      </c>
      <c r="H141" s="102">
        <v>387</v>
      </c>
      <c r="I141" s="102">
        <v>22032</v>
      </c>
      <c r="J141" s="102">
        <v>21869</v>
      </c>
      <c r="K141" s="102">
        <v>189</v>
      </c>
      <c r="L141" s="102" t="s">
        <v>144</v>
      </c>
      <c r="M141" s="104" t="s">
        <v>38</v>
      </c>
      <c r="N141" s="20">
        <f t="shared" si="3"/>
        <v>0.11619462599854757</v>
      </c>
    </row>
    <row r="142" spans="1:14" x14ac:dyDescent="0.3">
      <c r="A142" s="101" t="s">
        <v>56</v>
      </c>
      <c r="B142" s="102" t="s">
        <v>31</v>
      </c>
      <c r="C142" s="103">
        <v>45690</v>
      </c>
      <c r="D142" s="102" t="s">
        <v>33</v>
      </c>
      <c r="E142" s="102" t="s">
        <v>34</v>
      </c>
      <c r="F142" s="102">
        <v>1792</v>
      </c>
      <c r="G142" s="102">
        <v>614</v>
      </c>
      <c r="H142" s="102">
        <v>497</v>
      </c>
      <c r="I142" s="102">
        <v>25088</v>
      </c>
      <c r="J142" s="102">
        <v>24675</v>
      </c>
      <c r="K142" s="102">
        <v>65</v>
      </c>
      <c r="L142" s="102" t="s">
        <v>58</v>
      </c>
      <c r="M142" s="104" t="s">
        <v>19</v>
      </c>
      <c r="N142" s="20">
        <f t="shared" si="3"/>
        <v>0.11571269132653061</v>
      </c>
    </row>
    <row r="143" spans="1:14" x14ac:dyDescent="0.3">
      <c r="A143" s="101" t="s">
        <v>344</v>
      </c>
      <c r="B143" s="102" t="s">
        <v>14</v>
      </c>
      <c r="C143" s="103">
        <v>45707</v>
      </c>
      <c r="D143" s="102" t="s">
        <v>22</v>
      </c>
      <c r="E143" s="102" t="s">
        <v>23</v>
      </c>
      <c r="F143" s="102">
        <v>4671</v>
      </c>
      <c r="G143" s="102">
        <v>876</v>
      </c>
      <c r="H143" s="102">
        <v>366</v>
      </c>
      <c r="I143" s="102">
        <v>51381</v>
      </c>
      <c r="J143" s="102">
        <v>50565</v>
      </c>
      <c r="K143" s="102">
        <v>245</v>
      </c>
      <c r="L143" s="102" t="s">
        <v>18</v>
      </c>
      <c r="M143" s="104" t="s">
        <v>25</v>
      </c>
      <c r="N143" s="20">
        <f t="shared" si="3"/>
        <v>0.11508145034156594</v>
      </c>
    </row>
    <row r="144" spans="1:14" x14ac:dyDescent="0.3">
      <c r="A144" s="101" t="s">
        <v>333</v>
      </c>
      <c r="B144" s="102" t="s">
        <v>577</v>
      </c>
      <c r="C144" s="103">
        <v>45647</v>
      </c>
      <c r="D144" s="102" t="s">
        <v>49</v>
      </c>
      <c r="E144" s="102" t="s">
        <v>50</v>
      </c>
      <c r="F144" s="102">
        <v>2283</v>
      </c>
      <c r="G144" s="102">
        <v>210</v>
      </c>
      <c r="H144" s="102">
        <v>130</v>
      </c>
      <c r="I144" s="102">
        <v>22830</v>
      </c>
      <c r="J144" s="102">
        <v>22617</v>
      </c>
      <c r="K144" s="102">
        <v>143</v>
      </c>
      <c r="L144" s="102" t="s">
        <v>146</v>
      </c>
      <c r="M144" s="104" t="s">
        <v>38</v>
      </c>
      <c r="N144" s="20">
        <f t="shared" si="3"/>
        <v>0.11489268506351293</v>
      </c>
    </row>
    <row r="145" spans="1:14" x14ac:dyDescent="0.3">
      <c r="A145" s="101" t="s">
        <v>531</v>
      </c>
      <c r="B145" s="102" t="s">
        <v>14</v>
      </c>
      <c r="C145" s="103">
        <v>45552</v>
      </c>
      <c r="D145" s="102" t="s">
        <v>22</v>
      </c>
      <c r="E145" s="102" t="s">
        <v>23</v>
      </c>
      <c r="F145" s="102">
        <v>571</v>
      </c>
      <c r="G145" s="102">
        <v>190</v>
      </c>
      <c r="H145" s="102">
        <v>352</v>
      </c>
      <c r="I145" s="102">
        <v>9707</v>
      </c>
      <c r="J145" s="102">
        <v>9418</v>
      </c>
      <c r="K145" s="102">
        <v>231</v>
      </c>
      <c r="L145" s="102" t="s">
        <v>77</v>
      </c>
      <c r="M145" s="104" t="s">
        <v>25</v>
      </c>
      <c r="N145" s="20">
        <f t="shared" si="3"/>
        <v>0.11465952405480581</v>
      </c>
    </row>
    <row r="146" spans="1:14" x14ac:dyDescent="0.3">
      <c r="A146" s="101" t="s">
        <v>269</v>
      </c>
      <c r="B146" s="102" t="s">
        <v>14</v>
      </c>
      <c r="C146" s="103">
        <v>45567</v>
      </c>
      <c r="D146" s="102" t="s">
        <v>42</v>
      </c>
      <c r="E146" s="102" t="s">
        <v>43</v>
      </c>
      <c r="F146" s="102">
        <v>4419</v>
      </c>
      <c r="G146" s="102">
        <v>236</v>
      </c>
      <c r="H146" s="102">
        <v>369</v>
      </c>
      <c r="I146" s="102">
        <v>44190</v>
      </c>
      <c r="J146" s="102">
        <v>43582</v>
      </c>
      <c r="K146" s="102">
        <v>10</v>
      </c>
      <c r="L146" s="102" t="s">
        <v>44</v>
      </c>
      <c r="M146" s="104" t="s">
        <v>55</v>
      </c>
      <c r="N146" s="20">
        <f t="shared" si="3"/>
        <v>0.11369088028965829</v>
      </c>
    </row>
    <row r="147" spans="1:14" x14ac:dyDescent="0.3">
      <c r="A147" s="101" t="s">
        <v>339</v>
      </c>
      <c r="B147" s="102" t="s">
        <v>31</v>
      </c>
      <c r="C147" s="103">
        <v>45515</v>
      </c>
      <c r="D147" s="102" t="s">
        <v>33</v>
      </c>
      <c r="E147" s="102" t="s">
        <v>34</v>
      </c>
      <c r="F147" s="102">
        <v>1762</v>
      </c>
      <c r="G147" s="102">
        <v>405</v>
      </c>
      <c r="H147" s="102">
        <v>423</v>
      </c>
      <c r="I147" s="102">
        <v>22906</v>
      </c>
      <c r="J147" s="102">
        <v>21925</v>
      </c>
      <c r="K147" s="102">
        <v>25</v>
      </c>
      <c r="L147" s="102" t="s">
        <v>77</v>
      </c>
      <c r="M147" s="104" t="s">
        <v>25</v>
      </c>
      <c r="N147" s="20">
        <f t="shared" si="3"/>
        <v>0.11307081114118571</v>
      </c>
    </row>
    <row r="148" spans="1:14" x14ac:dyDescent="0.3">
      <c r="A148" s="101" t="s">
        <v>240</v>
      </c>
      <c r="B148" s="102" t="s">
        <v>14</v>
      </c>
      <c r="C148" s="103">
        <v>45453</v>
      </c>
      <c r="D148" s="102" t="s">
        <v>33</v>
      </c>
      <c r="E148" s="102" t="s">
        <v>34</v>
      </c>
      <c r="F148" s="102">
        <v>1575</v>
      </c>
      <c r="G148" s="102">
        <v>771</v>
      </c>
      <c r="H148" s="102">
        <v>486</v>
      </c>
      <c r="I148" s="102">
        <v>25200</v>
      </c>
      <c r="J148" s="102">
        <v>24826</v>
      </c>
      <c r="K148" s="102">
        <v>17</v>
      </c>
      <c r="L148" s="102" t="s">
        <v>58</v>
      </c>
      <c r="M148" s="104" t="s">
        <v>38</v>
      </c>
      <c r="N148" s="20">
        <f t="shared" si="3"/>
        <v>0.11238095238095239</v>
      </c>
    </row>
    <row r="149" spans="1:14" x14ac:dyDescent="0.3">
      <c r="A149" s="101" t="s">
        <v>445</v>
      </c>
      <c r="B149" s="102" t="s">
        <v>31</v>
      </c>
      <c r="C149" s="103">
        <v>45455</v>
      </c>
      <c r="D149" s="102" t="s">
        <v>22</v>
      </c>
      <c r="E149" s="102" t="s">
        <v>23</v>
      </c>
      <c r="F149" s="102">
        <v>246</v>
      </c>
      <c r="G149" s="102">
        <v>149</v>
      </c>
      <c r="H149" s="102">
        <v>130</v>
      </c>
      <c r="I149" s="102">
        <v>4674</v>
      </c>
      <c r="J149" s="102">
        <v>4390</v>
      </c>
      <c r="K149" s="102">
        <v>217</v>
      </c>
      <c r="L149" s="102" t="s">
        <v>116</v>
      </c>
      <c r="M149" s="104" t="s">
        <v>25</v>
      </c>
      <c r="N149" s="20">
        <f t="shared" si="3"/>
        <v>0.11232349165596919</v>
      </c>
    </row>
    <row r="150" spans="1:14" x14ac:dyDescent="0.3">
      <c r="A150" s="101" t="s">
        <v>437</v>
      </c>
      <c r="B150" s="102" t="s">
        <v>40</v>
      </c>
      <c r="C150" s="103">
        <v>45573</v>
      </c>
      <c r="D150" s="102" t="s">
        <v>16</v>
      </c>
      <c r="E150" s="102" t="s">
        <v>17</v>
      </c>
      <c r="F150" s="102">
        <v>1814</v>
      </c>
      <c r="G150" s="102">
        <v>653</v>
      </c>
      <c r="H150" s="102">
        <v>363</v>
      </c>
      <c r="I150" s="102">
        <v>25396</v>
      </c>
      <c r="J150" s="102">
        <v>25286</v>
      </c>
      <c r="K150" s="102">
        <v>39</v>
      </c>
      <c r="L150" s="102" t="s">
        <v>58</v>
      </c>
      <c r="M150" s="104" t="s">
        <v>19</v>
      </c>
      <c r="N150" s="20">
        <f t="shared" si="3"/>
        <v>0.11143487163332809</v>
      </c>
    </row>
    <row r="151" spans="1:14" x14ac:dyDescent="0.3">
      <c r="A151" s="101" t="s">
        <v>521</v>
      </c>
      <c r="B151" s="102" t="s">
        <v>14</v>
      </c>
      <c r="C151" s="103">
        <v>45622</v>
      </c>
      <c r="D151" s="102" t="s">
        <v>22</v>
      </c>
      <c r="E151" s="102" t="s">
        <v>23</v>
      </c>
      <c r="F151" s="102">
        <v>4516</v>
      </c>
      <c r="G151" s="102">
        <v>836</v>
      </c>
      <c r="H151" s="102">
        <v>169</v>
      </c>
      <c r="I151" s="102">
        <v>49676</v>
      </c>
      <c r="J151" s="102">
        <v>49257</v>
      </c>
      <c r="K151" s="102">
        <v>282</v>
      </c>
      <c r="L151" s="102" t="s">
        <v>44</v>
      </c>
      <c r="M151" s="104" t="s">
        <v>19</v>
      </c>
      <c r="N151" s="20">
        <f t="shared" si="3"/>
        <v>0.11114018842096787</v>
      </c>
    </row>
    <row r="152" spans="1:14" x14ac:dyDescent="0.3">
      <c r="A152" s="101" t="s">
        <v>327</v>
      </c>
      <c r="B152" s="102" t="s">
        <v>31</v>
      </c>
      <c r="C152" s="103">
        <v>45499</v>
      </c>
      <c r="D152" s="102" t="s">
        <v>49</v>
      </c>
      <c r="E152" s="102" t="s">
        <v>50</v>
      </c>
      <c r="F152" s="102">
        <v>3559</v>
      </c>
      <c r="G152" s="102">
        <v>59</v>
      </c>
      <c r="H152" s="102">
        <v>289</v>
      </c>
      <c r="I152" s="102">
        <v>35590</v>
      </c>
      <c r="J152" s="102">
        <v>35105</v>
      </c>
      <c r="K152" s="102">
        <v>122</v>
      </c>
      <c r="L152" s="102" t="s">
        <v>214</v>
      </c>
      <c r="M152" s="104" t="s">
        <v>38</v>
      </c>
      <c r="N152" s="20">
        <f t="shared" si="3"/>
        <v>0.10977802753582468</v>
      </c>
    </row>
    <row r="153" spans="1:14" x14ac:dyDescent="0.3">
      <c r="A153" s="101" t="s">
        <v>335</v>
      </c>
      <c r="B153" s="102" t="s">
        <v>40</v>
      </c>
      <c r="C153" s="103">
        <v>45587</v>
      </c>
      <c r="D153" s="102" t="s">
        <v>42</v>
      </c>
      <c r="E153" s="102" t="s">
        <v>43</v>
      </c>
      <c r="F153" s="102">
        <v>3352</v>
      </c>
      <c r="G153" s="102">
        <v>941</v>
      </c>
      <c r="H153" s="102">
        <v>482</v>
      </c>
      <c r="I153" s="102">
        <v>43576</v>
      </c>
      <c r="J153" s="102">
        <v>43338</v>
      </c>
      <c r="K153" s="102">
        <v>240</v>
      </c>
      <c r="L153" s="102" t="s">
        <v>44</v>
      </c>
      <c r="M153" s="104" t="s">
        <v>38</v>
      </c>
      <c r="N153" s="20">
        <f t="shared" si="3"/>
        <v>0.1095786671562328</v>
      </c>
    </row>
    <row r="154" spans="1:14" x14ac:dyDescent="0.3">
      <c r="A154" s="101" t="s">
        <v>337</v>
      </c>
      <c r="B154" s="102" t="s">
        <v>577</v>
      </c>
      <c r="C154" s="103">
        <v>45496</v>
      </c>
      <c r="D154" s="102" t="s">
        <v>33</v>
      </c>
      <c r="E154" s="102" t="s">
        <v>34</v>
      </c>
      <c r="F154" s="102">
        <v>4775</v>
      </c>
      <c r="G154" s="102">
        <v>173</v>
      </c>
      <c r="H154" s="102">
        <v>206</v>
      </c>
      <c r="I154" s="102">
        <v>47750</v>
      </c>
      <c r="J154" s="102">
        <v>47544</v>
      </c>
      <c r="K154" s="102">
        <v>187</v>
      </c>
      <c r="L154" s="102" t="s">
        <v>87</v>
      </c>
      <c r="M154" s="104" t="s">
        <v>55</v>
      </c>
      <c r="N154" s="20">
        <f t="shared" si="3"/>
        <v>0.10793717277486911</v>
      </c>
    </row>
    <row r="155" spans="1:14" x14ac:dyDescent="0.3">
      <c r="A155" s="101" t="s">
        <v>416</v>
      </c>
      <c r="B155" s="102" t="s">
        <v>14</v>
      </c>
      <c r="C155" s="103">
        <v>45467</v>
      </c>
      <c r="D155" s="102" t="s">
        <v>22</v>
      </c>
      <c r="E155" s="102" t="s">
        <v>23</v>
      </c>
      <c r="F155" s="102">
        <v>941</v>
      </c>
      <c r="G155" s="102">
        <v>121</v>
      </c>
      <c r="H155" s="102">
        <v>458</v>
      </c>
      <c r="I155" s="102">
        <v>14115</v>
      </c>
      <c r="J155" s="102">
        <v>13838</v>
      </c>
      <c r="K155" s="102">
        <v>87</v>
      </c>
      <c r="L155" s="102" t="s">
        <v>29</v>
      </c>
      <c r="M155" s="104" t="s">
        <v>25</v>
      </c>
      <c r="N155" s="20">
        <f t="shared" si="3"/>
        <v>0.10768685795253277</v>
      </c>
    </row>
    <row r="156" spans="1:14" x14ac:dyDescent="0.3">
      <c r="A156" s="101" t="s">
        <v>527</v>
      </c>
      <c r="B156" s="102" t="s">
        <v>31</v>
      </c>
      <c r="C156" s="103">
        <v>45568</v>
      </c>
      <c r="D156" s="102" t="s">
        <v>69</v>
      </c>
      <c r="E156" s="102" t="s">
        <v>70</v>
      </c>
      <c r="F156" s="102">
        <v>1488</v>
      </c>
      <c r="G156" s="102">
        <v>417</v>
      </c>
      <c r="H156" s="102">
        <v>168</v>
      </c>
      <c r="I156" s="102">
        <v>19344</v>
      </c>
      <c r="J156" s="102">
        <v>18395</v>
      </c>
      <c r="K156" s="102">
        <v>30</v>
      </c>
      <c r="L156" s="102" t="s">
        <v>18</v>
      </c>
      <c r="M156" s="104" t="s">
        <v>19</v>
      </c>
      <c r="N156" s="20">
        <f t="shared" si="3"/>
        <v>0.1071650124069479</v>
      </c>
    </row>
    <row r="157" spans="1:14" x14ac:dyDescent="0.3">
      <c r="A157" s="101" t="s">
        <v>147</v>
      </c>
      <c r="B157" s="102" t="s">
        <v>14</v>
      </c>
      <c r="C157" s="103">
        <v>45453</v>
      </c>
      <c r="D157" s="102" t="s">
        <v>33</v>
      </c>
      <c r="E157" s="102" t="s">
        <v>34</v>
      </c>
      <c r="F157" s="102">
        <v>2164</v>
      </c>
      <c r="G157" s="102">
        <v>549</v>
      </c>
      <c r="H157" s="102">
        <v>274</v>
      </c>
      <c r="I157" s="102">
        <v>28132</v>
      </c>
      <c r="J157" s="102">
        <v>27361</v>
      </c>
      <c r="K157" s="102">
        <v>177</v>
      </c>
      <c r="L157" s="102" t="s">
        <v>58</v>
      </c>
      <c r="M157" s="104" t="s">
        <v>19</v>
      </c>
      <c r="N157" s="20">
        <f t="shared" si="3"/>
        <v>0.10617801791554102</v>
      </c>
    </row>
    <row r="158" spans="1:14" x14ac:dyDescent="0.3">
      <c r="A158" s="101" t="s">
        <v>415</v>
      </c>
      <c r="B158" s="102" t="s">
        <v>14</v>
      </c>
      <c r="C158" s="103">
        <v>45771</v>
      </c>
      <c r="D158" s="102" t="s">
        <v>69</v>
      </c>
      <c r="E158" s="102" t="s">
        <v>70</v>
      </c>
      <c r="F158" s="102">
        <v>3820</v>
      </c>
      <c r="G158" s="102">
        <v>697</v>
      </c>
      <c r="H158" s="102">
        <v>268</v>
      </c>
      <c r="I158" s="102">
        <v>45840</v>
      </c>
      <c r="J158" s="102">
        <v>45631</v>
      </c>
      <c r="K158" s="102">
        <v>171</v>
      </c>
      <c r="L158" s="102" t="s">
        <v>162</v>
      </c>
      <c r="M158" s="104" t="s">
        <v>19</v>
      </c>
      <c r="N158" s="20">
        <f t="shared" si="3"/>
        <v>0.1043848167539267</v>
      </c>
    </row>
    <row r="159" spans="1:14" x14ac:dyDescent="0.3">
      <c r="A159" s="101" t="s">
        <v>47</v>
      </c>
      <c r="B159" s="102" t="s">
        <v>577</v>
      </c>
      <c r="C159" s="103">
        <v>45486</v>
      </c>
      <c r="D159" s="102" t="s">
        <v>49</v>
      </c>
      <c r="E159" s="102" t="s">
        <v>50</v>
      </c>
      <c r="F159" s="102">
        <v>3929</v>
      </c>
      <c r="G159" s="102">
        <v>262</v>
      </c>
      <c r="H159" s="102">
        <v>278</v>
      </c>
      <c r="I159" s="102">
        <v>43219</v>
      </c>
      <c r="J159" s="102">
        <v>42841</v>
      </c>
      <c r="K159" s="102">
        <v>39</v>
      </c>
      <c r="L159" s="102" t="s">
        <v>29</v>
      </c>
      <c r="M159" s="104" t="s">
        <v>38</v>
      </c>
      <c r="N159" s="20">
        <f t="shared" si="3"/>
        <v>0.10340359564080613</v>
      </c>
    </row>
    <row r="160" spans="1:14" x14ac:dyDescent="0.3">
      <c r="A160" s="101" t="s">
        <v>236</v>
      </c>
      <c r="B160" s="102" t="s">
        <v>14</v>
      </c>
      <c r="C160" s="103">
        <v>45545</v>
      </c>
      <c r="D160" s="102" t="s">
        <v>49</v>
      </c>
      <c r="E160" s="102" t="s">
        <v>50</v>
      </c>
      <c r="F160" s="102">
        <v>1238</v>
      </c>
      <c r="G160" s="102">
        <v>366</v>
      </c>
      <c r="H160" s="102">
        <v>444</v>
      </c>
      <c r="I160" s="102">
        <v>19808</v>
      </c>
      <c r="J160" s="102">
        <v>19334</v>
      </c>
      <c r="K160" s="102">
        <v>123</v>
      </c>
      <c r="L160" s="102" t="s">
        <v>77</v>
      </c>
      <c r="M160" s="104" t="s">
        <v>38</v>
      </c>
      <c r="N160" s="20">
        <f t="shared" si="3"/>
        <v>0.10339256865912763</v>
      </c>
    </row>
    <row r="161" spans="1:14" x14ac:dyDescent="0.3">
      <c r="A161" s="101" t="s">
        <v>78</v>
      </c>
      <c r="B161" s="102" t="s">
        <v>31</v>
      </c>
      <c r="C161" s="103">
        <v>45523</v>
      </c>
      <c r="D161" s="102" t="s">
        <v>16</v>
      </c>
      <c r="E161" s="102" t="s">
        <v>17</v>
      </c>
      <c r="F161" s="102">
        <v>3000</v>
      </c>
      <c r="G161" s="102">
        <v>382</v>
      </c>
      <c r="H161" s="102">
        <v>325</v>
      </c>
      <c r="I161" s="102">
        <v>36000</v>
      </c>
      <c r="J161" s="102">
        <v>35819</v>
      </c>
      <c r="K161" s="102">
        <v>19</v>
      </c>
      <c r="L161" s="102" t="s">
        <v>58</v>
      </c>
      <c r="M161" s="104" t="s">
        <v>25</v>
      </c>
      <c r="N161" s="20">
        <f t="shared" si="3"/>
        <v>0.10297222222222223</v>
      </c>
    </row>
    <row r="162" spans="1:14" x14ac:dyDescent="0.3">
      <c r="A162" s="101" t="s">
        <v>378</v>
      </c>
      <c r="B162" s="102" t="s">
        <v>40</v>
      </c>
      <c r="C162" s="103">
        <v>45504</v>
      </c>
      <c r="D162" s="102" t="s">
        <v>49</v>
      </c>
      <c r="E162" s="102" t="s">
        <v>50</v>
      </c>
      <c r="F162" s="102">
        <v>4689</v>
      </c>
      <c r="G162" s="102">
        <v>134</v>
      </c>
      <c r="H162" s="102">
        <v>403</v>
      </c>
      <c r="I162" s="102">
        <v>51579</v>
      </c>
      <c r="J162" s="102">
        <v>50924</v>
      </c>
      <c r="K162" s="102">
        <v>173</v>
      </c>
      <c r="L162" s="102" t="s">
        <v>77</v>
      </c>
      <c r="M162" s="104" t="s">
        <v>19</v>
      </c>
      <c r="N162" s="20">
        <f t="shared" si="3"/>
        <v>0.10132030477519921</v>
      </c>
    </row>
    <row r="163" spans="1:14" x14ac:dyDescent="0.3">
      <c r="A163" s="101" t="s">
        <v>504</v>
      </c>
      <c r="B163" s="102" t="s">
        <v>40</v>
      </c>
      <c r="C163" s="103">
        <v>45621</v>
      </c>
      <c r="D163" s="102" t="s">
        <v>33</v>
      </c>
      <c r="E163" s="102" t="s">
        <v>34</v>
      </c>
      <c r="F163" s="102">
        <v>4182</v>
      </c>
      <c r="G163" s="102">
        <v>640</v>
      </c>
      <c r="H163" s="102">
        <v>240</v>
      </c>
      <c r="I163" s="102">
        <v>50184</v>
      </c>
      <c r="J163" s="102">
        <v>49351</v>
      </c>
      <c r="K163" s="102">
        <v>10</v>
      </c>
      <c r="L163" s="102" t="s">
        <v>82</v>
      </c>
      <c r="M163" s="104" t="s">
        <v>38</v>
      </c>
      <c r="N163" s="20">
        <f t="shared" si="3"/>
        <v>0.10086880280567512</v>
      </c>
    </row>
    <row r="164" spans="1:14" x14ac:dyDescent="0.3">
      <c r="A164" s="101" t="s">
        <v>80</v>
      </c>
      <c r="B164" s="102" t="s">
        <v>31</v>
      </c>
      <c r="C164" s="103">
        <v>45466</v>
      </c>
      <c r="D164" s="102" t="s">
        <v>69</v>
      </c>
      <c r="E164" s="102" t="s">
        <v>70</v>
      </c>
      <c r="F164" s="102">
        <v>1071</v>
      </c>
      <c r="G164" s="102">
        <v>519</v>
      </c>
      <c r="H164" s="102">
        <v>22</v>
      </c>
      <c r="I164" s="102">
        <v>16065</v>
      </c>
      <c r="J164" s="102">
        <v>15865</v>
      </c>
      <c r="K164" s="102">
        <v>103</v>
      </c>
      <c r="L164" s="102" t="s">
        <v>82</v>
      </c>
      <c r="M164" s="104" t="s">
        <v>38</v>
      </c>
      <c r="N164" s="20">
        <f t="shared" si="3"/>
        <v>0.10034235916588857</v>
      </c>
    </row>
    <row r="165" spans="1:14" x14ac:dyDescent="0.3">
      <c r="A165" s="101" t="s">
        <v>258</v>
      </c>
      <c r="B165" s="102" t="s">
        <v>14</v>
      </c>
      <c r="C165" s="103">
        <v>45741</v>
      </c>
      <c r="D165" s="102" t="s">
        <v>69</v>
      </c>
      <c r="E165" s="102" t="s">
        <v>70</v>
      </c>
      <c r="F165" s="102">
        <v>4050</v>
      </c>
      <c r="G165" s="102">
        <v>871</v>
      </c>
      <c r="H165" s="102">
        <v>347</v>
      </c>
      <c r="I165" s="102">
        <v>52650</v>
      </c>
      <c r="J165" s="102">
        <v>51755</v>
      </c>
      <c r="K165" s="102">
        <v>209</v>
      </c>
      <c r="L165" s="102" t="s">
        <v>162</v>
      </c>
      <c r="M165" s="104" t="s">
        <v>19</v>
      </c>
      <c r="N165" s="20">
        <f t="shared" si="3"/>
        <v>0.10005698005698006</v>
      </c>
    </row>
    <row r="166" spans="1:14" x14ac:dyDescent="0.3">
      <c r="A166" s="101" t="s">
        <v>291</v>
      </c>
      <c r="B166" s="102" t="s">
        <v>31</v>
      </c>
      <c r="C166" s="103">
        <v>45744</v>
      </c>
      <c r="D166" s="102" t="s">
        <v>42</v>
      </c>
      <c r="E166" s="102" t="s">
        <v>43</v>
      </c>
      <c r="F166" s="102">
        <v>4158</v>
      </c>
      <c r="G166" s="102">
        <v>167</v>
      </c>
      <c r="H166" s="102">
        <v>241</v>
      </c>
      <c r="I166" s="102">
        <v>45738</v>
      </c>
      <c r="J166" s="102">
        <v>45183</v>
      </c>
      <c r="K166" s="102">
        <v>142</v>
      </c>
      <c r="L166" s="102" t="s">
        <v>24</v>
      </c>
      <c r="M166" s="104" t="s">
        <v>25</v>
      </c>
      <c r="N166" s="20">
        <f t="shared" si="3"/>
        <v>9.9829463465827106E-2</v>
      </c>
    </row>
    <row r="167" spans="1:14" x14ac:dyDescent="0.3">
      <c r="A167" s="101" t="s">
        <v>248</v>
      </c>
      <c r="B167" s="102" t="s">
        <v>40</v>
      </c>
      <c r="C167" s="103">
        <v>45454</v>
      </c>
      <c r="D167" s="102" t="s">
        <v>49</v>
      </c>
      <c r="E167" s="102" t="s">
        <v>50</v>
      </c>
      <c r="F167" s="102">
        <v>3689</v>
      </c>
      <c r="G167" s="102">
        <v>48</v>
      </c>
      <c r="H167" s="102">
        <v>306</v>
      </c>
      <c r="I167" s="102">
        <v>40579</v>
      </c>
      <c r="J167" s="102">
        <v>39588</v>
      </c>
      <c r="K167" s="102">
        <v>212</v>
      </c>
      <c r="L167" s="102" t="s">
        <v>44</v>
      </c>
      <c r="M167" s="104" t="s">
        <v>19</v>
      </c>
      <c r="N167" s="20">
        <f t="shared" si="3"/>
        <v>9.9632815002833983E-2</v>
      </c>
    </row>
    <row r="168" spans="1:14" x14ac:dyDescent="0.3">
      <c r="A168" s="101" t="s">
        <v>392</v>
      </c>
      <c r="B168" s="102" t="s">
        <v>577</v>
      </c>
      <c r="C168" s="103">
        <v>45629</v>
      </c>
      <c r="D168" s="102" t="s">
        <v>33</v>
      </c>
      <c r="E168" s="102" t="s">
        <v>34</v>
      </c>
      <c r="F168" s="102">
        <v>4285</v>
      </c>
      <c r="G168" s="102">
        <v>886</v>
      </c>
      <c r="H168" s="102">
        <v>376</v>
      </c>
      <c r="I168" s="102">
        <v>55705</v>
      </c>
      <c r="J168" s="102">
        <v>55556</v>
      </c>
      <c r="K168" s="102">
        <v>51</v>
      </c>
      <c r="L168" s="102" t="s">
        <v>71</v>
      </c>
      <c r="M168" s="104" t="s">
        <v>55</v>
      </c>
      <c r="N168" s="20">
        <f t="shared" si="3"/>
        <v>9.9578134817341346E-2</v>
      </c>
    </row>
    <row r="169" spans="1:14" x14ac:dyDescent="0.3">
      <c r="A169" s="101" t="s">
        <v>395</v>
      </c>
      <c r="B169" s="102" t="s">
        <v>14</v>
      </c>
      <c r="C169" s="103">
        <v>45546</v>
      </c>
      <c r="D169" s="102" t="s">
        <v>49</v>
      </c>
      <c r="E169" s="102" t="s">
        <v>50</v>
      </c>
      <c r="F169" s="102">
        <v>4858</v>
      </c>
      <c r="G169" s="102">
        <v>317</v>
      </c>
      <c r="H169" s="102">
        <v>129</v>
      </c>
      <c r="I169" s="102">
        <v>53438</v>
      </c>
      <c r="J169" s="102">
        <v>52687</v>
      </c>
      <c r="K169" s="102">
        <v>223</v>
      </c>
      <c r="L169" s="102" t="s">
        <v>178</v>
      </c>
      <c r="M169" s="104" t="s">
        <v>19</v>
      </c>
      <c r="N169" s="20">
        <f t="shared" si="3"/>
        <v>9.9255211647142488E-2</v>
      </c>
    </row>
    <row r="170" spans="1:14" x14ac:dyDescent="0.3">
      <c r="A170" s="101" t="s">
        <v>353</v>
      </c>
      <c r="B170" s="102" t="s">
        <v>31</v>
      </c>
      <c r="C170" s="103">
        <v>45624</v>
      </c>
      <c r="D170" s="102" t="s">
        <v>22</v>
      </c>
      <c r="E170" s="102" t="s">
        <v>23</v>
      </c>
      <c r="F170" s="102">
        <v>4771</v>
      </c>
      <c r="G170" s="102">
        <v>818</v>
      </c>
      <c r="H170" s="102">
        <v>56</v>
      </c>
      <c r="I170" s="102">
        <v>57252</v>
      </c>
      <c r="J170" s="102">
        <v>56378</v>
      </c>
      <c r="K170" s="102">
        <v>150</v>
      </c>
      <c r="L170" s="102" t="s">
        <v>18</v>
      </c>
      <c r="M170" s="104" t="s">
        <v>25</v>
      </c>
      <c r="N170" s="20">
        <f t="shared" si="3"/>
        <v>9.859917557465242E-2</v>
      </c>
    </row>
    <row r="171" spans="1:14" x14ac:dyDescent="0.3">
      <c r="A171" s="101" t="s">
        <v>136</v>
      </c>
      <c r="B171" s="102" t="s">
        <v>14</v>
      </c>
      <c r="C171" s="103">
        <v>45718</v>
      </c>
      <c r="D171" s="102" t="s">
        <v>49</v>
      </c>
      <c r="E171" s="102" t="s">
        <v>50</v>
      </c>
      <c r="F171" s="102">
        <v>2358</v>
      </c>
      <c r="G171" s="102">
        <v>784</v>
      </c>
      <c r="H171" s="102">
        <v>344</v>
      </c>
      <c r="I171" s="102">
        <v>35370</v>
      </c>
      <c r="J171" s="102">
        <v>34475</v>
      </c>
      <c r="K171" s="102">
        <v>216</v>
      </c>
      <c r="L171" s="102" t="s">
        <v>82</v>
      </c>
      <c r="M171" s="104" t="s">
        <v>19</v>
      </c>
      <c r="N171" s="20">
        <f t="shared" si="3"/>
        <v>9.8558100084817649E-2</v>
      </c>
    </row>
    <row r="172" spans="1:14" x14ac:dyDescent="0.3">
      <c r="A172" s="101" t="s">
        <v>360</v>
      </c>
      <c r="B172" s="102" t="s">
        <v>577</v>
      </c>
      <c r="C172" s="103">
        <v>45657</v>
      </c>
      <c r="D172" s="102" t="s">
        <v>69</v>
      </c>
      <c r="E172" s="102" t="s">
        <v>70</v>
      </c>
      <c r="F172" s="102">
        <v>1018</v>
      </c>
      <c r="G172" s="102">
        <v>447</v>
      </c>
      <c r="H172" s="102">
        <v>332</v>
      </c>
      <c r="I172" s="102">
        <v>18324</v>
      </c>
      <c r="J172" s="102">
        <v>18164</v>
      </c>
      <c r="K172" s="102">
        <v>38</v>
      </c>
      <c r="L172" s="102" t="s">
        <v>66</v>
      </c>
      <c r="M172" s="104" t="s">
        <v>55</v>
      </c>
      <c r="N172" s="20">
        <f t="shared" si="3"/>
        <v>9.8068107400130972E-2</v>
      </c>
    </row>
    <row r="173" spans="1:14" x14ac:dyDescent="0.3">
      <c r="A173" s="101" t="s">
        <v>514</v>
      </c>
      <c r="B173" s="102" t="s">
        <v>577</v>
      </c>
      <c r="C173" s="103">
        <v>45577</v>
      </c>
      <c r="D173" s="102" t="s">
        <v>33</v>
      </c>
      <c r="E173" s="102" t="s">
        <v>34</v>
      </c>
      <c r="F173" s="102">
        <v>3641</v>
      </c>
      <c r="G173" s="102">
        <v>226</v>
      </c>
      <c r="H173" s="102">
        <v>46</v>
      </c>
      <c r="I173" s="102">
        <v>40051</v>
      </c>
      <c r="J173" s="102">
        <v>39319</v>
      </c>
      <c r="K173" s="102">
        <v>296</v>
      </c>
      <c r="L173" s="102" t="s">
        <v>44</v>
      </c>
      <c r="M173" s="104" t="s">
        <v>25</v>
      </c>
      <c r="N173" s="20">
        <f t="shared" si="3"/>
        <v>9.7700431949264685E-2</v>
      </c>
    </row>
    <row r="174" spans="1:14" x14ac:dyDescent="0.3">
      <c r="A174" s="101" t="s">
        <v>467</v>
      </c>
      <c r="B174" s="102" t="s">
        <v>14</v>
      </c>
      <c r="C174" s="103">
        <v>45722</v>
      </c>
      <c r="D174" s="102" t="s">
        <v>49</v>
      </c>
      <c r="E174" s="102" t="s">
        <v>50</v>
      </c>
      <c r="F174" s="102">
        <v>3592</v>
      </c>
      <c r="G174" s="102">
        <v>911</v>
      </c>
      <c r="H174" s="102">
        <v>375</v>
      </c>
      <c r="I174" s="102">
        <v>50288</v>
      </c>
      <c r="J174" s="102">
        <v>49490</v>
      </c>
      <c r="K174" s="102">
        <v>32</v>
      </c>
      <c r="L174" s="102" t="s">
        <v>58</v>
      </c>
      <c r="M174" s="104" t="s">
        <v>25</v>
      </c>
      <c r="N174" s="20">
        <f t="shared" si="3"/>
        <v>9.7001272669424113E-2</v>
      </c>
    </row>
    <row r="175" spans="1:14" x14ac:dyDescent="0.3">
      <c r="A175" s="101" t="s">
        <v>383</v>
      </c>
      <c r="B175" s="102" t="s">
        <v>31</v>
      </c>
      <c r="C175" s="103">
        <v>45668</v>
      </c>
      <c r="D175" s="102" t="s">
        <v>42</v>
      </c>
      <c r="E175" s="102" t="s">
        <v>43</v>
      </c>
      <c r="F175" s="102">
        <v>4523</v>
      </c>
      <c r="G175" s="102">
        <v>61</v>
      </c>
      <c r="H175" s="102">
        <v>157</v>
      </c>
      <c r="I175" s="102">
        <v>49753</v>
      </c>
      <c r="J175" s="102">
        <v>49329</v>
      </c>
      <c r="K175" s="102">
        <v>71</v>
      </c>
      <c r="L175" s="102" t="s">
        <v>102</v>
      </c>
      <c r="M175" s="104" t="s">
        <v>55</v>
      </c>
      <c r="N175" s="20">
        <f t="shared" si="3"/>
        <v>9.5290736237010829E-2</v>
      </c>
    </row>
    <row r="176" spans="1:14" x14ac:dyDescent="0.3">
      <c r="A176" s="101" t="s">
        <v>207</v>
      </c>
      <c r="B176" s="102" t="s">
        <v>31</v>
      </c>
      <c r="C176" s="103">
        <v>45584</v>
      </c>
      <c r="D176" s="102" t="s">
        <v>33</v>
      </c>
      <c r="E176" s="102" t="s">
        <v>34</v>
      </c>
      <c r="F176" s="102">
        <v>1816</v>
      </c>
      <c r="G176" s="102">
        <v>29</v>
      </c>
      <c r="H176" s="102">
        <v>41</v>
      </c>
      <c r="I176" s="102">
        <v>19976</v>
      </c>
      <c r="J176" s="102">
        <v>19262</v>
      </c>
      <c r="K176" s="102">
        <v>283</v>
      </c>
      <c r="L176" s="102" t="s">
        <v>209</v>
      </c>
      <c r="M176" s="104" t="s">
        <v>38</v>
      </c>
      <c r="N176" s="20">
        <f t="shared" si="3"/>
        <v>9.4413295955146179E-2</v>
      </c>
    </row>
    <row r="177" spans="1:14" x14ac:dyDescent="0.3">
      <c r="A177" s="101" t="s">
        <v>75</v>
      </c>
      <c r="B177" s="102" t="s">
        <v>40</v>
      </c>
      <c r="C177" s="103">
        <v>45782</v>
      </c>
      <c r="D177" s="102" t="s">
        <v>22</v>
      </c>
      <c r="E177" s="102" t="s">
        <v>23</v>
      </c>
      <c r="F177" s="102">
        <v>4441</v>
      </c>
      <c r="G177" s="102">
        <v>511</v>
      </c>
      <c r="H177" s="102">
        <v>70</v>
      </c>
      <c r="I177" s="102">
        <v>53292</v>
      </c>
      <c r="J177" s="102">
        <v>53082</v>
      </c>
      <c r="K177" s="102">
        <v>159</v>
      </c>
      <c r="L177" s="102" t="s">
        <v>77</v>
      </c>
      <c r="M177" s="104" t="s">
        <v>38</v>
      </c>
      <c r="N177" s="20">
        <f t="shared" si="3"/>
        <v>9.4235532537716729E-2</v>
      </c>
    </row>
    <row r="178" spans="1:14" x14ac:dyDescent="0.3">
      <c r="A178" s="101" t="s">
        <v>309</v>
      </c>
      <c r="B178" s="102" t="s">
        <v>577</v>
      </c>
      <c r="C178" s="103">
        <v>45594</v>
      </c>
      <c r="D178" s="102" t="s">
        <v>22</v>
      </c>
      <c r="E178" s="102" t="s">
        <v>23</v>
      </c>
      <c r="F178" s="102">
        <v>2746</v>
      </c>
      <c r="G178" s="102">
        <v>156</v>
      </c>
      <c r="H178" s="102">
        <v>203</v>
      </c>
      <c r="I178" s="102">
        <v>32952</v>
      </c>
      <c r="J178" s="102">
        <v>32147</v>
      </c>
      <c r="K178" s="102">
        <v>147</v>
      </c>
      <c r="L178" s="102" t="s">
        <v>146</v>
      </c>
      <c r="M178" s="104" t="s">
        <v>25</v>
      </c>
      <c r="N178" s="20">
        <f t="shared" si="3"/>
        <v>9.422796795338674E-2</v>
      </c>
    </row>
    <row r="179" spans="1:14" x14ac:dyDescent="0.3">
      <c r="A179" s="101" t="s">
        <v>187</v>
      </c>
      <c r="B179" s="102" t="s">
        <v>14</v>
      </c>
      <c r="C179" s="103">
        <v>45724</v>
      </c>
      <c r="D179" s="102" t="s">
        <v>22</v>
      </c>
      <c r="E179" s="102" t="s">
        <v>23</v>
      </c>
      <c r="F179" s="102">
        <v>1292</v>
      </c>
      <c r="G179" s="102">
        <v>626</v>
      </c>
      <c r="H179" s="102">
        <v>496</v>
      </c>
      <c r="I179" s="102">
        <v>25840</v>
      </c>
      <c r="J179" s="102">
        <v>24916</v>
      </c>
      <c r="K179" s="102">
        <v>149</v>
      </c>
      <c r="L179" s="102" t="s">
        <v>87</v>
      </c>
      <c r="M179" s="104" t="s">
        <v>55</v>
      </c>
      <c r="N179" s="20">
        <f t="shared" si="3"/>
        <v>9.3421052631578946E-2</v>
      </c>
    </row>
    <row r="180" spans="1:14" x14ac:dyDescent="0.3">
      <c r="A180" s="101" t="s">
        <v>167</v>
      </c>
      <c r="B180" s="102" t="s">
        <v>31</v>
      </c>
      <c r="C180" s="103">
        <v>45465</v>
      </c>
      <c r="D180" s="102" t="s">
        <v>22</v>
      </c>
      <c r="E180" s="102" t="s">
        <v>23</v>
      </c>
      <c r="F180" s="102">
        <v>2180</v>
      </c>
      <c r="G180" s="102">
        <v>263</v>
      </c>
      <c r="H180" s="102">
        <v>387</v>
      </c>
      <c r="I180" s="102">
        <v>30520</v>
      </c>
      <c r="J180" s="102">
        <v>30059</v>
      </c>
      <c r="K180" s="102">
        <v>174</v>
      </c>
      <c r="L180" s="102" t="s">
        <v>77</v>
      </c>
      <c r="M180" s="104" t="s">
        <v>19</v>
      </c>
      <c r="N180" s="20">
        <f t="shared" si="3"/>
        <v>9.2726081258191345E-2</v>
      </c>
    </row>
    <row r="181" spans="1:14" x14ac:dyDescent="0.3">
      <c r="A181" s="101" t="s">
        <v>243</v>
      </c>
      <c r="B181" s="102" t="s">
        <v>577</v>
      </c>
      <c r="C181" s="103">
        <v>45698</v>
      </c>
      <c r="D181" s="102" t="s">
        <v>69</v>
      </c>
      <c r="E181" s="102" t="s">
        <v>70</v>
      </c>
      <c r="F181" s="102">
        <v>1766</v>
      </c>
      <c r="G181" s="102">
        <v>92</v>
      </c>
      <c r="H181" s="102">
        <v>424</v>
      </c>
      <c r="I181" s="102">
        <v>24724</v>
      </c>
      <c r="J181" s="102">
        <v>24333</v>
      </c>
      <c r="K181" s="102">
        <v>52</v>
      </c>
      <c r="L181" s="102" t="s">
        <v>58</v>
      </c>
      <c r="M181" s="104" t="s">
        <v>19</v>
      </c>
      <c r="N181" s="20">
        <f t="shared" si="3"/>
        <v>9.2298980747451867E-2</v>
      </c>
    </row>
    <row r="182" spans="1:14" x14ac:dyDescent="0.3">
      <c r="A182" s="101" t="s">
        <v>158</v>
      </c>
      <c r="B182" s="102" t="s">
        <v>40</v>
      </c>
      <c r="C182" s="103">
        <v>45460</v>
      </c>
      <c r="D182" s="102" t="s">
        <v>49</v>
      </c>
      <c r="E182" s="102" t="s">
        <v>50</v>
      </c>
      <c r="F182" s="102">
        <v>1226</v>
      </c>
      <c r="G182" s="102">
        <v>119</v>
      </c>
      <c r="H182" s="102">
        <v>7</v>
      </c>
      <c r="I182" s="102">
        <v>14712</v>
      </c>
      <c r="J182" s="102">
        <v>14049</v>
      </c>
      <c r="K182" s="102">
        <v>123</v>
      </c>
      <c r="L182" s="102" t="s">
        <v>102</v>
      </c>
      <c r="M182" s="104" t="s">
        <v>55</v>
      </c>
      <c r="N182" s="20">
        <f t="shared" si="3"/>
        <v>9.1897770527460579E-2</v>
      </c>
    </row>
    <row r="183" spans="1:14" x14ac:dyDescent="0.3">
      <c r="A183" s="101" t="s">
        <v>371</v>
      </c>
      <c r="B183" s="102" t="s">
        <v>31</v>
      </c>
      <c r="C183" s="103">
        <v>45483</v>
      </c>
      <c r="D183" s="102" t="s">
        <v>42</v>
      </c>
      <c r="E183" s="102" t="s">
        <v>43</v>
      </c>
      <c r="F183" s="102">
        <v>3099</v>
      </c>
      <c r="G183" s="102">
        <v>694</v>
      </c>
      <c r="H183" s="102">
        <v>171</v>
      </c>
      <c r="I183" s="102">
        <v>43386</v>
      </c>
      <c r="J183" s="102">
        <v>42921</v>
      </c>
      <c r="K183" s="102">
        <v>52</v>
      </c>
      <c r="L183" s="102" t="s">
        <v>77</v>
      </c>
      <c r="M183" s="104" t="s">
        <v>55</v>
      </c>
      <c r="N183" s="20">
        <f t="shared" si="3"/>
        <v>9.1365878393951966E-2</v>
      </c>
    </row>
    <row r="184" spans="1:14" x14ac:dyDescent="0.3">
      <c r="A184" s="101" t="s">
        <v>342</v>
      </c>
      <c r="B184" s="102" t="s">
        <v>14</v>
      </c>
      <c r="C184" s="103">
        <v>45528</v>
      </c>
      <c r="D184" s="102" t="s">
        <v>69</v>
      </c>
      <c r="E184" s="102" t="s">
        <v>70</v>
      </c>
      <c r="F184" s="102">
        <v>1082</v>
      </c>
      <c r="G184" s="102">
        <v>209</v>
      </c>
      <c r="H184" s="102">
        <v>484</v>
      </c>
      <c r="I184" s="102">
        <v>19476</v>
      </c>
      <c r="J184" s="102">
        <v>18654</v>
      </c>
      <c r="K184" s="102">
        <v>20</v>
      </c>
      <c r="L184" s="102" t="s">
        <v>58</v>
      </c>
      <c r="M184" s="104" t="s">
        <v>55</v>
      </c>
      <c r="N184" s="20">
        <f t="shared" si="3"/>
        <v>9.1137810638734856E-2</v>
      </c>
    </row>
    <row r="185" spans="1:14" x14ac:dyDescent="0.3">
      <c r="A185" s="101" t="s">
        <v>13</v>
      </c>
      <c r="B185" s="102" t="s">
        <v>14</v>
      </c>
      <c r="C185" s="103">
        <v>45649</v>
      </c>
      <c r="D185" s="102" t="s">
        <v>16</v>
      </c>
      <c r="E185" s="102" t="s">
        <v>17</v>
      </c>
      <c r="F185" s="102">
        <v>1461</v>
      </c>
      <c r="G185" s="102">
        <v>184</v>
      </c>
      <c r="H185" s="102">
        <v>344</v>
      </c>
      <c r="I185" s="102">
        <v>21915</v>
      </c>
      <c r="J185" s="102">
        <v>21675</v>
      </c>
      <c r="K185" s="102">
        <v>15</v>
      </c>
      <c r="L185" s="102" t="s">
        <v>18</v>
      </c>
      <c r="M185" s="104" t="s">
        <v>19</v>
      </c>
      <c r="N185" s="20">
        <f t="shared" si="3"/>
        <v>9.0759753593429152E-2</v>
      </c>
    </row>
    <row r="186" spans="1:14" x14ac:dyDescent="0.3">
      <c r="A186" s="101" t="s">
        <v>408</v>
      </c>
      <c r="B186" s="102" t="s">
        <v>14</v>
      </c>
      <c r="C186" s="103">
        <v>45672</v>
      </c>
      <c r="D186" s="102" t="s">
        <v>16</v>
      </c>
      <c r="E186" s="102" t="s">
        <v>17</v>
      </c>
      <c r="F186" s="102">
        <v>802</v>
      </c>
      <c r="G186" s="102">
        <v>262</v>
      </c>
      <c r="H186" s="102">
        <v>244</v>
      </c>
      <c r="I186" s="102">
        <v>14436</v>
      </c>
      <c r="J186" s="102">
        <v>14280</v>
      </c>
      <c r="K186" s="102">
        <v>49</v>
      </c>
      <c r="L186" s="102" t="s">
        <v>74</v>
      </c>
      <c r="M186" s="104" t="s">
        <v>55</v>
      </c>
      <c r="N186" s="20">
        <f t="shared" si="3"/>
        <v>9.0606816292601824E-2</v>
      </c>
    </row>
    <row r="187" spans="1:14" x14ac:dyDescent="0.3">
      <c r="A187" s="101" t="s">
        <v>375</v>
      </c>
      <c r="B187" s="102" t="s">
        <v>577</v>
      </c>
      <c r="C187" s="103">
        <v>45629</v>
      </c>
      <c r="D187" s="102" t="s">
        <v>22</v>
      </c>
      <c r="E187" s="102" t="s">
        <v>23</v>
      </c>
      <c r="F187" s="102">
        <v>3711</v>
      </c>
      <c r="G187" s="102">
        <v>352</v>
      </c>
      <c r="H187" s="102">
        <v>290</v>
      </c>
      <c r="I187" s="102">
        <v>48243</v>
      </c>
      <c r="J187" s="102">
        <v>47579</v>
      </c>
      <c r="K187" s="102">
        <v>11</v>
      </c>
      <c r="L187" s="102" t="s">
        <v>162</v>
      </c>
      <c r="M187" s="104" t="s">
        <v>55</v>
      </c>
      <c r="N187" s="20">
        <f t="shared" si="3"/>
        <v>9.023070704558174E-2</v>
      </c>
    </row>
    <row r="188" spans="1:14" x14ac:dyDescent="0.3">
      <c r="A188" s="101" t="s">
        <v>96</v>
      </c>
      <c r="B188" s="102" t="s">
        <v>577</v>
      </c>
      <c r="C188" s="103">
        <v>45752</v>
      </c>
      <c r="D188" s="102" t="s">
        <v>16</v>
      </c>
      <c r="E188" s="102" t="s">
        <v>17</v>
      </c>
      <c r="F188" s="102">
        <v>3009</v>
      </c>
      <c r="G188" s="102">
        <v>413</v>
      </c>
      <c r="H188" s="102">
        <v>358</v>
      </c>
      <c r="I188" s="102">
        <v>42126</v>
      </c>
      <c r="J188" s="102">
        <v>41309</v>
      </c>
      <c r="K188" s="102">
        <v>211</v>
      </c>
      <c r="L188" s="102" t="s">
        <v>18</v>
      </c>
      <c r="M188" s="104" t="s">
        <v>25</v>
      </c>
      <c r="N188" s="20">
        <f t="shared" si="3"/>
        <v>8.9730807577268201E-2</v>
      </c>
    </row>
    <row r="189" spans="1:14" x14ac:dyDescent="0.3">
      <c r="A189" s="101" t="s">
        <v>295</v>
      </c>
      <c r="B189" s="102" t="s">
        <v>577</v>
      </c>
      <c r="C189" s="103">
        <v>45564</v>
      </c>
      <c r="D189" s="102" t="s">
        <v>16</v>
      </c>
      <c r="E189" s="102" t="s">
        <v>17</v>
      </c>
      <c r="F189" s="102">
        <v>2936</v>
      </c>
      <c r="G189" s="102">
        <v>439</v>
      </c>
      <c r="H189" s="102">
        <v>44</v>
      </c>
      <c r="I189" s="102">
        <v>38168</v>
      </c>
      <c r="J189" s="102">
        <v>37571</v>
      </c>
      <c r="K189" s="102">
        <v>22</v>
      </c>
      <c r="L189" s="102" t="s">
        <v>18</v>
      </c>
      <c r="M189" s="104" t="s">
        <v>38</v>
      </c>
      <c r="N189" s="20">
        <f t="shared" si="3"/>
        <v>8.9577656675749323E-2</v>
      </c>
    </row>
    <row r="190" spans="1:14" x14ac:dyDescent="0.3">
      <c r="A190" s="101" t="s">
        <v>204</v>
      </c>
      <c r="B190" s="102" t="s">
        <v>31</v>
      </c>
      <c r="C190" s="103">
        <v>45574</v>
      </c>
      <c r="D190" s="102" t="s">
        <v>42</v>
      </c>
      <c r="E190" s="102" t="s">
        <v>43</v>
      </c>
      <c r="F190" s="102">
        <v>3068</v>
      </c>
      <c r="G190" s="102">
        <v>137</v>
      </c>
      <c r="H190" s="102">
        <v>329</v>
      </c>
      <c r="I190" s="102">
        <v>39884</v>
      </c>
      <c r="J190" s="102">
        <v>39404</v>
      </c>
      <c r="K190" s="102">
        <v>266</v>
      </c>
      <c r="L190" s="102" t="s">
        <v>102</v>
      </c>
      <c r="M190" s="104" t="s">
        <v>38</v>
      </c>
      <c r="N190" s="20">
        <f t="shared" si="3"/>
        <v>8.860696018453515E-2</v>
      </c>
    </row>
    <row r="191" spans="1:14" x14ac:dyDescent="0.3">
      <c r="A191" s="101" t="s">
        <v>192</v>
      </c>
      <c r="B191" s="102" t="s">
        <v>577</v>
      </c>
      <c r="C191" s="103">
        <v>45719</v>
      </c>
      <c r="D191" s="102" t="s">
        <v>16</v>
      </c>
      <c r="E191" s="102" t="s">
        <v>17</v>
      </c>
      <c r="F191" s="102">
        <v>296</v>
      </c>
      <c r="G191" s="102">
        <v>60</v>
      </c>
      <c r="H191" s="102">
        <v>141</v>
      </c>
      <c r="I191" s="102">
        <v>5624</v>
      </c>
      <c r="J191" s="102">
        <v>5239</v>
      </c>
      <c r="K191" s="102">
        <v>88</v>
      </c>
      <c r="L191" s="102" t="s">
        <v>44</v>
      </c>
      <c r="M191" s="104" t="s">
        <v>55</v>
      </c>
      <c r="N191" s="20">
        <f t="shared" si="3"/>
        <v>8.837126600284495E-2</v>
      </c>
    </row>
    <row r="192" spans="1:14" x14ac:dyDescent="0.3">
      <c r="A192" s="101" t="s">
        <v>51</v>
      </c>
      <c r="B192" s="102" t="s">
        <v>40</v>
      </c>
      <c r="C192" s="103">
        <v>45534</v>
      </c>
      <c r="D192" s="102" t="s">
        <v>22</v>
      </c>
      <c r="E192" s="102" t="s">
        <v>23</v>
      </c>
      <c r="F192" s="102">
        <v>3784</v>
      </c>
      <c r="G192" s="102">
        <v>808</v>
      </c>
      <c r="H192" s="102">
        <v>404</v>
      </c>
      <c r="I192" s="102">
        <v>56760</v>
      </c>
      <c r="J192" s="102">
        <v>56343</v>
      </c>
      <c r="K192" s="102">
        <v>131</v>
      </c>
      <c r="L192" s="102" t="s">
        <v>29</v>
      </c>
      <c r="M192" s="104" t="s">
        <v>38</v>
      </c>
      <c r="N192" s="20">
        <f t="shared" si="3"/>
        <v>8.8019732205778717E-2</v>
      </c>
    </row>
    <row r="193" spans="1:14" x14ac:dyDescent="0.3">
      <c r="A193" s="101" t="s">
        <v>493</v>
      </c>
      <c r="B193" s="102" t="s">
        <v>31</v>
      </c>
      <c r="C193" s="103">
        <v>45700</v>
      </c>
      <c r="D193" s="102" t="s">
        <v>33</v>
      </c>
      <c r="E193" s="102" t="s">
        <v>34</v>
      </c>
      <c r="F193" s="102">
        <v>4332</v>
      </c>
      <c r="G193" s="102">
        <v>771</v>
      </c>
      <c r="H193" s="102">
        <v>219</v>
      </c>
      <c r="I193" s="102">
        <v>60648</v>
      </c>
      <c r="J193" s="102">
        <v>60397</v>
      </c>
      <c r="K193" s="102">
        <v>10</v>
      </c>
      <c r="L193" s="102" t="s">
        <v>24</v>
      </c>
      <c r="M193" s="104" t="s">
        <v>38</v>
      </c>
      <c r="N193" s="20">
        <f t="shared" si="3"/>
        <v>8.7752275425405618E-2</v>
      </c>
    </row>
    <row r="194" spans="1:14" x14ac:dyDescent="0.3">
      <c r="A194" s="101" t="s">
        <v>478</v>
      </c>
      <c r="B194" s="102" t="s">
        <v>14</v>
      </c>
      <c r="C194" s="103">
        <v>45491</v>
      </c>
      <c r="D194" s="102" t="s">
        <v>49</v>
      </c>
      <c r="E194" s="102" t="s">
        <v>50</v>
      </c>
      <c r="F194" s="102">
        <v>827</v>
      </c>
      <c r="G194" s="102">
        <v>77</v>
      </c>
      <c r="H194" s="102">
        <v>402</v>
      </c>
      <c r="I194" s="102">
        <v>14886</v>
      </c>
      <c r="J194" s="102">
        <v>14129</v>
      </c>
      <c r="K194" s="102">
        <v>254</v>
      </c>
      <c r="L194" s="102" t="s">
        <v>58</v>
      </c>
      <c r="M194" s="104" t="s">
        <v>25</v>
      </c>
      <c r="N194" s="20">
        <f t="shared" ref="N194:N257" si="4">SUM(F194,G194,H194)/I194</f>
        <v>8.7733440816874911E-2</v>
      </c>
    </row>
    <row r="195" spans="1:14" x14ac:dyDescent="0.3">
      <c r="A195" s="101" t="s">
        <v>238</v>
      </c>
      <c r="B195" s="102" t="s">
        <v>31</v>
      </c>
      <c r="C195" s="103">
        <v>45517</v>
      </c>
      <c r="D195" s="102" t="s">
        <v>49</v>
      </c>
      <c r="E195" s="102" t="s">
        <v>50</v>
      </c>
      <c r="F195" s="102">
        <v>4739</v>
      </c>
      <c r="G195" s="102">
        <v>527</v>
      </c>
      <c r="H195" s="102">
        <v>135</v>
      </c>
      <c r="I195" s="102">
        <v>61607</v>
      </c>
      <c r="J195" s="102">
        <v>61333</v>
      </c>
      <c r="K195" s="102">
        <v>36</v>
      </c>
      <c r="L195" s="102" t="s">
        <v>61</v>
      </c>
      <c r="M195" s="104" t="s">
        <v>25</v>
      </c>
      <c r="N195" s="20">
        <f t="shared" si="4"/>
        <v>8.7668609086629767E-2</v>
      </c>
    </row>
    <row r="196" spans="1:14" x14ac:dyDescent="0.3">
      <c r="A196" s="101" t="s">
        <v>483</v>
      </c>
      <c r="B196" s="102" t="s">
        <v>14</v>
      </c>
      <c r="C196" s="103">
        <v>45507</v>
      </c>
      <c r="D196" s="102" t="s">
        <v>16</v>
      </c>
      <c r="E196" s="102" t="s">
        <v>17</v>
      </c>
      <c r="F196" s="102">
        <v>3791</v>
      </c>
      <c r="G196" s="102">
        <v>593</v>
      </c>
      <c r="H196" s="102">
        <v>228</v>
      </c>
      <c r="I196" s="102">
        <v>53074</v>
      </c>
      <c r="J196" s="102">
        <v>52613</v>
      </c>
      <c r="K196" s="102">
        <v>205</v>
      </c>
      <c r="L196" s="102" t="s">
        <v>162</v>
      </c>
      <c r="M196" s="104" t="s">
        <v>19</v>
      </c>
      <c r="N196" s="20">
        <f t="shared" si="4"/>
        <v>8.6897539284772202E-2</v>
      </c>
    </row>
    <row r="197" spans="1:14" x14ac:dyDescent="0.3">
      <c r="A197" s="101" t="s">
        <v>215</v>
      </c>
      <c r="B197" s="102" t="s">
        <v>40</v>
      </c>
      <c r="C197" s="103">
        <v>45635</v>
      </c>
      <c r="D197" s="102" t="s">
        <v>49</v>
      </c>
      <c r="E197" s="102" t="s">
        <v>50</v>
      </c>
      <c r="F197" s="102">
        <v>1841</v>
      </c>
      <c r="G197" s="102">
        <v>851</v>
      </c>
      <c r="H197" s="102">
        <v>342</v>
      </c>
      <c r="I197" s="102">
        <v>34979</v>
      </c>
      <c r="J197" s="102">
        <v>34154</v>
      </c>
      <c r="K197" s="102">
        <v>255</v>
      </c>
      <c r="L197" s="102" t="s">
        <v>71</v>
      </c>
      <c r="M197" s="104" t="s">
        <v>19</v>
      </c>
      <c r="N197" s="20">
        <f t="shared" si="4"/>
        <v>8.6737756939878216E-2</v>
      </c>
    </row>
    <row r="198" spans="1:14" x14ac:dyDescent="0.3">
      <c r="A198" s="101" t="s">
        <v>346</v>
      </c>
      <c r="B198" s="102" t="s">
        <v>40</v>
      </c>
      <c r="C198" s="103">
        <v>45748</v>
      </c>
      <c r="D198" s="102" t="s">
        <v>33</v>
      </c>
      <c r="E198" s="102" t="s">
        <v>34</v>
      </c>
      <c r="F198" s="102">
        <v>3430</v>
      </c>
      <c r="G198" s="102">
        <v>566</v>
      </c>
      <c r="H198" s="102">
        <v>164</v>
      </c>
      <c r="I198" s="102">
        <v>48020</v>
      </c>
      <c r="J198" s="102">
        <v>47305</v>
      </c>
      <c r="K198" s="102">
        <v>120</v>
      </c>
      <c r="L198" s="102" t="s">
        <v>44</v>
      </c>
      <c r="M198" s="104" t="s">
        <v>25</v>
      </c>
      <c r="N198" s="20">
        <f t="shared" si="4"/>
        <v>8.6630570595585168E-2</v>
      </c>
    </row>
    <row r="199" spans="1:14" x14ac:dyDescent="0.3">
      <c r="A199" s="101" t="s">
        <v>419</v>
      </c>
      <c r="B199" s="102" t="s">
        <v>577</v>
      </c>
      <c r="C199" s="103">
        <v>45467</v>
      </c>
      <c r="D199" s="102" t="s">
        <v>69</v>
      </c>
      <c r="E199" s="102" t="s">
        <v>70</v>
      </c>
      <c r="F199" s="102">
        <v>2949</v>
      </c>
      <c r="G199" s="102">
        <v>476</v>
      </c>
      <c r="H199" s="102">
        <v>403</v>
      </c>
      <c r="I199" s="102">
        <v>44235</v>
      </c>
      <c r="J199" s="102">
        <v>43705</v>
      </c>
      <c r="K199" s="102">
        <v>135</v>
      </c>
      <c r="L199" s="102" t="s">
        <v>116</v>
      </c>
      <c r="M199" s="104" t="s">
        <v>19</v>
      </c>
      <c r="N199" s="20">
        <f t="shared" si="4"/>
        <v>8.6537809426924378E-2</v>
      </c>
    </row>
    <row r="200" spans="1:14" x14ac:dyDescent="0.3">
      <c r="A200" s="101" t="s">
        <v>463</v>
      </c>
      <c r="B200" s="102" t="s">
        <v>14</v>
      </c>
      <c r="C200" s="103">
        <v>45530</v>
      </c>
      <c r="D200" s="102" t="s">
        <v>42</v>
      </c>
      <c r="E200" s="102" t="s">
        <v>43</v>
      </c>
      <c r="F200" s="102">
        <v>929</v>
      </c>
      <c r="G200" s="102">
        <v>192</v>
      </c>
      <c r="H200" s="102">
        <v>322</v>
      </c>
      <c r="I200" s="102">
        <v>16722</v>
      </c>
      <c r="J200" s="102">
        <v>15996</v>
      </c>
      <c r="K200" s="102">
        <v>145</v>
      </c>
      <c r="L200" s="102" t="s">
        <v>24</v>
      </c>
      <c r="M200" s="104" t="s">
        <v>38</v>
      </c>
      <c r="N200" s="20">
        <f t="shared" si="4"/>
        <v>8.6293505561535699E-2</v>
      </c>
    </row>
    <row r="201" spans="1:14" x14ac:dyDescent="0.3">
      <c r="A201" s="101" t="s">
        <v>451</v>
      </c>
      <c r="B201" s="102" t="s">
        <v>31</v>
      </c>
      <c r="C201" s="103">
        <v>45778</v>
      </c>
      <c r="D201" s="102" t="s">
        <v>22</v>
      </c>
      <c r="E201" s="102" t="s">
        <v>23</v>
      </c>
      <c r="F201" s="102">
        <v>1430</v>
      </c>
      <c r="G201" s="102">
        <v>376</v>
      </c>
      <c r="H201" s="102">
        <v>33</v>
      </c>
      <c r="I201" s="102">
        <v>21450</v>
      </c>
      <c r="J201" s="102">
        <v>20509</v>
      </c>
      <c r="K201" s="102">
        <v>251</v>
      </c>
      <c r="L201" s="102" t="s">
        <v>77</v>
      </c>
      <c r="M201" s="104" t="s">
        <v>38</v>
      </c>
      <c r="N201" s="20">
        <f t="shared" si="4"/>
        <v>8.5734265734265735E-2</v>
      </c>
    </row>
    <row r="202" spans="1:14" x14ac:dyDescent="0.3">
      <c r="A202" s="101" t="s">
        <v>254</v>
      </c>
      <c r="B202" s="102" t="s">
        <v>31</v>
      </c>
      <c r="C202" s="103">
        <v>45692</v>
      </c>
      <c r="D202" s="102" t="s">
        <v>49</v>
      </c>
      <c r="E202" s="102" t="s">
        <v>50</v>
      </c>
      <c r="F202" s="102">
        <v>4619</v>
      </c>
      <c r="G202" s="102">
        <v>821</v>
      </c>
      <c r="H202" s="102">
        <v>499</v>
      </c>
      <c r="I202" s="102">
        <v>69285</v>
      </c>
      <c r="J202" s="102">
        <v>69141</v>
      </c>
      <c r="K202" s="102">
        <v>298</v>
      </c>
      <c r="L202" s="102" t="s">
        <v>24</v>
      </c>
      <c r="M202" s="104" t="s">
        <v>19</v>
      </c>
      <c r="N202" s="20">
        <f t="shared" si="4"/>
        <v>8.5718409468138843E-2</v>
      </c>
    </row>
    <row r="203" spans="1:14" x14ac:dyDescent="0.3">
      <c r="A203" s="101" t="s">
        <v>210</v>
      </c>
      <c r="B203" s="102" t="s">
        <v>31</v>
      </c>
      <c r="C203" s="103">
        <v>45497</v>
      </c>
      <c r="D203" s="102" t="s">
        <v>49</v>
      </c>
      <c r="E203" s="102" t="s">
        <v>50</v>
      </c>
      <c r="F203" s="102">
        <v>725</v>
      </c>
      <c r="G203" s="102">
        <v>88</v>
      </c>
      <c r="H203" s="102">
        <v>428</v>
      </c>
      <c r="I203" s="102">
        <v>14500</v>
      </c>
      <c r="J203" s="102">
        <v>13637</v>
      </c>
      <c r="K203" s="102">
        <v>200</v>
      </c>
      <c r="L203" s="102" t="s">
        <v>44</v>
      </c>
      <c r="M203" s="104" t="s">
        <v>38</v>
      </c>
      <c r="N203" s="20">
        <f t="shared" si="4"/>
        <v>8.558620689655172E-2</v>
      </c>
    </row>
    <row r="204" spans="1:14" x14ac:dyDescent="0.3">
      <c r="A204" s="101" t="s">
        <v>405</v>
      </c>
      <c r="B204" s="102" t="s">
        <v>577</v>
      </c>
      <c r="C204" s="103">
        <v>45626</v>
      </c>
      <c r="D204" s="102" t="s">
        <v>42</v>
      </c>
      <c r="E204" s="102" t="s">
        <v>43</v>
      </c>
      <c r="F204" s="102">
        <v>2509</v>
      </c>
      <c r="G204" s="102">
        <v>324</v>
      </c>
      <c r="H204" s="102">
        <v>171</v>
      </c>
      <c r="I204" s="102">
        <v>35126</v>
      </c>
      <c r="J204" s="102">
        <v>34685</v>
      </c>
      <c r="K204" s="102">
        <v>277</v>
      </c>
      <c r="L204" s="102" t="s">
        <v>77</v>
      </c>
      <c r="M204" s="104" t="s">
        <v>25</v>
      </c>
      <c r="N204" s="20">
        <f t="shared" si="4"/>
        <v>8.5520696919660646E-2</v>
      </c>
    </row>
    <row r="205" spans="1:14" x14ac:dyDescent="0.3">
      <c r="A205" s="101" t="s">
        <v>388</v>
      </c>
      <c r="B205" s="102" t="s">
        <v>577</v>
      </c>
      <c r="C205" s="103">
        <v>45449</v>
      </c>
      <c r="D205" s="102" t="s">
        <v>16</v>
      </c>
      <c r="E205" s="102" t="s">
        <v>17</v>
      </c>
      <c r="F205" s="102">
        <v>2728</v>
      </c>
      <c r="G205" s="102">
        <v>533</v>
      </c>
      <c r="H205" s="102">
        <v>215</v>
      </c>
      <c r="I205" s="102">
        <v>40920</v>
      </c>
      <c r="J205" s="102">
        <v>40816</v>
      </c>
      <c r="K205" s="102">
        <v>137</v>
      </c>
      <c r="L205" s="102" t="s">
        <v>18</v>
      </c>
      <c r="M205" s="104" t="s">
        <v>25</v>
      </c>
      <c r="N205" s="20">
        <f t="shared" si="4"/>
        <v>8.4946236559139784E-2</v>
      </c>
    </row>
    <row r="206" spans="1:14" x14ac:dyDescent="0.3">
      <c r="A206" s="101" t="s">
        <v>385</v>
      </c>
      <c r="B206" s="102" t="s">
        <v>40</v>
      </c>
      <c r="C206" s="103">
        <v>45528</v>
      </c>
      <c r="D206" s="102" t="s">
        <v>42</v>
      </c>
      <c r="E206" s="102" t="s">
        <v>43</v>
      </c>
      <c r="F206" s="102">
        <v>4292</v>
      </c>
      <c r="G206" s="102">
        <v>51</v>
      </c>
      <c r="H206" s="102">
        <v>392</v>
      </c>
      <c r="I206" s="102">
        <v>55796</v>
      </c>
      <c r="J206" s="102">
        <v>54826</v>
      </c>
      <c r="K206" s="102">
        <v>264</v>
      </c>
      <c r="L206" s="102" t="s">
        <v>214</v>
      </c>
      <c r="M206" s="104" t="s">
        <v>19</v>
      </c>
      <c r="N206" s="20">
        <f t="shared" si="4"/>
        <v>8.4862714173059003E-2</v>
      </c>
    </row>
    <row r="207" spans="1:14" x14ac:dyDescent="0.3">
      <c r="A207" s="101" t="s">
        <v>397</v>
      </c>
      <c r="B207" s="102" t="s">
        <v>577</v>
      </c>
      <c r="C207" s="103">
        <v>45567</v>
      </c>
      <c r="D207" s="102" t="s">
        <v>33</v>
      </c>
      <c r="E207" s="102" t="s">
        <v>34</v>
      </c>
      <c r="F207" s="102">
        <v>4350</v>
      </c>
      <c r="G207" s="102">
        <v>771</v>
      </c>
      <c r="H207" s="102">
        <v>7</v>
      </c>
      <c r="I207" s="102">
        <v>60900</v>
      </c>
      <c r="J207" s="102">
        <v>60592</v>
      </c>
      <c r="K207" s="102">
        <v>195</v>
      </c>
      <c r="L207" s="102" t="s">
        <v>264</v>
      </c>
      <c r="M207" s="104" t="s">
        <v>25</v>
      </c>
      <c r="N207" s="20">
        <f t="shared" si="4"/>
        <v>8.4203612479474554E-2</v>
      </c>
    </row>
    <row r="208" spans="1:14" x14ac:dyDescent="0.3">
      <c r="A208" s="101" t="s">
        <v>506</v>
      </c>
      <c r="B208" s="102" t="s">
        <v>31</v>
      </c>
      <c r="C208" s="103">
        <v>45760</v>
      </c>
      <c r="D208" s="102" t="s">
        <v>16</v>
      </c>
      <c r="E208" s="102" t="s">
        <v>17</v>
      </c>
      <c r="F208" s="102">
        <v>4579</v>
      </c>
      <c r="G208" s="102">
        <v>125</v>
      </c>
      <c r="H208" s="102">
        <v>300</v>
      </c>
      <c r="I208" s="102">
        <v>59527</v>
      </c>
      <c r="J208" s="102">
        <v>59400</v>
      </c>
      <c r="K208" s="102">
        <v>269</v>
      </c>
      <c r="L208" s="102" t="s">
        <v>37</v>
      </c>
      <c r="M208" s="104" t="s">
        <v>19</v>
      </c>
      <c r="N208" s="20">
        <f t="shared" si="4"/>
        <v>8.4062694239588759E-2</v>
      </c>
    </row>
    <row r="209" spans="1:14" x14ac:dyDescent="0.3">
      <c r="A209" s="101" t="s">
        <v>539</v>
      </c>
      <c r="B209" s="102" t="s">
        <v>31</v>
      </c>
      <c r="C209" s="103">
        <v>45646</v>
      </c>
      <c r="D209" s="102" t="s">
        <v>42</v>
      </c>
      <c r="E209" s="102" t="s">
        <v>43</v>
      </c>
      <c r="F209" s="102">
        <v>2107</v>
      </c>
      <c r="G209" s="102">
        <v>550</v>
      </c>
      <c r="H209" s="102">
        <v>349</v>
      </c>
      <c r="I209" s="102">
        <v>35819</v>
      </c>
      <c r="J209" s="102">
        <v>35340</v>
      </c>
      <c r="K209" s="102">
        <v>191</v>
      </c>
      <c r="L209" s="102" t="s">
        <v>44</v>
      </c>
      <c r="M209" s="104" t="s">
        <v>38</v>
      </c>
      <c r="N209" s="20">
        <f t="shared" si="4"/>
        <v>8.3921940869371006E-2</v>
      </c>
    </row>
    <row r="210" spans="1:14" x14ac:dyDescent="0.3">
      <c r="A210" s="101" t="s">
        <v>386</v>
      </c>
      <c r="B210" s="102" t="s">
        <v>14</v>
      </c>
      <c r="C210" s="103">
        <v>45648</v>
      </c>
      <c r="D210" s="102" t="s">
        <v>16</v>
      </c>
      <c r="E210" s="102" t="s">
        <v>17</v>
      </c>
      <c r="F210" s="102">
        <v>1644</v>
      </c>
      <c r="G210" s="102">
        <v>546</v>
      </c>
      <c r="H210" s="102">
        <v>150</v>
      </c>
      <c r="I210" s="102">
        <v>27948</v>
      </c>
      <c r="J210" s="102">
        <v>27184</v>
      </c>
      <c r="K210" s="102">
        <v>300</v>
      </c>
      <c r="L210" s="102" t="s">
        <v>102</v>
      </c>
      <c r="M210" s="104" t="s">
        <v>19</v>
      </c>
      <c r="N210" s="20">
        <f t="shared" si="4"/>
        <v>8.3726921425504502E-2</v>
      </c>
    </row>
    <row r="211" spans="1:14" x14ac:dyDescent="0.3">
      <c r="A211" s="101" t="s">
        <v>555</v>
      </c>
      <c r="B211" s="102" t="s">
        <v>14</v>
      </c>
      <c r="C211" s="103">
        <v>45535</v>
      </c>
      <c r="D211" s="102" t="s">
        <v>42</v>
      </c>
      <c r="E211" s="102" t="s">
        <v>43</v>
      </c>
      <c r="F211" s="102">
        <v>4494</v>
      </c>
      <c r="G211" s="102">
        <v>717</v>
      </c>
      <c r="H211" s="102">
        <v>45</v>
      </c>
      <c r="I211" s="102">
        <v>62916</v>
      </c>
      <c r="J211" s="102">
        <v>62688</v>
      </c>
      <c r="K211" s="102">
        <v>191</v>
      </c>
      <c r="L211" s="102" t="s">
        <v>24</v>
      </c>
      <c r="M211" s="104" t="s">
        <v>19</v>
      </c>
      <c r="N211" s="20">
        <f t="shared" si="4"/>
        <v>8.3539958039290485E-2</v>
      </c>
    </row>
    <row r="212" spans="1:14" x14ac:dyDescent="0.3">
      <c r="A212" s="101" t="s">
        <v>524</v>
      </c>
      <c r="B212" s="102" t="s">
        <v>577</v>
      </c>
      <c r="C212" s="103">
        <v>45586</v>
      </c>
      <c r="D212" s="102" t="s">
        <v>69</v>
      </c>
      <c r="E212" s="102" t="s">
        <v>70</v>
      </c>
      <c r="F212" s="102">
        <v>4275</v>
      </c>
      <c r="G212" s="102">
        <v>680</v>
      </c>
      <c r="H212" s="102">
        <v>385</v>
      </c>
      <c r="I212" s="102">
        <v>64125</v>
      </c>
      <c r="J212" s="102">
        <v>63650</v>
      </c>
      <c r="K212" s="102">
        <v>104</v>
      </c>
      <c r="L212" s="102" t="s">
        <v>58</v>
      </c>
      <c r="M212" s="104" t="s">
        <v>55</v>
      </c>
      <c r="N212" s="20">
        <f t="shared" si="4"/>
        <v>8.3274853801169585E-2</v>
      </c>
    </row>
    <row r="213" spans="1:14" x14ac:dyDescent="0.3">
      <c r="A213" s="101" t="s">
        <v>495</v>
      </c>
      <c r="B213" s="102" t="s">
        <v>31</v>
      </c>
      <c r="C213" s="103">
        <v>45592</v>
      </c>
      <c r="D213" s="102" t="s">
        <v>49</v>
      </c>
      <c r="E213" s="102" t="s">
        <v>50</v>
      </c>
      <c r="F213" s="102">
        <v>4853</v>
      </c>
      <c r="G213" s="102">
        <v>837</v>
      </c>
      <c r="H213" s="102">
        <v>340</v>
      </c>
      <c r="I213" s="102">
        <v>72795</v>
      </c>
      <c r="J213" s="102">
        <v>72237</v>
      </c>
      <c r="K213" s="102">
        <v>170</v>
      </c>
      <c r="L213" s="102" t="s">
        <v>18</v>
      </c>
      <c r="M213" s="104" t="s">
        <v>25</v>
      </c>
      <c r="N213" s="20">
        <f t="shared" si="4"/>
        <v>8.2835359571399134E-2</v>
      </c>
    </row>
    <row r="214" spans="1:14" x14ac:dyDescent="0.3">
      <c r="A214" s="101" t="s">
        <v>420</v>
      </c>
      <c r="B214" s="102" t="s">
        <v>14</v>
      </c>
      <c r="C214" s="103">
        <v>45735</v>
      </c>
      <c r="D214" s="102" t="s">
        <v>69</v>
      </c>
      <c r="E214" s="102" t="s">
        <v>70</v>
      </c>
      <c r="F214" s="102">
        <v>3160</v>
      </c>
      <c r="G214" s="102">
        <v>204</v>
      </c>
      <c r="H214" s="102">
        <v>297</v>
      </c>
      <c r="I214" s="102">
        <v>44240</v>
      </c>
      <c r="J214" s="102">
        <v>43666</v>
      </c>
      <c r="K214" s="102">
        <v>49</v>
      </c>
      <c r="L214" s="102" t="s">
        <v>87</v>
      </c>
      <c r="M214" s="104" t="s">
        <v>19</v>
      </c>
      <c r="N214" s="20">
        <f t="shared" si="4"/>
        <v>8.2753164556962022E-2</v>
      </c>
    </row>
    <row r="215" spans="1:14" x14ac:dyDescent="0.3">
      <c r="A215" s="101" t="s">
        <v>426</v>
      </c>
      <c r="B215" s="102" t="s">
        <v>40</v>
      </c>
      <c r="C215" s="103">
        <v>45778</v>
      </c>
      <c r="D215" s="102" t="s">
        <v>42</v>
      </c>
      <c r="E215" s="102" t="s">
        <v>43</v>
      </c>
      <c r="F215" s="102">
        <v>2696</v>
      </c>
      <c r="G215" s="102">
        <v>628</v>
      </c>
      <c r="H215" s="102">
        <v>443</v>
      </c>
      <c r="I215" s="102">
        <v>45832</v>
      </c>
      <c r="J215" s="102">
        <v>45632</v>
      </c>
      <c r="K215" s="102">
        <v>248</v>
      </c>
      <c r="L215" s="102" t="s">
        <v>18</v>
      </c>
      <c r="M215" s="104" t="s">
        <v>38</v>
      </c>
      <c r="N215" s="20">
        <f t="shared" si="4"/>
        <v>8.21914819340199E-2</v>
      </c>
    </row>
    <row r="216" spans="1:14" x14ac:dyDescent="0.3">
      <c r="A216" s="101" t="s">
        <v>410</v>
      </c>
      <c r="B216" s="102" t="s">
        <v>40</v>
      </c>
      <c r="C216" s="103">
        <v>45445</v>
      </c>
      <c r="D216" s="102" t="s">
        <v>49</v>
      </c>
      <c r="E216" s="102" t="s">
        <v>50</v>
      </c>
      <c r="F216" s="102">
        <v>1871</v>
      </c>
      <c r="G216" s="102">
        <v>252</v>
      </c>
      <c r="H216" s="102">
        <v>335</v>
      </c>
      <c r="I216" s="102">
        <v>29936</v>
      </c>
      <c r="J216" s="102">
        <v>29576</v>
      </c>
      <c r="K216" s="102">
        <v>288</v>
      </c>
      <c r="L216" s="102" t="s">
        <v>44</v>
      </c>
      <c r="M216" s="104" t="s">
        <v>25</v>
      </c>
      <c r="N216" s="20">
        <f t="shared" si="4"/>
        <v>8.2108498129342594E-2</v>
      </c>
    </row>
    <row r="217" spans="1:14" x14ac:dyDescent="0.3">
      <c r="A217" s="101" t="s">
        <v>203</v>
      </c>
      <c r="B217" s="102" t="s">
        <v>14</v>
      </c>
      <c r="C217" s="103">
        <v>45460</v>
      </c>
      <c r="D217" s="102" t="s">
        <v>49</v>
      </c>
      <c r="E217" s="102" t="s">
        <v>50</v>
      </c>
      <c r="F217" s="102">
        <v>954</v>
      </c>
      <c r="G217" s="102">
        <v>324</v>
      </c>
      <c r="H217" s="102">
        <v>288</v>
      </c>
      <c r="I217" s="102">
        <v>19080</v>
      </c>
      <c r="J217" s="102">
        <v>18859</v>
      </c>
      <c r="K217" s="102">
        <v>21</v>
      </c>
      <c r="L217" s="102" t="s">
        <v>44</v>
      </c>
      <c r="M217" s="104" t="s">
        <v>38</v>
      </c>
      <c r="N217" s="20">
        <f t="shared" si="4"/>
        <v>8.2075471698113203E-2</v>
      </c>
    </row>
    <row r="218" spans="1:14" x14ac:dyDescent="0.3">
      <c r="A218" s="101" t="s">
        <v>176</v>
      </c>
      <c r="B218" s="102" t="s">
        <v>40</v>
      </c>
      <c r="C218" s="103">
        <v>45521</v>
      </c>
      <c r="D218" s="102" t="s">
        <v>49</v>
      </c>
      <c r="E218" s="102" t="s">
        <v>50</v>
      </c>
      <c r="F218" s="102">
        <v>2878</v>
      </c>
      <c r="G218" s="102">
        <v>248</v>
      </c>
      <c r="H218" s="102">
        <v>416</v>
      </c>
      <c r="I218" s="102">
        <v>43170</v>
      </c>
      <c r="J218" s="102">
        <v>42667</v>
      </c>
      <c r="K218" s="102">
        <v>75</v>
      </c>
      <c r="L218" s="102" t="s">
        <v>178</v>
      </c>
      <c r="M218" s="104" t="s">
        <v>25</v>
      </c>
      <c r="N218" s="20">
        <f t="shared" si="4"/>
        <v>8.2047718322909427E-2</v>
      </c>
    </row>
    <row r="219" spans="1:14" x14ac:dyDescent="0.3">
      <c r="A219" s="101" t="s">
        <v>447</v>
      </c>
      <c r="B219" s="102" t="s">
        <v>31</v>
      </c>
      <c r="C219" s="103">
        <v>45474</v>
      </c>
      <c r="D219" s="102" t="s">
        <v>33</v>
      </c>
      <c r="E219" s="102" t="s">
        <v>34</v>
      </c>
      <c r="F219" s="102">
        <v>4808</v>
      </c>
      <c r="G219" s="102">
        <v>772</v>
      </c>
      <c r="H219" s="102">
        <v>320</v>
      </c>
      <c r="I219" s="102">
        <v>72120</v>
      </c>
      <c r="J219" s="102">
        <v>71696</v>
      </c>
      <c r="K219" s="102">
        <v>195</v>
      </c>
      <c r="L219" s="102" t="s">
        <v>209</v>
      </c>
      <c r="M219" s="104" t="s">
        <v>55</v>
      </c>
      <c r="N219" s="20">
        <f t="shared" si="4"/>
        <v>8.1808097615085965E-2</v>
      </c>
    </row>
    <row r="220" spans="1:14" x14ac:dyDescent="0.3">
      <c r="A220" s="101" t="s">
        <v>200</v>
      </c>
      <c r="B220" s="102" t="s">
        <v>14</v>
      </c>
      <c r="C220" s="103">
        <v>45603</v>
      </c>
      <c r="D220" s="102" t="s">
        <v>33</v>
      </c>
      <c r="E220" s="102" t="s">
        <v>34</v>
      </c>
      <c r="F220" s="102">
        <v>1121</v>
      </c>
      <c r="G220" s="102">
        <v>135</v>
      </c>
      <c r="H220" s="102">
        <v>18</v>
      </c>
      <c r="I220" s="102">
        <v>15694</v>
      </c>
      <c r="J220" s="102">
        <v>14957</v>
      </c>
      <c r="K220" s="102">
        <v>99</v>
      </c>
      <c r="L220" s="102" t="s">
        <v>66</v>
      </c>
      <c r="M220" s="104" t="s">
        <v>55</v>
      </c>
      <c r="N220" s="20">
        <f t="shared" si="4"/>
        <v>8.1177520071364848E-2</v>
      </c>
    </row>
    <row r="221" spans="1:14" x14ac:dyDescent="0.3">
      <c r="A221" s="101" t="s">
        <v>163</v>
      </c>
      <c r="B221" s="102" t="s">
        <v>14</v>
      </c>
      <c r="C221" s="103">
        <v>45586</v>
      </c>
      <c r="D221" s="102" t="s">
        <v>69</v>
      </c>
      <c r="E221" s="102" t="s">
        <v>70</v>
      </c>
      <c r="F221" s="102">
        <v>2825</v>
      </c>
      <c r="G221" s="102">
        <v>535</v>
      </c>
      <c r="H221" s="102">
        <v>295</v>
      </c>
      <c r="I221" s="102">
        <v>45200</v>
      </c>
      <c r="J221" s="102">
        <v>44739</v>
      </c>
      <c r="K221" s="102">
        <v>169</v>
      </c>
      <c r="L221" s="102" t="s">
        <v>58</v>
      </c>
      <c r="M221" s="104" t="s">
        <v>25</v>
      </c>
      <c r="N221" s="20">
        <f t="shared" si="4"/>
        <v>8.0862831858407078E-2</v>
      </c>
    </row>
    <row r="222" spans="1:14" x14ac:dyDescent="0.3">
      <c r="A222" s="101" t="s">
        <v>284</v>
      </c>
      <c r="B222" s="102" t="s">
        <v>31</v>
      </c>
      <c r="C222" s="103">
        <v>45567</v>
      </c>
      <c r="D222" s="102" t="s">
        <v>22</v>
      </c>
      <c r="E222" s="102" t="s">
        <v>23</v>
      </c>
      <c r="F222" s="102">
        <v>3432</v>
      </c>
      <c r="G222" s="102">
        <v>869</v>
      </c>
      <c r="H222" s="102">
        <v>123</v>
      </c>
      <c r="I222" s="102">
        <v>54912</v>
      </c>
      <c r="J222" s="102">
        <v>53916</v>
      </c>
      <c r="K222" s="102">
        <v>264</v>
      </c>
      <c r="L222" s="102" t="s">
        <v>285</v>
      </c>
      <c r="M222" s="104" t="s">
        <v>25</v>
      </c>
      <c r="N222" s="20">
        <f t="shared" si="4"/>
        <v>8.0565268065268064E-2</v>
      </c>
    </row>
    <row r="223" spans="1:14" x14ac:dyDescent="0.3">
      <c r="A223" s="101" t="s">
        <v>88</v>
      </c>
      <c r="B223" s="102" t="s">
        <v>40</v>
      </c>
      <c r="C223" s="103">
        <v>45715</v>
      </c>
      <c r="D223" s="102" t="s">
        <v>22</v>
      </c>
      <c r="E223" s="102" t="s">
        <v>23</v>
      </c>
      <c r="F223" s="102">
        <v>1570</v>
      </c>
      <c r="G223" s="102">
        <v>187</v>
      </c>
      <c r="H223" s="102">
        <v>260</v>
      </c>
      <c r="I223" s="102">
        <v>25120</v>
      </c>
      <c r="J223" s="102">
        <v>24613</v>
      </c>
      <c r="K223" s="102">
        <v>133</v>
      </c>
      <c r="L223" s="102" t="s">
        <v>18</v>
      </c>
      <c r="M223" s="104" t="s">
        <v>55</v>
      </c>
      <c r="N223" s="20">
        <f t="shared" si="4"/>
        <v>8.0294585987261149E-2</v>
      </c>
    </row>
    <row r="224" spans="1:14" x14ac:dyDescent="0.3">
      <c r="A224" s="101" t="s">
        <v>279</v>
      </c>
      <c r="B224" s="102" t="s">
        <v>40</v>
      </c>
      <c r="C224" s="103">
        <v>45600</v>
      </c>
      <c r="D224" s="102" t="s">
        <v>49</v>
      </c>
      <c r="E224" s="102" t="s">
        <v>50</v>
      </c>
      <c r="F224" s="102">
        <v>4551</v>
      </c>
      <c r="G224" s="102">
        <v>714</v>
      </c>
      <c r="H224" s="102">
        <v>207</v>
      </c>
      <c r="I224" s="102">
        <v>68265</v>
      </c>
      <c r="J224" s="102">
        <v>67754</v>
      </c>
      <c r="K224" s="102">
        <v>57</v>
      </c>
      <c r="L224" s="102" t="s">
        <v>44</v>
      </c>
      <c r="M224" s="104" t="s">
        <v>25</v>
      </c>
      <c r="N224" s="20">
        <f t="shared" si="4"/>
        <v>8.0158206987475278E-2</v>
      </c>
    </row>
    <row r="225" spans="1:14" x14ac:dyDescent="0.3">
      <c r="A225" s="101" t="s">
        <v>489</v>
      </c>
      <c r="B225" s="102" t="s">
        <v>40</v>
      </c>
      <c r="C225" s="103">
        <v>45753</v>
      </c>
      <c r="D225" s="102" t="s">
        <v>49</v>
      </c>
      <c r="E225" s="102" t="s">
        <v>50</v>
      </c>
      <c r="F225" s="102">
        <v>3090</v>
      </c>
      <c r="G225" s="102">
        <v>697</v>
      </c>
      <c r="H225" s="102">
        <v>164</v>
      </c>
      <c r="I225" s="102">
        <v>49440</v>
      </c>
      <c r="J225" s="102">
        <v>48524</v>
      </c>
      <c r="K225" s="102">
        <v>25</v>
      </c>
      <c r="L225" s="102" t="s">
        <v>264</v>
      </c>
      <c r="M225" s="104" t="s">
        <v>55</v>
      </c>
      <c r="N225" s="20">
        <f t="shared" si="4"/>
        <v>7.9915048543689318E-2</v>
      </c>
    </row>
    <row r="226" spans="1:14" x14ac:dyDescent="0.3">
      <c r="A226" s="101" t="s">
        <v>228</v>
      </c>
      <c r="B226" s="102" t="s">
        <v>40</v>
      </c>
      <c r="C226" s="103">
        <v>45740</v>
      </c>
      <c r="D226" s="102" t="s">
        <v>49</v>
      </c>
      <c r="E226" s="102" t="s">
        <v>50</v>
      </c>
      <c r="F226" s="102">
        <v>1263</v>
      </c>
      <c r="G226" s="102">
        <v>397</v>
      </c>
      <c r="H226" s="102">
        <v>357</v>
      </c>
      <c r="I226" s="102">
        <v>25260</v>
      </c>
      <c r="J226" s="102">
        <v>24615</v>
      </c>
      <c r="K226" s="102">
        <v>137</v>
      </c>
      <c r="L226" s="102" t="s">
        <v>18</v>
      </c>
      <c r="M226" s="104" t="s">
        <v>25</v>
      </c>
      <c r="N226" s="20">
        <f t="shared" si="4"/>
        <v>7.984956452889945E-2</v>
      </c>
    </row>
    <row r="227" spans="1:14" x14ac:dyDescent="0.3">
      <c r="A227" s="101" t="s">
        <v>516</v>
      </c>
      <c r="B227" s="102" t="s">
        <v>14</v>
      </c>
      <c r="C227" s="103">
        <v>45658</v>
      </c>
      <c r="D227" s="102" t="s">
        <v>42</v>
      </c>
      <c r="E227" s="102" t="s">
        <v>43</v>
      </c>
      <c r="F227" s="102">
        <v>3535</v>
      </c>
      <c r="G227" s="102">
        <v>494</v>
      </c>
      <c r="H227" s="102">
        <v>152</v>
      </c>
      <c r="I227" s="102">
        <v>53025</v>
      </c>
      <c r="J227" s="102">
        <v>52791</v>
      </c>
      <c r="K227" s="102">
        <v>44</v>
      </c>
      <c r="L227" s="102" t="s">
        <v>214</v>
      </c>
      <c r="M227" s="104" t="s">
        <v>25</v>
      </c>
      <c r="N227" s="20">
        <f t="shared" si="4"/>
        <v>7.8849599245638849E-2</v>
      </c>
    </row>
    <row r="228" spans="1:14" x14ac:dyDescent="0.3">
      <c r="A228" s="101" t="s">
        <v>151</v>
      </c>
      <c r="B228" s="102" t="s">
        <v>40</v>
      </c>
      <c r="C228" s="103">
        <v>45456</v>
      </c>
      <c r="D228" s="102" t="s">
        <v>42</v>
      </c>
      <c r="E228" s="102" t="s">
        <v>43</v>
      </c>
      <c r="F228" s="102">
        <v>2200</v>
      </c>
      <c r="G228" s="102">
        <v>504</v>
      </c>
      <c r="H228" s="102">
        <v>239</v>
      </c>
      <c r="I228" s="102">
        <v>37400</v>
      </c>
      <c r="J228" s="102">
        <v>36938</v>
      </c>
      <c r="K228" s="102">
        <v>225</v>
      </c>
      <c r="L228" s="102" t="s">
        <v>18</v>
      </c>
      <c r="M228" s="104" t="s">
        <v>38</v>
      </c>
      <c r="N228" s="20">
        <f t="shared" si="4"/>
        <v>7.8689839572192513E-2</v>
      </c>
    </row>
    <row r="229" spans="1:14" x14ac:dyDescent="0.3">
      <c r="A229" s="101" t="s">
        <v>206</v>
      </c>
      <c r="B229" s="102" t="s">
        <v>31</v>
      </c>
      <c r="C229" s="103">
        <v>45456</v>
      </c>
      <c r="D229" s="102" t="s">
        <v>33</v>
      </c>
      <c r="E229" s="102" t="s">
        <v>34</v>
      </c>
      <c r="F229" s="102">
        <v>2103</v>
      </c>
      <c r="G229" s="102">
        <v>892</v>
      </c>
      <c r="H229" s="102">
        <v>103</v>
      </c>
      <c r="I229" s="102">
        <v>39957</v>
      </c>
      <c r="J229" s="102">
        <v>39466</v>
      </c>
      <c r="K229" s="102">
        <v>28</v>
      </c>
      <c r="L229" s="102" t="s">
        <v>144</v>
      </c>
      <c r="M229" s="104" t="s">
        <v>25</v>
      </c>
      <c r="N229" s="20">
        <f t="shared" si="4"/>
        <v>7.7533348349475686E-2</v>
      </c>
    </row>
    <row r="230" spans="1:14" x14ac:dyDescent="0.3">
      <c r="A230" s="101" t="s">
        <v>450</v>
      </c>
      <c r="B230" s="102" t="s">
        <v>40</v>
      </c>
      <c r="C230" s="103">
        <v>45488</v>
      </c>
      <c r="D230" s="102" t="s">
        <v>16</v>
      </c>
      <c r="E230" s="102" t="s">
        <v>17</v>
      </c>
      <c r="F230" s="102">
        <v>3663</v>
      </c>
      <c r="G230" s="102">
        <v>17</v>
      </c>
      <c r="H230" s="102">
        <v>295</v>
      </c>
      <c r="I230" s="102">
        <v>51282</v>
      </c>
      <c r="J230" s="102">
        <v>50567</v>
      </c>
      <c r="K230" s="102">
        <v>84</v>
      </c>
      <c r="L230" s="102" t="s">
        <v>18</v>
      </c>
      <c r="M230" s="104" t="s">
        <v>19</v>
      </c>
      <c r="N230" s="20">
        <f t="shared" si="4"/>
        <v>7.7512577512577507E-2</v>
      </c>
    </row>
    <row r="231" spans="1:14" x14ac:dyDescent="0.3">
      <c r="A231" s="101" t="s">
        <v>323</v>
      </c>
      <c r="B231" s="102" t="s">
        <v>14</v>
      </c>
      <c r="C231" s="103">
        <v>45459</v>
      </c>
      <c r="D231" s="102" t="s">
        <v>69</v>
      </c>
      <c r="E231" s="102" t="s">
        <v>70</v>
      </c>
      <c r="F231" s="102">
        <v>1702</v>
      </c>
      <c r="G231" s="102">
        <v>750</v>
      </c>
      <c r="H231" s="102">
        <v>179</v>
      </c>
      <c r="I231" s="102">
        <v>34040</v>
      </c>
      <c r="J231" s="102">
        <v>33174</v>
      </c>
      <c r="K231" s="102">
        <v>76</v>
      </c>
      <c r="L231" s="102" t="s">
        <v>44</v>
      </c>
      <c r="M231" s="104" t="s">
        <v>38</v>
      </c>
      <c r="N231" s="20">
        <f t="shared" si="4"/>
        <v>7.7291421856639245E-2</v>
      </c>
    </row>
    <row r="232" spans="1:14" x14ac:dyDescent="0.3">
      <c r="A232" s="101" t="s">
        <v>85</v>
      </c>
      <c r="B232" s="102" t="s">
        <v>31</v>
      </c>
      <c r="C232" s="103">
        <v>45661</v>
      </c>
      <c r="D232" s="102" t="s">
        <v>16</v>
      </c>
      <c r="E232" s="102" t="s">
        <v>17</v>
      </c>
      <c r="F232" s="102">
        <v>4838</v>
      </c>
      <c r="G232" s="102">
        <v>640</v>
      </c>
      <c r="H232" s="102">
        <v>128</v>
      </c>
      <c r="I232" s="102">
        <v>72570</v>
      </c>
      <c r="J232" s="102">
        <v>72396</v>
      </c>
      <c r="K232" s="102">
        <v>83</v>
      </c>
      <c r="L232" s="102" t="s">
        <v>87</v>
      </c>
      <c r="M232" s="104" t="s">
        <v>38</v>
      </c>
      <c r="N232" s="20">
        <f t="shared" si="4"/>
        <v>7.7249552156538517E-2</v>
      </c>
    </row>
    <row r="233" spans="1:14" x14ac:dyDescent="0.3">
      <c r="A233" s="101" t="s">
        <v>90</v>
      </c>
      <c r="B233" s="102" t="s">
        <v>40</v>
      </c>
      <c r="C233" s="103">
        <v>45602</v>
      </c>
      <c r="D233" s="102" t="s">
        <v>69</v>
      </c>
      <c r="E233" s="102" t="s">
        <v>70</v>
      </c>
      <c r="F233" s="102">
        <v>1606</v>
      </c>
      <c r="G233" s="102">
        <v>547</v>
      </c>
      <c r="H233" s="102">
        <v>316</v>
      </c>
      <c r="I233" s="102">
        <v>32120</v>
      </c>
      <c r="J233" s="102">
        <v>31736</v>
      </c>
      <c r="K233" s="102">
        <v>225</v>
      </c>
      <c r="L233" s="102" t="s">
        <v>18</v>
      </c>
      <c r="M233" s="104" t="s">
        <v>38</v>
      </c>
      <c r="N233" s="20">
        <f t="shared" si="4"/>
        <v>7.6867995018679955E-2</v>
      </c>
    </row>
    <row r="234" spans="1:14" x14ac:dyDescent="0.3">
      <c r="A234" s="101" t="s">
        <v>119</v>
      </c>
      <c r="B234" s="102" t="s">
        <v>31</v>
      </c>
      <c r="C234" s="103">
        <v>45766</v>
      </c>
      <c r="D234" s="102" t="s">
        <v>33</v>
      </c>
      <c r="E234" s="102" t="s">
        <v>34</v>
      </c>
      <c r="F234" s="102">
        <v>4518</v>
      </c>
      <c r="G234" s="102">
        <v>285</v>
      </c>
      <c r="H234" s="102">
        <v>383</v>
      </c>
      <c r="I234" s="102">
        <v>67770</v>
      </c>
      <c r="J234" s="102">
        <v>67621</v>
      </c>
      <c r="K234" s="102">
        <v>31</v>
      </c>
      <c r="L234" s="102" t="s">
        <v>77</v>
      </c>
      <c r="M234" s="104" t="s">
        <v>25</v>
      </c>
      <c r="N234" s="20">
        <f t="shared" si="4"/>
        <v>7.6523535487678915E-2</v>
      </c>
    </row>
    <row r="235" spans="1:14" x14ac:dyDescent="0.3">
      <c r="A235" s="101" t="s">
        <v>20</v>
      </c>
      <c r="B235" s="102" t="s">
        <v>14</v>
      </c>
      <c r="C235" s="103">
        <v>45750</v>
      </c>
      <c r="D235" s="102" t="s">
        <v>22</v>
      </c>
      <c r="E235" s="102" t="s">
        <v>23</v>
      </c>
      <c r="F235" s="102">
        <v>4054</v>
      </c>
      <c r="G235" s="102">
        <v>389</v>
      </c>
      <c r="H235" s="102">
        <v>493</v>
      </c>
      <c r="I235" s="102">
        <v>64864</v>
      </c>
      <c r="J235" s="102">
        <v>64383</v>
      </c>
      <c r="K235" s="102">
        <v>117</v>
      </c>
      <c r="L235" s="102" t="s">
        <v>24</v>
      </c>
      <c r="M235" s="104" t="s">
        <v>25</v>
      </c>
      <c r="N235" s="20">
        <f t="shared" si="4"/>
        <v>7.6097681302417369E-2</v>
      </c>
    </row>
    <row r="236" spans="1:14" x14ac:dyDescent="0.3">
      <c r="A236" s="101" t="s">
        <v>455</v>
      </c>
      <c r="B236" s="102" t="s">
        <v>40</v>
      </c>
      <c r="C236" s="103">
        <v>45444</v>
      </c>
      <c r="D236" s="102" t="s">
        <v>22</v>
      </c>
      <c r="E236" s="102" t="s">
        <v>23</v>
      </c>
      <c r="F236" s="102">
        <v>1272</v>
      </c>
      <c r="G236" s="102">
        <v>465</v>
      </c>
      <c r="H236" s="102">
        <v>99</v>
      </c>
      <c r="I236" s="102">
        <v>24168</v>
      </c>
      <c r="J236" s="102">
        <v>23719</v>
      </c>
      <c r="K236" s="102">
        <v>42</v>
      </c>
      <c r="L236" s="102" t="s">
        <v>71</v>
      </c>
      <c r="M236" s="104" t="s">
        <v>25</v>
      </c>
      <c r="N236" s="20">
        <f t="shared" si="4"/>
        <v>7.5968222442899705E-2</v>
      </c>
    </row>
    <row r="237" spans="1:14" x14ac:dyDescent="0.3">
      <c r="A237" s="101" t="s">
        <v>62</v>
      </c>
      <c r="B237" s="102" t="s">
        <v>577</v>
      </c>
      <c r="C237" s="103">
        <v>45614</v>
      </c>
      <c r="D237" s="102" t="s">
        <v>42</v>
      </c>
      <c r="E237" s="102" t="s">
        <v>43</v>
      </c>
      <c r="F237" s="102">
        <v>1171</v>
      </c>
      <c r="G237" s="102">
        <v>286</v>
      </c>
      <c r="H237" s="102">
        <v>231</v>
      </c>
      <c r="I237" s="102">
        <v>22249</v>
      </c>
      <c r="J237" s="102">
        <v>21282</v>
      </c>
      <c r="K237" s="102">
        <v>114</v>
      </c>
      <c r="L237" s="102" t="s">
        <v>24</v>
      </c>
      <c r="M237" s="104" t="s">
        <v>55</v>
      </c>
      <c r="N237" s="20">
        <f t="shared" si="4"/>
        <v>7.5868578363072495E-2</v>
      </c>
    </row>
    <row r="238" spans="1:14" x14ac:dyDescent="0.3">
      <c r="A238" s="101" t="s">
        <v>72</v>
      </c>
      <c r="B238" s="102" t="s">
        <v>40</v>
      </c>
      <c r="C238" s="103">
        <v>45530</v>
      </c>
      <c r="D238" s="102" t="s">
        <v>22</v>
      </c>
      <c r="E238" s="102" t="s">
        <v>23</v>
      </c>
      <c r="F238" s="102">
        <v>3452</v>
      </c>
      <c r="G238" s="102">
        <v>377</v>
      </c>
      <c r="H238" s="102">
        <v>360</v>
      </c>
      <c r="I238" s="102">
        <v>55232</v>
      </c>
      <c r="J238" s="102">
        <v>55075</v>
      </c>
      <c r="K238" s="102">
        <v>87</v>
      </c>
      <c r="L238" s="102" t="s">
        <v>74</v>
      </c>
      <c r="M238" s="104" t="s">
        <v>38</v>
      </c>
      <c r="N238" s="20">
        <f t="shared" si="4"/>
        <v>7.5843713789107758E-2</v>
      </c>
    </row>
    <row r="239" spans="1:14" x14ac:dyDescent="0.3">
      <c r="A239" s="101" t="s">
        <v>374</v>
      </c>
      <c r="B239" s="102" t="s">
        <v>40</v>
      </c>
      <c r="C239" s="103">
        <v>45488</v>
      </c>
      <c r="D239" s="102" t="s">
        <v>42</v>
      </c>
      <c r="E239" s="102" t="s">
        <v>43</v>
      </c>
      <c r="F239" s="102">
        <v>3796</v>
      </c>
      <c r="G239" s="102">
        <v>667</v>
      </c>
      <c r="H239" s="102">
        <v>395</v>
      </c>
      <c r="I239" s="102">
        <v>64532</v>
      </c>
      <c r="J239" s="102">
        <v>63550</v>
      </c>
      <c r="K239" s="102">
        <v>292</v>
      </c>
      <c r="L239" s="102" t="s">
        <v>58</v>
      </c>
      <c r="M239" s="104" t="s">
        <v>19</v>
      </c>
      <c r="N239" s="20">
        <f t="shared" si="4"/>
        <v>7.5280481001673588E-2</v>
      </c>
    </row>
    <row r="240" spans="1:14" x14ac:dyDescent="0.3">
      <c r="A240" s="101" t="s">
        <v>138</v>
      </c>
      <c r="B240" s="102" t="s">
        <v>40</v>
      </c>
      <c r="C240" s="103">
        <v>45597</v>
      </c>
      <c r="D240" s="102" t="s">
        <v>69</v>
      </c>
      <c r="E240" s="102" t="s">
        <v>70</v>
      </c>
      <c r="F240" s="102">
        <v>3371</v>
      </c>
      <c r="G240" s="102">
        <v>106</v>
      </c>
      <c r="H240" s="102">
        <v>327</v>
      </c>
      <c r="I240" s="102">
        <v>50565</v>
      </c>
      <c r="J240" s="102">
        <v>49816</v>
      </c>
      <c r="K240" s="102">
        <v>176</v>
      </c>
      <c r="L240" s="102" t="s">
        <v>77</v>
      </c>
      <c r="M240" s="104" t="s">
        <v>55</v>
      </c>
      <c r="N240" s="20">
        <f t="shared" si="4"/>
        <v>7.5229902106199939E-2</v>
      </c>
    </row>
    <row r="241" spans="1:14" x14ac:dyDescent="0.3">
      <c r="A241" s="101" t="s">
        <v>354</v>
      </c>
      <c r="B241" s="102" t="s">
        <v>40</v>
      </c>
      <c r="C241" s="103">
        <v>45608</v>
      </c>
      <c r="D241" s="102" t="s">
        <v>22</v>
      </c>
      <c r="E241" s="102" t="s">
        <v>23</v>
      </c>
      <c r="F241" s="102">
        <v>2418</v>
      </c>
      <c r="G241" s="102">
        <v>754</v>
      </c>
      <c r="H241" s="102">
        <v>54</v>
      </c>
      <c r="I241" s="102">
        <v>43524</v>
      </c>
      <c r="J241" s="102">
        <v>42743</v>
      </c>
      <c r="K241" s="102">
        <v>182</v>
      </c>
      <c r="L241" s="102" t="s">
        <v>285</v>
      </c>
      <c r="M241" s="104" t="s">
        <v>55</v>
      </c>
      <c r="N241" s="20">
        <f t="shared" si="4"/>
        <v>7.412002573292896E-2</v>
      </c>
    </row>
    <row r="242" spans="1:14" x14ac:dyDescent="0.3">
      <c r="A242" s="101" t="s">
        <v>265</v>
      </c>
      <c r="B242" s="102" t="s">
        <v>577</v>
      </c>
      <c r="C242" s="103">
        <v>45619</v>
      </c>
      <c r="D242" s="102" t="s">
        <v>49</v>
      </c>
      <c r="E242" s="102" t="s">
        <v>50</v>
      </c>
      <c r="F242" s="102">
        <v>2719</v>
      </c>
      <c r="G242" s="102">
        <v>17</v>
      </c>
      <c r="H242" s="102">
        <v>285</v>
      </c>
      <c r="I242" s="102">
        <v>40785</v>
      </c>
      <c r="J242" s="102">
        <v>40281</v>
      </c>
      <c r="K242" s="102">
        <v>40</v>
      </c>
      <c r="L242" s="102" t="s">
        <v>146</v>
      </c>
      <c r="M242" s="104" t="s">
        <v>38</v>
      </c>
      <c r="N242" s="20">
        <f t="shared" si="4"/>
        <v>7.4071349760941527E-2</v>
      </c>
    </row>
    <row r="243" spans="1:14" x14ac:dyDescent="0.3">
      <c r="A243" s="101" t="s">
        <v>245</v>
      </c>
      <c r="B243" s="102" t="s">
        <v>577</v>
      </c>
      <c r="C243" s="103">
        <v>45583</v>
      </c>
      <c r="D243" s="102" t="s">
        <v>69</v>
      </c>
      <c r="E243" s="102" t="s">
        <v>70</v>
      </c>
      <c r="F243" s="102">
        <v>4450</v>
      </c>
      <c r="G243" s="102">
        <v>983</v>
      </c>
      <c r="H243" s="102">
        <v>143</v>
      </c>
      <c r="I243" s="102">
        <v>75650</v>
      </c>
      <c r="J243" s="102">
        <v>75008</v>
      </c>
      <c r="K243" s="102">
        <v>12</v>
      </c>
      <c r="L243" s="102" t="s">
        <v>82</v>
      </c>
      <c r="M243" s="104" t="s">
        <v>25</v>
      </c>
      <c r="N243" s="20">
        <f t="shared" si="4"/>
        <v>7.3707865168539333E-2</v>
      </c>
    </row>
    <row r="244" spans="1:14" x14ac:dyDescent="0.3">
      <c r="A244" s="101" t="s">
        <v>145</v>
      </c>
      <c r="B244" s="102" t="s">
        <v>14</v>
      </c>
      <c r="C244" s="103">
        <v>45727</v>
      </c>
      <c r="D244" s="102" t="s">
        <v>33</v>
      </c>
      <c r="E244" s="102" t="s">
        <v>34</v>
      </c>
      <c r="F244" s="102">
        <v>1950</v>
      </c>
      <c r="G244" s="102">
        <v>295</v>
      </c>
      <c r="H244" s="102">
        <v>478</v>
      </c>
      <c r="I244" s="102">
        <v>37050</v>
      </c>
      <c r="J244" s="102">
        <v>36272</v>
      </c>
      <c r="K244" s="102">
        <v>119</v>
      </c>
      <c r="L244" s="102" t="s">
        <v>146</v>
      </c>
      <c r="M244" s="104" t="s">
        <v>55</v>
      </c>
      <c r="N244" s="20">
        <f t="shared" si="4"/>
        <v>7.349527665317139E-2</v>
      </c>
    </row>
    <row r="245" spans="1:14" x14ac:dyDescent="0.3">
      <c r="A245" s="101" t="s">
        <v>479</v>
      </c>
      <c r="B245" s="102" t="s">
        <v>40</v>
      </c>
      <c r="C245" s="103">
        <v>45465</v>
      </c>
      <c r="D245" s="102" t="s">
        <v>16</v>
      </c>
      <c r="E245" s="102" t="s">
        <v>17</v>
      </c>
      <c r="F245" s="102">
        <v>3813</v>
      </c>
      <c r="G245" s="102">
        <v>935</v>
      </c>
      <c r="H245" s="102">
        <v>274</v>
      </c>
      <c r="I245" s="102">
        <v>68634</v>
      </c>
      <c r="J245" s="102">
        <v>68488</v>
      </c>
      <c r="K245" s="102">
        <v>251</v>
      </c>
      <c r="L245" s="102" t="s">
        <v>178</v>
      </c>
      <c r="M245" s="104" t="s">
        <v>19</v>
      </c>
      <c r="N245" s="20">
        <f t="shared" si="4"/>
        <v>7.3170731707317069E-2</v>
      </c>
    </row>
    <row r="246" spans="1:14" x14ac:dyDescent="0.3">
      <c r="A246" s="101" t="s">
        <v>538</v>
      </c>
      <c r="B246" s="102" t="s">
        <v>40</v>
      </c>
      <c r="C246" s="103">
        <v>45624</v>
      </c>
      <c r="D246" s="102" t="s">
        <v>42</v>
      </c>
      <c r="E246" s="102" t="s">
        <v>43</v>
      </c>
      <c r="F246" s="102">
        <v>2751</v>
      </c>
      <c r="G246" s="102">
        <v>33</v>
      </c>
      <c r="H246" s="102">
        <v>430</v>
      </c>
      <c r="I246" s="102">
        <v>44016</v>
      </c>
      <c r="J246" s="102">
        <v>43415</v>
      </c>
      <c r="K246" s="102">
        <v>129</v>
      </c>
      <c r="L246" s="102" t="s">
        <v>214</v>
      </c>
      <c r="M246" s="104" t="s">
        <v>25</v>
      </c>
      <c r="N246" s="20">
        <f t="shared" si="4"/>
        <v>7.3018902217375503E-2</v>
      </c>
    </row>
    <row r="247" spans="1:14" x14ac:dyDescent="0.3">
      <c r="A247" s="101" t="s">
        <v>454</v>
      </c>
      <c r="B247" s="102" t="s">
        <v>40</v>
      </c>
      <c r="C247" s="103">
        <v>45724</v>
      </c>
      <c r="D247" s="102" t="s">
        <v>49</v>
      </c>
      <c r="E247" s="102" t="s">
        <v>50</v>
      </c>
      <c r="F247" s="102">
        <v>2382</v>
      </c>
      <c r="G247" s="102">
        <v>265</v>
      </c>
      <c r="H247" s="102">
        <v>134</v>
      </c>
      <c r="I247" s="102">
        <v>38112</v>
      </c>
      <c r="J247" s="102">
        <v>37437</v>
      </c>
      <c r="K247" s="102">
        <v>249</v>
      </c>
      <c r="L247" s="102" t="s">
        <v>178</v>
      </c>
      <c r="M247" s="104" t="s">
        <v>25</v>
      </c>
      <c r="N247" s="20">
        <f t="shared" si="4"/>
        <v>7.2969143576826198E-2</v>
      </c>
    </row>
    <row r="248" spans="1:14" x14ac:dyDescent="0.3">
      <c r="A248" s="101" t="s">
        <v>362</v>
      </c>
      <c r="B248" s="102" t="s">
        <v>40</v>
      </c>
      <c r="C248" s="103">
        <v>45518</v>
      </c>
      <c r="D248" s="102" t="s">
        <v>42</v>
      </c>
      <c r="E248" s="102" t="s">
        <v>43</v>
      </c>
      <c r="F248" s="102">
        <v>3073</v>
      </c>
      <c r="G248" s="102">
        <v>553</v>
      </c>
      <c r="H248" s="102">
        <v>174</v>
      </c>
      <c r="I248" s="102">
        <v>52241</v>
      </c>
      <c r="J248" s="102">
        <v>51605</v>
      </c>
      <c r="K248" s="102">
        <v>246</v>
      </c>
      <c r="L248" s="102" t="s">
        <v>146</v>
      </c>
      <c r="M248" s="104" t="s">
        <v>55</v>
      </c>
      <c r="N248" s="20">
        <f t="shared" si="4"/>
        <v>7.2739802071170159E-2</v>
      </c>
    </row>
    <row r="249" spans="1:14" x14ac:dyDescent="0.3">
      <c r="A249" s="101" t="s">
        <v>460</v>
      </c>
      <c r="B249" s="102" t="s">
        <v>14</v>
      </c>
      <c r="C249" s="103">
        <v>45489</v>
      </c>
      <c r="D249" s="102" t="s">
        <v>22</v>
      </c>
      <c r="E249" s="102" t="s">
        <v>23</v>
      </c>
      <c r="F249" s="102">
        <v>4725</v>
      </c>
      <c r="G249" s="102">
        <v>400</v>
      </c>
      <c r="H249" s="102">
        <v>362</v>
      </c>
      <c r="I249" s="102">
        <v>75600</v>
      </c>
      <c r="J249" s="102">
        <v>74927</v>
      </c>
      <c r="K249" s="102">
        <v>43</v>
      </c>
      <c r="L249" s="102" t="s">
        <v>105</v>
      </c>
      <c r="M249" s="104" t="s">
        <v>19</v>
      </c>
      <c r="N249" s="20">
        <f t="shared" si="4"/>
        <v>7.2579365079365077E-2</v>
      </c>
    </row>
    <row r="250" spans="1:14" x14ac:dyDescent="0.3">
      <c r="A250" s="101" t="s">
        <v>389</v>
      </c>
      <c r="B250" s="102" t="s">
        <v>40</v>
      </c>
      <c r="C250" s="103">
        <v>45740</v>
      </c>
      <c r="D250" s="102" t="s">
        <v>16</v>
      </c>
      <c r="E250" s="102" t="s">
        <v>17</v>
      </c>
      <c r="F250" s="102">
        <v>3360</v>
      </c>
      <c r="G250" s="102">
        <v>525</v>
      </c>
      <c r="H250" s="102">
        <v>500</v>
      </c>
      <c r="I250" s="102">
        <v>60480</v>
      </c>
      <c r="J250" s="102">
        <v>59610</v>
      </c>
      <c r="K250" s="102">
        <v>192</v>
      </c>
      <c r="L250" s="102" t="s">
        <v>82</v>
      </c>
      <c r="M250" s="104" t="s">
        <v>19</v>
      </c>
      <c r="N250" s="20">
        <f t="shared" si="4"/>
        <v>7.2503306878306875E-2</v>
      </c>
    </row>
    <row r="251" spans="1:14" x14ac:dyDescent="0.3">
      <c r="A251" s="101" t="s">
        <v>125</v>
      </c>
      <c r="B251" s="102" t="s">
        <v>40</v>
      </c>
      <c r="C251" s="103">
        <v>45621</v>
      </c>
      <c r="D251" s="102" t="s">
        <v>49</v>
      </c>
      <c r="E251" s="102" t="s">
        <v>50</v>
      </c>
      <c r="F251" s="102">
        <v>3564</v>
      </c>
      <c r="G251" s="102">
        <v>629</v>
      </c>
      <c r="H251" s="102">
        <v>177</v>
      </c>
      <c r="I251" s="102">
        <v>60588</v>
      </c>
      <c r="J251" s="102">
        <v>59627</v>
      </c>
      <c r="K251" s="102">
        <v>92</v>
      </c>
      <c r="L251" s="102" t="s">
        <v>127</v>
      </c>
      <c r="M251" s="104" t="s">
        <v>38</v>
      </c>
      <c r="N251" s="20">
        <f t="shared" si="4"/>
        <v>7.2126493695121141E-2</v>
      </c>
    </row>
    <row r="252" spans="1:14" x14ac:dyDescent="0.3">
      <c r="A252" s="101" t="s">
        <v>429</v>
      </c>
      <c r="B252" s="102" t="s">
        <v>40</v>
      </c>
      <c r="C252" s="103">
        <v>45783</v>
      </c>
      <c r="D252" s="102" t="s">
        <v>49</v>
      </c>
      <c r="E252" s="102" t="s">
        <v>50</v>
      </c>
      <c r="F252" s="102">
        <v>4872</v>
      </c>
      <c r="G252" s="102">
        <v>925</v>
      </c>
      <c r="H252" s="102">
        <v>176</v>
      </c>
      <c r="I252" s="102">
        <v>82824</v>
      </c>
      <c r="J252" s="102">
        <v>82543</v>
      </c>
      <c r="K252" s="102">
        <v>89</v>
      </c>
      <c r="L252" s="102" t="s">
        <v>102</v>
      </c>
      <c r="M252" s="104" t="s">
        <v>19</v>
      </c>
      <c r="N252" s="20">
        <f t="shared" si="4"/>
        <v>7.2116777745580993E-2</v>
      </c>
    </row>
    <row r="253" spans="1:14" x14ac:dyDescent="0.3">
      <c r="A253" s="101" t="s">
        <v>92</v>
      </c>
      <c r="B253" s="102" t="s">
        <v>40</v>
      </c>
      <c r="C253" s="103">
        <v>45680</v>
      </c>
      <c r="D253" s="102" t="s">
        <v>69</v>
      </c>
      <c r="E253" s="102" t="s">
        <v>70</v>
      </c>
      <c r="F253" s="102">
        <v>3961</v>
      </c>
      <c r="G253" s="102">
        <v>761</v>
      </c>
      <c r="H253" s="102">
        <v>131</v>
      </c>
      <c r="I253" s="102">
        <v>67337</v>
      </c>
      <c r="J253" s="102">
        <v>66615</v>
      </c>
      <c r="K253" s="102">
        <v>161</v>
      </c>
      <c r="L253" s="102" t="s">
        <v>44</v>
      </c>
      <c r="M253" s="104" t="s">
        <v>25</v>
      </c>
      <c r="N253" s="20">
        <f t="shared" si="4"/>
        <v>7.2070332803659209E-2</v>
      </c>
    </row>
    <row r="254" spans="1:14" x14ac:dyDescent="0.3">
      <c r="A254" s="101" t="s">
        <v>241</v>
      </c>
      <c r="B254" s="102" t="s">
        <v>577</v>
      </c>
      <c r="C254" s="103">
        <v>45475</v>
      </c>
      <c r="D254" s="102" t="s">
        <v>42</v>
      </c>
      <c r="E254" s="102" t="s">
        <v>43</v>
      </c>
      <c r="F254" s="102">
        <v>4171</v>
      </c>
      <c r="G254" s="102">
        <v>548</v>
      </c>
      <c r="H254" s="102">
        <v>86</v>
      </c>
      <c r="I254" s="102">
        <v>66736</v>
      </c>
      <c r="J254" s="102">
        <v>66634</v>
      </c>
      <c r="K254" s="102">
        <v>173</v>
      </c>
      <c r="L254" s="102" t="s">
        <v>58</v>
      </c>
      <c r="M254" s="104" t="s">
        <v>38</v>
      </c>
      <c r="N254" s="20">
        <f t="shared" si="4"/>
        <v>7.2000119875329657E-2</v>
      </c>
    </row>
    <row r="255" spans="1:14" x14ac:dyDescent="0.3">
      <c r="A255" s="101" t="s">
        <v>53</v>
      </c>
      <c r="B255" s="102" t="s">
        <v>40</v>
      </c>
      <c r="C255" s="103">
        <v>45727</v>
      </c>
      <c r="D255" s="102" t="s">
        <v>49</v>
      </c>
      <c r="E255" s="102" t="s">
        <v>50</v>
      </c>
      <c r="F255" s="102">
        <v>4241</v>
      </c>
      <c r="G255" s="102">
        <v>902</v>
      </c>
      <c r="H255" s="102">
        <v>47</v>
      </c>
      <c r="I255" s="102">
        <v>72097</v>
      </c>
      <c r="J255" s="102">
        <v>71598</v>
      </c>
      <c r="K255" s="102">
        <v>167</v>
      </c>
      <c r="L255" s="102" t="s">
        <v>44</v>
      </c>
      <c r="M255" s="104" t="s">
        <v>55</v>
      </c>
      <c r="N255" s="20">
        <f t="shared" si="4"/>
        <v>7.198635172059864E-2</v>
      </c>
    </row>
    <row r="256" spans="1:14" x14ac:dyDescent="0.3">
      <c r="A256" s="101" t="s">
        <v>541</v>
      </c>
      <c r="B256" s="102" t="s">
        <v>40</v>
      </c>
      <c r="C256" s="103">
        <v>45602</v>
      </c>
      <c r="D256" s="102" t="s">
        <v>69</v>
      </c>
      <c r="E256" s="102" t="s">
        <v>70</v>
      </c>
      <c r="F256" s="102">
        <v>4663</v>
      </c>
      <c r="G256" s="102">
        <v>145</v>
      </c>
      <c r="H256" s="102">
        <v>225</v>
      </c>
      <c r="I256" s="102">
        <v>69945</v>
      </c>
      <c r="J256" s="102">
        <v>69596</v>
      </c>
      <c r="K256" s="102">
        <v>35</v>
      </c>
      <c r="L256" s="102" t="s">
        <v>24</v>
      </c>
      <c r="M256" s="104" t="s">
        <v>25</v>
      </c>
      <c r="N256" s="20">
        <f t="shared" si="4"/>
        <v>7.1956537279290869E-2</v>
      </c>
    </row>
    <row r="257" spans="1:14" x14ac:dyDescent="0.3">
      <c r="A257" s="101" t="s">
        <v>299</v>
      </c>
      <c r="B257" s="102" t="s">
        <v>40</v>
      </c>
      <c r="C257" s="103">
        <v>45694</v>
      </c>
      <c r="D257" s="102" t="s">
        <v>49</v>
      </c>
      <c r="E257" s="102" t="s">
        <v>50</v>
      </c>
      <c r="F257" s="102">
        <v>2072</v>
      </c>
      <c r="G257" s="102">
        <v>532</v>
      </c>
      <c r="H257" s="102">
        <v>71</v>
      </c>
      <c r="I257" s="102">
        <v>37296</v>
      </c>
      <c r="J257" s="102">
        <v>36467</v>
      </c>
      <c r="K257" s="102">
        <v>25</v>
      </c>
      <c r="L257" s="102" t="s">
        <v>18</v>
      </c>
      <c r="M257" s="104" t="s">
        <v>38</v>
      </c>
      <c r="N257" s="20">
        <f t="shared" si="4"/>
        <v>7.172350922350923E-2</v>
      </c>
    </row>
    <row r="258" spans="1:14" x14ac:dyDescent="0.3">
      <c r="A258" s="101" t="s">
        <v>98</v>
      </c>
      <c r="B258" s="102" t="s">
        <v>577</v>
      </c>
      <c r="C258" s="103">
        <v>45552</v>
      </c>
      <c r="D258" s="102" t="s">
        <v>22</v>
      </c>
      <c r="E258" s="102" t="s">
        <v>23</v>
      </c>
      <c r="F258" s="102">
        <v>2076</v>
      </c>
      <c r="G258" s="102">
        <v>195</v>
      </c>
      <c r="H258" s="102">
        <v>104</v>
      </c>
      <c r="I258" s="102">
        <v>33216</v>
      </c>
      <c r="J258" s="102">
        <v>32244</v>
      </c>
      <c r="K258" s="102">
        <v>51</v>
      </c>
      <c r="L258" s="102" t="s">
        <v>44</v>
      </c>
      <c r="M258" s="104" t="s">
        <v>55</v>
      </c>
      <c r="N258" s="20">
        <f t="shared" ref="N258:N301" si="5">SUM(F258,G258,H258)/I258</f>
        <v>7.1501685934489398E-2</v>
      </c>
    </row>
    <row r="259" spans="1:14" x14ac:dyDescent="0.3">
      <c r="A259" s="101" t="s">
        <v>301</v>
      </c>
      <c r="B259" s="102" t="s">
        <v>14</v>
      </c>
      <c r="C259" s="103">
        <v>45771</v>
      </c>
      <c r="D259" s="102" t="s">
        <v>16</v>
      </c>
      <c r="E259" s="102" t="s">
        <v>17</v>
      </c>
      <c r="F259" s="102">
        <v>3731</v>
      </c>
      <c r="G259" s="102">
        <v>115</v>
      </c>
      <c r="H259" s="102">
        <v>135</v>
      </c>
      <c r="I259" s="102">
        <v>55965</v>
      </c>
      <c r="J259" s="102">
        <v>55436</v>
      </c>
      <c r="K259" s="102">
        <v>103</v>
      </c>
      <c r="L259" s="102" t="s">
        <v>77</v>
      </c>
      <c r="M259" s="104" t="s">
        <v>55</v>
      </c>
      <c r="N259" s="20">
        <f t="shared" si="5"/>
        <v>7.1133744304476013E-2</v>
      </c>
    </row>
    <row r="260" spans="1:14" x14ac:dyDescent="0.3">
      <c r="A260" s="101" t="s">
        <v>226</v>
      </c>
      <c r="B260" s="102" t="s">
        <v>31</v>
      </c>
      <c r="C260" s="103">
        <v>45446</v>
      </c>
      <c r="D260" s="102" t="s">
        <v>49</v>
      </c>
      <c r="E260" s="102" t="s">
        <v>50</v>
      </c>
      <c r="F260" s="102">
        <v>3861</v>
      </c>
      <c r="G260" s="102">
        <v>960</v>
      </c>
      <c r="H260" s="102">
        <v>101</v>
      </c>
      <c r="I260" s="102">
        <v>69498</v>
      </c>
      <c r="J260" s="102">
        <v>68817</v>
      </c>
      <c r="K260" s="102">
        <v>297</v>
      </c>
      <c r="L260" s="102" t="s">
        <v>24</v>
      </c>
      <c r="M260" s="104" t="s">
        <v>25</v>
      </c>
      <c r="N260" s="20">
        <f t="shared" si="5"/>
        <v>7.0822181933293038E-2</v>
      </c>
    </row>
    <row r="261" spans="1:14" x14ac:dyDescent="0.3">
      <c r="A261" s="101" t="s">
        <v>114</v>
      </c>
      <c r="B261" s="102" t="s">
        <v>40</v>
      </c>
      <c r="C261" s="103">
        <v>45742</v>
      </c>
      <c r="D261" s="102" t="s">
        <v>22</v>
      </c>
      <c r="E261" s="102" t="s">
        <v>23</v>
      </c>
      <c r="F261" s="102">
        <v>1652</v>
      </c>
      <c r="G261" s="102">
        <v>89</v>
      </c>
      <c r="H261" s="102">
        <v>357</v>
      </c>
      <c r="I261" s="102">
        <v>29736</v>
      </c>
      <c r="J261" s="102">
        <v>28771</v>
      </c>
      <c r="K261" s="102">
        <v>215</v>
      </c>
      <c r="L261" s="102" t="s">
        <v>116</v>
      </c>
      <c r="M261" s="104" t="s">
        <v>25</v>
      </c>
      <c r="N261" s="20">
        <f t="shared" si="5"/>
        <v>7.055421038471886E-2</v>
      </c>
    </row>
    <row r="262" spans="1:14" x14ac:dyDescent="0.3">
      <c r="A262" s="101" t="s">
        <v>45</v>
      </c>
      <c r="B262" s="102" t="s">
        <v>14</v>
      </c>
      <c r="C262" s="103">
        <v>45467</v>
      </c>
      <c r="D262" s="102" t="s">
        <v>42</v>
      </c>
      <c r="E262" s="102" t="s">
        <v>43</v>
      </c>
      <c r="F262" s="102">
        <v>3860</v>
      </c>
      <c r="G262" s="102">
        <v>201</v>
      </c>
      <c r="H262" s="102">
        <v>279</v>
      </c>
      <c r="I262" s="102">
        <v>61760</v>
      </c>
      <c r="J262" s="102">
        <v>61660</v>
      </c>
      <c r="K262" s="102">
        <v>235</v>
      </c>
      <c r="L262" s="102" t="s">
        <v>44</v>
      </c>
      <c r="M262" s="104" t="s">
        <v>38</v>
      </c>
      <c r="N262" s="20">
        <f t="shared" si="5"/>
        <v>7.0272020725388601E-2</v>
      </c>
    </row>
    <row r="263" spans="1:14" x14ac:dyDescent="0.3">
      <c r="A263" s="101" t="s">
        <v>315</v>
      </c>
      <c r="B263" s="102" t="s">
        <v>577</v>
      </c>
      <c r="C263" s="103">
        <v>45741</v>
      </c>
      <c r="D263" s="102" t="s">
        <v>33</v>
      </c>
      <c r="E263" s="102" t="s">
        <v>34</v>
      </c>
      <c r="F263" s="102">
        <v>2070</v>
      </c>
      <c r="G263" s="102">
        <v>275</v>
      </c>
      <c r="H263" s="102">
        <v>386</v>
      </c>
      <c r="I263" s="102">
        <v>39330</v>
      </c>
      <c r="J263" s="102">
        <v>38627</v>
      </c>
      <c r="K263" s="102">
        <v>114</v>
      </c>
      <c r="L263" s="102" t="s">
        <v>18</v>
      </c>
      <c r="M263" s="104" t="s">
        <v>55</v>
      </c>
      <c r="N263" s="20">
        <f t="shared" si="5"/>
        <v>6.9438087973557078E-2</v>
      </c>
    </row>
    <row r="264" spans="1:14" x14ac:dyDescent="0.3">
      <c r="A264" s="101" t="s">
        <v>292</v>
      </c>
      <c r="B264" s="102" t="s">
        <v>40</v>
      </c>
      <c r="C264" s="103">
        <v>45684</v>
      </c>
      <c r="D264" s="102" t="s">
        <v>16</v>
      </c>
      <c r="E264" s="102" t="s">
        <v>17</v>
      </c>
      <c r="F264" s="102">
        <v>3452</v>
      </c>
      <c r="G264" s="102">
        <v>652</v>
      </c>
      <c r="H264" s="102">
        <v>442</v>
      </c>
      <c r="I264" s="102">
        <v>65588</v>
      </c>
      <c r="J264" s="102">
        <v>65049</v>
      </c>
      <c r="K264" s="102">
        <v>158</v>
      </c>
      <c r="L264" s="102" t="s">
        <v>82</v>
      </c>
      <c r="M264" s="104" t="s">
        <v>19</v>
      </c>
      <c r="N264" s="20">
        <f t="shared" si="5"/>
        <v>6.9311459413307311E-2</v>
      </c>
    </row>
    <row r="265" spans="1:14" x14ac:dyDescent="0.3">
      <c r="A265" s="101" t="s">
        <v>358</v>
      </c>
      <c r="B265" s="102" t="s">
        <v>14</v>
      </c>
      <c r="C265" s="103">
        <v>45775</v>
      </c>
      <c r="D265" s="102" t="s">
        <v>22</v>
      </c>
      <c r="E265" s="102" t="s">
        <v>23</v>
      </c>
      <c r="F265" s="102">
        <v>3577</v>
      </c>
      <c r="G265" s="102">
        <v>596</v>
      </c>
      <c r="H265" s="102">
        <v>493</v>
      </c>
      <c r="I265" s="102">
        <v>67963</v>
      </c>
      <c r="J265" s="102">
        <v>67839</v>
      </c>
      <c r="K265" s="102">
        <v>53</v>
      </c>
      <c r="L265" s="102" t="s">
        <v>87</v>
      </c>
      <c r="M265" s="104" t="s">
        <v>55</v>
      </c>
      <c r="N265" s="20">
        <f t="shared" si="5"/>
        <v>6.8655003457763777E-2</v>
      </c>
    </row>
    <row r="266" spans="1:14" x14ac:dyDescent="0.3">
      <c r="A266" s="101" t="s">
        <v>234</v>
      </c>
      <c r="B266" s="102" t="s">
        <v>31</v>
      </c>
      <c r="C266" s="103">
        <v>45604</v>
      </c>
      <c r="D266" s="102" t="s">
        <v>22</v>
      </c>
      <c r="E266" s="102" t="s">
        <v>23</v>
      </c>
      <c r="F266" s="102">
        <v>3182</v>
      </c>
      <c r="G266" s="102">
        <v>559</v>
      </c>
      <c r="H266" s="102">
        <v>160</v>
      </c>
      <c r="I266" s="102">
        <v>57276</v>
      </c>
      <c r="J266" s="102">
        <v>56890</v>
      </c>
      <c r="K266" s="102">
        <v>163</v>
      </c>
      <c r="L266" s="102" t="s">
        <v>87</v>
      </c>
      <c r="M266" s="104" t="s">
        <v>25</v>
      </c>
      <c r="N266" s="20">
        <f t="shared" si="5"/>
        <v>6.8108806480899509E-2</v>
      </c>
    </row>
    <row r="267" spans="1:14" x14ac:dyDescent="0.3">
      <c r="A267" s="101" t="s">
        <v>536</v>
      </c>
      <c r="B267" s="102" t="s">
        <v>577</v>
      </c>
      <c r="C267" s="103">
        <v>45764</v>
      </c>
      <c r="D267" s="102" t="s">
        <v>42</v>
      </c>
      <c r="E267" s="102" t="s">
        <v>43</v>
      </c>
      <c r="F267" s="102">
        <v>4780</v>
      </c>
      <c r="G267" s="102">
        <v>691</v>
      </c>
      <c r="H267" s="102">
        <v>380</v>
      </c>
      <c r="I267" s="102">
        <v>86040</v>
      </c>
      <c r="J267" s="102">
        <v>85743</v>
      </c>
      <c r="K267" s="102">
        <v>262</v>
      </c>
      <c r="L267" s="102" t="s">
        <v>71</v>
      </c>
      <c r="M267" s="104" t="s">
        <v>38</v>
      </c>
      <c r="N267" s="20">
        <f t="shared" si="5"/>
        <v>6.800325430032543E-2</v>
      </c>
    </row>
    <row r="268" spans="1:14" x14ac:dyDescent="0.3">
      <c r="A268" s="101" t="s">
        <v>459</v>
      </c>
      <c r="B268" s="102" t="s">
        <v>31</v>
      </c>
      <c r="C268" s="103">
        <v>45587</v>
      </c>
      <c r="D268" s="102" t="s">
        <v>33</v>
      </c>
      <c r="E268" s="102" t="s">
        <v>34</v>
      </c>
      <c r="F268" s="102">
        <v>3770</v>
      </c>
      <c r="G268" s="102">
        <v>917</v>
      </c>
      <c r="H268" s="102">
        <v>129</v>
      </c>
      <c r="I268" s="102">
        <v>71630</v>
      </c>
      <c r="J268" s="102">
        <v>71322</v>
      </c>
      <c r="K268" s="102">
        <v>76</v>
      </c>
      <c r="L268" s="102" t="s">
        <v>102</v>
      </c>
      <c r="M268" s="104" t="s">
        <v>55</v>
      </c>
      <c r="N268" s="20">
        <f t="shared" si="5"/>
        <v>6.7234398994834563E-2</v>
      </c>
    </row>
    <row r="269" spans="1:14" x14ac:dyDescent="0.3">
      <c r="A269" s="101" t="s">
        <v>510</v>
      </c>
      <c r="B269" s="102" t="s">
        <v>577</v>
      </c>
      <c r="C269" s="103">
        <v>45672</v>
      </c>
      <c r="D269" s="102" t="s">
        <v>16</v>
      </c>
      <c r="E269" s="102" t="s">
        <v>17</v>
      </c>
      <c r="F269" s="102">
        <v>3774</v>
      </c>
      <c r="G269" s="102">
        <v>239</v>
      </c>
      <c r="H269" s="102">
        <v>39</v>
      </c>
      <c r="I269" s="102">
        <v>60384</v>
      </c>
      <c r="J269" s="102">
        <v>59490</v>
      </c>
      <c r="K269" s="102">
        <v>241</v>
      </c>
      <c r="L269" s="102" t="s">
        <v>77</v>
      </c>
      <c r="M269" s="104" t="s">
        <v>38</v>
      </c>
      <c r="N269" s="20">
        <f t="shared" si="5"/>
        <v>6.7103868574456813E-2</v>
      </c>
    </row>
    <row r="270" spans="1:14" x14ac:dyDescent="0.3">
      <c r="A270" s="101" t="s">
        <v>35</v>
      </c>
      <c r="B270" s="102" t="s">
        <v>577</v>
      </c>
      <c r="C270" s="103">
        <v>45469</v>
      </c>
      <c r="D270" s="102" t="s">
        <v>16</v>
      </c>
      <c r="E270" s="102" t="s">
        <v>17</v>
      </c>
      <c r="F270" s="102">
        <v>3557</v>
      </c>
      <c r="G270" s="102">
        <v>687</v>
      </c>
      <c r="H270" s="102">
        <v>424</v>
      </c>
      <c r="I270" s="102">
        <v>71140</v>
      </c>
      <c r="J270" s="102">
        <v>70701</v>
      </c>
      <c r="K270" s="102">
        <v>224</v>
      </c>
      <c r="L270" s="102" t="s">
        <v>37</v>
      </c>
      <c r="M270" s="104" t="s">
        <v>38</v>
      </c>
      <c r="N270" s="20">
        <f t="shared" si="5"/>
        <v>6.5617093055946027E-2</v>
      </c>
    </row>
    <row r="271" spans="1:14" x14ac:dyDescent="0.3">
      <c r="A271" s="101" t="s">
        <v>218</v>
      </c>
      <c r="B271" s="102" t="s">
        <v>577</v>
      </c>
      <c r="C271" s="103">
        <v>45684</v>
      </c>
      <c r="D271" s="102" t="s">
        <v>22</v>
      </c>
      <c r="E271" s="102" t="s">
        <v>23</v>
      </c>
      <c r="F271" s="102">
        <v>3428</v>
      </c>
      <c r="G271" s="102">
        <v>305</v>
      </c>
      <c r="H271" s="102">
        <v>85</v>
      </c>
      <c r="I271" s="102">
        <v>58276</v>
      </c>
      <c r="J271" s="102">
        <v>58052</v>
      </c>
      <c r="K271" s="102">
        <v>242</v>
      </c>
      <c r="L271" s="102" t="s">
        <v>214</v>
      </c>
      <c r="M271" s="104" t="s">
        <v>38</v>
      </c>
      <c r="N271" s="20">
        <f t="shared" si="5"/>
        <v>6.5515821264328367E-2</v>
      </c>
    </row>
    <row r="272" spans="1:14" x14ac:dyDescent="0.3">
      <c r="A272" s="101" t="s">
        <v>317</v>
      </c>
      <c r="B272" s="102" t="s">
        <v>577</v>
      </c>
      <c r="C272" s="103">
        <v>45593</v>
      </c>
      <c r="D272" s="102" t="s">
        <v>33</v>
      </c>
      <c r="E272" s="102" t="s">
        <v>34</v>
      </c>
      <c r="F272" s="102">
        <v>4929</v>
      </c>
      <c r="G272" s="102">
        <v>749</v>
      </c>
      <c r="H272" s="102">
        <v>452</v>
      </c>
      <c r="I272" s="102">
        <v>93651</v>
      </c>
      <c r="J272" s="102">
        <v>92810</v>
      </c>
      <c r="K272" s="102">
        <v>66</v>
      </c>
      <c r="L272" s="102" t="s">
        <v>214</v>
      </c>
      <c r="M272" s="104" t="s">
        <v>19</v>
      </c>
      <c r="N272" s="20">
        <f t="shared" si="5"/>
        <v>6.5455787978772245E-2</v>
      </c>
    </row>
    <row r="273" spans="1:14" x14ac:dyDescent="0.3">
      <c r="A273" s="101" t="s">
        <v>402</v>
      </c>
      <c r="B273" s="102" t="s">
        <v>14</v>
      </c>
      <c r="C273" s="103">
        <v>45587</v>
      </c>
      <c r="D273" s="102" t="s">
        <v>16</v>
      </c>
      <c r="E273" s="102" t="s">
        <v>17</v>
      </c>
      <c r="F273" s="102">
        <v>4782</v>
      </c>
      <c r="G273" s="102">
        <v>721</v>
      </c>
      <c r="H273" s="102">
        <v>82</v>
      </c>
      <c r="I273" s="102">
        <v>86076</v>
      </c>
      <c r="J273" s="102">
        <v>85339</v>
      </c>
      <c r="K273" s="102">
        <v>19</v>
      </c>
      <c r="L273" s="102" t="s">
        <v>77</v>
      </c>
      <c r="M273" s="104" t="s">
        <v>25</v>
      </c>
      <c r="N273" s="20">
        <f t="shared" si="5"/>
        <v>6.4884520656164318E-2</v>
      </c>
    </row>
    <row r="274" spans="1:14" x14ac:dyDescent="0.3">
      <c r="A274" s="101" t="s">
        <v>303</v>
      </c>
      <c r="B274" s="102" t="s">
        <v>40</v>
      </c>
      <c r="C274" s="103">
        <v>45624</v>
      </c>
      <c r="D274" s="102" t="s">
        <v>22</v>
      </c>
      <c r="E274" s="102" t="s">
        <v>23</v>
      </c>
      <c r="F274" s="102">
        <v>4213</v>
      </c>
      <c r="G274" s="102">
        <v>253</v>
      </c>
      <c r="H274" s="102">
        <v>434</v>
      </c>
      <c r="I274" s="102">
        <v>75834</v>
      </c>
      <c r="J274" s="102">
        <v>75437</v>
      </c>
      <c r="K274" s="102">
        <v>272</v>
      </c>
      <c r="L274" s="102" t="s">
        <v>44</v>
      </c>
      <c r="M274" s="104" t="s">
        <v>38</v>
      </c>
      <c r="N274" s="20">
        <f t="shared" si="5"/>
        <v>6.461481657304112E-2</v>
      </c>
    </row>
    <row r="275" spans="1:14" x14ac:dyDescent="0.3">
      <c r="A275" s="101" t="s">
        <v>194</v>
      </c>
      <c r="B275" s="102" t="s">
        <v>40</v>
      </c>
      <c r="C275" s="103">
        <v>45583</v>
      </c>
      <c r="D275" s="102" t="s">
        <v>33</v>
      </c>
      <c r="E275" s="102" t="s">
        <v>34</v>
      </c>
      <c r="F275" s="102">
        <v>4126</v>
      </c>
      <c r="G275" s="102">
        <v>426</v>
      </c>
      <c r="H275" s="102">
        <v>486</v>
      </c>
      <c r="I275" s="102">
        <v>78394</v>
      </c>
      <c r="J275" s="102">
        <v>77798</v>
      </c>
      <c r="K275" s="102">
        <v>88</v>
      </c>
      <c r="L275" s="102" t="s">
        <v>24</v>
      </c>
      <c r="M275" s="104" t="s">
        <v>19</v>
      </c>
      <c r="N275" s="20">
        <f t="shared" si="5"/>
        <v>6.4265122330790625E-2</v>
      </c>
    </row>
    <row r="276" spans="1:14" x14ac:dyDescent="0.3">
      <c r="A276" s="101" t="s">
        <v>505</v>
      </c>
      <c r="B276" s="102" t="s">
        <v>14</v>
      </c>
      <c r="C276" s="103">
        <v>45569</v>
      </c>
      <c r="D276" s="102" t="s">
        <v>16</v>
      </c>
      <c r="E276" s="102" t="s">
        <v>17</v>
      </c>
      <c r="F276" s="102">
        <v>4187</v>
      </c>
      <c r="G276" s="102">
        <v>66</v>
      </c>
      <c r="H276" s="102">
        <v>31</v>
      </c>
      <c r="I276" s="102">
        <v>66992</v>
      </c>
      <c r="J276" s="102">
        <v>66614</v>
      </c>
      <c r="K276" s="102">
        <v>62</v>
      </c>
      <c r="L276" s="102" t="s">
        <v>58</v>
      </c>
      <c r="M276" s="104" t="s">
        <v>55</v>
      </c>
      <c r="N276" s="20">
        <f t="shared" si="5"/>
        <v>6.3947934081681396E-2</v>
      </c>
    </row>
    <row r="277" spans="1:14" x14ac:dyDescent="0.3">
      <c r="A277" s="101" t="s">
        <v>83</v>
      </c>
      <c r="B277" s="102" t="s">
        <v>31</v>
      </c>
      <c r="C277" s="103">
        <v>45544</v>
      </c>
      <c r="D277" s="102" t="s">
        <v>42</v>
      </c>
      <c r="E277" s="102" t="s">
        <v>43</v>
      </c>
      <c r="F277" s="102">
        <v>4054</v>
      </c>
      <c r="G277" s="102">
        <v>488</v>
      </c>
      <c r="H277" s="102">
        <v>373</v>
      </c>
      <c r="I277" s="102">
        <v>77026</v>
      </c>
      <c r="J277" s="102">
        <v>76881</v>
      </c>
      <c r="K277" s="102">
        <v>25</v>
      </c>
      <c r="L277" s="102" t="s">
        <v>29</v>
      </c>
      <c r="M277" s="104" t="s">
        <v>38</v>
      </c>
      <c r="N277" s="20">
        <f t="shared" si="5"/>
        <v>6.3809622724794221E-2</v>
      </c>
    </row>
    <row r="278" spans="1:14" x14ac:dyDescent="0.3">
      <c r="A278" s="101" t="s">
        <v>183</v>
      </c>
      <c r="B278" s="102" t="s">
        <v>40</v>
      </c>
      <c r="C278" s="103">
        <v>45745</v>
      </c>
      <c r="D278" s="102" t="s">
        <v>42</v>
      </c>
      <c r="E278" s="102" t="s">
        <v>43</v>
      </c>
      <c r="F278" s="102">
        <v>4712</v>
      </c>
      <c r="G278" s="102">
        <v>568</v>
      </c>
      <c r="H278" s="102">
        <v>127</v>
      </c>
      <c r="I278" s="102">
        <v>84816</v>
      </c>
      <c r="J278" s="102">
        <v>84691</v>
      </c>
      <c r="K278" s="102">
        <v>100</v>
      </c>
      <c r="L278" s="102" t="s">
        <v>77</v>
      </c>
      <c r="M278" s="104" t="s">
        <v>19</v>
      </c>
      <c r="N278" s="20">
        <f t="shared" si="5"/>
        <v>6.3749764195434822E-2</v>
      </c>
    </row>
    <row r="279" spans="1:14" x14ac:dyDescent="0.3">
      <c r="A279" s="101" t="s">
        <v>325</v>
      </c>
      <c r="B279" s="102" t="s">
        <v>577</v>
      </c>
      <c r="C279" s="103">
        <v>45526</v>
      </c>
      <c r="D279" s="102" t="s">
        <v>42</v>
      </c>
      <c r="E279" s="102" t="s">
        <v>43</v>
      </c>
      <c r="F279" s="102">
        <v>4295</v>
      </c>
      <c r="G279" s="102">
        <v>853</v>
      </c>
      <c r="H279" s="102">
        <v>325</v>
      </c>
      <c r="I279" s="102">
        <v>85900</v>
      </c>
      <c r="J279" s="102">
        <v>85788</v>
      </c>
      <c r="K279" s="102">
        <v>290</v>
      </c>
      <c r="L279" s="102" t="s">
        <v>209</v>
      </c>
      <c r="M279" s="104" t="s">
        <v>25</v>
      </c>
      <c r="N279" s="20">
        <f t="shared" si="5"/>
        <v>6.3713620488940623E-2</v>
      </c>
    </row>
    <row r="280" spans="1:14" x14ac:dyDescent="0.3">
      <c r="A280" s="101" t="s">
        <v>525</v>
      </c>
      <c r="B280" s="102" t="s">
        <v>577</v>
      </c>
      <c r="C280" s="103">
        <v>45738</v>
      </c>
      <c r="D280" s="102" t="s">
        <v>49</v>
      </c>
      <c r="E280" s="102" t="s">
        <v>50</v>
      </c>
      <c r="F280" s="102">
        <v>3166</v>
      </c>
      <c r="G280" s="102">
        <v>90</v>
      </c>
      <c r="H280" s="102">
        <v>341</v>
      </c>
      <c r="I280" s="102">
        <v>56988</v>
      </c>
      <c r="J280" s="102">
        <v>56125</v>
      </c>
      <c r="K280" s="102">
        <v>135</v>
      </c>
      <c r="L280" s="102" t="s">
        <v>146</v>
      </c>
      <c r="M280" s="104" t="s">
        <v>25</v>
      </c>
      <c r="N280" s="20">
        <f t="shared" si="5"/>
        <v>6.3118551273952411E-2</v>
      </c>
    </row>
    <row r="281" spans="1:14" x14ac:dyDescent="0.3">
      <c r="A281" s="101" t="s">
        <v>432</v>
      </c>
      <c r="B281" s="102" t="s">
        <v>40</v>
      </c>
      <c r="C281" s="103">
        <v>45629</v>
      </c>
      <c r="D281" s="102" t="s">
        <v>49</v>
      </c>
      <c r="E281" s="102" t="s">
        <v>50</v>
      </c>
      <c r="F281" s="102">
        <v>4606</v>
      </c>
      <c r="G281" s="102">
        <v>931</v>
      </c>
      <c r="H281" s="102">
        <v>230</v>
      </c>
      <c r="I281" s="102">
        <v>92120</v>
      </c>
      <c r="J281" s="102">
        <v>91440</v>
      </c>
      <c r="K281" s="102">
        <v>56</v>
      </c>
      <c r="L281" s="102" t="s">
        <v>144</v>
      </c>
      <c r="M281" s="104" t="s">
        <v>38</v>
      </c>
      <c r="N281" s="20">
        <f t="shared" si="5"/>
        <v>6.2603126356925748E-2</v>
      </c>
    </row>
    <row r="282" spans="1:14" x14ac:dyDescent="0.3">
      <c r="A282" s="101" t="s">
        <v>406</v>
      </c>
      <c r="B282" s="102" t="s">
        <v>40</v>
      </c>
      <c r="C282" s="103">
        <v>45754</v>
      </c>
      <c r="D282" s="102" t="s">
        <v>16</v>
      </c>
      <c r="E282" s="102" t="s">
        <v>17</v>
      </c>
      <c r="F282" s="102">
        <v>3718</v>
      </c>
      <c r="G282" s="102">
        <v>385</v>
      </c>
      <c r="H282" s="102">
        <v>310</v>
      </c>
      <c r="I282" s="102">
        <v>70642</v>
      </c>
      <c r="J282" s="102">
        <v>69749</v>
      </c>
      <c r="K282" s="102">
        <v>233</v>
      </c>
      <c r="L282" s="102" t="s">
        <v>44</v>
      </c>
      <c r="M282" s="104" t="s">
        <v>19</v>
      </c>
      <c r="N282" s="20">
        <f t="shared" si="5"/>
        <v>6.246991874522239E-2</v>
      </c>
    </row>
    <row r="283" spans="1:14" x14ac:dyDescent="0.3">
      <c r="A283" s="101" t="s">
        <v>256</v>
      </c>
      <c r="B283" s="102" t="s">
        <v>577</v>
      </c>
      <c r="C283" s="103">
        <v>45464</v>
      </c>
      <c r="D283" s="102" t="s">
        <v>49</v>
      </c>
      <c r="E283" s="102" t="s">
        <v>50</v>
      </c>
      <c r="F283" s="102">
        <v>4832</v>
      </c>
      <c r="G283" s="102">
        <v>893</v>
      </c>
      <c r="H283" s="102">
        <v>10</v>
      </c>
      <c r="I283" s="102">
        <v>91808</v>
      </c>
      <c r="J283" s="102">
        <v>91296</v>
      </c>
      <c r="K283" s="102">
        <v>182</v>
      </c>
      <c r="L283" s="102" t="s">
        <v>82</v>
      </c>
      <c r="M283" s="104" t="s">
        <v>38</v>
      </c>
      <c r="N283" s="20">
        <f t="shared" si="5"/>
        <v>6.2467323109097243E-2</v>
      </c>
    </row>
    <row r="284" spans="1:14" x14ac:dyDescent="0.3">
      <c r="A284" s="101" t="s">
        <v>273</v>
      </c>
      <c r="B284" s="102" t="s">
        <v>14</v>
      </c>
      <c r="C284" s="103">
        <v>45788</v>
      </c>
      <c r="D284" s="102" t="s">
        <v>49</v>
      </c>
      <c r="E284" s="102" t="s">
        <v>50</v>
      </c>
      <c r="F284" s="102">
        <v>2493</v>
      </c>
      <c r="G284" s="102">
        <v>97</v>
      </c>
      <c r="H284" s="102">
        <v>44</v>
      </c>
      <c r="I284" s="102">
        <v>42381</v>
      </c>
      <c r="J284" s="102">
        <v>41991</v>
      </c>
      <c r="K284" s="102">
        <v>242</v>
      </c>
      <c r="L284" s="102" t="s">
        <v>82</v>
      </c>
      <c r="M284" s="104" t="s">
        <v>19</v>
      </c>
      <c r="N284" s="20">
        <f t="shared" si="5"/>
        <v>6.2150491965739366E-2</v>
      </c>
    </row>
    <row r="285" spans="1:14" x14ac:dyDescent="0.3">
      <c r="A285" s="101" t="s">
        <v>439</v>
      </c>
      <c r="B285" s="102" t="s">
        <v>14</v>
      </c>
      <c r="C285" s="103">
        <v>45608</v>
      </c>
      <c r="D285" s="102" t="s">
        <v>49</v>
      </c>
      <c r="E285" s="102" t="s">
        <v>50</v>
      </c>
      <c r="F285" s="102">
        <v>3338</v>
      </c>
      <c r="G285" s="102">
        <v>277</v>
      </c>
      <c r="H285" s="102">
        <v>118</v>
      </c>
      <c r="I285" s="102">
        <v>60084</v>
      </c>
      <c r="J285" s="102">
        <v>59842</v>
      </c>
      <c r="K285" s="102">
        <v>252</v>
      </c>
      <c r="L285" s="102" t="s">
        <v>58</v>
      </c>
      <c r="M285" s="104" t="s">
        <v>19</v>
      </c>
      <c r="N285" s="20">
        <f t="shared" si="5"/>
        <v>6.2129685107516146E-2</v>
      </c>
    </row>
    <row r="286" spans="1:14" x14ac:dyDescent="0.3">
      <c r="A286" s="101" t="s">
        <v>523</v>
      </c>
      <c r="B286" s="102" t="s">
        <v>577</v>
      </c>
      <c r="C286" s="103">
        <v>45537</v>
      </c>
      <c r="D286" s="102" t="s">
        <v>49</v>
      </c>
      <c r="E286" s="102" t="s">
        <v>50</v>
      </c>
      <c r="F286" s="102">
        <v>4905</v>
      </c>
      <c r="G286" s="102">
        <v>845</v>
      </c>
      <c r="H286" s="102">
        <v>129</v>
      </c>
      <c r="I286" s="102">
        <v>98100</v>
      </c>
      <c r="J286" s="102">
        <v>97772</v>
      </c>
      <c r="K286" s="102">
        <v>279</v>
      </c>
      <c r="L286" s="102" t="s">
        <v>44</v>
      </c>
      <c r="M286" s="104" t="s">
        <v>55</v>
      </c>
      <c r="N286" s="20">
        <f t="shared" si="5"/>
        <v>5.9928644240570844E-2</v>
      </c>
    </row>
    <row r="287" spans="1:14" x14ac:dyDescent="0.3">
      <c r="A287" s="101" t="s">
        <v>94</v>
      </c>
      <c r="B287" s="102" t="s">
        <v>14</v>
      </c>
      <c r="C287" s="103">
        <v>45757</v>
      </c>
      <c r="D287" s="102" t="s">
        <v>42</v>
      </c>
      <c r="E287" s="102" t="s">
        <v>43</v>
      </c>
      <c r="F287" s="102">
        <v>3128</v>
      </c>
      <c r="G287" s="102">
        <v>211</v>
      </c>
      <c r="H287" s="102">
        <v>197</v>
      </c>
      <c r="I287" s="102">
        <v>59432</v>
      </c>
      <c r="J287" s="102">
        <v>59182</v>
      </c>
      <c r="K287" s="102">
        <v>238</v>
      </c>
      <c r="L287" s="102" t="s">
        <v>61</v>
      </c>
      <c r="M287" s="104" t="s">
        <v>19</v>
      </c>
      <c r="N287" s="20">
        <f t="shared" si="5"/>
        <v>5.9496567505720827E-2</v>
      </c>
    </row>
    <row r="288" spans="1:14" x14ac:dyDescent="0.3">
      <c r="A288" s="101" t="s">
        <v>67</v>
      </c>
      <c r="B288" s="102" t="s">
        <v>40</v>
      </c>
      <c r="C288" s="103">
        <v>45589</v>
      </c>
      <c r="D288" s="102" t="s">
        <v>69</v>
      </c>
      <c r="E288" s="102" t="s">
        <v>70</v>
      </c>
      <c r="F288" s="102">
        <v>3888</v>
      </c>
      <c r="G288" s="102">
        <v>604</v>
      </c>
      <c r="H288" s="102">
        <v>128</v>
      </c>
      <c r="I288" s="102">
        <v>77760</v>
      </c>
      <c r="J288" s="102">
        <v>77167</v>
      </c>
      <c r="K288" s="102">
        <v>20</v>
      </c>
      <c r="L288" s="102" t="s">
        <v>71</v>
      </c>
      <c r="M288" s="104" t="s">
        <v>19</v>
      </c>
      <c r="N288" s="20">
        <f t="shared" si="5"/>
        <v>5.941358024691358E-2</v>
      </c>
    </row>
    <row r="289" spans="1:14" x14ac:dyDescent="0.3">
      <c r="A289" s="101" t="s">
        <v>549</v>
      </c>
      <c r="B289" s="102" t="s">
        <v>14</v>
      </c>
      <c r="C289" s="103">
        <v>45699</v>
      </c>
      <c r="D289" s="102" t="s">
        <v>69</v>
      </c>
      <c r="E289" s="102" t="s">
        <v>70</v>
      </c>
      <c r="F289" s="102">
        <v>3440</v>
      </c>
      <c r="G289" s="102">
        <v>13</v>
      </c>
      <c r="H289" s="102">
        <v>20</v>
      </c>
      <c r="I289" s="102">
        <v>58480</v>
      </c>
      <c r="J289" s="102">
        <v>58146</v>
      </c>
      <c r="K289" s="102">
        <v>210</v>
      </c>
      <c r="L289" s="102" t="s">
        <v>71</v>
      </c>
      <c r="M289" s="104" t="s">
        <v>19</v>
      </c>
      <c r="N289" s="20">
        <f t="shared" si="5"/>
        <v>5.9387824897400819E-2</v>
      </c>
    </row>
    <row r="290" spans="1:14" x14ac:dyDescent="0.3">
      <c r="A290" s="101" t="s">
        <v>553</v>
      </c>
      <c r="B290" s="102" t="s">
        <v>40</v>
      </c>
      <c r="C290" s="103">
        <v>45589</v>
      </c>
      <c r="D290" s="102" t="s">
        <v>49</v>
      </c>
      <c r="E290" s="102" t="s">
        <v>50</v>
      </c>
      <c r="F290" s="102">
        <v>4303</v>
      </c>
      <c r="G290" s="102">
        <v>451</v>
      </c>
      <c r="H290" s="102">
        <v>286</v>
      </c>
      <c r="I290" s="102">
        <v>86060</v>
      </c>
      <c r="J290" s="102">
        <v>85823</v>
      </c>
      <c r="K290" s="102">
        <v>14</v>
      </c>
      <c r="L290" s="102" t="s">
        <v>18</v>
      </c>
      <c r="M290" s="104" t="s">
        <v>25</v>
      </c>
      <c r="N290" s="20">
        <f t="shared" si="5"/>
        <v>5.8563792702765516E-2</v>
      </c>
    </row>
    <row r="291" spans="1:14" x14ac:dyDescent="0.3">
      <c r="A291" s="101" t="s">
        <v>431</v>
      </c>
      <c r="B291" s="102" t="s">
        <v>577</v>
      </c>
      <c r="C291" s="103">
        <v>45502</v>
      </c>
      <c r="D291" s="102" t="s">
        <v>33</v>
      </c>
      <c r="E291" s="102" t="s">
        <v>34</v>
      </c>
      <c r="F291" s="102">
        <v>1509</v>
      </c>
      <c r="G291" s="102">
        <v>88</v>
      </c>
      <c r="H291" s="102">
        <v>163</v>
      </c>
      <c r="I291" s="102">
        <v>30180</v>
      </c>
      <c r="J291" s="102">
        <v>29689</v>
      </c>
      <c r="K291" s="102">
        <v>119</v>
      </c>
      <c r="L291" s="102" t="s">
        <v>44</v>
      </c>
      <c r="M291" s="104" t="s">
        <v>19</v>
      </c>
      <c r="N291" s="20">
        <f t="shared" si="5"/>
        <v>5.8316766070245198E-2</v>
      </c>
    </row>
    <row r="292" spans="1:14" x14ac:dyDescent="0.3">
      <c r="A292" s="101" t="s">
        <v>529</v>
      </c>
      <c r="B292" s="102" t="s">
        <v>14</v>
      </c>
      <c r="C292" s="103">
        <v>45786</v>
      </c>
      <c r="D292" s="102" t="s">
        <v>16</v>
      </c>
      <c r="E292" s="102" t="s">
        <v>17</v>
      </c>
      <c r="F292" s="102">
        <v>3367</v>
      </c>
      <c r="G292" s="102">
        <v>302</v>
      </c>
      <c r="H292" s="102">
        <v>57</v>
      </c>
      <c r="I292" s="102">
        <v>63973</v>
      </c>
      <c r="J292" s="102">
        <v>63789</v>
      </c>
      <c r="K292" s="102">
        <v>157</v>
      </c>
      <c r="L292" s="102" t="s">
        <v>105</v>
      </c>
      <c r="M292" s="104" t="s">
        <v>38</v>
      </c>
      <c r="N292" s="20">
        <f t="shared" si="5"/>
        <v>5.8243321401216137E-2</v>
      </c>
    </row>
    <row r="293" spans="1:14" x14ac:dyDescent="0.3">
      <c r="A293" s="101" t="s">
        <v>488</v>
      </c>
      <c r="B293" s="102" t="s">
        <v>577</v>
      </c>
      <c r="C293" s="103">
        <v>45553</v>
      </c>
      <c r="D293" s="102" t="s">
        <v>42</v>
      </c>
      <c r="E293" s="102" t="s">
        <v>43</v>
      </c>
      <c r="F293" s="102">
        <v>2143</v>
      </c>
      <c r="G293" s="102">
        <v>12</v>
      </c>
      <c r="H293" s="102">
        <v>204</v>
      </c>
      <c r="I293" s="102">
        <v>40717</v>
      </c>
      <c r="J293" s="102">
        <v>40125</v>
      </c>
      <c r="K293" s="102">
        <v>248</v>
      </c>
      <c r="L293" s="102" t="s">
        <v>127</v>
      </c>
      <c r="M293" s="104" t="s">
        <v>55</v>
      </c>
      <c r="N293" s="20">
        <f t="shared" si="5"/>
        <v>5.7936488444630008E-2</v>
      </c>
    </row>
    <row r="294" spans="1:14" x14ac:dyDescent="0.3">
      <c r="A294" s="101" t="s">
        <v>106</v>
      </c>
      <c r="B294" s="102" t="s">
        <v>31</v>
      </c>
      <c r="C294" s="103">
        <v>45713</v>
      </c>
      <c r="D294" s="102" t="s">
        <v>69</v>
      </c>
      <c r="E294" s="102" t="s">
        <v>70</v>
      </c>
      <c r="F294" s="102">
        <v>3095</v>
      </c>
      <c r="G294" s="102">
        <v>39</v>
      </c>
      <c r="H294" s="102">
        <v>78</v>
      </c>
      <c r="I294" s="102">
        <v>55710</v>
      </c>
      <c r="J294" s="102">
        <v>54808</v>
      </c>
      <c r="K294" s="102">
        <v>93</v>
      </c>
      <c r="L294" s="102" t="s">
        <v>18</v>
      </c>
      <c r="M294" s="104" t="s">
        <v>55</v>
      </c>
      <c r="N294" s="20">
        <f t="shared" si="5"/>
        <v>5.7655717106444085E-2</v>
      </c>
    </row>
    <row r="295" spans="1:14" x14ac:dyDescent="0.3">
      <c r="A295" s="101" t="s">
        <v>412</v>
      </c>
      <c r="B295" s="102" t="s">
        <v>31</v>
      </c>
      <c r="C295" s="103">
        <v>45617</v>
      </c>
      <c r="D295" s="102" t="s">
        <v>42</v>
      </c>
      <c r="E295" s="102" t="s">
        <v>43</v>
      </c>
      <c r="F295" s="102">
        <v>3773</v>
      </c>
      <c r="G295" s="102">
        <v>299</v>
      </c>
      <c r="H295" s="102">
        <v>38</v>
      </c>
      <c r="I295" s="102">
        <v>71687</v>
      </c>
      <c r="J295" s="102">
        <v>71447</v>
      </c>
      <c r="K295" s="102">
        <v>286</v>
      </c>
      <c r="L295" s="102" t="s">
        <v>44</v>
      </c>
      <c r="M295" s="104" t="s">
        <v>55</v>
      </c>
      <c r="N295" s="20">
        <f t="shared" si="5"/>
        <v>5.7332570758993957E-2</v>
      </c>
    </row>
    <row r="296" spans="1:14" x14ac:dyDescent="0.3">
      <c r="A296" s="101" t="s">
        <v>442</v>
      </c>
      <c r="B296" s="102" t="s">
        <v>14</v>
      </c>
      <c r="C296" s="103">
        <v>45463</v>
      </c>
      <c r="D296" s="102" t="s">
        <v>42</v>
      </c>
      <c r="E296" s="102" t="s">
        <v>43</v>
      </c>
      <c r="F296" s="102">
        <v>4672</v>
      </c>
      <c r="G296" s="102">
        <v>325</v>
      </c>
      <c r="H296" s="102">
        <v>32</v>
      </c>
      <c r="I296" s="102">
        <v>88768</v>
      </c>
      <c r="J296" s="102">
        <v>87833</v>
      </c>
      <c r="K296" s="102">
        <v>118</v>
      </c>
      <c r="L296" s="102" t="s">
        <v>127</v>
      </c>
      <c r="M296" s="104" t="s">
        <v>38</v>
      </c>
      <c r="N296" s="20">
        <f t="shared" si="5"/>
        <v>5.6653298485940883E-2</v>
      </c>
    </row>
    <row r="297" spans="1:14" x14ac:dyDescent="0.3">
      <c r="A297" s="101" t="s">
        <v>318</v>
      </c>
      <c r="B297" s="102" t="s">
        <v>31</v>
      </c>
      <c r="C297" s="103">
        <v>45516</v>
      </c>
      <c r="D297" s="102" t="s">
        <v>42</v>
      </c>
      <c r="E297" s="102" t="s">
        <v>43</v>
      </c>
      <c r="F297" s="102">
        <v>1878</v>
      </c>
      <c r="G297" s="102">
        <v>62</v>
      </c>
      <c r="H297" s="102">
        <v>179</v>
      </c>
      <c r="I297" s="102">
        <v>37560</v>
      </c>
      <c r="J297" s="102">
        <v>36874</v>
      </c>
      <c r="K297" s="102">
        <v>142</v>
      </c>
      <c r="L297" s="102" t="s">
        <v>178</v>
      </c>
      <c r="M297" s="104" t="s">
        <v>19</v>
      </c>
      <c r="N297" s="20">
        <f t="shared" si="5"/>
        <v>5.6416400425985093E-2</v>
      </c>
    </row>
    <row r="298" spans="1:14" x14ac:dyDescent="0.3">
      <c r="A298" s="101" t="s">
        <v>390</v>
      </c>
      <c r="B298" s="102" t="s">
        <v>577</v>
      </c>
      <c r="C298" s="103">
        <v>45569</v>
      </c>
      <c r="D298" s="102" t="s">
        <v>22</v>
      </c>
      <c r="E298" s="102" t="s">
        <v>23</v>
      </c>
      <c r="F298" s="102">
        <v>1963</v>
      </c>
      <c r="G298" s="102">
        <v>213</v>
      </c>
      <c r="H298" s="102">
        <v>19</v>
      </c>
      <c r="I298" s="102">
        <v>39260</v>
      </c>
      <c r="J298" s="102">
        <v>38771</v>
      </c>
      <c r="K298" s="102">
        <v>145</v>
      </c>
      <c r="L298" s="102" t="s">
        <v>58</v>
      </c>
      <c r="M298" s="104" t="s">
        <v>19</v>
      </c>
      <c r="N298" s="20">
        <f t="shared" si="5"/>
        <v>5.5909322465613857E-2</v>
      </c>
    </row>
    <row r="299" spans="1:14" x14ac:dyDescent="0.3">
      <c r="A299" s="101" t="s">
        <v>26</v>
      </c>
      <c r="B299" s="102" t="s">
        <v>577</v>
      </c>
      <c r="C299" s="103">
        <v>45789</v>
      </c>
      <c r="D299" s="102" t="s">
        <v>16</v>
      </c>
      <c r="E299" s="102" t="s">
        <v>17</v>
      </c>
      <c r="F299" s="102">
        <v>2795</v>
      </c>
      <c r="G299" s="102">
        <v>105</v>
      </c>
      <c r="H299" s="102">
        <v>49</v>
      </c>
      <c r="I299" s="102">
        <v>53105</v>
      </c>
      <c r="J299" s="102">
        <v>52307</v>
      </c>
      <c r="K299" s="102">
        <v>204</v>
      </c>
      <c r="L299" s="102" t="s">
        <v>29</v>
      </c>
      <c r="M299" s="104" t="s">
        <v>19</v>
      </c>
      <c r="N299" s="20">
        <f t="shared" si="5"/>
        <v>5.5531494209584788E-2</v>
      </c>
    </row>
    <row r="300" spans="1:14" x14ac:dyDescent="0.3">
      <c r="A300" s="101" t="s">
        <v>369</v>
      </c>
      <c r="B300" s="102" t="s">
        <v>40</v>
      </c>
      <c r="C300" s="103">
        <v>45463</v>
      </c>
      <c r="D300" s="102" t="s">
        <v>69</v>
      </c>
      <c r="E300" s="102" t="s">
        <v>70</v>
      </c>
      <c r="F300" s="102">
        <v>3798</v>
      </c>
      <c r="G300" s="102">
        <v>31</v>
      </c>
      <c r="H300" s="102">
        <v>279</v>
      </c>
      <c r="I300" s="102">
        <v>75960</v>
      </c>
      <c r="J300" s="102">
        <v>75813</v>
      </c>
      <c r="K300" s="102">
        <v>266</v>
      </c>
      <c r="L300" s="102" t="s">
        <v>24</v>
      </c>
      <c r="M300" s="104" t="s">
        <v>25</v>
      </c>
      <c r="N300" s="20">
        <f t="shared" si="5"/>
        <v>5.4081095313322801E-2</v>
      </c>
    </row>
    <row r="301" spans="1:14" x14ac:dyDescent="0.3">
      <c r="A301" s="105" t="s">
        <v>175</v>
      </c>
      <c r="B301" s="106" t="s">
        <v>14</v>
      </c>
      <c r="C301" s="107">
        <v>45504</v>
      </c>
      <c r="D301" s="106" t="s">
        <v>42</v>
      </c>
      <c r="E301" s="106" t="s">
        <v>43</v>
      </c>
      <c r="F301" s="106">
        <v>4507</v>
      </c>
      <c r="G301" s="106">
        <v>217</v>
      </c>
      <c r="H301" s="106">
        <v>13</v>
      </c>
      <c r="I301" s="106">
        <v>90140</v>
      </c>
      <c r="J301" s="106">
        <v>89591</v>
      </c>
      <c r="K301" s="106">
        <v>125</v>
      </c>
      <c r="L301" s="106" t="s">
        <v>18</v>
      </c>
      <c r="M301" s="108" t="s">
        <v>19</v>
      </c>
      <c r="N301" s="20">
        <f t="shared" si="5"/>
        <v>5.2551586421122697E-2</v>
      </c>
    </row>
  </sheetData>
  <sortState xmlns:xlrd2="http://schemas.microsoft.com/office/spreadsheetml/2017/richdata2" ref="A2:N301">
    <sortCondition descending="1" ref="N2:N301"/>
  </sortState>
  <mergeCells count="2">
    <mergeCell ref="R11:U11"/>
    <mergeCell ref="R25:U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5E75-4E2A-460A-8783-F7251E9B28AC}">
  <dimension ref="A1:V457"/>
  <sheetViews>
    <sheetView topLeftCell="D1" workbookViewId="0">
      <selection activeCell="P8" sqref="P8"/>
    </sheetView>
  </sheetViews>
  <sheetFormatPr defaultRowHeight="14.4" x14ac:dyDescent="0.3"/>
  <cols>
    <col min="3" max="3" width="11" customWidth="1"/>
    <col min="4" max="4" width="11.44140625" customWidth="1"/>
    <col min="5" max="5" width="20.88671875" customWidth="1"/>
    <col min="12" max="12" width="17.6640625" customWidth="1"/>
    <col min="13" max="13" width="16" customWidth="1"/>
    <col min="14" max="14" width="16.44140625" customWidth="1"/>
    <col min="18" max="18" width="15.77734375" bestFit="1" customWidth="1"/>
    <col min="19" max="19" width="15.33203125" bestFit="1" customWidth="1"/>
  </cols>
  <sheetData>
    <row r="1" spans="1:22" x14ac:dyDescent="0.3">
      <c r="A1" s="85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93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96" t="s">
        <v>11</v>
      </c>
      <c r="M1" s="96" t="s">
        <v>12</v>
      </c>
      <c r="N1" s="121" t="s">
        <v>560</v>
      </c>
    </row>
    <row r="2" spans="1:22" ht="15.6" x14ac:dyDescent="0.3">
      <c r="A2" s="87" t="s">
        <v>13</v>
      </c>
      <c r="B2" s="88" t="s">
        <v>14</v>
      </c>
      <c r="C2" s="89">
        <v>45649</v>
      </c>
      <c r="D2" s="88" t="s">
        <v>16</v>
      </c>
      <c r="E2" s="88" t="s">
        <v>17</v>
      </c>
      <c r="F2" s="94">
        <v>1461</v>
      </c>
      <c r="G2" s="94">
        <v>184</v>
      </c>
      <c r="H2" s="94">
        <v>344</v>
      </c>
      <c r="I2" s="94">
        <v>21915</v>
      </c>
      <c r="J2" s="94">
        <v>21675</v>
      </c>
      <c r="K2" s="94">
        <v>15</v>
      </c>
      <c r="L2" s="92" t="s">
        <v>18</v>
      </c>
      <c r="M2" s="92" t="s">
        <v>19</v>
      </c>
      <c r="N2" s="20">
        <f>SUM(F2,G2,H2)/I2</f>
        <v>9.0759753593429152E-2</v>
      </c>
      <c r="R2" s="153" t="s">
        <v>596</v>
      </c>
      <c r="S2" s="153"/>
      <c r="T2" s="153"/>
      <c r="U2" s="153"/>
      <c r="V2" s="153"/>
    </row>
    <row r="3" spans="1:22" x14ac:dyDescent="0.3">
      <c r="A3" s="87" t="s">
        <v>20</v>
      </c>
      <c r="B3" s="88" t="s">
        <v>14</v>
      </c>
      <c r="C3" s="89">
        <v>45750</v>
      </c>
      <c r="D3" s="88" t="s">
        <v>22</v>
      </c>
      <c r="E3" s="88" t="s">
        <v>23</v>
      </c>
      <c r="F3" s="94">
        <v>4054</v>
      </c>
      <c r="G3" s="94">
        <v>389</v>
      </c>
      <c r="H3" s="94">
        <v>493</v>
      </c>
      <c r="I3" s="94">
        <v>64864</v>
      </c>
      <c r="J3" s="94">
        <v>64383</v>
      </c>
      <c r="K3" s="94">
        <v>117</v>
      </c>
      <c r="L3" s="92" t="s">
        <v>24</v>
      </c>
      <c r="M3" s="92" t="s">
        <v>25</v>
      </c>
      <c r="N3" s="20">
        <f t="shared" ref="N3:N66" si="0">SUM(F3,G3,H3)/I3</f>
        <v>7.6097681302417369E-2</v>
      </c>
      <c r="R3" s="112" t="s">
        <v>578</v>
      </c>
      <c r="S3" s="113" t="s">
        <v>597</v>
      </c>
    </row>
    <row r="4" spans="1:22" x14ac:dyDescent="0.3">
      <c r="A4" s="87" t="s">
        <v>26</v>
      </c>
      <c r="B4" s="88" t="s">
        <v>577</v>
      </c>
      <c r="C4" s="89">
        <v>45789</v>
      </c>
      <c r="D4" s="88" t="s">
        <v>16</v>
      </c>
      <c r="E4" s="88" t="s">
        <v>17</v>
      </c>
      <c r="F4" s="94">
        <v>2795</v>
      </c>
      <c r="G4" s="94">
        <v>105</v>
      </c>
      <c r="H4" s="94">
        <v>49</v>
      </c>
      <c r="I4" s="94">
        <v>53105</v>
      </c>
      <c r="J4" s="94">
        <v>52307</v>
      </c>
      <c r="K4" s="94">
        <v>204</v>
      </c>
      <c r="L4" s="92" t="s">
        <v>24</v>
      </c>
      <c r="M4" s="92" t="s">
        <v>19</v>
      </c>
      <c r="N4" s="20">
        <f t="shared" si="0"/>
        <v>5.5531494209584788E-2</v>
      </c>
      <c r="R4" s="79" t="s">
        <v>77</v>
      </c>
      <c r="S4" s="80">
        <v>152.57499999999999</v>
      </c>
    </row>
    <row r="5" spans="1:22" x14ac:dyDescent="0.3">
      <c r="A5" s="87" t="s">
        <v>26</v>
      </c>
      <c r="B5" s="88" t="s">
        <v>577</v>
      </c>
      <c r="C5" s="89">
        <v>45789</v>
      </c>
      <c r="D5" s="88" t="s">
        <v>16</v>
      </c>
      <c r="E5" s="88" t="s">
        <v>17</v>
      </c>
      <c r="F5" s="94">
        <v>2795</v>
      </c>
      <c r="G5" s="94">
        <v>105</v>
      </c>
      <c r="H5" s="94">
        <v>49</v>
      </c>
      <c r="I5" s="94">
        <v>53105</v>
      </c>
      <c r="J5" s="94">
        <v>52307</v>
      </c>
      <c r="K5" s="94">
        <v>204</v>
      </c>
      <c r="L5" s="92" t="s">
        <v>18</v>
      </c>
      <c r="M5" s="92" t="s">
        <v>19</v>
      </c>
      <c r="N5" s="20">
        <f t="shared" si="0"/>
        <v>5.5531494209584788E-2</v>
      </c>
      <c r="R5" s="79" t="s">
        <v>24</v>
      </c>
      <c r="S5" s="80">
        <v>140.96385542168676</v>
      </c>
    </row>
    <row r="6" spans="1:22" x14ac:dyDescent="0.3">
      <c r="A6" s="87" t="s">
        <v>30</v>
      </c>
      <c r="B6" s="92" t="s">
        <v>31</v>
      </c>
      <c r="C6" s="89">
        <v>45516</v>
      </c>
      <c r="D6" s="88" t="s">
        <v>33</v>
      </c>
      <c r="E6" s="88" t="s">
        <v>34</v>
      </c>
      <c r="F6" s="94">
        <v>2404</v>
      </c>
      <c r="G6" s="94">
        <v>363</v>
      </c>
      <c r="H6" s="94">
        <v>138</v>
      </c>
      <c r="I6" s="94">
        <v>19232</v>
      </c>
      <c r="J6" s="94">
        <v>18636</v>
      </c>
      <c r="K6" s="94">
        <v>128</v>
      </c>
      <c r="L6" s="92" t="s">
        <v>18</v>
      </c>
      <c r="M6" s="92" t="s">
        <v>19</v>
      </c>
      <c r="N6" s="20">
        <f t="shared" si="0"/>
        <v>0.15105033277870217</v>
      </c>
      <c r="R6" s="79" t="s">
        <v>18</v>
      </c>
      <c r="S6" s="80">
        <v>149.70103092783506</v>
      </c>
    </row>
    <row r="7" spans="1:22" x14ac:dyDescent="0.3">
      <c r="A7" s="87" t="s">
        <v>35</v>
      </c>
      <c r="B7" s="88" t="s">
        <v>577</v>
      </c>
      <c r="C7" s="89">
        <v>45469</v>
      </c>
      <c r="D7" s="88" t="s">
        <v>16</v>
      </c>
      <c r="E7" s="88" t="s">
        <v>17</v>
      </c>
      <c r="F7" s="94">
        <v>3557</v>
      </c>
      <c r="G7" s="94">
        <v>687</v>
      </c>
      <c r="H7" s="94">
        <v>424</v>
      </c>
      <c r="I7" s="94">
        <v>71140</v>
      </c>
      <c r="J7" s="94">
        <v>70701</v>
      </c>
      <c r="K7" s="94">
        <v>224</v>
      </c>
      <c r="L7" s="92" t="s">
        <v>58</v>
      </c>
      <c r="M7" s="92" t="s">
        <v>38</v>
      </c>
      <c r="N7" s="20">
        <f t="shared" si="0"/>
        <v>6.5617093055946027E-2</v>
      </c>
      <c r="R7" s="79" t="s">
        <v>44</v>
      </c>
      <c r="S7" s="80">
        <v>165.27173913043478</v>
      </c>
    </row>
    <row r="8" spans="1:22" x14ac:dyDescent="0.3">
      <c r="A8" s="87" t="s">
        <v>35</v>
      </c>
      <c r="B8" s="88" t="s">
        <v>577</v>
      </c>
      <c r="C8" s="89">
        <v>45469</v>
      </c>
      <c r="D8" s="88" t="s">
        <v>16</v>
      </c>
      <c r="E8" s="88" t="s">
        <v>17</v>
      </c>
      <c r="F8" s="94">
        <v>3557</v>
      </c>
      <c r="G8" s="94">
        <v>687</v>
      </c>
      <c r="H8" s="94">
        <v>424</v>
      </c>
      <c r="I8" s="94">
        <v>71140</v>
      </c>
      <c r="J8" s="94">
        <v>70701</v>
      </c>
      <c r="K8" s="94">
        <v>224</v>
      </c>
      <c r="L8" s="92" t="s">
        <v>24</v>
      </c>
      <c r="M8" s="92" t="s">
        <v>38</v>
      </c>
      <c r="N8" s="20">
        <f t="shared" si="0"/>
        <v>6.5617093055946027E-2</v>
      </c>
      <c r="R8" s="79" t="s">
        <v>58</v>
      </c>
      <c r="S8" s="80">
        <v>146.16346153846155</v>
      </c>
    </row>
    <row r="9" spans="1:22" x14ac:dyDescent="0.3">
      <c r="A9" s="87" t="s">
        <v>39</v>
      </c>
      <c r="B9" s="88" t="s">
        <v>40</v>
      </c>
      <c r="C9" s="89">
        <v>45596</v>
      </c>
      <c r="D9" s="88" t="s">
        <v>42</v>
      </c>
      <c r="E9" s="88" t="s">
        <v>43</v>
      </c>
      <c r="F9" s="94">
        <v>2945</v>
      </c>
      <c r="G9" s="94">
        <v>930</v>
      </c>
      <c r="H9" s="94">
        <v>355</v>
      </c>
      <c r="I9" s="94">
        <v>23560</v>
      </c>
      <c r="J9" s="94">
        <v>23275</v>
      </c>
      <c r="K9" s="94">
        <v>256</v>
      </c>
      <c r="L9" s="92" t="s">
        <v>44</v>
      </c>
      <c r="M9" s="92" t="s">
        <v>25</v>
      </c>
      <c r="N9" s="20">
        <f t="shared" si="0"/>
        <v>0.17954159592529711</v>
      </c>
      <c r="R9" s="79" t="s">
        <v>579</v>
      </c>
      <c r="S9" s="80">
        <v>150.94956140350877</v>
      </c>
    </row>
    <row r="10" spans="1:22" x14ac:dyDescent="0.3">
      <c r="A10" s="87" t="s">
        <v>45</v>
      </c>
      <c r="B10" s="88" t="s">
        <v>14</v>
      </c>
      <c r="C10" s="89">
        <v>45467</v>
      </c>
      <c r="D10" s="88" t="s">
        <v>42</v>
      </c>
      <c r="E10" s="88" t="s">
        <v>43</v>
      </c>
      <c r="F10" s="94">
        <v>3860</v>
      </c>
      <c r="G10" s="94">
        <v>201</v>
      </c>
      <c r="H10" s="94">
        <v>279</v>
      </c>
      <c r="I10" s="94">
        <v>61760</v>
      </c>
      <c r="J10" s="94">
        <v>61660</v>
      </c>
      <c r="K10" s="94">
        <v>235</v>
      </c>
      <c r="L10" s="92" t="s">
        <v>44</v>
      </c>
      <c r="M10" s="92" t="s">
        <v>38</v>
      </c>
      <c r="N10" s="20">
        <f t="shared" si="0"/>
        <v>7.0272020725388601E-2</v>
      </c>
    </row>
    <row r="11" spans="1:22" x14ac:dyDescent="0.3">
      <c r="A11" s="87" t="s">
        <v>47</v>
      </c>
      <c r="B11" s="88" t="s">
        <v>577</v>
      </c>
      <c r="C11" s="89">
        <v>45486</v>
      </c>
      <c r="D11" s="88" t="s">
        <v>49</v>
      </c>
      <c r="E11" s="88" t="s">
        <v>50</v>
      </c>
      <c r="F11" s="94">
        <v>3929</v>
      </c>
      <c r="G11" s="94">
        <v>262</v>
      </c>
      <c r="H11" s="94">
        <v>278</v>
      </c>
      <c r="I11" s="94">
        <v>43219</v>
      </c>
      <c r="J11" s="94">
        <v>42841</v>
      </c>
      <c r="K11" s="94">
        <v>39</v>
      </c>
      <c r="L11" s="92" t="s">
        <v>24</v>
      </c>
      <c r="M11" s="92" t="s">
        <v>38</v>
      </c>
      <c r="N11" s="20">
        <f t="shared" si="0"/>
        <v>0.10340359564080613</v>
      </c>
    </row>
    <row r="12" spans="1:22" x14ac:dyDescent="0.3">
      <c r="A12" s="87" t="s">
        <v>47</v>
      </c>
      <c r="B12" s="88" t="s">
        <v>577</v>
      </c>
      <c r="C12" s="89">
        <v>45486</v>
      </c>
      <c r="D12" s="88" t="s">
        <v>49</v>
      </c>
      <c r="E12" s="88" t="s">
        <v>50</v>
      </c>
      <c r="F12" s="94">
        <v>3929</v>
      </c>
      <c r="G12" s="94">
        <v>262</v>
      </c>
      <c r="H12" s="94">
        <v>278</v>
      </c>
      <c r="I12" s="94">
        <v>43219</v>
      </c>
      <c r="J12" s="94">
        <v>42841</v>
      </c>
      <c r="K12" s="94">
        <v>39</v>
      </c>
      <c r="L12" s="92" t="s">
        <v>18</v>
      </c>
      <c r="M12" s="92" t="s">
        <v>38</v>
      </c>
      <c r="N12" s="20">
        <f t="shared" si="0"/>
        <v>0.10340359564080613</v>
      </c>
    </row>
    <row r="13" spans="1:22" x14ac:dyDescent="0.3">
      <c r="A13" s="87" t="s">
        <v>51</v>
      </c>
      <c r="B13" s="88" t="s">
        <v>40</v>
      </c>
      <c r="C13" s="89">
        <v>45534</v>
      </c>
      <c r="D13" s="88" t="s">
        <v>22</v>
      </c>
      <c r="E13" s="88" t="s">
        <v>23</v>
      </c>
      <c r="F13" s="94">
        <v>3784</v>
      </c>
      <c r="G13" s="94">
        <v>808</v>
      </c>
      <c r="H13" s="94">
        <v>404</v>
      </c>
      <c r="I13" s="94">
        <v>56760</v>
      </c>
      <c r="J13" s="94">
        <v>56343</v>
      </c>
      <c r="K13" s="94">
        <v>131</v>
      </c>
      <c r="L13" s="92" t="s">
        <v>24</v>
      </c>
      <c r="M13" s="92" t="s">
        <v>38</v>
      </c>
      <c r="N13" s="20">
        <f t="shared" si="0"/>
        <v>8.8019732205778717E-2</v>
      </c>
    </row>
    <row r="14" spans="1:22" x14ac:dyDescent="0.3">
      <c r="A14" s="87" t="s">
        <v>51</v>
      </c>
      <c r="B14" s="88" t="s">
        <v>40</v>
      </c>
      <c r="C14" s="89">
        <v>45534</v>
      </c>
      <c r="D14" s="88" t="s">
        <v>22</v>
      </c>
      <c r="E14" s="88" t="s">
        <v>23</v>
      </c>
      <c r="F14" s="94">
        <v>3784</v>
      </c>
      <c r="G14" s="94">
        <v>808</v>
      </c>
      <c r="H14" s="94">
        <v>404</v>
      </c>
      <c r="I14" s="94">
        <v>56760</v>
      </c>
      <c r="J14" s="94">
        <v>56343</v>
      </c>
      <c r="K14" s="94">
        <v>131</v>
      </c>
      <c r="L14" s="92" t="s">
        <v>18</v>
      </c>
      <c r="M14" s="92" t="s">
        <v>38</v>
      </c>
      <c r="N14" s="20">
        <f t="shared" si="0"/>
        <v>8.8019732205778717E-2</v>
      </c>
      <c r="R14" s="122"/>
    </row>
    <row r="15" spans="1:22" x14ac:dyDescent="0.3">
      <c r="A15" s="87" t="s">
        <v>53</v>
      </c>
      <c r="B15" s="88" t="s">
        <v>40</v>
      </c>
      <c r="C15" s="89">
        <v>45727</v>
      </c>
      <c r="D15" s="88" t="s">
        <v>49</v>
      </c>
      <c r="E15" s="88" t="s">
        <v>50</v>
      </c>
      <c r="F15" s="94">
        <v>4241</v>
      </c>
      <c r="G15" s="94">
        <v>902</v>
      </c>
      <c r="H15" s="94">
        <v>47</v>
      </c>
      <c r="I15" s="94">
        <v>72097</v>
      </c>
      <c r="J15" s="94">
        <v>71598</v>
      </c>
      <c r="K15" s="94">
        <v>167</v>
      </c>
      <c r="L15" s="92" t="s">
        <v>44</v>
      </c>
      <c r="M15" s="92" t="s">
        <v>55</v>
      </c>
      <c r="N15" s="20">
        <f t="shared" si="0"/>
        <v>7.198635172059864E-2</v>
      </c>
    </row>
    <row r="16" spans="1:22" x14ac:dyDescent="0.3">
      <c r="A16" s="87" t="s">
        <v>56</v>
      </c>
      <c r="B16" s="88" t="s">
        <v>31</v>
      </c>
      <c r="C16" s="89">
        <v>45690</v>
      </c>
      <c r="D16" s="88" t="s">
        <v>33</v>
      </c>
      <c r="E16" s="88" t="s">
        <v>34</v>
      </c>
      <c r="F16" s="94">
        <v>1792</v>
      </c>
      <c r="G16" s="94">
        <v>614</v>
      </c>
      <c r="H16" s="94">
        <v>497</v>
      </c>
      <c r="I16" s="94">
        <v>25088</v>
      </c>
      <c r="J16" s="94">
        <v>24675</v>
      </c>
      <c r="K16" s="94">
        <v>65</v>
      </c>
      <c r="L16" s="92" t="s">
        <v>58</v>
      </c>
      <c r="M16" s="92" t="s">
        <v>19</v>
      </c>
      <c r="N16" s="20">
        <f t="shared" si="0"/>
        <v>0.11571269132653061</v>
      </c>
    </row>
    <row r="17" spans="1:14" x14ac:dyDescent="0.3">
      <c r="A17" s="87" t="s">
        <v>59</v>
      </c>
      <c r="B17" s="88" t="s">
        <v>40</v>
      </c>
      <c r="C17" s="89">
        <v>45494</v>
      </c>
      <c r="D17" s="88" t="s">
        <v>16</v>
      </c>
      <c r="E17" s="88" t="s">
        <v>17</v>
      </c>
      <c r="F17" s="94">
        <v>1946</v>
      </c>
      <c r="G17" s="94">
        <v>686</v>
      </c>
      <c r="H17" s="94">
        <v>377</v>
      </c>
      <c r="I17" s="94">
        <v>23352</v>
      </c>
      <c r="J17" s="94">
        <v>22982</v>
      </c>
      <c r="K17" s="94">
        <v>213</v>
      </c>
      <c r="L17" s="92" t="s">
        <v>58</v>
      </c>
      <c r="M17" s="92" t="s">
        <v>38</v>
      </c>
      <c r="N17" s="20">
        <f t="shared" si="0"/>
        <v>0.12885405960945528</v>
      </c>
    </row>
    <row r="18" spans="1:14" x14ac:dyDescent="0.3">
      <c r="A18" s="87" t="s">
        <v>59</v>
      </c>
      <c r="B18" s="88" t="s">
        <v>40</v>
      </c>
      <c r="C18" s="89">
        <v>45494</v>
      </c>
      <c r="D18" s="88" t="s">
        <v>16</v>
      </c>
      <c r="E18" s="88" t="s">
        <v>17</v>
      </c>
      <c r="F18" s="94">
        <v>1946</v>
      </c>
      <c r="G18" s="94">
        <v>686</v>
      </c>
      <c r="H18" s="94">
        <v>377</v>
      </c>
      <c r="I18" s="94">
        <v>23352</v>
      </c>
      <c r="J18" s="94">
        <v>22982</v>
      </c>
      <c r="K18" s="94">
        <v>213</v>
      </c>
      <c r="L18" s="92" t="s">
        <v>18</v>
      </c>
      <c r="M18" s="92" t="s">
        <v>38</v>
      </c>
      <c r="N18" s="20">
        <f t="shared" si="0"/>
        <v>0.12885405960945528</v>
      </c>
    </row>
    <row r="19" spans="1:14" x14ac:dyDescent="0.3">
      <c r="A19" s="87" t="s">
        <v>62</v>
      </c>
      <c r="B19" s="88" t="s">
        <v>577</v>
      </c>
      <c r="C19" s="89">
        <v>45614</v>
      </c>
      <c r="D19" s="88" t="s">
        <v>42</v>
      </c>
      <c r="E19" s="88" t="s">
        <v>43</v>
      </c>
      <c r="F19" s="94">
        <v>1171</v>
      </c>
      <c r="G19" s="94">
        <v>286</v>
      </c>
      <c r="H19" s="94">
        <v>231</v>
      </c>
      <c r="I19" s="94">
        <v>22249</v>
      </c>
      <c r="J19" s="94">
        <v>21282</v>
      </c>
      <c r="K19" s="94">
        <v>114</v>
      </c>
      <c r="L19" s="92" t="s">
        <v>24</v>
      </c>
      <c r="M19" s="92" t="s">
        <v>55</v>
      </c>
      <c r="N19" s="20">
        <f t="shared" si="0"/>
        <v>7.5868578363072495E-2</v>
      </c>
    </row>
    <row r="20" spans="1:14" x14ac:dyDescent="0.3">
      <c r="A20" s="87" t="s">
        <v>64</v>
      </c>
      <c r="B20" s="88" t="s">
        <v>40</v>
      </c>
      <c r="C20" s="89">
        <v>45704</v>
      </c>
      <c r="D20" s="88" t="s">
        <v>33</v>
      </c>
      <c r="E20" s="88" t="s">
        <v>34</v>
      </c>
      <c r="F20" s="94">
        <v>4242</v>
      </c>
      <c r="G20" s="94">
        <v>555</v>
      </c>
      <c r="H20" s="94">
        <v>131</v>
      </c>
      <c r="I20" s="94">
        <v>33936</v>
      </c>
      <c r="J20" s="94">
        <v>33802</v>
      </c>
      <c r="K20" s="94">
        <v>265</v>
      </c>
      <c r="L20" s="92" t="s">
        <v>18</v>
      </c>
      <c r="M20" s="92" t="s">
        <v>38</v>
      </c>
      <c r="N20" s="20">
        <f t="shared" si="0"/>
        <v>0.14521452145214522</v>
      </c>
    </row>
    <row r="21" spans="1:14" x14ac:dyDescent="0.3">
      <c r="A21" s="87" t="s">
        <v>64</v>
      </c>
      <c r="B21" s="88" t="s">
        <v>40</v>
      </c>
      <c r="C21" s="89">
        <v>45704</v>
      </c>
      <c r="D21" s="88" t="s">
        <v>33</v>
      </c>
      <c r="E21" s="88" t="s">
        <v>34</v>
      </c>
      <c r="F21" s="94">
        <v>4242</v>
      </c>
      <c r="G21" s="94">
        <v>555</v>
      </c>
      <c r="H21" s="94">
        <v>131</v>
      </c>
      <c r="I21" s="94">
        <v>33936</v>
      </c>
      <c r="J21" s="94">
        <v>33802</v>
      </c>
      <c r="K21" s="94">
        <v>265</v>
      </c>
      <c r="L21" s="92" t="s">
        <v>24</v>
      </c>
      <c r="M21" s="92" t="s">
        <v>38</v>
      </c>
      <c r="N21" s="20">
        <f t="shared" si="0"/>
        <v>0.14521452145214522</v>
      </c>
    </row>
    <row r="22" spans="1:14" x14ac:dyDescent="0.3">
      <c r="A22" s="87" t="s">
        <v>67</v>
      </c>
      <c r="B22" s="88" t="s">
        <v>40</v>
      </c>
      <c r="C22" s="89">
        <v>45589</v>
      </c>
      <c r="D22" s="88" t="s">
        <v>69</v>
      </c>
      <c r="E22" s="88" t="s">
        <v>70</v>
      </c>
      <c r="F22" s="94">
        <v>3888</v>
      </c>
      <c r="G22" s="94">
        <v>604</v>
      </c>
      <c r="H22" s="94">
        <v>128</v>
      </c>
      <c r="I22" s="94">
        <v>77760</v>
      </c>
      <c r="J22" s="94">
        <v>77167</v>
      </c>
      <c r="K22" s="94">
        <v>20</v>
      </c>
      <c r="L22" s="92" t="s">
        <v>24</v>
      </c>
      <c r="M22" s="92" t="s">
        <v>19</v>
      </c>
      <c r="N22" s="20">
        <f t="shared" si="0"/>
        <v>5.941358024691358E-2</v>
      </c>
    </row>
    <row r="23" spans="1:14" x14ac:dyDescent="0.3">
      <c r="A23" s="87" t="s">
        <v>67</v>
      </c>
      <c r="B23" s="88" t="s">
        <v>40</v>
      </c>
      <c r="C23" s="89">
        <v>45589</v>
      </c>
      <c r="D23" s="88" t="s">
        <v>69</v>
      </c>
      <c r="E23" s="88" t="s">
        <v>70</v>
      </c>
      <c r="F23" s="94">
        <v>3888</v>
      </c>
      <c r="G23" s="94">
        <v>604</v>
      </c>
      <c r="H23" s="94">
        <v>128</v>
      </c>
      <c r="I23" s="94">
        <v>77760</v>
      </c>
      <c r="J23" s="94">
        <v>77167</v>
      </c>
      <c r="K23" s="94">
        <v>20</v>
      </c>
      <c r="L23" s="92" t="s">
        <v>77</v>
      </c>
      <c r="M23" s="92" t="s">
        <v>19</v>
      </c>
      <c r="N23" s="20">
        <f t="shared" si="0"/>
        <v>5.941358024691358E-2</v>
      </c>
    </row>
    <row r="24" spans="1:14" x14ac:dyDescent="0.3">
      <c r="A24" s="87" t="s">
        <v>72</v>
      </c>
      <c r="B24" s="88" t="s">
        <v>40</v>
      </c>
      <c r="C24" s="89">
        <v>45530</v>
      </c>
      <c r="D24" s="88" t="s">
        <v>22</v>
      </c>
      <c r="E24" s="88" t="s">
        <v>23</v>
      </c>
      <c r="F24" s="94">
        <v>3452</v>
      </c>
      <c r="G24" s="94">
        <v>377</v>
      </c>
      <c r="H24" s="94">
        <v>360</v>
      </c>
      <c r="I24" s="94">
        <v>55232</v>
      </c>
      <c r="J24" s="94">
        <v>55075</v>
      </c>
      <c r="K24" s="94">
        <v>87</v>
      </c>
      <c r="L24" s="92" t="s">
        <v>18</v>
      </c>
      <c r="M24" s="92" t="s">
        <v>38</v>
      </c>
      <c r="N24" s="20">
        <f t="shared" si="0"/>
        <v>7.5843713789107758E-2</v>
      </c>
    </row>
    <row r="25" spans="1:14" x14ac:dyDescent="0.3">
      <c r="A25" s="87" t="s">
        <v>72</v>
      </c>
      <c r="B25" s="88" t="s">
        <v>40</v>
      </c>
      <c r="C25" s="89">
        <v>45530</v>
      </c>
      <c r="D25" s="88" t="s">
        <v>22</v>
      </c>
      <c r="E25" s="88" t="s">
        <v>23</v>
      </c>
      <c r="F25" s="94">
        <v>3452</v>
      </c>
      <c r="G25" s="94">
        <v>377</v>
      </c>
      <c r="H25" s="94">
        <v>360</v>
      </c>
      <c r="I25" s="94">
        <v>55232</v>
      </c>
      <c r="J25" s="94">
        <v>55075</v>
      </c>
      <c r="K25" s="94">
        <v>87</v>
      </c>
      <c r="L25" s="92" t="s">
        <v>77</v>
      </c>
      <c r="M25" s="92" t="s">
        <v>38</v>
      </c>
      <c r="N25" s="20">
        <f t="shared" si="0"/>
        <v>7.5843713789107758E-2</v>
      </c>
    </row>
    <row r="26" spans="1:14" x14ac:dyDescent="0.3">
      <c r="A26" s="87" t="s">
        <v>75</v>
      </c>
      <c r="B26" s="88" t="s">
        <v>40</v>
      </c>
      <c r="C26" s="89">
        <v>45782</v>
      </c>
      <c r="D26" s="88" t="s">
        <v>22</v>
      </c>
      <c r="E26" s="88" t="s">
        <v>23</v>
      </c>
      <c r="F26" s="94">
        <v>4441</v>
      </c>
      <c r="G26" s="94">
        <v>511</v>
      </c>
      <c r="H26" s="94">
        <v>70</v>
      </c>
      <c r="I26" s="94">
        <v>53292</v>
      </c>
      <c r="J26" s="94">
        <v>53082</v>
      </c>
      <c r="K26" s="94">
        <v>159</v>
      </c>
      <c r="L26" s="92" t="s">
        <v>77</v>
      </c>
      <c r="M26" s="92" t="s">
        <v>38</v>
      </c>
      <c r="N26" s="20">
        <f t="shared" si="0"/>
        <v>9.4235532537716729E-2</v>
      </c>
    </row>
    <row r="27" spans="1:14" x14ac:dyDescent="0.3">
      <c r="A27" s="87" t="s">
        <v>78</v>
      </c>
      <c r="B27" s="88" t="s">
        <v>31</v>
      </c>
      <c r="C27" s="89">
        <v>45523</v>
      </c>
      <c r="D27" s="88" t="s">
        <v>16</v>
      </c>
      <c r="E27" s="88" t="s">
        <v>17</v>
      </c>
      <c r="F27" s="94">
        <v>3000</v>
      </c>
      <c r="G27" s="94">
        <v>382</v>
      </c>
      <c r="H27" s="94">
        <v>325</v>
      </c>
      <c r="I27" s="94">
        <v>36000</v>
      </c>
      <c r="J27" s="94">
        <v>35819</v>
      </c>
      <c r="K27" s="94">
        <v>19</v>
      </c>
      <c r="L27" s="92" t="s">
        <v>58</v>
      </c>
      <c r="M27" s="92" t="s">
        <v>25</v>
      </c>
      <c r="N27" s="20">
        <f t="shared" si="0"/>
        <v>0.10297222222222223</v>
      </c>
    </row>
    <row r="28" spans="1:14" x14ac:dyDescent="0.3">
      <c r="A28" s="87" t="s">
        <v>80</v>
      </c>
      <c r="B28" s="88" t="s">
        <v>31</v>
      </c>
      <c r="C28" s="89">
        <v>45466</v>
      </c>
      <c r="D28" s="88" t="s">
        <v>69</v>
      </c>
      <c r="E28" s="88" t="s">
        <v>70</v>
      </c>
      <c r="F28" s="94">
        <v>1071</v>
      </c>
      <c r="G28" s="94">
        <v>519</v>
      </c>
      <c r="H28" s="94">
        <v>22</v>
      </c>
      <c r="I28" s="94">
        <v>16065</v>
      </c>
      <c r="J28" s="94">
        <v>15865</v>
      </c>
      <c r="K28" s="94">
        <v>103</v>
      </c>
      <c r="L28" s="92" t="s">
        <v>18</v>
      </c>
      <c r="M28" s="92" t="s">
        <v>38</v>
      </c>
      <c r="N28" s="20">
        <f t="shared" si="0"/>
        <v>0.10034235916588857</v>
      </c>
    </row>
    <row r="29" spans="1:14" x14ac:dyDescent="0.3">
      <c r="A29" s="87" t="s">
        <v>80</v>
      </c>
      <c r="B29" s="88" t="s">
        <v>31</v>
      </c>
      <c r="C29" s="89">
        <v>45466</v>
      </c>
      <c r="D29" s="88" t="s">
        <v>69</v>
      </c>
      <c r="E29" s="88" t="s">
        <v>70</v>
      </c>
      <c r="F29" s="94">
        <v>1071</v>
      </c>
      <c r="G29" s="94">
        <v>519</v>
      </c>
      <c r="H29" s="94">
        <v>22</v>
      </c>
      <c r="I29" s="94">
        <v>16065</v>
      </c>
      <c r="J29" s="94">
        <v>15865</v>
      </c>
      <c r="K29" s="94">
        <v>103</v>
      </c>
      <c r="L29" s="92" t="s">
        <v>58</v>
      </c>
      <c r="M29" s="92" t="s">
        <v>38</v>
      </c>
      <c r="N29" s="20">
        <f t="shared" si="0"/>
        <v>0.10034235916588857</v>
      </c>
    </row>
    <row r="30" spans="1:14" x14ac:dyDescent="0.3">
      <c r="A30" s="87" t="s">
        <v>83</v>
      </c>
      <c r="B30" s="88" t="s">
        <v>31</v>
      </c>
      <c r="C30" s="89">
        <v>45544</v>
      </c>
      <c r="D30" s="88" t="s">
        <v>42</v>
      </c>
      <c r="E30" s="88" t="s">
        <v>43</v>
      </c>
      <c r="F30" s="94">
        <v>4054</v>
      </c>
      <c r="G30" s="94">
        <v>488</v>
      </c>
      <c r="H30" s="94">
        <v>373</v>
      </c>
      <c r="I30" s="94">
        <v>77026</v>
      </c>
      <c r="J30" s="94">
        <v>76881</v>
      </c>
      <c r="K30" s="94">
        <v>25</v>
      </c>
      <c r="L30" s="92" t="s">
        <v>24</v>
      </c>
      <c r="M30" s="92" t="s">
        <v>38</v>
      </c>
      <c r="N30" s="20">
        <f t="shared" si="0"/>
        <v>6.3809622724794221E-2</v>
      </c>
    </row>
    <row r="31" spans="1:14" x14ac:dyDescent="0.3">
      <c r="A31" s="87" t="s">
        <v>83</v>
      </c>
      <c r="B31" s="88" t="s">
        <v>31</v>
      </c>
      <c r="C31" s="89">
        <v>45544</v>
      </c>
      <c r="D31" s="88" t="s">
        <v>42</v>
      </c>
      <c r="E31" s="88" t="s">
        <v>43</v>
      </c>
      <c r="F31" s="94">
        <v>4054</v>
      </c>
      <c r="G31" s="94">
        <v>488</v>
      </c>
      <c r="H31" s="94">
        <v>373</v>
      </c>
      <c r="I31" s="94">
        <v>77026</v>
      </c>
      <c r="J31" s="94">
        <v>76881</v>
      </c>
      <c r="K31" s="94">
        <v>25</v>
      </c>
      <c r="L31" s="92" t="s">
        <v>18</v>
      </c>
      <c r="M31" s="92" t="s">
        <v>38</v>
      </c>
      <c r="N31" s="20">
        <f t="shared" si="0"/>
        <v>6.3809622724794221E-2</v>
      </c>
    </row>
    <row r="32" spans="1:14" x14ac:dyDescent="0.3">
      <c r="A32" s="87" t="s">
        <v>85</v>
      </c>
      <c r="B32" s="88" t="s">
        <v>31</v>
      </c>
      <c r="C32" s="89">
        <v>45661</v>
      </c>
      <c r="D32" s="88" t="s">
        <v>16</v>
      </c>
      <c r="E32" s="88" t="s">
        <v>17</v>
      </c>
      <c r="F32" s="94">
        <v>4838</v>
      </c>
      <c r="G32" s="94">
        <v>640</v>
      </c>
      <c r="H32" s="94">
        <v>128</v>
      </c>
      <c r="I32" s="94">
        <v>72570</v>
      </c>
      <c r="J32" s="94">
        <v>72396</v>
      </c>
      <c r="K32" s="94">
        <v>83</v>
      </c>
      <c r="L32" s="92" t="s">
        <v>58</v>
      </c>
      <c r="M32" s="92" t="s">
        <v>38</v>
      </c>
      <c r="N32" s="20">
        <f t="shared" si="0"/>
        <v>7.7249552156538517E-2</v>
      </c>
    </row>
    <row r="33" spans="1:14" x14ac:dyDescent="0.3">
      <c r="A33" s="87" t="s">
        <v>85</v>
      </c>
      <c r="B33" s="88" t="s">
        <v>31</v>
      </c>
      <c r="C33" s="89">
        <v>45661</v>
      </c>
      <c r="D33" s="88" t="s">
        <v>16</v>
      </c>
      <c r="E33" s="88" t="s">
        <v>17</v>
      </c>
      <c r="F33" s="94">
        <v>4838</v>
      </c>
      <c r="G33" s="94">
        <v>640</v>
      </c>
      <c r="H33" s="94">
        <v>128</v>
      </c>
      <c r="I33" s="94">
        <v>72570</v>
      </c>
      <c r="J33" s="94">
        <v>72396</v>
      </c>
      <c r="K33" s="94">
        <v>83</v>
      </c>
      <c r="L33" s="92" t="s">
        <v>44</v>
      </c>
      <c r="M33" s="92" t="s">
        <v>38</v>
      </c>
      <c r="N33" s="20">
        <f t="shared" si="0"/>
        <v>7.7249552156538517E-2</v>
      </c>
    </row>
    <row r="34" spans="1:14" x14ac:dyDescent="0.3">
      <c r="A34" s="87" t="s">
        <v>88</v>
      </c>
      <c r="B34" s="88" t="s">
        <v>40</v>
      </c>
      <c r="C34" s="89">
        <v>45715</v>
      </c>
      <c r="D34" s="88" t="s">
        <v>22</v>
      </c>
      <c r="E34" s="88" t="s">
        <v>23</v>
      </c>
      <c r="F34" s="94">
        <v>1570</v>
      </c>
      <c r="G34" s="94">
        <v>187</v>
      </c>
      <c r="H34" s="94">
        <v>260</v>
      </c>
      <c r="I34" s="94">
        <v>25120</v>
      </c>
      <c r="J34" s="94">
        <v>24613</v>
      </c>
      <c r="K34" s="94">
        <v>133</v>
      </c>
      <c r="L34" s="92" t="s">
        <v>18</v>
      </c>
      <c r="M34" s="92" t="s">
        <v>55</v>
      </c>
      <c r="N34" s="20">
        <f t="shared" si="0"/>
        <v>8.0294585987261149E-2</v>
      </c>
    </row>
    <row r="35" spans="1:14" x14ac:dyDescent="0.3">
      <c r="A35" s="87" t="s">
        <v>90</v>
      </c>
      <c r="B35" s="88" t="s">
        <v>40</v>
      </c>
      <c r="C35" s="89">
        <v>45602</v>
      </c>
      <c r="D35" s="88" t="s">
        <v>69</v>
      </c>
      <c r="E35" s="88" t="s">
        <v>70</v>
      </c>
      <c r="F35" s="94">
        <v>1606</v>
      </c>
      <c r="G35" s="94">
        <v>547</v>
      </c>
      <c r="H35" s="94">
        <v>316</v>
      </c>
      <c r="I35" s="94">
        <v>32120</v>
      </c>
      <c r="J35" s="94">
        <v>31736</v>
      </c>
      <c r="K35" s="94">
        <v>225</v>
      </c>
      <c r="L35" s="92" t="s">
        <v>18</v>
      </c>
      <c r="M35" s="92" t="s">
        <v>38</v>
      </c>
      <c r="N35" s="20">
        <f t="shared" si="0"/>
        <v>7.6867995018679955E-2</v>
      </c>
    </row>
    <row r="36" spans="1:14" x14ac:dyDescent="0.3">
      <c r="A36" s="87" t="s">
        <v>92</v>
      </c>
      <c r="B36" s="88" t="s">
        <v>40</v>
      </c>
      <c r="C36" s="89">
        <v>45680</v>
      </c>
      <c r="D36" s="88" t="s">
        <v>69</v>
      </c>
      <c r="E36" s="88" t="s">
        <v>70</v>
      </c>
      <c r="F36" s="94">
        <v>3961</v>
      </c>
      <c r="G36" s="94">
        <v>761</v>
      </c>
      <c r="H36" s="94">
        <v>131</v>
      </c>
      <c r="I36" s="94">
        <v>67337</v>
      </c>
      <c r="J36" s="94">
        <v>66615</v>
      </c>
      <c r="K36" s="94">
        <v>161</v>
      </c>
      <c r="L36" s="92" t="s">
        <v>44</v>
      </c>
      <c r="M36" s="92" t="s">
        <v>25</v>
      </c>
      <c r="N36" s="20">
        <f t="shared" si="0"/>
        <v>7.2070332803659209E-2</v>
      </c>
    </row>
    <row r="37" spans="1:14" x14ac:dyDescent="0.3">
      <c r="A37" s="87" t="s">
        <v>94</v>
      </c>
      <c r="B37" s="88" t="s">
        <v>14</v>
      </c>
      <c r="C37" s="89">
        <v>45757</v>
      </c>
      <c r="D37" s="88" t="s">
        <v>42</v>
      </c>
      <c r="E37" s="88" t="s">
        <v>43</v>
      </c>
      <c r="F37" s="94">
        <v>3128</v>
      </c>
      <c r="G37" s="94">
        <v>211</v>
      </c>
      <c r="H37" s="94">
        <v>197</v>
      </c>
      <c r="I37" s="94">
        <v>59432</v>
      </c>
      <c r="J37" s="94">
        <v>59182</v>
      </c>
      <c r="K37" s="94">
        <v>238</v>
      </c>
      <c r="L37" s="92" t="s">
        <v>58</v>
      </c>
      <c r="M37" s="92" t="s">
        <v>19</v>
      </c>
      <c r="N37" s="20">
        <f t="shared" si="0"/>
        <v>5.9496567505720827E-2</v>
      </c>
    </row>
    <row r="38" spans="1:14" x14ac:dyDescent="0.3">
      <c r="A38" s="87" t="s">
        <v>94</v>
      </c>
      <c r="B38" s="88" t="s">
        <v>14</v>
      </c>
      <c r="C38" s="89">
        <v>45757</v>
      </c>
      <c r="D38" s="88" t="s">
        <v>42</v>
      </c>
      <c r="E38" s="88" t="s">
        <v>43</v>
      </c>
      <c r="F38" s="94">
        <v>3128</v>
      </c>
      <c r="G38" s="94">
        <v>211</v>
      </c>
      <c r="H38" s="94">
        <v>197</v>
      </c>
      <c r="I38" s="94">
        <v>59432</v>
      </c>
      <c r="J38" s="94">
        <v>59182</v>
      </c>
      <c r="K38" s="94">
        <v>238</v>
      </c>
      <c r="L38" s="92" t="s">
        <v>18</v>
      </c>
      <c r="M38" s="92" t="s">
        <v>19</v>
      </c>
      <c r="N38" s="20">
        <f t="shared" si="0"/>
        <v>5.9496567505720827E-2</v>
      </c>
    </row>
    <row r="39" spans="1:14" x14ac:dyDescent="0.3">
      <c r="A39" s="87" t="s">
        <v>96</v>
      </c>
      <c r="B39" s="88" t="s">
        <v>577</v>
      </c>
      <c r="C39" s="89">
        <v>45752</v>
      </c>
      <c r="D39" s="88" t="s">
        <v>16</v>
      </c>
      <c r="E39" s="88" t="s">
        <v>17</v>
      </c>
      <c r="F39" s="94">
        <v>3009</v>
      </c>
      <c r="G39" s="94">
        <v>413</v>
      </c>
      <c r="H39" s="94">
        <v>358</v>
      </c>
      <c r="I39" s="94">
        <v>42126</v>
      </c>
      <c r="J39" s="94">
        <v>41309</v>
      </c>
      <c r="K39" s="94">
        <v>211</v>
      </c>
      <c r="L39" s="92" t="s">
        <v>18</v>
      </c>
      <c r="M39" s="92" t="s">
        <v>25</v>
      </c>
      <c r="N39" s="20">
        <f t="shared" si="0"/>
        <v>8.9730807577268201E-2</v>
      </c>
    </row>
    <row r="40" spans="1:14" x14ac:dyDescent="0.3">
      <c r="A40" s="87" t="s">
        <v>98</v>
      </c>
      <c r="B40" s="88" t="s">
        <v>577</v>
      </c>
      <c r="C40" s="89">
        <v>45552</v>
      </c>
      <c r="D40" s="88" t="s">
        <v>22</v>
      </c>
      <c r="E40" s="88" t="s">
        <v>23</v>
      </c>
      <c r="F40" s="94">
        <v>2076</v>
      </c>
      <c r="G40" s="94">
        <v>195</v>
      </c>
      <c r="H40" s="94">
        <v>104</v>
      </c>
      <c r="I40" s="94">
        <v>33216</v>
      </c>
      <c r="J40" s="94">
        <v>32244</v>
      </c>
      <c r="K40" s="94">
        <v>51</v>
      </c>
      <c r="L40" s="92" t="s">
        <v>44</v>
      </c>
      <c r="M40" s="92" t="s">
        <v>55</v>
      </c>
      <c r="N40" s="20">
        <f t="shared" si="0"/>
        <v>7.1501685934489398E-2</v>
      </c>
    </row>
    <row r="41" spans="1:14" x14ac:dyDescent="0.3">
      <c r="A41" s="87" t="s">
        <v>100</v>
      </c>
      <c r="B41" s="88" t="s">
        <v>31</v>
      </c>
      <c r="C41" s="89">
        <v>45720</v>
      </c>
      <c r="D41" s="88" t="s">
        <v>69</v>
      </c>
      <c r="E41" s="88" t="s">
        <v>70</v>
      </c>
      <c r="F41" s="94">
        <v>432</v>
      </c>
      <c r="G41" s="94">
        <v>624</v>
      </c>
      <c r="H41" s="94">
        <v>123</v>
      </c>
      <c r="I41" s="94">
        <v>6912</v>
      </c>
      <c r="J41" s="94">
        <v>6259</v>
      </c>
      <c r="K41" s="94">
        <v>79</v>
      </c>
      <c r="L41" s="92" t="s">
        <v>18</v>
      </c>
      <c r="M41" s="92" t="s">
        <v>25</v>
      </c>
      <c r="N41" s="20">
        <f t="shared" si="0"/>
        <v>0.17057291666666666</v>
      </c>
    </row>
    <row r="42" spans="1:14" x14ac:dyDescent="0.3">
      <c r="A42" s="87" t="s">
        <v>100</v>
      </c>
      <c r="B42" s="88" t="s">
        <v>31</v>
      </c>
      <c r="C42" s="89">
        <v>45720</v>
      </c>
      <c r="D42" s="88" t="s">
        <v>69</v>
      </c>
      <c r="E42" s="88" t="s">
        <v>70</v>
      </c>
      <c r="F42" s="94">
        <v>432</v>
      </c>
      <c r="G42" s="94">
        <v>624</v>
      </c>
      <c r="H42" s="94">
        <v>123</v>
      </c>
      <c r="I42" s="94">
        <v>6912</v>
      </c>
      <c r="J42" s="94">
        <v>6259</v>
      </c>
      <c r="K42" s="94">
        <v>79</v>
      </c>
      <c r="L42" s="92" t="s">
        <v>44</v>
      </c>
      <c r="M42" s="92" t="s">
        <v>25</v>
      </c>
      <c r="N42" s="20">
        <f t="shared" si="0"/>
        <v>0.17057291666666666</v>
      </c>
    </row>
    <row r="43" spans="1:14" x14ac:dyDescent="0.3">
      <c r="A43" s="87" t="s">
        <v>103</v>
      </c>
      <c r="B43" s="88" t="s">
        <v>31</v>
      </c>
      <c r="C43" s="89">
        <v>45688</v>
      </c>
      <c r="D43" s="88" t="s">
        <v>42</v>
      </c>
      <c r="E43" s="88" t="s">
        <v>43</v>
      </c>
      <c r="F43" s="94">
        <v>2566</v>
      </c>
      <c r="G43" s="94">
        <v>118</v>
      </c>
      <c r="H43" s="94">
        <v>37</v>
      </c>
      <c r="I43" s="94">
        <v>12830</v>
      </c>
      <c r="J43" s="94">
        <v>12264</v>
      </c>
      <c r="K43" s="94">
        <v>221</v>
      </c>
      <c r="L43" s="92" t="s">
        <v>44</v>
      </c>
      <c r="M43" s="92" t="s">
        <v>38</v>
      </c>
      <c r="N43" s="20">
        <f t="shared" si="0"/>
        <v>0.21208106001558846</v>
      </c>
    </row>
    <row r="44" spans="1:14" x14ac:dyDescent="0.3">
      <c r="A44" s="87" t="s">
        <v>103</v>
      </c>
      <c r="B44" s="88" t="s">
        <v>31</v>
      </c>
      <c r="C44" s="89">
        <v>45688</v>
      </c>
      <c r="D44" s="88" t="s">
        <v>42</v>
      </c>
      <c r="E44" s="88" t="s">
        <v>43</v>
      </c>
      <c r="F44" s="94">
        <v>2566</v>
      </c>
      <c r="G44" s="94">
        <v>118</v>
      </c>
      <c r="H44" s="94">
        <v>37</v>
      </c>
      <c r="I44" s="94">
        <v>12830</v>
      </c>
      <c r="J44" s="94">
        <v>12264</v>
      </c>
      <c r="K44" s="94">
        <v>221</v>
      </c>
      <c r="L44" s="92" t="s">
        <v>24</v>
      </c>
      <c r="M44" s="92" t="s">
        <v>38</v>
      </c>
      <c r="N44" s="20">
        <f t="shared" si="0"/>
        <v>0.21208106001558846</v>
      </c>
    </row>
    <row r="45" spans="1:14" x14ac:dyDescent="0.3">
      <c r="A45" s="87" t="s">
        <v>106</v>
      </c>
      <c r="B45" s="88" t="s">
        <v>31</v>
      </c>
      <c r="C45" s="89">
        <v>45713</v>
      </c>
      <c r="D45" s="88" t="s">
        <v>69</v>
      </c>
      <c r="E45" s="88" t="s">
        <v>70</v>
      </c>
      <c r="F45" s="94">
        <v>3095</v>
      </c>
      <c r="G45" s="94">
        <v>39</v>
      </c>
      <c r="H45" s="94">
        <v>78</v>
      </c>
      <c r="I45" s="94">
        <v>55710</v>
      </c>
      <c r="J45" s="94">
        <v>54808</v>
      </c>
      <c r="K45" s="94">
        <v>93</v>
      </c>
      <c r="L45" s="92" t="s">
        <v>18</v>
      </c>
      <c r="M45" s="92" t="s">
        <v>55</v>
      </c>
      <c r="N45" s="20">
        <f t="shared" si="0"/>
        <v>5.7655717106444085E-2</v>
      </c>
    </row>
    <row r="46" spans="1:14" x14ac:dyDescent="0.3">
      <c r="A46" s="87" t="s">
        <v>108</v>
      </c>
      <c r="B46" s="88" t="s">
        <v>31</v>
      </c>
      <c r="C46" s="89">
        <v>45642</v>
      </c>
      <c r="D46" s="88" t="s">
        <v>22</v>
      </c>
      <c r="E46" s="88" t="s">
        <v>23</v>
      </c>
      <c r="F46" s="94">
        <v>438</v>
      </c>
      <c r="G46" s="94">
        <v>153</v>
      </c>
      <c r="H46" s="94">
        <v>275</v>
      </c>
      <c r="I46" s="94">
        <v>3066</v>
      </c>
      <c r="J46" s="94">
        <v>2701</v>
      </c>
      <c r="K46" s="94">
        <v>282</v>
      </c>
      <c r="L46" s="92" t="s">
        <v>44</v>
      </c>
      <c r="M46" s="92" t="s">
        <v>55</v>
      </c>
      <c r="N46" s="20">
        <f t="shared" si="0"/>
        <v>0.28245270711024134</v>
      </c>
    </row>
    <row r="47" spans="1:14" x14ac:dyDescent="0.3">
      <c r="A47" s="87" t="s">
        <v>110</v>
      </c>
      <c r="B47" s="88" t="s">
        <v>14</v>
      </c>
      <c r="C47" s="89">
        <v>45504</v>
      </c>
      <c r="D47" s="88" t="s">
        <v>42</v>
      </c>
      <c r="E47" s="88" t="s">
        <v>43</v>
      </c>
      <c r="F47" s="94">
        <v>2278</v>
      </c>
      <c r="G47" s="94">
        <v>10</v>
      </c>
      <c r="H47" s="94">
        <v>321</v>
      </c>
      <c r="I47" s="94">
        <v>13668</v>
      </c>
      <c r="J47" s="94">
        <v>12676</v>
      </c>
      <c r="K47" s="94">
        <v>275</v>
      </c>
      <c r="L47" s="92" t="s">
        <v>44</v>
      </c>
      <c r="M47" s="92" t="s">
        <v>55</v>
      </c>
      <c r="N47" s="20">
        <f t="shared" si="0"/>
        <v>0.19088381621305239</v>
      </c>
    </row>
    <row r="48" spans="1:14" x14ac:dyDescent="0.3">
      <c r="A48" s="87" t="s">
        <v>110</v>
      </c>
      <c r="B48" s="88" t="s">
        <v>14</v>
      </c>
      <c r="C48" s="89">
        <v>45504</v>
      </c>
      <c r="D48" s="88" t="s">
        <v>42</v>
      </c>
      <c r="E48" s="88" t="s">
        <v>43</v>
      </c>
      <c r="F48" s="94">
        <v>2278</v>
      </c>
      <c r="G48" s="94">
        <v>10</v>
      </c>
      <c r="H48" s="94">
        <v>321</v>
      </c>
      <c r="I48" s="94">
        <v>13668</v>
      </c>
      <c r="J48" s="94">
        <v>12676</v>
      </c>
      <c r="K48" s="94">
        <v>275</v>
      </c>
      <c r="L48" s="92" t="s">
        <v>24</v>
      </c>
      <c r="M48" s="92" t="s">
        <v>55</v>
      </c>
      <c r="N48" s="20">
        <f t="shared" si="0"/>
        <v>0.19088381621305239</v>
      </c>
    </row>
    <row r="49" spans="1:14" x14ac:dyDescent="0.3">
      <c r="A49" s="87" t="s">
        <v>112</v>
      </c>
      <c r="B49" s="88" t="s">
        <v>40</v>
      </c>
      <c r="C49" s="89">
        <v>45525</v>
      </c>
      <c r="D49" s="88" t="s">
        <v>49</v>
      </c>
      <c r="E49" s="88" t="s">
        <v>50</v>
      </c>
      <c r="F49" s="94">
        <v>1407</v>
      </c>
      <c r="G49" s="94">
        <v>400</v>
      </c>
      <c r="H49" s="94">
        <v>351</v>
      </c>
      <c r="I49" s="94">
        <v>16884</v>
      </c>
      <c r="J49" s="94">
        <v>15954</v>
      </c>
      <c r="K49" s="94">
        <v>113</v>
      </c>
      <c r="L49" s="92" t="s">
        <v>24</v>
      </c>
      <c r="M49" s="92" t="s">
        <v>38</v>
      </c>
      <c r="N49" s="20">
        <f t="shared" si="0"/>
        <v>0.12781331438047855</v>
      </c>
    </row>
    <row r="50" spans="1:14" x14ac:dyDescent="0.3">
      <c r="A50" s="87" t="s">
        <v>112</v>
      </c>
      <c r="B50" s="88" t="s">
        <v>40</v>
      </c>
      <c r="C50" s="89">
        <v>45525</v>
      </c>
      <c r="D50" s="88" t="s">
        <v>49</v>
      </c>
      <c r="E50" s="88" t="s">
        <v>50</v>
      </c>
      <c r="F50" s="94">
        <v>1407</v>
      </c>
      <c r="G50" s="94">
        <v>400</v>
      </c>
      <c r="H50" s="94">
        <v>351</v>
      </c>
      <c r="I50" s="94">
        <v>16884</v>
      </c>
      <c r="J50" s="94">
        <v>15954</v>
      </c>
      <c r="K50" s="94">
        <v>113</v>
      </c>
      <c r="L50" s="92" t="s">
        <v>77</v>
      </c>
      <c r="M50" s="92" t="s">
        <v>38</v>
      </c>
      <c r="N50" s="20">
        <f t="shared" si="0"/>
        <v>0.12781331438047855</v>
      </c>
    </row>
    <row r="51" spans="1:14" x14ac:dyDescent="0.3">
      <c r="A51" s="87" t="s">
        <v>114</v>
      </c>
      <c r="B51" s="88" t="s">
        <v>40</v>
      </c>
      <c r="C51" s="89">
        <v>45742</v>
      </c>
      <c r="D51" s="88" t="s">
        <v>22</v>
      </c>
      <c r="E51" s="88" t="s">
        <v>23</v>
      </c>
      <c r="F51" s="94">
        <v>1652</v>
      </c>
      <c r="G51" s="94">
        <v>89</v>
      </c>
      <c r="H51" s="94">
        <v>357</v>
      </c>
      <c r="I51" s="94">
        <v>29736</v>
      </c>
      <c r="J51" s="94">
        <v>28771</v>
      </c>
      <c r="K51" s="94">
        <v>215</v>
      </c>
      <c r="L51" s="92" t="s">
        <v>44</v>
      </c>
      <c r="M51" s="92" t="s">
        <v>25</v>
      </c>
      <c r="N51" s="20">
        <f t="shared" si="0"/>
        <v>7.055421038471886E-2</v>
      </c>
    </row>
    <row r="52" spans="1:14" x14ac:dyDescent="0.3">
      <c r="A52" s="87" t="s">
        <v>114</v>
      </c>
      <c r="B52" s="88" t="s">
        <v>40</v>
      </c>
      <c r="C52" s="89">
        <v>45742</v>
      </c>
      <c r="D52" s="88" t="s">
        <v>22</v>
      </c>
      <c r="E52" s="88" t="s">
        <v>23</v>
      </c>
      <c r="F52" s="94">
        <v>1652</v>
      </c>
      <c r="G52" s="94">
        <v>89</v>
      </c>
      <c r="H52" s="94">
        <v>357</v>
      </c>
      <c r="I52" s="94">
        <v>29736</v>
      </c>
      <c r="J52" s="94">
        <v>28771</v>
      </c>
      <c r="K52" s="94">
        <v>215</v>
      </c>
      <c r="L52" s="92" t="s">
        <v>77</v>
      </c>
      <c r="M52" s="92" t="s">
        <v>25</v>
      </c>
      <c r="N52" s="20">
        <f t="shared" si="0"/>
        <v>7.055421038471886E-2</v>
      </c>
    </row>
    <row r="53" spans="1:14" x14ac:dyDescent="0.3">
      <c r="A53" s="87" t="s">
        <v>117</v>
      </c>
      <c r="B53" s="88" t="s">
        <v>31</v>
      </c>
      <c r="C53" s="89">
        <v>45626</v>
      </c>
      <c r="D53" s="88" t="s">
        <v>69</v>
      </c>
      <c r="E53" s="88" t="s">
        <v>70</v>
      </c>
      <c r="F53" s="94">
        <v>3775</v>
      </c>
      <c r="G53" s="94">
        <v>16</v>
      </c>
      <c r="H53" s="94">
        <v>239</v>
      </c>
      <c r="I53" s="94">
        <v>33975</v>
      </c>
      <c r="J53" s="94">
        <v>33310</v>
      </c>
      <c r="K53" s="94">
        <v>271</v>
      </c>
      <c r="L53" s="92" t="s">
        <v>58</v>
      </c>
      <c r="M53" s="92" t="s">
        <v>38</v>
      </c>
      <c r="N53" s="20">
        <f t="shared" si="0"/>
        <v>0.11861662987490802</v>
      </c>
    </row>
    <row r="54" spans="1:14" x14ac:dyDescent="0.3">
      <c r="A54" s="87" t="s">
        <v>117</v>
      </c>
      <c r="B54" s="88" t="s">
        <v>31</v>
      </c>
      <c r="C54" s="89">
        <v>45626</v>
      </c>
      <c r="D54" s="88" t="s">
        <v>69</v>
      </c>
      <c r="E54" s="88" t="s">
        <v>70</v>
      </c>
      <c r="F54" s="94">
        <v>3775</v>
      </c>
      <c r="G54" s="94">
        <v>16</v>
      </c>
      <c r="H54" s="94">
        <v>239</v>
      </c>
      <c r="I54" s="94">
        <v>33975</v>
      </c>
      <c r="J54" s="94">
        <v>33310</v>
      </c>
      <c r="K54" s="94">
        <v>271</v>
      </c>
      <c r="L54" s="92" t="s">
        <v>18</v>
      </c>
      <c r="M54" s="92" t="s">
        <v>38</v>
      </c>
      <c r="N54" s="20">
        <f t="shared" si="0"/>
        <v>0.11861662987490802</v>
      </c>
    </row>
    <row r="55" spans="1:14" x14ac:dyDescent="0.3">
      <c r="A55" s="87" t="s">
        <v>119</v>
      </c>
      <c r="B55" s="88" t="s">
        <v>31</v>
      </c>
      <c r="C55" s="89">
        <v>45766</v>
      </c>
      <c r="D55" s="88" t="s">
        <v>33</v>
      </c>
      <c r="E55" s="88" t="s">
        <v>34</v>
      </c>
      <c r="F55" s="94">
        <v>4518</v>
      </c>
      <c r="G55" s="94">
        <v>285</v>
      </c>
      <c r="H55" s="94">
        <v>383</v>
      </c>
      <c r="I55" s="94">
        <v>67770</v>
      </c>
      <c r="J55" s="94">
        <v>67621</v>
      </c>
      <c r="K55" s="94">
        <v>31</v>
      </c>
      <c r="L55" s="92" t="s">
        <v>77</v>
      </c>
      <c r="M55" s="92" t="s">
        <v>25</v>
      </c>
      <c r="N55" s="20">
        <f t="shared" si="0"/>
        <v>7.6523535487678915E-2</v>
      </c>
    </row>
    <row r="56" spans="1:14" x14ac:dyDescent="0.3">
      <c r="A56" s="87" t="s">
        <v>121</v>
      </c>
      <c r="B56" s="88" t="s">
        <v>40</v>
      </c>
      <c r="C56" s="89">
        <v>45663</v>
      </c>
      <c r="D56" s="88" t="s">
        <v>42</v>
      </c>
      <c r="E56" s="88" t="s">
        <v>43</v>
      </c>
      <c r="F56" s="94">
        <v>3024</v>
      </c>
      <c r="G56" s="94">
        <v>925</v>
      </c>
      <c r="H56" s="94">
        <v>350</v>
      </c>
      <c r="I56" s="94">
        <v>24192</v>
      </c>
      <c r="J56" s="94">
        <v>23518</v>
      </c>
      <c r="K56" s="94">
        <v>36</v>
      </c>
      <c r="L56" s="92" t="s">
        <v>18</v>
      </c>
      <c r="M56" s="92" t="s">
        <v>38</v>
      </c>
      <c r="N56" s="20">
        <f t="shared" si="0"/>
        <v>0.17770337301587302</v>
      </c>
    </row>
    <row r="57" spans="1:14" x14ac:dyDescent="0.3">
      <c r="A57" s="87" t="s">
        <v>123</v>
      </c>
      <c r="B57" s="88" t="s">
        <v>577</v>
      </c>
      <c r="C57" s="89">
        <v>45705</v>
      </c>
      <c r="D57" s="88" t="s">
        <v>16</v>
      </c>
      <c r="E57" s="88" t="s">
        <v>17</v>
      </c>
      <c r="F57" s="94">
        <v>3138</v>
      </c>
      <c r="G57" s="94">
        <v>123</v>
      </c>
      <c r="H57" s="94">
        <v>291</v>
      </c>
      <c r="I57" s="94">
        <v>28242</v>
      </c>
      <c r="J57" s="94">
        <v>27550</v>
      </c>
      <c r="K57" s="94">
        <v>87</v>
      </c>
      <c r="L57" s="92" t="s">
        <v>77</v>
      </c>
      <c r="M57" s="92" t="s">
        <v>55</v>
      </c>
      <c r="N57" s="20">
        <f t="shared" si="0"/>
        <v>0.12577012959422137</v>
      </c>
    </row>
    <row r="58" spans="1:14" x14ac:dyDescent="0.3">
      <c r="A58" s="87" t="s">
        <v>125</v>
      </c>
      <c r="B58" s="88" t="s">
        <v>40</v>
      </c>
      <c r="C58" s="89">
        <v>45621</v>
      </c>
      <c r="D58" s="88" t="s">
        <v>49</v>
      </c>
      <c r="E58" s="88" t="s">
        <v>50</v>
      </c>
      <c r="F58" s="94">
        <v>3564</v>
      </c>
      <c r="G58" s="94">
        <v>629</v>
      </c>
      <c r="H58" s="94">
        <v>177</v>
      </c>
      <c r="I58" s="94">
        <v>60588</v>
      </c>
      <c r="J58" s="94">
        <v>59627</v>
      </c>
      <c r="K58" s="94">
        <v>92</v>
      </c>
      <c r="L58" s="92" t="s">
        <v>77</v>
      </c>
      <c r="M58" s="92" t="s">
        <v>38</v>
      </c>
      <c r="N58" s="20">
        <f t="shared" si="0"/>
        <v>7.2126493695121141E-2</v>
      </c>
    </row>
    <row r="59" spans="1:14" x14ac:dyDescent="0.3">
      <c r="A59" s="87" t="s">
        <v>125</v>
      </c>
      <c r="B59" s="88" t="s">
        <v>40</v>
      </c>
      <c r="C59" s="89">
        <v>45621</v>
      </c>
      <c r="D59" s="88" t="s">
        <v>49</v>
      </c>
      <c r="E59" s="88" t="s">
        <v>50</v>
      </c>
      <c r="F59" s="94">
        <v>3564</v>
      </c>
      <c r="G59" s="94">
        <v>629</v>
      </c>
      <c r="H59" s="94">
        <v>177</v>
      </c>
      <c r="I59" s="94">
        <v>60588</v>
      </c>
      <c r="J59" s="94">
        <v>59627</v>
      </c>
      <c r="K59" s="94">
        <v>92</v>
      </c>
      <c r="L59" s="92" t="s">
        <v>18</v>
      </c>
      <c r="M59" s="92" t="s">
        <v>38</v>
      </c>
      <c r="N59" s="20">
        <f t="shared" si="0"/>
        <v>7.2126493695121141E-2</v>
      </c>
    </row>
    <row r="60" spans="1:14" x14ac:dyDescent="0.3">
      <c r="A60" s="87" t="s">
        <v>128</v>
      </c>
      <c r="B60" s="88" t="s">
        <v>14</v>
      </c>
      <c r="C60" s="89">
        <v>45723</v>
      </c>
      <c r="D60" s="88" t="s">
        <v>49</v>
      </c>
      <c r="E60" s="88" t="s">
        <v>50</v>
      </c>
      <c r="F60" s="94">
        <v>4750</v>
      </c>
      <c r="G60" s="94">
        <v>151</v>
      </c>
      <c r="H60" s="94">
        <v>415</v>
      </c>
      <c r="I60" s="94">
        <v>38000</v>
      </c>
      <c r="J60" s="94">
        <v>37792</v>
      </c>
      <c r="K60" s="94">
        <v>299</v>
      </c>
      <c r="L60" s="92" t="s">
        <v>58</v>
      </c>
      <c r="M60" s="92" t="s">
        <v>25</v>
      </c>
      <c r="N60" s="20">
        <f t="shared" si="0"/>
        <v>0.13989473684210527</v>
      </c>
    </row>
    <row r="61" spans="1:14" x14ac:dyDescent="0.3">
      <c r="A61" s="87" t="s">
        <v>128</v>
      </c>
      <c r="B61" s="88" t="s">
        <v>14</v>
      </c>
      <c r="C61" s="89">
        <v>45723</v>
      </c>
      <c r="D61" s="88" t="s">
        <v>49</v>
      </c>
      <c r="E61" s="88" t="s">
        <v>50</v>
      </c>
      <c r="F61" s="94">
        <v>4750</v>
      </c>
      <c r="G61" s="94">
        <v>151</v>
      </c>
      <c r="H61" s="94">
        <v>415</v>
      </c>
      <c r="I61" s="94">
        <v>38000</v>
      </c>
      <c r="J61" s="94">
        <v>37792</v>
      </c>
      <c r="K61" s="94">
        <v>299</v>
      </c>
      <c r="L61" s="92" t="s">
        <v>18</v>
      </c>
      <c r="M61" s="92" t="s">
        <v>25</v>
      </c>
      <c r="N61" s="20">
        <f t="shared" si="0"/>
        <v>0.13989473684210527</v>
      </c>
    </row>
    <row r="62" spans="1:14" x14ac:dyDescent="0.3">
      <c r="A62" s="87" t="s">
        <v>130</v>
      </c>
      <c r="B62" s="88" t="s">
        <v>31</v>
      </c>
      <c r="C62" s="89">
        <v>45724</v>
      </c>
      <c r="D62" s="88" t="s">
        <v>16</v>
      </c>
      <c r="E62" s="88" t="s">
        <v>17</v>
      </c>
      <c r="F62" s="94">
        <v>456</v>
      </c>
      <c r="G62" s="94">
        <v>629</v>
      </c>
      <c r="H62" s="94">
        <v>428</v>
      </c>
      <c r="I62" s="94">
        <v>8208</v>
      </c>
      <c r="J62" s="94">
        <v>7377</v>
      </c>
      <c r="K62" s="94">
        <v>205</v>
      </c>
      <c r="L62" s="92" t="s">
        <v>18</v>
      </c>
      <c r="M62" s="92" t="s">
        <v>38</v>
      </c>
      <c r="N62" s="20">
        <f t="shared" si="0"/>
        <v>0.18433235867446393</v>
      </c>
    </row>
    <row r="63" spans="1:14" x14ac:dyDescent="0.3">
      <c r="A63" s="87" t="s">
        <v>130</v>
      </c>
      <c r="B63" s="88" t="s">
        <v>31</v>
      </c>
      <c r="C63" s="89">
        <v>45724</v>
      </c>
      <c r="D63" s="88" t="s">
        <v>16</v>
      </c>
      <c r="E63" s="88" t="s">
        <v>17</v>
      </c>
      <c r="F63" s="94">
        <v>456</v>
      </c>
      <c r="G63" s="94">
        <v>629</v>
      </c>
      <c r="H63" s="94">
        <v>428</v>
      </c>
      <c r="I63" s="94">
        <v>8208</v>
      </c>
      <c r="J63" s="94">
        <v>7377</v>
      </c>
      <c r="K63" s="94">
        <v>205</v>
      </c>
      <c r="L63" s="92" t="s">
        <v>77</v>
      </c>
      <c r="M63" s="92" t="s">
        <v>38</v>
      </c>
      <c r="N63" s="20">
        <f t="shared" si="0"/>
        <v>0.18433235867446393</v>
      </c>
    </row>
    <row r="64" spans="1:14" x14ac:dyDescent="0.3">
      <c r="A64" s="87" t="s">
        <v>132</v>
      </c>
      <c r="B64" s="88" t="s">
        <v>577</v>
      </c>
      <c r="C64" s="89">
        <v>45721</v>
      </c>
      <c r="D64" s="88" t="s">
        <v>16</v>
      </c>
      <c r="E64" s="88" t="s">
        <v>17</v>
      </c>
      <c r="F64" s="94">
        <v>1543</v>
      </c>
      <c r="G64" s="94">
        <v>820</v>
      </c>
      <c r="H64" s="94">
        <v>333</v>
      </c>
      <c r="I64" s="94">
        <v>12344</v>
      </c>
      <c r="J64" s="94">
        <v>11496</v>
      </c>
      <c r="K64" s="94">
        <v>241</v>
      </c>
      <c r="L64" s="92" t="s">
        <v>58</v>
      </c>
      <c r="M64" s="92" t="s">
        <v>38</v>
      </c>
      <c r="N64" s="20">
        <f t="shared" si="0"/>
        <v>0.21840570317563188</v>
      </c>
    </row>
    <row r="65" spans="1:14" x14ac:dyDescent="0.3">
      <c r="A65" s="87" t="s">
        <v>134</v>
      </c>
      <c r="B65" s="88" t="s">
        <v>31</v>
      </c>
      <c r="C65" s="89">
        <v>45640</v>
      </c>
      <c r="D65" s="88" t="s">
        <v>42</v>
      </c>
      <c r="E65" s="88" t="s">
        <v>43</v>
      </c>
      <c r="F65" s="94">
        <v>2174</v>
      </c>
      <c r="G65" s="94">
        <v>658</v>
      </c>
      <c r="H65" s="94">
        <v>15</v>
      </c>
      <c r="I65" s="94">
        <v>13044</v>
      </c>
      <c r="J65" s="94">
        <v>12206</v>
      </c>
      <c r="K65" s="94">
        <v>137</v>
      </c>
      <c r="L65" s="92" t="s">
        <v>18</v>
      </c>
      <c r="M65" s="92" t="s">
        <v>55</v>
      </c>
      <c r="N65" s="20">
        <f t="shared" si="0"/>
        <v>0.21826126954921804</v>
      </c>
    </row>
    <row r="66" spans="1:14" x14ac:dyDescent="0.3">
      <c r="A66" s="87" t="s">
        <v>134</v>
      </c>
      <c r="B66" s="88" t="s">
        <v>31</v>
      </c>
      <c r="C66" s="89">
        <v>45640</v>
      </c>
      <c r="D66" s="88" t="s">
        <v>42</v>
      </c>
      <c r="E66" s="88" t="s">
        <v>43</v>
      </c>
      <c r="F66" s="94">
        <v>2174</v>
      </c>
      <c r="G66" s="94">
        <v>658</v>
      </c>
      <c r="H66" s="94">
        <v>15</v>
      </c>
      <c r="I66" s="94">
        <v>13044</v>
      </c>
      <c r="J66" s="94">
        <v>12206</v>
      </c>
      <c r="K66" s="94">
        <v>137</v>
      </c>
      <c r="L66" s="92" t="s">
        <v>24</v>
      </c>
      <c r="M66" s="92" t="s">
        <v>55</v>
      </c>
      <c r="N66" s="20">
        <f t="shared" si="0"/>
        <v>0.21826126954921804</v>
      </c>
    </row>
    <row r="67" spans="1:14" x14ac:dyDescent="0.3">
      <c r="A67" s="87" t="s">
        <v>136</v>
      </c>
      <c r="B67" s="88" t="s">
        <v>14</v>
      </c>
      <c r="C67" s="89">
        <v>45718</v>
      </c>
      <c r="D67" s="88" t="s">
        <v>49</v>
      </c>
      <c r="E67" s="88" t="s">
        <v>50</v>
      </c>
      <c r="F67" s="94">
        <v>2358</v>
      </c>
      <c r="G67" s="94">
        <v>784</v>
      </c>
      <c r="H67" s="94">
        <v>344</v>
      </c>
      <c r="I67" s="94">
        <v>35370</v>
      </c>
      <c r="J67" s="94">
        <v>34475</v>
      </c>
      <c r="K67" s="94">
        <v>216</v>
      </c>
      <c r="L67" s="92" t="s">
        <v>18</v>
      </c>
      <c r="M67" s="92" t="s">
        <v>19</v>
      </c>
      <c r="N67" s="20">
        <f t="shared" ref="N67:N130" si="1">SUM(F67,G67,H67)/I67</f>
        <v>9.8558100084817649E-2</v>
      </c>
    </row>
    <row r="68" spans="1:14" x14ac:dyDescent="0.3">
      <c r="A68" s="87" t="s">
        <v>136</v>
      </c>
      <c r="B68" s="88" t="s">
        <v>14</v>
      </c>
      <c r="C68" s="89">
        <v>45718</v>
      </c>
      <c r="D68" s="88" t="s">
        <v>49</v>
      </c>
      <c r="E68" s="88" t="s">
        <v>50</v>
      </c>
      <c r="F68" s="94">
        <v>2358</v>
      </c>
      <c r="G68" s="94">
        <v>784</v>
      </c>
      <c r="H68" s="94">
        <v>344</v>
      </c>
      <c r="I68" s="94">
        <v>35370</v>
      </c>
      <c r="J68" s="94">
        <v>34475</v>
      </c>
      <c r="K68" s="94">
        <v>216</v>
      </c>
      <c r="L68" s="92" t="s">
        <v>58</v>
      </c>
      <c r="M68" s="92" t="s">
        <v>19</v>
      </c>
      <c r="N68" s="20">
        <f t="shared" si="1"/>
        <v>9.8558100084817649E-2</v>
      </c>
    </row>
    <row r="69" spans="1:14" x14ac:dyDescent="0.3">
      <c r="A69" s="87" t="s">
        <v>138</v>
      </c>
      <c r="B69" s="88" t="s">
        <v>40</v>
      </c>
      <c r="C69" s="89">
        <v>45597</v>
      </c>
      <c r="D69" s="88" t="s">
        <v>69</v>
      </c>
      <c r="E69" s="88" t="s">
        <v>70</v>
      </c>
      <c r="F69" s="94">
        <v>3371</v>
      </c>
      <c r="G69" s="94">
        <v>106</v>
      </c>
      <c r="H69" s="94">
        <v>327</v>
      </c>
      <c r="I69" s="94">
        <v>50565</v>
      </c>
      <c r="J69" s="94">
        <v>49816</v>
      </c>
      <c r="K69" s="94">
        <v>176</v>
      </c>
      <c r="L69" s="92" t="s">
        <v>77</v>
      </c>
      <c r="M69" s="92" t="s">
        <v>55</v>
      </c>
      <c r="N69" s="20">
        <f t="shared" si="1"/>
        <v>7.5229902106199939E-2</v>
      </c>
    </row>
    <row r="70" spans="1:14" x14ac:dyDescent="0.3">
      <c r="A70" s="87" t="s">
        <v>140</v>
      </c>
      <c r="B70" s="88" t="s">
        <v>14</v>
      </c>
      <c r="C70" s="89">
        <v>45779</v>
      </c>
      <c r="D70" s="88" t="s">
        <v>69</v>
      </c>
      <c r="E70" s="88" t="s">
        <v>70</v>
      </c>
      <c r="F70" s="94">
        <v>1108</v>
      </c>
      <c r="G70" s="94">
        <v>177</v>
      </c>
      <c r="H70" s="94">
        <v>212</v>
      </c>
      <c r="I70" s="94">
        <v>8864</v>
      </c>
      <c r="J70" s="94">
        <v>8710</v>
      </c>
      <c r="K70" s="94">
        <v>97</v>
      </c>
      <c r="L70" s="92" t="s">
        <v>24</v>
      </c>
      <c r="M70" s="92" t="s">
        <v>55</v>
      </c>
      <c r="N70" s="20">
        <f t="shared" si="1"/>
        <v>0.16888537906137185</v>
      </c>
    </row>
    <row r="71" spans="1:14" x14ac:dyDescent="0.3">
      <c r="A71" s="87" t="s">
        <v>142</v>
      </c>
      <c r="B71" s="88" t="s">
        <v>14</v>
      </c>
      <c r="C71" s="89">
        <v>45712</v>
      </c>
      <c r="D71" s="88" t="s">
        <v>42</v>
      </c>
      <c r="E71" s="88" t="s">
        <v>43</v>
      </c>
      <c r="F71" s="94">
        <v>2704</v>
      </c>
      <c r="G71" s="94">
        <v>752</v>
      </c>
      <c r="H71" s="94">
        <v>153</v>
      </c>
      <c r="I71" s="94">
        <v>21632</v>
      </c>
      <c r="J71" s="94">
        <v>20792</v>
      </c>
      <c r="K71" s="94">
        <v>127</v>
      </c>
      <c r="L71" s="92" t="s">
        <v>77</v>
      </c>
      <c r="M71" s="92" t="s">
        <v>19</v>
      </c>
      <c r="N71" s="20">
        <f t="shared" si="1"/>
        <v>0.16683616863905326</v>
      </c>
    </row>
    <row r="72" spans="1:14" x14ac:dyDescent="0.3">
      <c r="A72" s="87" t="s">
        <v>142</v>
      </c>
      <c r="B72" s="88" t="s">
        <v>14</v>
      </c>
      <c r="C72" s="89">
        <v>45712</v>
      </c>
      <c r="D72" s="88" t="s">
        <v>42</v>
      </c>
      <c r="E72" s="88" t="s">
        <v>43</v>
      </c>
      <c r="F72" s="94">
        <v>2704</v>
      </c>
      <c r="G72" s="94">
        <v>752</v>
      </c>
      <c r="H72" s="94">
        <v>153</v>
      </c>
      <c r="I72" s="94">
        <v>21632</v>
      </c>
      <c r="J72" s="94">
        <v>20792</v>
      </c>
      <c r="K72" s="94">
        <v>127</v>
      </c>
      <c r="L72" s="92" t="s">
        <v>24</v>
      </c>
      <c r="M72" s="92" t="s">
        <v>19</v>
      </c>
      <c r="N72" s="20">
        <f t="shared" si="1"/>
        <v>0.16683616863905326</v>
      </c>
    </row>
    <row r="73" spans="1:14" x14ac:dyDescent="0.3">
      <c r="A73" s="87" t="s">
        <v>145</v>
      </c>
      <c r="B73" s="88" t="s">
        <v>14</v>
      </c>
      <c r="C73" s="89">
        <v>45727</v>
      </c>
      <c r="D73" s="88" t="s">
        <v>33</v>
      </c>
      <c r="E73" s="88" t="s">
        <v>34</v>
      </c>
      <c r="F73" s="94">
        <v>1950</v>
      </c>
      <c r="G73" s="94">
        <v>295</v>
      </c>
      <c r="H73" s="94">
        <v>478</v>
      </c>
      <c r="I73" s="94">
        <v>37050</v>
      </c>
      <c r="J73" s="94">
        <v>36272</v>
      </c>
      <c r="K73" s="94">
        <v>119</v>
      </c>
      <c r="L73" s="92" t="s">
        <v>24</v>
      </c>
      <c r="M73" s="92" t="s">
        <v>55</v>
      </c>
      <c r="N73" s="20">
        <f t="shared" si="1"/>
        <v>7.349527665317139E-2</v>
      </c>
    </row>
    <row r="74" spans="1:14" x14ac:dyDescent="0.3">
      <c r="A74" s="87" t="s">
        <v>145</v>
      </c>
      <c r="B74" s="88" t="s">
        <v>14</v>
      </c>
      <c r="C74" s="89">
        <v>45727</v>
      </c>
      <c r="D74" s="88" t="s">
        <v>33</v>
      </c>
      <c r="E74" s="88" t="s">
        <v>34</v>
      </c>
      <c r="F74" s="94">
        <v>1950</v>
      </c>
      <c r="G74" s="94">
        <v>295</v>
      </c>
      <c r="H74" s="94">
        <v>478</v>
      </c>
      <c r="I74" s="94">
        <v>37050</v>
      </c>
      <c r="J74" s="94">
        <v>36272</v>
      </c>
      <c r="K74" s="94">
        <v>119</v>
      </c>
      <c r="L74" s="92" t="s">
        <v>58</v>
      </c>
      <c r="M74" s="92" t="s">
        <v>55</v>
      </c>
      <c r="N74" s="20">
        <f t="shared" si="1"/>
        <v>7.349527665317139E-2</v>
      </c>
    </row>
    <row r="75" spans="1:14" x14ac:dyDescent="0.3">
      <c r="A75" s="87" t="s">
        <v>147</v>
      </c>
      <c r="B75" s="88" t="s">
        <v>14</v>
      </c>
      <c r="C75" s="89">
        <v>45453</v>
      </c>
      <c r="D75" s="88" t="s">
        <v>33</v>
      </c>
      <c r="E75" s="88" t="s">
        <v>34</v>
      </c>
      <c r="F75" s="94">
        <v>2164</v>
      </c>
      <c r="G75" s="94">
        <v>549</v>
      </c>
      <c r="H75" s="94">
        <v>274</v>
      </c>
      <c r="I75" s="94">
        <v>28132</v>
      </c>
      <c r="J75" s="94">
        <v>27361</v>
      </c>
      <c r="K75" s="94">
        <v>177</v>
      </c>
      <c r="L75" s="92" t="s">
        <v>58</v>
      </c>
      <c r="M75" s="92" t="s">
        <v>19</v>
      </c>
      <c r="N75" s="20">
        <f t="shared" si="1"/>
        <v>0.10617801791554102</v>
      </c>
    </row>
    <row r="76" spans="1:14" x14ac:dyDescent="0.3">
      <c r="A76" s="87" t="s">
        <v>149</v>
      </c>
      <c r="B76" s="88" t="s">
        <v>577</v>
      </c>
      <c r="C76" s="89">
        <v>45476</v>
      </c>
      <c r="D76" s="88" t="s">
        <v>33</v>
      </c>
      <c r="E76" s="88" t="s">
        <v>34</v>
      </c>
      <c r="F76" s="94">
        <v>2754</v>
      </c>
      <c r="G76" s="94">
        <v>130</v>
      </c>
      <c r="H76" s="94">
        <v>90</v>
      </c>
      <c r="I76" s="94">
        <v>22032</v>
      </c>
      <c r="J76" s="94">
        <v>21288</v>
      </c>
      <c r="K76" s="94">
        <v>112</v>
      </c>
      <c r="L76" s="92" t="s">
        <v>24</v>
      </c>
      <c r="M76" s="92" t="s">
        <v>19</v>
      </c>
      <c r="N76" s="20">
        <f t="shared" si="1"/>
        <v>0.13498547567175018</v>
      </c>
    </row>
    <row r="77" spans="1:14" x14ac:dyDescent="0.3">
      <c r="A77" s="87" t="s">
        <v>151</v>
      </c>
      <c r="B77" s="88" t="s">
        <v>40</v>
      </c>
      <c r="C77" s="89">
        <v>45456</v>
      </c>
      <c r="D77" s="88" t="s">
        <v>42</v>
      </c>
      <c r="E77" s="88" t="s">
        <v>43</v>
      </c>
      <c r="F77" s="94">
        <v>2200</v>
      </c>
      <c r="G77" s="94">
        <v>504</v>
      </c>
      <c r="H77" s="94">
        <v>239</v>
      </c>
      <c r="I77" s="94">
        <v>37400</v>
      </c>
      <c r="J77" s="94">
        <v>36938</v>
      </c>
      <c r="K77" s="94">
        <v>225</v>
      </c>
      <c r="L77" s="92" t="s">
        <v>18</v>
      </c>
      <c r="M77" s="92" t="s">
        <v>38</v>
      </c>
      <c r="N77" s="20">
        <f t="shared" si="1"/>
        <v>7.8689839572192513E-2</v>
      </c>
    </row>
    <row r="78" spans="1:14" x14ac:dyDescent="0.3">
      <c r="A78" s="87" t="s">
        <v>153</v>
      </c>
      <c r="B78" s="88" t="s">
        <v>40</v>
      </c>
      <c r="C78" s="89">
        <v>45660</v>
      </c>
      <c r="D78" s="88" t="s">
        <v>49</v>
      </c>
      <c r="E78" s="88" t="s">
        <v>50</v>
      </c>
      <c r="F78" s="94">
        <v>947</v>
      </c>
      <c r="G78" s="94">
        <v>338</v>
      </c>
      <c r="H78" s="94">
        <v>350</v>
      </c>
      <c r="I78" s="94">
        <v>10417</v>
      </c>
      <c r="J78" s="94">
        <v>9730</v>
      </c>
      <c r="K78" s="94">
        <v>34</v>
      </c>
      <c r="L78" s="92" t="s">
        <v>24</v>
      </c>
      <c r="M78" s="92" t="s">
        <v>38</v>
      </c>
      <c r="N78" s="20">
        <f t="shared" si="1"/>
        <v>0.1569549774407219</v>
      </c>
    </row>
    <row r="79" spans="1:14" x14ac:dyDescent="0.3">
      <c r="A79" s="87" t="s">
        <v>153</v>
      </c>
      <c r="B79" s="88" t="s">
        <v>40</v>
      </c>
      <c r="C79" s="89">
        <v>45660</v>
      </c>
      <c r="D79" s="88" t="s">
        <v>49</v>
      </c>
      <c r="E79" s="88" t="s">
        <v>50</v>
      </c>
      <c r="F79" s="94">
        <v>947</v>
      </c>
      <c r="G79" s="94">
        <v>338</v>
      </c>
      <c r="H79" s="94">
        <v>350</v>
      </c>
      <c r="I79" s="94">
        <v>10417</v>
      </c>
      <c r="J79" s="94">
        <v>9730</v>
      </c>
      <c r="K79" s="94">
        <v>34</v>
      </c>
      <c r="L79" s="92" t="s">
        <v>18</v>
      </c>
      <c r="M79" s="92" t="s">
        <v>38</v>
      </c>
      <c r="N79" s="20">
        <f t="shared" si="1"/>
        <v>0.1569549774407219</v>
      </c>
    </row>
    <row r="80" spans="1:14" x14ac:dyDescent="0.3">
      <c r="A80" s="87" t="s">
        <v>155</v>
      </c>
      <c r="B80" s="88" t="s">
        <v>577</v>
      </c>
      <c r="C80" s="89">
        <v>45712</v>
      </c>
      <c r="D80" s="88" t="s">
        <v>42</v>
      </c>
      <c r="E80" s="88" t="s">
        <v>43</v>
      </c>
      <c r="F80" s="94">
        <v>804</v>
      </c>
      <c r="G80" s="94">
        <v>639</v>
      </c>
      <c r="H80" s="94">
        <v>43</v>
      </c>
      <c r="I80" s="94">
        <v>4020</v>
      </c>
      <c r="J80" s="94">
        <v>3144</v>
      </c>
      <c r="K80" s="94">
        <v>11</v>
      </c>
      <c r="L80" s="92" t="s">
        <v>58</v>
      </c>
      <c r="M80" s="92" t="s">
        <v>55</v>
      </c>
      <c r="N80" s="20">
        <f t="shared" si="1"/>
        <v>0.36965174129353234</v>
      </c>
    </row>
    <row r="81" spans="1:14" x14ac:dyDescent="0.3">
      <c r="A81" s="87" t="s">
        <v>155</v>
      </c>
      <c r="B81" s="88" t="s">
        <v>577</v>
      </c>
      <c r="C81" s="89">
        <v>45712</v>
      </c>
      <c r="D81" s="88" t="s">
        <v>42</v>
      </c>
      <c r="E81" s="88" t="s">
        <v>43</v>
      </c>
      <c r="F81" s="94">
        <v>804</v>
      </c>
      <c r="G81" s="94">
        <v>639</v>
      </c>
      <c r="H81" s="94">
        <v>43</v>
      </c>
      <c r="I81" s="94">
        <v>4020</v>
      </c>
      <c r="J81" s="94">
        <v>3144</v>
      </c>
      <c r="K81" s="94">
        <v>11</v>
      </c>
      <c r="L81" s="92" t="s">
        <v>44</v>
      </c>
      <c r="M81" s="92" t="s">
        <v>55</v>
      </c>
      <c r="N81" s="20">
        <f t="shared" si="1"/>
        <v>0.36965174129353234</v>
      </c>
    </row>
    <row r="82" spans="1:14" x14ac:dyDescent="0.3">
      <c r="A82" s="87" t="s">
        <v>156</v>
      </c>
      <c r="B82" s="88" t="s">
        <v>577</v>
      </c>
      <c r="C82" s="89">
        <v>45729</v>
      </c>
      <c r="D82" s="88" t="s">
        <v>42</v>
      </c>
      <c r="E82" s="88" t="s">
        <v>43</v>
      </c>
      <c r="F82" s="94">
        <v>1686</v>
      </c>
      <c r="G82" s="94">
        <v>904</v>
      </c>
      <c r="H82" s="94">
        <v>472</v>
      </c>
      <c r="I82" s="94">
        <v>18546</v>
      </c>
      <c r="J82" s="94">
        <v>18171</v>
      </c>
      <c r="K82" s="94">
        <v>52</v>
      </c>
      <c r="L82" s="92" t="s">
        <v>24</v>
      </c>
      <c r="M82" s="92" t="s">
        <v>25</v>
      </c>
      <c r="N82" s="20">
        <f t="shared" si="1"/>
        <v>0.16510298716704411</v>
      </c>
    </row>
    <row r="83" spans="1:14" x14ac:dyDescent="0.3">
      <c r="A83" s="87" t="s">
        <v>156</v>
      </c>
      <c r="B83" s="88" t="s">
        <v>577</v>
      </c>
      <c r="C83" s="89">
        <v>45729</v>
      </c>
      <c r="D83" s="88" t="s">
        <v>42</v>
      </c>
      <c r="E83" s="88" t="s">
        <v>43</v>
      </c>
      <c r="F83" s="94">
        <v>1686</v>
      </c>
      <c r="G83" s="94">
        <v>904</v>
      </c>
      <c r="H83" s="94">
        <v>472</v>
      </c>
      <c r="I83" s="94">
        <v>18546</v>
      </c>
      <c r="J83" s="94">
        <v>18171</v>
      </c>
      <c r="K83" s="94">
        <v>52</v>
      </c>
      <c r="L83" s="92" t="s">
        <v>77</v>
      </c>
      <c r="M83" s="92" t="s">
        <v>25</v>
      </c>
      <c r="N83" s="20">
        <f t="shared" si="1"/>
        <v>0.16510298716704411</v>
      </c>
    </row>
    <row r="84" spans="1:14" x14ac:dyDescent="0.3">
      <c r="A84" s="87" t="s">
        <v>158</v>
      </c>
      <c r="B84" s="88" t="s">
        <v>40</v>
      </c>
      <c r="C84" s="89">
        <v>45460</v>
      </c>
      <c r="D84" s="88" t="s">
        <v>49</v>
      </c>
      <c r="E84" s="88" t="s">
        <v>50</v>
      </c>
      <c r="F84" s="94">
        <v>1226</v>
      </c>
      <c r="G84" s="94">
        <v>119</v>
      </c>
      <c r="H84" s="94">
        <v>7</v>
      </c>
      <c r="I84" s="94">
        <v>14712</v>
      </c>
      <c r="J84" s="94">
        <v>14049</v>
      </c>
      <c r="K84" s="94">
        <v>123</v>
      </c>
      <c r="L84" s="92" t="s">
        <v>18</v>
      </c>
      <c r="M84" s="92" t="s">
        <v>55</v>
      </c>
      <c r="N84" s="20">
        <f t="shared" si="1"/>
        <v>9.1897770527460579E-2</v>
      </c>
    </row>
    <row r="85" spans="1:14" x14ac:dyDescent="0.3">
      <c r="A85" s="87" t="s">
        <v>158</v>
      </c>
      <c r="B85" s="88" t="s">
        <v>40</v>
      </c>
      <c r="C85" s="89">
        <v>45460</v>
      </c>
      <c r="D85" s="88" t="s">
        <v>49</v>
      </c>
      <c r="E85" s="88" t="s">
        <v>50</v>
      </c>
      <c r="F85" s="94">
        <v>1226</v>
      </c>
      <c r="G85" s="94">
        <v>119</v>
      </c>
      <c r="H85" s="94">
        <v>7</v>
      </c>
      <c r="I85" s="94">
        <v>14712</v>
      </c>
      <c r="J85" s="94">
        <v>14049</v>
      </c>
      <c r="K85" s="94">
        <v>123</v>
      </c>
      <c r="L85" s="92" t="s">
        <v>44</v>
      </c>
      <c r="M85" s="92" t="s">
        <v>55</v>
      </c>
      <c r="N85" s="20">
        <f t="shared" si="1"/>
        <v>9.1897770527460579E-2</v>
      </c>
    </row>
    <row r="86" spans="1:14" x14ac:dyDescent="0.3">
      <c r="A86" s="87" t="s">
        <v>160</v>
      </c>
      <c r="B86" s="88" t="s">
        <v>40</v>
      </c>
      <c r="C86" s="89">
        <v>45644</v>
      </c>
      <c r="D86" s="88" t="s">
        <v>42</v>
      </c>
      <c r="E86" s="88" t="s">
        <v>43</v>
      </c>
      <c r="F86" s="94">
        <v>2946</v>
      </c>
      <c r="G86" s="94">
        <v>498</v>
      </c>
      <c r="H86" s="94">
        <v>367</v>
      </c>
      <c r="I86" s="94">
        <v>29460</v>
      </c>
      <c r="J86" s="94">
        <v>28527</v>
      </c>
      <c r="K86" s="94">
        <v>60</v>
      </c>
      <c r="L86" s="92" t="s">
        <v>58</v>
      </c>
      <c r="M86" s="92" t="s">
        <v>25</v>
      </c>
      <c r="N86" s="20">
        <f t="shared" si="1"/>
        <v>0.12936184657162253</v>
      </c>
    </row>
    <row r="87" spans="1:14" x14ac:dyDescent="0.3">
      <c r="A87" s="87" t="s">
        <v>160</v>
      </c>
      <c r="B87" s="88" t="s">
        <v>40</v>
      </c>
      <c r="C87" s="89">
        <v>45644</v>
      </c>
      <c r="D87" s="88" t="s">
        <v>42</v>
      </c>
      <c r="E87" s="88" t="s">
        <v>43</v>
      </c>
      <c r="F87" s="94">
        <v>2946</v>
      </c>
      <c r="G87" s="94">
        <v>498</v>
      </c>
      <c r="H87" s="94">
        <v>367</v>
      </c>
      <c r="I87" s="94">
        <v>29460</v>
      </c>
      <c r="J87" s="94">
        <v>28527</v>
      </c>
      <c r="K87" s="94">
        <v>60</v>
      </c>
      <c r="L87" s="92" t="s">
        <v>77</v>
      </c>
      <c r="M87" s="92" t="s">
        <v>25</v>
      </c>
      <c r="N87" s="20">
        <f t="shared" si="1"/>
        <v>0.12936184657162253</v>
      </c>
    </row>
    <row r="88" spans="1:14" x14ac:dyDescent="0.3">
      <c r="A88" s="87" t="s">
        <v>163</v>
      </c>
      <c r="B88" s="88" t="s">
        <v>14</v>
      </c>
      <c r="C88" s="89">
        <v>45586</v>
      </c>
      <c r="D88" s="88" t="s">
        <v>69</v>
      </c>
      <c r="E88" s="88" t="s">
        <v>70</v>
      </c>
      <c r="F88" s="94">
        <v>2825</v>
      </c>
      <c r="G88" s="94">
        <v>535</v>
      </c>
      <c r="H88" s="94">
        <v>295</v>
      </c>
      <c r="I88" s="94">
        <v>45200</v>
      </c>
      <c r="J88" s="94">
        <v>44739</v>
      </c>
      <c r="K88" s="94">
        <v>169</v>
      </c>
      <c r="L88" s="92" t="s">
        <v>58</v>
      </c>
      <c r="M88" s="92" t="s">
        <v>25</v>
      </c>
      <c r="N88" s="20">
        <f t="shared" si="1"/>
        <v>8.0862831858407078E-2</v>
      </c>
    </row>
    <row r="89" spans="1:14" x14ac:dyDescent="0.3">
      <c r="A89" s="87" t="s">
        <v>165</v>
      </c>
      <c r="B89" s="88" t="s">
        <v>31</v>
      </c>
      <c r="C89" s="89">
        <v>45762</v>
      </c>
      <c r="D89" s="88" t="s">
        <v>16</v>
      </c>
      <c r="E89" s="88" t="s">
        <v>17</v>
      </c>
      <c r="F89" s="94">
        <v>103</v>
      </c>
      <c r="G89" s="94">
        <v>770</v>
      </c>
      <c r="H89" s="94">
        <v>19</v>
      </c>
      <c r="I89" s="94">
        <v>1030</v>
      </c>
      <c r="J89" s="94">
        <v>410</v>
      </c>
      <c r="K89" s="94">
        <v>262</v>
      </c>
      <c r="L89" s="92" t="s">
        <v>18</v>
      </c>
      <c r="M89" s="92" t="s">
        <v>38</v>
      </c>
      <c r="N89" s="20">
        <f t="shared" si="1"/>
        <v>0.86601941747572819</v>
      </c>
    </row>
    <row r="90" spans="1:14" x14ac:dyDescent="0.3">
      <c r="A90" s="87" t="s">
        <v>167</v>
      </c>
      <c r="B90" s="88" t="s">
        <v>31</v>
      </c>
      <c r="C90" s="89">
        <v>45465</v>
      </c>
      <c r="D90" s="88" t="s">
        <v>22</v>
      </c>
      <c r="E90" s="88" t="s">
        <v>23</v>
      </c>
      <c r="F90" s="94">
        <v>2180</v>
      </c>
      <c r="G90" s="94">
        <v>263</v>
      </c>
      <c r="H90" s="94">
        <v>387</v>
      </c>
      <c r="I90" s="94">
        <v>30520</v>
      </c>
      <c r="J90" s="94">
        <v>30059</v>
      </c>
      <c r="K90" s="94">
        <v>174</v>
      </c>
      <c r="L90" s="92" t="s">
        <v>77</v>
      </c>
      <c r="M90" s="92" t="s">
        <v>19</v>
      </c>
      <c r="N90" s="20">
        <f t="shared" si="1"/>
        <v>9.2726081258191345E-2</v>
      </c>
    </row>
    <row r="91" spans="1:14" x14ac:dyDescent="0.3">
      <c r="A91" s="87" t="s">
        <v>169</v>
      </c>
      <c r="B91" s="88" t="s">
        <v>31</v>
      </c>
      <c r="C91" s="89">
        <v>45685</v>
      </c>
      <c r="D91" s="88" t="s">
        <v>69</v>
      </c>
      <c r="E91" s="88" t="s">
        <v>70</v>
      </c>
      <c r="F91" s="94">
        <v>904</v>
      </c>
      <c r="G91" s="94">
        <v>973</v>
      </c>
      <c r="H91" s="94">
        <v>63</v>
      </c>
      <c r="I91" s="94">
        <v>11752</v>
      </c>
      <c r="J91" s="94">
        <v>11580</v>
      </c>
      <c r="K91" s="94">
        <v>84</v>
      </c>
      <c r="L91" s="92" t="s">
        <v>58</v>
      </c>
      <c r="M91" s="92" t="s">
        <v>19</v>
      </c>
      <c r="N91" s="20">
        <f t="shared" si="1"/>
        <v>0.1650782845473111</v>
      </c>
    </row>
    <row r="92" spans="1:14" x14ac:dyDescent="0.3">
      <c r="A92" s="87" t="s">
        <v>171</v>
      </c>
      <c r="B92" s="88" t="s">
        <v>14</v>
      </c>
      <c r="C92" s="89">
        <v>45540</v>
      </c>
      <c r="D92" s="88" t="s">
        <v>69</v>
      </c>
      <c r="E92" s="88" t="s">
        <v>70</v>
      </c>
      <c r="F92" s="94">
        <v>4886</v>
      </c>
      <c r="G92" s="94">
        <v>983</v>
      </c>
      <c r="H92" s="94">
        <v>409</v>
      </c>
      <c r="I92" s="94">
        <v>43974</v>
      </c>
      <c r="J92" s="94">
        <v>43239</v>
      </c>
      <c r="K92" s="94">
        <v>65</v>
      </c>
      <c r="L92" s="92" t="s">
        <v>24</v>
      </c>
      <c r="M92" s="92" t="s">
        <v>19</v>
      </c>
      <c r="N92" s="20">
        <f t="shared" si="1"/>
        <v>0.14276618001546368</v>
      </c>
    </row>
    <row r="93" spans="1:14" x14ac:dyDescent="0.3">
      <c r="A93" s="87" t="s">
        <v>173</v>
      </c>
      <c r="B93" s="88" t="s">
        <v>14</v>
      </c>
      <c r="C93" s="89">
        <v>45618</v>
      </c>
      <c r="D93" s="88" t="s">
        <v>42</v>
      </c>
      <c r="E93" s="88" t="s">
        <v>43</v>
      </c>
      <c r="F93" s="94">
        <v>53</v>
      </c>
      <c r="G93" s="94">
        <v>81</v>
      </c>
      <c r="H93" s="94">
        <v>379</v>
      </c>
      <c r="I93" s="94">
        <v>954</v>
      </c>
      <c r="J93" s="94">
        <v>7</v>
      </c>
      <c r="K93" s="94">
        <v>148</v>
      </c>
      <c r="L93" s="92" t="s">
        <v>77</v>
      </c>
      <c r="M93" s="92" t="s">
        <v>38</v>
      </c>
      <c r="N93" s="20">
        <f t="shared" si="1"/>
        <v>0.53773584905660377</v>
      </c>
    </row>
    <row r="94" spans="1:14" x14ac:dyDescent="0.3">
      <c r="A94" s="87" t="s">
        <v>175</v>
      </c>
      <c r="B94" s="88" t="s">
        <v>14</v>
      </c>
      <c r="C94" s="89">
        <v>45504</v>
      </c>
      <c r="D94" s="88" t="s">
        <v>42</v>
      </c>
      <c r="E94" s="88" t="s">
        <v>43</v>
      </c>
      <c r="F94" s="94">
        <v>4507</v>
      </c>
      <c r="G94" s="94">
        <v>217</v>
      </c>
      <c r="H94" s="94">
        <v>13</v>
      </c>
      <c r="I94" s="94">
        <v>90140</v>
      </c>
      <c r="J94" s="94">
        <v>89591</v>
      </c>
      <c r="K94" s="94">
        <v>125</v>
      </c>
      <c r="L94" s="92" t="s">
        <v>18</v>
      </c>
      <c r="M94" s="92" t="s">
        <v>19</v>
      </c>
      <c r="N94" s="20">
        <f t="shared" si="1"/>
        <v>5.2551586421122697E-2</v>
      </c>
    </row>
    <row r="95" spans="1:14" x14ac:dyDescent="0.3">
      <c r="A95" s="87" t="s">
        <v>176</v>
      </c>
      <c r="B95" s="88" t="s">
        <v>40</v>
      </c>
      <c r="C95" s="89">
        <v>45521</v>
      </c>
      <c r="D95" s="88" t="s">
        <v>49</v>
      </c>
      <c r="E95" s="88" t="s">
        <v>50</v>
      </c>
      <c r="F95" s="94">
        <v>2878</v>
      </c>
      <c r="G95" s="94">
        <v>248</v>
      </c>
      <c r="H95" s="94">
        <v>416</v>
      </c>
      <c r="I95" s="94">
        <v>43170</v>
      </c>
      <c r="J95" s="94">
        <v>42667</v>
      </c>
      <c r="K95" s="94">
        <v>75</v>
      </c>
      <c r="L95" s="92" t="s">
        <v>77</v>
      </c>
      <c r="M95" s="92" t="s">
        <v>25</v>
      </c>
      <c r="N95" s="20">
        <f t="shared" si="1"/>
        <v>8.2047718322909427E-2</v>
      </c>
    </row>
    <row r="96" spans="1:14" x14ac:dyDescent="0.3">
      <c r="A96" s="87" t="s">
        <v>176</v>
      </c>
      <c r="B96" s="88" t="s">
        <v>40</v>
      </c>
      <c r="C96" s="89">
        <v>45521</v>
      </c>
      <c r="D96" s="88" t="s">
        <v>49</v>
      </c>
      <c r="E96" s="88" t="s">
        <v>50</v>
      </c>
      <c r="F96" s="94">
        <v>2878</v>
      </c>
      <c r="G96" s="94">
        <v>248</v>
      </c>
      <c r="H96" s="94">
        <v>416</v>
      </c>
      <c r="I96" s="94">
        <v>43170</v>
      </c>
      <c r="J96" s="94">
        <v>42667</v>
      </c>
      <c r="K96" s="94">
        <v>75</v>
      </c>
      <c r="L96" s="92" t="s">
        <v>44</v>
      </c>
      <c r="M96" s="92" t="s">
        <v>25</v>
      </c>
      <c r="N96" s="20">
        <f t="shared" si="1"/>
        <v>8.2047718322909427E-2</v>
      </c>
    </row>
    <row r="97" spans="1:14" x14ac:dyDescent="0.3">
      <c r="A97" s="87" t="s">
        <v>179</v>
      </c>
      <c r="B97" s="88" t="s">
        <v>31</v>
      </c>
      <c r="C97" s="89">
        <v>45744</v>
      </c>
      <c r="D97" s="88" t="s">
        <v>33</v>
      </c>
      <c r="E97" s="88" t="s">
        <v>34</v>
      </c>
      <c r="F97" s="94">
        <v>1881</v>
      </c>
      <c r="G97" s="94">
        <v>501</v>
      </c>
      <c r="H97" s="94">
        <v>99</v>
      </c>
      <c r="I97" s="94">
        <v>20691</v>
      </c>
      <c r="J97" s="94">
        <v>19987</v>
      </c>
      <c r="K97" s="94">
        <v>289</v>
      </c>
      <c r="L97" s="92" t="s">
        <v>77</v>
      </c>
      <c r="M97" s="92" t="s">
        <v>25</v>
      </c>
      <c r="N97" s="20">
        <f t="shared" si="1"/>
        <v>0.11990720603160794</v>
      </c>
    </row>
    <row r="98" spans="1:14" x14ac:dyDescent="0.3">
      <c r="A98" s="87" t="s">
        <v>181</v>
      </c>
      <c r="B98" s="88" t="s">
        <v>14</v>
      </c>
      <c r="C98" s="89">
        <v>45499</v>
      </c>
      <c r="D98" s="88" t="s">
        <v>42</v>
      </c>
      <c r="E98" s="88" t="s">
        <v>43</v>
      </c>
      <c r="F98" s="94">
        <v>432</v>
      </c>
      <c r="G98" s="94">
        <v>171</v>
      </c>
      <c r="H98" s="94">
        <v>280</v>
      </c>
      <c r="I98" s="94">
        <v>3024</v>
      </c>
      <c r="J98" s="94">
        <v>2285</v>
      </c>
      <c r="K98" s="94">
        <v>184</v>
      </c>
      <c r="L98" s="92" t="s">
        <v>24</v>
      </c>
      <c r="M98" s="92" t="s">
        <v>38</v>
      </c>
      <c r="N98" s="20">
        <f t="shared" si="1"/>
        <v>0.29199735449735448</v>
      </c>
    </row>
    <row r="99" spans="1:14" x14ac:dyDescent="0.3">
      <c r="A99" s="87" t="s">
        <v>183</v>
      </c>
      <c r="B99" s="88" t="s">
        <v>40</v>
      </c>
      <c r="C99" s="89">
        <v>45745</v>
      </c>
      <c r="D99" s="88" t="s">
        <v>42</v>
      </c>
      <c r="E99" s="88" t="s">
        <v>43</v>
      </c>
      <c r="F99" s="94">
        <v>4712</v>
      </c>
      <c r="G99" s="94">
        <v>568</v>
      </c>
      <c r="H99" s="94">
        <v>127</v>
      </c>
      <c r="I99" s="94">
        <v>84816</v>
      </c>
      <c r="J99" s="94">
        <v>84691</v>
      </c>
      <c r="K99" s="94">
        <v>100</v>
      </c>
      <c r="L99" s="92" t="s">
        <v>77</v>
      </c>
      <c r="M99" s="92" t="s">
        <v>19</v>
      </c>
      <c r="N99" s="20">
        <f t="shared" si="1"/>
        <v>6.3749764195434822E-2</v>
      </c>
    </row>
    <row r="100" spans="1:14" x14ac:dyDescent="0.3">
      <c r="A100" s="87" t="s">
        <v>185</v>
      </c>
      <c r="B100" s="88" t="s">
        <v>31</v>
      </c>
      <c r="C100" s="89">
        <v>45634</v>
      </c>
      <c r="D100" s="88" t="s">
        <v>33</v>
      </c>
      <c r="E100" s="88" t="s">
        <v>34</v>
      </c>
      <c r="F100" s="94">
        <v>2610</v>
      </c>
      <c r="G100" s="94">
        <v>126</v>
      </c>
      <c r="H100" s="94">
        <v>288</v>
      </c>
      <c r="I100" s="94">
        <v>15660</v>
      </c>
      <c r="J100" s="94">
        <v>15145</v>
      </c>
      <c r="K100" s="94">
        <v>73</v>
      </c>
      <c r="L100" s="92" t="s">
        <v>24</v>
      </c>
      <c r="M100" s="92" t="s">
        <v>19</v>
      </c>
      <c r="N100" s="20">
        <f t="shared" si="1"/>
        <v>0.19310344827586207</v>
      </c>
    </row>
    <row r="101" spans="1:14" x14ac:dyDescent="0.3">
      <c r="A101" s="87" t="s">
        <v>187</v>
      </c>
      <c r="B101" s="88" t="s">
        <v>14</v>
      </c>
      <c r="C101" s="89">
        <v>45724</v>
      </c>
      <c r="D101" s="88" t="s">
        <v>22</v>
      </c>
      <c r="E101" s="88" t="s">
        <v>23</v>
      </c>
      <c r="F101" s="94">
        <v>1292</v>
      </c>
      <c r="G101" s="94">
        <v>626</v>
      </c>
      <c r="H101" s="94">
        <v>496</v>
      </c>
      <c r="I101" s="94">
        <v>25840</v>
      </c>
      <c r="J101" s="94">
        <v>24916</v>
      </c>
      <c r="K101" s="94">
        <v>149</v>
      </c>
      <c r="L101" s="92" t="s">
        <v>58</v>
      </c>
      <c r="M101" s="92" t="s">
        <v>55</v>
      </c>
      <c r="N101" s="20">
        <f t="shared" si="1"/>
        <v>9.3421052631578946E-2</v>
      </c>
    </row>
    <row r="102" spans="1:14" x14ac:dyDescent="0.3">
      <c r="A102" s="87" t="s">
        <v>187</v>
      </c>
      <c r="B102" s="88" t="s">
        <v>14</v>
      </c>
      <c r="C102" s="89">
        <v>45724</v>
      </c>
      <c r="D102" s="88" t="s">
        <v>22</v>
      </c>
      <c r="E102" s="88" t="s">
        <v>23</v>
      </c>
      <c r="F102" s="94">
        <v>1292</v>
      </c>
      <c r="G102" s="94">
        <v>626</v>
      </c>
      <c r="H102" s="94">
        <v>496</v>
      </c>
      <c r="I102" s="94">
        <v>25840</v>
      </c>
      <c r="J102" s="94">
        <v>24916</v>
      </c>
      <c r="K102" s="94">
        <v>149</v>
      </c>
      <c r="L102" s="92" t="s">
        <v>44</v>
      </c>
      <c r="M102" s="92" t="s">
        <v>55</v>
      </c>
      <c r="N102" s="20">
        <f t="shared" si="1"/>
        <v>9.3421052631578946E-2</v>
      </c>
    </row>
    <row r="103" spans="1:14" x14ac:dyDescent="0.3">
      <c r="A103" s="87" t="s">
        <v>188</v>
      </c>
      <c r="B103" s="88" t="s">
        <v>40</v>
      </c>
      <c r="C103" s="89">
        <v>45749</v>
      </c>
      <c r="D103" s="88" t="s">
        <v>69</v>
      </c>
      <c r="E103" s="88" t="s">
        <v>70</v>
      </c>
      <c r="F103" s="94">
        <v>199</v>
      </c>
      <c r="G103" s="94">
        <v>772</v>
      </c>
      <c r="H103" s="94">
        <v>400</v>
      </c>
      <c r="I103" s="94">
        <v>3582</v>
      </c>
      <c r="J103" s="94">
        <v>2988</v>
      </c>
      <c r="K103" s="94">
        <v>43</v>
      </c>
      <c r="L103" s="92" t="s">
        <v>44</v>
      </c>
      <c r="M103" s="92" t="s">
        <v>19</v>
      </c>
      <c r="N103" s="20">
        <f t="shared" si="1"/>
        <v>0.38274706867671693</v>
      </c>
    </row>
    <row r="104" spans="1:14" x14ac:dyDescent="0.3">
      <c r="A104" s="87" t="s">
        <v>190</v>
      </c>
      <c r="B104" s="88" t="s">
        <v>577</v>
      </c>
      <c r="C104" s="89">
        <v>45537</v>
      </c>
      <c r="D104" s="88" t="s">
        <v>42</v>
      </c>
      <c r="E104" s="88" t="s">
        <v>43</v>
      </c>
      <c r="F104" s="94">
        <v>2551</v>
      </c>
      <c r="G104" s="94">
        <v>915</v>
      </c>
      <c r="H104" s="94">
        <v>205</v>
      </c>
      <c r="I104" s="94">
        <v>30612</v>
      </c>
      <c r="J104" s="94">
        <v>30360</v>
      </c>
      <c r="K104" s="94">
        <v>227</v>
      </c>
      <c r="L104" s="92" t="s">
        <v>18</v>
      </c>
      <c r="M104" s="92" t="s">
        <v>25</v>
      </c>
      <c r="N104" s="20">
        <f t="shared" si="1"/>
        <v>0.1199202926956749</v>
      </c>
    </row>
    <row r="105" spans="1:14" x14ac:dyDescent="0.3">
      <c r="A105" s="87" t="s">
        <v>190</v>
      </c>
      <c r="B105" s="88" t="s">
        <v>577</v>
      </c>
      <c r="C105" s="89">
        <v>45537</v>
      </c>
      <c r="D105" s="88" t="s">
        <v>42</v>
      </c>
      <c r="E105" s="88" t="s">
        <v>43</v>
      </c>
      <c r="F105" s="94">
        <v>2551</v>
      </c>
      <c r="G105" s="94">
        <v>915</v>
      </c>
      <c r="H105" s="94">
        <v>205</v>
      </c>
      <c r="I105" s="94">
        <v>30612</v>
      </c>
      <c r="J105" s="94">
        <v>30360</v>
      </c>
      <c r="K105" s="94">
        <v>227</v>
      </c>
      <c r="L105" s="92" t="s">
        <v>77</v>
      </c>
      <c r="M105" s="92" t="s">
        <v>25</v>
      </c>
      <c r="N105" s="20">
        <f t="shared" si="1"/>
        <v>0.1199202926956749</v>
      </c>
    </row>
    <row r="106" spans="1:14" x14ac:dyDescent="0.3">
      <c r="A106" s="87" t="s">
        <v>192</v>
      </c>
      <c r="B106" s="88" t="s">
        <v>577</v>
      </c>
      <c r="C106" s="89">
        <v>45719</v>
      </c>
      <c r="D106" s="88" t="s">
        <v>16</v>
      </c>
      <c r="E106" s="88" t="s">
        <v>17</v>
      </c>
      <c r="F106" s="94">
        <v>296</v>
      </c>
      <c r="G106" s="94">
        <v>60</v>
      </c>
      <c r="H106" s="94">
        <v>141</v>
      </c>
      <c r="I106" s="94">
        <v>5624</v>
      </c>
      <c r="J106" s="94">
        <v>5239</v>
      </c>
      <c r="K106" s="94">
        <v>88</v>
      </c>
      <c r="L106" s="92" t="s">
        <v>44</v>
      </c>
      <c r="M106" s="92" t="s">
        <v>55</v>
      </c>
      <c r="N106" s="20">
        <f t="shared" si="1"/>
        <v>8.837126600284495E-2</v>
      </c>
    </row>
    <row r="107" spans="1:14" x14ac:dyDescent="0.3">
      <c r="A107" s="87" t="s">
        <v>194</v>
      </c>
      <c r="B107" s="88" t="s">
        <v>40</v>
      </c>
      <c r="C107" s="89">
        <v>45583</v>
      </c>
      <c r="D107" s="88" t="s">
        <v>33</v>
      </c>
      <c r="E107" s="88" t="s">
        <v>34</v>
      </c>
      <c r="F107" s="94">
        <v>4126</v>
      </c>
      <c r="G107" s="94">
        <v>426</v>
      </c>
      <c r="H107" s="94">
        <v>486</v>
      </c>
      <c r="I107" s="94">
        <v>78394</v>
      </c>
      <c r="J107" s="94">
        <v>77798</v>
      </c>
      <c r="K107" s="94">
        <v>88</v>
      </c>
      <c r="L107" s="92" t="s">
        <v>24</v>
      </c>
      <c r="M107" s="92" t="s">
        <v>19</v>
      </c>
      <c r="N107" s="20">
        <f t="shared" si="1"/>
        <v>6.4265122330790625E-2</v>
      </c>
    </row>
    <row r="108" spans="1:14" x14ac:dyDescent="0.3">
      <c r="A108" s="87" t="s">
        <v>196</v>
      </c>
      <c r="B108" s="88" t="s">
        <v>577</v>
      </c>
      <c r="C108" s="89">
        <v>45593</v>
      </c>
      <c r="D108" s="88" t="s">
        <v>16</v>
      </c>
      <c r="E108" s="88" t="s">
        <v>17</v>
      </c>
      <c r="F108" s="94">
        <v>1855</v>
      </c>
      <c r="G108" s="94">
        <v>200</v>
      </c>
      <c r="H108" s="94">
        <v>174</v>
      </c>
      <c r="I108" s="94">
        <v>16695</v>
      </c>
      <c r="J108" s="94">
        <v>16330</v>
      </c>
      <c r="K108" s="94">
        <v>123</v>
      </c>
      <c r="L108" s="92" t="s">
        <v>24</v>
      </c>
      <c r="M108" s="92" t="s">
        <v>38</v>
      </c>
      <c r="N108" s="20">
        <f t="shared" si="1"/>
        <v>0.13351302785265048</v>
      </c>
    </row>
    <row r="109" spans="1:14" x14ac:dyDescent="0.3">
      <c r="A109" s="87" t="s">
        <v>198</v>
      </c>
      <c r="B109" s="88" t="s">
        <v>31</v>
      </c>
      <c r="C109" s="89">
        <v>45505</v>
      </c>
      <c r="D109" s="88" t="s">
        <v>16</v>
      </c>
      <c r="E109" s="88" t="s">
        <v>17</v>
      </c>
      <c r="F109" s="94">
        <v>1674</v>
      </c>
      <c r="G109" s="94">
        <v>929</v>
      </c>
      <c r="H109" s="94">
        <v>37</v>
      </c>
      <c r="I109" s="94">
        <v>21762</v>
      </c>
      <c r="J109" s="94">
        <v>20998</v>
      </c>
      <c r="K109" s="94">
        <v>255</v>
      </c>
      <c r="L109" s="92" t="s">
        <v>58</v>
      </c>
      <c r="M109" s="92" t="s">
        <v>38</v>
      </c>
      <c r="N109" s="20">
        <f t="shared" si="1"/>
        <v>0.12131237937689551</v>
      </c>
    </row>
    <row r="110" spans="1:14" x14ac:dyDescent="0.3">
      <c r="A110" s="87" t="s">
        <v>198</v>
      </c>
      <c r="B110" s="88" t="s">
        <v>31</v>
      </c>
      <c r="C110" s="89">
        <v>45505</v>
      </c>
      <c r="D110" s="88" t="s">
        <v>16</v>
      </c>
      <c r="E110" s="88" t="s">
        <v>17</v>
      </c>
      <c r="F110" s="94">
        <v>1674</v>
      </c>
      <c r="G110" s="94">
        <v>929</v>
      </c>
      <c r="H110" s="94">
        <v>37</v>
      </c>
      <c r="I110" s="94">
        <v>21762</v>
      </c>
      <c r="J110" s="94">
        <v>20998</v>
      </c>
      <c r="K110" s="94">
        <v>255</v>
      </c>
      <c r="L110" s="92" t="s">
        <v>77</v>
      </c>
      <c r="M110" s="92" t="s">
        <v>38</v>
      </c>
      <c r="N110" s="20">
        <f t="shared" si="1"/>
        <v>0.12131237937689551</v>
      </c>
    </row>
    <row r="111" spans="1:14" x14ac:dyDescent="0.3">
      <c r="A111" s="87" t="s">
        <v>200</v>
      </c>
      <c r="B111" s="88" t="s">
        <v>14</v>
      </c>
      <c r="C111" s="89">
        <v>45603</v>
      </c>
      <c r="D111" s="88" t="s">
        <v>33</v>
      </c>
      <c r="E111" s="88" t="s">
        <v>34</v>
      </c>
      <c r="F111" s="94">
        <v>1121</v>
      </c>
      <c r="G111" s="94">
        <v>135</v>
      </c>
      <c r="H111" s="94">
        <v>18</v>
      </c>
      <c r="I111" s="94">
        <v>15694</v>
      </c>
      <c r="J111" s="94">
        <v>14957</v>
      </c>
      <c r="K111" s="94">
        <v>99</v>
      </c>
      <c r="L111" s="92" t="s">
        <v>18</v>
      </c>
      <c r="M111" s="92" t="s">
        <v>55</v>
      </c>
      <c r="N111" s="20">
        <f t="shared" si="1"/>
        <v>8.1177520071364848E-2</v>
      </c>
    </row>
    <row r="112" spans="1:14" x14ac:dyDescent="0.3">
      <c r="A112" s="87" t="s">
        <v>200</v>
      </c>
      <c r="B112" s="88" t="s">
        <v>14</v>
      </c>
      <c r="C112" s="89">
        <v>45603</v>
      </c>
      <c r="D112" s="88" t="s">
        <v>33</v>
      </c>
      <c r="E112" s="88" t="s">
        <v>34</v>
      </c>
      <c r="F112" s="94">
        <v>1121</v>
      </c>
      <c r="G112" s="94">
        <v>135</v>
      </c>
      <c r="H112" s="94">
        <v>18</v>
      </c>
      <c r="I112" s="94">
        <v>15694</v>
      </c>
      <c r="J112" s="94">
        <v>14957</v>
      </c>
      <c r="K112" s="94">
        <v>99</v>
      </c>
      <c r="L112" s="92" t="s">
        <v>24</v>
      </c>
      <c r="M112" s="92" t="s">
        <v>55</v>
      </c>
      <c r="N112" s="20">
        <f t="shared" si="1"/>
        <v>8.1177520071364848E-2</v>
      </c>
    </row>
    <row r="113" spans="1:14" x14ac:dyDescent="0.3">
      <c r="A113" s="87" t="s">
        <v>202</v>
      </c>
      <c r="B113" s="88" t="s">
        <v>40</v>
      </c>
      <c r="C113" s="89">
        <v>45720</v>
      </c>
      <c r="D113" s="88" t="s">
        <v>33</v>
      </c>
      <c r="E113" s="88" t="s">
        <v>34</v>
      </c>
      <c r="F113" s="94">
        <v>1249</v>
      </c>
      <c r="G113" s="94">
        <v>116</v>
      </c>
      <c r="H113" s="94">
        <v>420</v>
      </c>
      <c r="I113" s="94">
        <v>8743</v>
      </c>
      <c r="J113" s="94">
        <v>8538</v>
      </c>
      <c r="K113" s="94">
        <v>63</v>
      </c>
      <c r="L113" s="92" t="s">
        <v>24</v>
      </c>
      <c r="M113" s="92" t="s">
        <v>38</v>
      </c>
      <c r="N113" s="20">
        <f t="shared" si="1"/>
        <v>0.20416333066453163</v>
      </c>
    </row>
    <row r="114" spans="1:14" x14ac:dyDescent="0.3">
      <c r="A114" s="87" t="s">
        <v>202</v>
      </c>
      <c r="B114" s="88" t="s">
        <v>40</v>
      </c>
      <c r="C114" s="89">
        <v>45720</v>
      </c>
      <c r="D114" s="88" t="s">
        <v>33</v>
      </c>
      <c r="E114" s="88" t="s">
        <v>34</v>
      </c>
      <c r="F114" s="94">
        <v>1249</v>
      </c>
      <c r="G114" s="94">
        <v>116</v>
      </c>
      <c r="H114" s="94">
        <v>420</v>
      </c>
      <c r="I114" s="94">
        <v>8743</v>
      </c>
      <c r="J114" s="94">
        <v>8538</v>
      </c>
      <c r="K114" s="94">
        <v>63</v>
      </c>
      <c r="L114" s="92" t="s">
        <v>77</v>
      </c>
      <c r="M114" s="92" t="s">
        <v>38</v>
      </c>
      <c r="N114" s="20">
        <f t="shared" si="1"/>
        <v>0.20416333066453163</v>
      </c>
    </row>
    <row r="115" spans="1:14" x14ac:dyDescent="0.3">
      <c r="A115" s="87" t="s">
        <v>203</v>
      </c>
      <c r="B115" s="88" t="s">
        <v>14</v>
      </c>
      <c r="C115" s="89">
        <v>45460</v>
      </c>
      <c r="D115" s="88" t="s">
        <v>49</v>
      </c>
      <c r="E115" s="88" t="s">
        <v>50</v>
      </c>
      <c r="F115" s="94">
        <v>954</v>
      </c>
      <c r="G115" s="94">
        <v>324</v>
      </c>
      <c r="H115" s="94">
        <v>288</v>
      </c>
      <c r="I115" s="94">
        <v>19080</v>
      </c>
      <c r="J115" s="94">
        <v>18859</v>
      </c>
      <c r="K115" s="94">
        <v>21</v>
      </c>
      <c r="L115" s="92" t="s">
        <v>44</v>
      </c>
      <c r="M115" s="92" t="s">
        <v>38</v>
      </c>
      <c r="N115" s="20">
        <f t="shared" si="1"/>
        <v>8.2075471698113203E-2</v>
      </c>
    </row>
    <row r="116" spans="1:14" x14ac:dyDescent="0.3">
      <c r="A116" s="87" t="s">
        <v>204</v>
      </c>
      <c r="B116" s="88" t="s">
        <v>31</v>
      </c>
      <c r="C116" s="89">
        <v>45574</v>
      </c>
      <c r="D116" s="88" t="s">
        <v>42</v>
      </c>
      <c r="E116" s="88" t="s">
        <v>43</v>
      </c>
      <c r="F116" s="94">
        <v>3068</v>
      </c>
      <c r="G116" s="94">
        <v>137</v>
      </c>
      <c r="H116" s="94">
        <v>329</v>
      </c>
      <c r="I116" s="94">
        <v>39884</v>
      </c>
      <c r="J116" s="94">
        <v>39404</v>
      </c>
      <c r="K116" s="94">
        <v>266</v>
      </c>
      <c r="L116" s="92" t="s">
        <v>18</v>
      </c>
      <c r="M116" s="92" t="s">
        <v>38</v>
      </c>
      <c r="N116" s="20">
        <f t="shared" si="1"/>
        <v>8.860696018453515E-2</v>
      </c>
    </row>
    <row r="117" spans="1:14" x14ac:dyDescent="0.3">
      <c r="A117" s="87" t="s">
        <v>204</v>
      </c>
      <c r="B117" s="88" t="s">
        <v>31</v>
      </c>
      <c r="C117" s="89">
        <v>45574</v>
      </c>
      <c r="D117" s="88" t="s">
        <v>42</v>
      </c>
      <c r="E117" s="88" t="s">
        <v>43</v>
      </c>
      <c r="F117" s="94">
        <v>3068</v>
      </c>
      <c r="G117" s="94">
        <v>137</v>
      </c>
      <c r="H117" s="94">
        <v>329</v>
      </c>
      <c r="I117" s="94">
        <v>39884</v>
      </c>
      <c r="J117" s="94">
        <v>39404</v>
      </c>
      <c r="K117" s="94">
        <v>266</v>
      </c>
      <c r="L117" s="92" t="s">
        <v>44</v>
      </c>
      <c r="M117" s="92" t="s">
        <v>38</v>
      </c>
      <c r="N117" s="20">
        <f t="shared" si="1"/>
        <v>8.860696018453515E-2</v>
      </c>
    </row>
    <row r="118" spans="1:14" x14ac:dyDescent="0.3">
      <c r="A118" s="87" t="s">
        <v>206</v>
      </c>
      <c r="B118" s="88" t="s">
        <v>31</v>
      </c>
      <c r="C118" s="89">
        <v>45456</v>
      </c>
      <c r="D118" s="88" t="s">
        <v>33</v>
      </c>
      <c r="E118" s="88" t="s">
        <v>34</v>
      </c>
      <c r="F118" s="94">
        <v>2103</v>
      </c>
      <c r="G118" s="94">
        <v>892</v>
      </c>
      <c r="H118" s="94">
        <v>103</v>
      </c>
      <c r="I118" s="94">
        <v>39957</v>
      </c>
      <c r="J118" s="94">
        <v>39466</v>
      </c>
      <c r="K118" s="94">
        <v>28</v>
      </c>
      <c r="L118" s="92" t="s">
        <v>77</v>
      </c>
      <c r="M118" s="92" t="s">
        <v>25</v>
      </c>
      <c r="N118" s="20">
        <f t="shared" si="1"/>
        <v>7.7533348349475686E-2</v>
      </c>
    </row>
    <row r="119" spans="1:14" x14ac:dyDescent="0.3">
      <c r="A119" s="87" t="s">
        <v>206</v>
      </c>
      <c r="B119" s="88" t="s">
        <v>31</v>
      </c>
      <c r="C119" s="89">
        <v>45456</v>
      </c>
      <c r="D119" s="88" t="s">
        <v>33</v>
      </c>
      <c r="E119" s="88" t="s">
        <v>34</v>
      </c>
      <c r="F119" s="94">
        <v>2103</v>
      </c>
      <c r="G119" s="94">
        <v>892</v>
      </c>
      <c r="H119" s="94">
        <v>103</v>
      </c>
      <c r="I119" s="94">
        <v>39957</v>
      </c>
      <c r="J119" s="94">
        <v>39466</v>
      </c>
      <c r="K119" s="94">
        <v>28</v>
      </c>
      <c r="L119" s="92" t="s">
        <v>24</v>
      </c>
      <c r="M119" s="92" t="s">
        <v>25</v>
      </c>
      <c r="N119" s="20">
        <f t="shared" si="1"/>
        <v>7.7533348349475686E-2</v>
      </c>
    </row>
    <row r="120" spans="1:14" x14ac:dyDescent="0.3">
      <c r="A120" s="87" t="s">
        <v>207</v>
      </c>
      <c r="B120" s="88" t="s">
        <v>31</v>
      </c>
      <c r="C120" s="89">
        <v>45584</v>
      </c>
      <c r="D120" s="88" t="s">
        <v>33</v>
      </c>
      <c r="E120" s="88" t="s">
        <v>34</v>
      </c>
      <c r="F120" s="94">
        <v>1816</v>
      </c>
      <c r="G120" s="94">
        <v>29</v>
      </c>
      <c r="H120" s="94">
        <v>41</v>
      </c>
      <c r="I120" s="94">
        <v>19976</v>
      </c>
      <c r="J120" s="94">
        <v>19262</v>
      </c>
      <c r="K120" s="94">
        <v>283</v>
      </c>
      <c r="L120" s="92" t="s">
        <v>44</v>
      </c>
      <c r="M120" s="92" t="s">
        <v>38</v>
      </c>
      <c r="N120" s="20">
        <f t="shared" si="1"/>
        <v>9.4413295955146179E-2</v>
      </c>
    </row>
    <row r="121" spans="1:14" x14ac:dyDescent="0.3">
      <c r="A121" s="87" t="s">
        <v>207</v>
      </c>
      <c r="B121" s="88" t="s">
        <v>31</v>
      </c>
      <c r="C121" s="89">
        <v>45584</v>
      </c>
      <c r="D121" s="88" t="s">
        <v>33</v>
      </c>
      <c r="E121" s="88" t="s">
        <v>34</v>
      </c>
      <c r="F121" s="94">
        <v>1816</v>
      </c>
      <c r="G121" s="94">
        <v>29</v>
      </c>
      <c r="H121" s="94">
        <v>41</v>
      </c>
      <c r="I121" s="94">
        <v>19976</v>
      </c>
      <c r="J121" s="94">
        <v>19262</v>
      </c>
      <c r="K121" s="94">
        <v>283</v>
      </c>
      <c r="L121" s="92" t="s">
        <v>18</v>
      </c>
      <c r="M121" s="92" t="s">
        <v>38</v>
      </c>
      <c r="N121" s="20">
        <f t="shared" si="1"/>
        <v>9.4413295955146179E-2</v>
      </c>
    </row>
    <row r="122" spans="1:14" x14ac:dyDescent="0.3">
      <c r="A122" s="87" t="s">
        <v>210</v>
      </c>
      <c r="B122" s="88" t="s">
        <v>31</v>
      </c>
      <c r="C122" s="89">
        <v>45497</v>
      </c>
      <c r="D122" s="88" t="s">
        <v>49</v>
      </c>
      <c r="E122" s="88" t="s">
        <v>50</v>
      </c>
      <c r="F122" s="94">
        <v>725</v>
      </c>
      <c r="G122" s="94">
        <v>88</v>
      </c>
      <c r="H122" s="94">
        <v>428</v>
      </c>
      <c r="I122" s="94">
        <v>14500</v>
      </c>
      <c r="J122" s="94">
        <v>13637</v>
      </c>
      <c r="K122" s="94">
        <v>200</v>
      </c>
      <c r="L122" s="92" t="s">
        <v>44</v>
      </c>
      <c r="M122" s="92" t="s">
        <v>38</v>
      </c>
      <c r="N122" s="20">
        <f t="shared" si="1"/>
        <v>8.558620689655172E-2</v>
      </c>
    </row>
    <row r="123" spans="1:14" x14ac:dyDescent="0.3">
      <c r="A123" s="87" t="s">
        <v>212</v>
      </c>
      <c r="B123" s="88" t="s">
        <v>577</v>
      </c>
      <c r="C123" s="89">
        <v>45580</v>
      </c>
      <c r="D123" s="88" t="s">
        <v>69</v>
      </c>
      <c r="E123" s="88" t="s">
        <v>70</v>
      </c>
      <c r="F123" s="94">
        <v>1094</v>
      </c>
      <c r="G123" s="94">
        <v>472</v>
      </c>
      <c r="H123" s="94">
        <v>21</v>
      </c>
      <c r="I123" s="94">
        <v>9846</v>
      </c>
      <c r="J123" s="94">
        <v>9609</v>
      </c>
      <c r="K123" s="94">
        <v>112</v>
      </c>
      <c r="L123" s="92" t="s">
        <v>44</v>
      </c>
      <c r="M123" s="92" t="s">
        <v>38</v>
      </c>
      <c r="N123" s="20">
        <f t="shared" si="1"/>
        <v>0.16118220597196831</v>
      </c>
    </row>
    <row r="124" spans="1:14" x14ac:dyDescent="0.3">
      <c r="A124" s="87" t="s">
        <v>212</v>
      </c>
      <c r="B124" s="88" t="s">
        <v>577</v>
      </c>
      <c r="C124" s="89">
        <v>45580</v>
      </c>
      <c r="D124" s="88" t="s">
        <v>69</v>
      </c>
      <c r="E124" s="88" t="s">
        <v>70</v>
      </c>
      <c r="F124" s="94">
        <v>1094</v>
      </c>
      <c r="G124" s="94">
        <v>472</v>
      </c>
      <c r="H124" s="94">
        <v>21</v>
      </c>
      <c r="I124" s="94">
        <v>9846</v>
      </c>
      <c r="J124" s="94">
        <v>9609</v>
      </c>
      <c r="K124" s="94">
        <v>112</v>
      </c>
      <c r="L124" s="92" t="s">
        <v>58</v>
      </c>
      <c r="M124" s="92" t="s">
        <v>38</v>
      </c>
      <c r="N124" s="20">
        <f t="shared" si="1"/>
        <v>0.16118220597196831</v>
      </c>
    </row>
    <row r="125" spans="1:14" x14ac:dyDescent="0.3">
      <c r="A125" s="87" t="s">
        <v>215</v>
      </c>
      <c r="B125" s="88" t="s">
        <v>40</v>
      </c>
      <c r="C125" s="89">
        <v>45635</v>
      </c>
      <c r="D125" s="88" t="s">
        <v>49</v>
      </c>
      <c r="E125" s="88" t="s">
        <v>50</v>
      </c>
      <c r="F125" s="94">
        <v>1841</v>
      </c>
      <c r="G125" s="94">
        <v>851</v>
      </c>
      <c r="H125" s="94">
        <v>342</v>
      </c>
      <c r="I125" s="94">
        <v>34979</v>
      </c>
      <c r="J125" s="94">
        <v>34154</v>
      </c>
      <c r="K125" s="94">
        <v>255</v>
      </c>
      <c r="L125" s="92" t="s">
        <v>24</v>
      </c>
      <c r="M125" s="92" t="s">
        <v>19</v>
      </c>
      <c r="N125" s="20">
        <f t="shared" si="1"/>
        <v>8.6737756939878216E-2</v>
      </c>
    </row>
    <row r="126" spans="1:14" x14ac:dyDescent="0.3">
      <c r="A126" s="87" t="s">
        <v>215</v>
      </c>
      <c r="B126" s="88" t="s">
        <v>40</v>
      </c>
      <c r="C126" s="89">
        <v>45635</v>
      </c>
      <c r="D126" s="88" t="s">
        <v>49</v>
      </c>
      <c r="E126" s="88" t="s">
        <v>50</v>
      </c>
      <c r="F126" s="94">
        <v>1841</v>
      </c>
      <c r="G126" s="94">
        <v>851</v>
      </c>
      <c r="H126" s="94">
        <v>342</v>
      </c>
      <c r="I126" s="94">
        <v>34979</v>
      </c>
      <c r="J126" s="94">
        <v>34154</v>
      </c>
      <c r="K126" s="94">
        <v>255</v>
      </c>
      <c r="L126" s="92" t="s">
        <v>77</v>
      </c>
      <c r="M126" s="92" t="s">
        <v>19</v>
      </c>
      <c r="N126" s="20">
        <f t="shared" si="1"/>
        <v>8.6737756939878216E-2</v>
      </c>
    </row>
    <row r="127" spans="1:14" x14ac:dyDescent="0.3">
      <c r="A127" s="87" t="s">
        <v>217</v>
      </c>
      <c r="B127" s="88" t="s">
        <v>31</v>
      </c>
      <c r="C127" s="89">
        <v>45766</v>
      </c>
      <c r="D127" s="88" t="s">
        <v>49</v>
      </c>
      <c r="E127" s="88" t="s">
        <v>50</v>
      </c>
      <c r="F127" s="94">
        <v>4177</v>
      </c>
      <c r="G127" s="94">
        <v>569</v>
      </c>
      <c r="H127" s="94">
        <v>55</v>
      </c>
      <c r="I127" s="94">
        <v>25062</v>
      </c>
      <c r="J127" s="94">
        <v>24847</v>
      </c>
      <c r="K127" s="94">
        <v>230</v>
      </c>
      <c r="L127" s="92" t="s">
        <v>24</v>
      </c>
      <c r="M127" s="92" t="s">
        <v>19</v>
      </c>
      <c r="N127" s="20">
        <f t="shared" si="1"/>
        <v>0.19156491900087783</v>
      </c>
    </row>
    <row r="128" spans="1:14" x14ac:dyDescent="0.3">
      <c r="A128" s="87" t="s">
        <v>218</v>
      </c>
      <c r="B128" s="88" t="s">
        <v>577</v>
      </c>
      <c r="C128" s="89">
        <v>45684</v>
      </c>
      <c r="D128" s="88" t="s">
        <v>22</v>
      </c>
      <c r="E128" s="88" t="s">
        <v>23</v>
      </c>
      <c r="F128" s="94">
        <v>3428</v>
      </c>
      <c r="G128" s="94">
        <v>305</v>
      </c>
      <c r="H128" s="94">
        <v>85</v>
      </c>
      <c r="I128" s="94">
        <v>58276</v>
      </c>
      <c r="J128" s="94">
        <v>58052</v>
      </c>
      <c r="K128" s="94">
        <v>242</v>
      </c>
      <c r="L128" s="92" t="s">
        <v>44</v>
      </c>
      <c r="M128" s="92" t="s">
        <v>38</v>
      </c>
      <c r="N128" s="20">
        <f t="shared" si="1"/>
        <v>6.5515821264328367E-2</v>
      </c>
    </row>
    <row r="129" spans="1:14" x14ac:dyDescent="0.3">
      <c r="A129" s="87" t="s">
        <v>218</v>
      </c>
      <c r="B129" s="88" t="s">
        <v>577</v>
      </c>
      <c r="C129" s="89">
        <v>45684</v>
      </c>
      <c r="D129" s="88" t="s">
        <v>22</v>
      </c>
      <c r="E129" s="88" t="s">
        <v>23</v>
      </c>
      <c r="F129" s="94">
        <v>3428</v>
      </c>
      <c r="G129" s="94">
        <v>305</v>
      </c>
      <c r="H129" s="94">
        <v>85</v>
      </c>
      <c r="I129" s="94">
        <v>58276</v>
      </c>
      <c r="J129" s="94">
        <v>58052</v>
      </c>
      <c r="K129" s="94">
        <v>242</v>
      </c>
      <c r="L129" s="92" t="s">
        <v>58</v>
      </c>
      <c r="M129" s="92" t="s">
        <v>38</v>
      </c>
      <c r="N129" s="20">
        <f t="shared" si="1"/>
        <v>6.5515821264328367E-2</v>
      </c>
    </row>
    <row r="130" spans="1:14" x14ac:dyDescent="0.3">
      <c r="A130" s="87" t="s">
        <v>220</v>
      </c>
      <c r="B130" s="88" t="s">
        <v>14</v>
      </c>
      <c r="C130" s="89">
        <v>45449</v>
      </c>
      <c r="D130" s="88" t="s">
        <v>69</v>
      </c>
      <c r="E130" s="88" t="s">
        <v>70</v>
      </c>
      <c r="F130" s="94">
        <v>1436</v>
      </c>
      <c r="G130" s="94">
        <v>765</v>
      </c>
      <c r="H130" s="94">
        <v>496</v>
      </c>
      <c r="I130" s="94">
        <v>12924</v>
      </c>
      <c r="J130" s="94">
        <v>12701</v>
      </c>
      <c r="K130" s="94">
        <v>197</v>
      </c>
      <c r="L130" s="92" t="s">
        <v>44</v>
      </c>
      <c r="M130" s="92" t="s">
        <v>25</v>
      </c>
      <c r="N130" s="20">
        <f t="shared" si="1"/>
        <v>0.20868152274837512</v>
      </c>
    </row>
    <row r="131" spans="1:14" x14ac:dyDescent="0.3">
      <c r="A131" s="87" t="s">
        <v>220</v>
      </c>
      <c r="B131" s="88" t="s">
        <v>14</v>
      </c>
      <c r="C131" s="89">
        <v>45449</v>
      </c>
      <c r="D131" s="88" t="s">
        <v>69</v>
      </c>
      <c r="E131" s="88" t="s">
        <v>70</v>
      </c>
      <c r="F131" s="94">
        <v>1436</v>
      </c>
      <c r="G131" s="94">
        <v>765</v>
      </c>
      <c r="H131" s="94">
        <v>496</v>
      </c>
      <c r="I131" s="94">
        <v>12924</v>
      </c>
      <c r="J131" s="94">
        <v>12701</v>
      </c>
      <c r="K131" s="94">
        <v>197</v>
      </c>
      <c r="L131" s="92" t="s">
        <v>18</v>
      </c>
      <c r="M131" s="92" t="s">
        <v>25</v>
      </c>
      <c r="N131" s="20">
        <f t="shared" ref="N131:N194" si="2">SUM(F131,G131,H131)/I131</f>
        <v>0.20868152274837512</v>
      </c>
    </row>
    <row r="132" spans="1:14" x14ac:dyDescent="0.3">
      <c r="A132" s="87" t="s">
        <v>222</v>
      </c>
      <c r="B132" s="88" t="s">
        <v>40</v>
      </c>
      <c r="C132" s="89">
        <v>45480</v>
      </c>
      <c r="D132" s="88" t="s">
        <v>33</v>
      </c>
      <c r="E132" s="88" t="s">
        <v>34</v>
      </c>
      <c r="F132" s="94">
        <v>302</v>
      </c>
      <c r="G132" s="94">
        <v>47</v>
      </c>
      <c r="H132" s="94">
        <v>430</v>
      </c>
      <c r="I132" s="94">
        <v>5738</v>
      </c>
      <c r="J132" s="94">
        <v>4890</v>
      </c>
      <c r="K132" s="94">
        <v>25</v>
      </c>
      <c r="L132" s="92" t="s">
        <v>24</v>
      </c>
      <c r="M132" s="92" t="s">
        <v>25</v>
      </c>
      <c r="N132" s="20">
        <f t="shared" si="2"/>
        <v>0.13576158940397351</v>
      </c>
    </row>
    <row r="133" spans="1:14" x14ac:dyDescent="0.3">
      <c r="A133" s="87" t="s">
        <v>222</v>
      </c>
      <c r="B133" s="88" t="s">
        <v>40</v>
      </c>
      <c r="C133" s="89">
        <v>45480</v>
      </c>
      <c r="D133" s="88" t="s">
        <v>33</v>
      </c>
      <c r="E133" s="88" t="s">
        <v>34</v>
      </c>
      <c r="F133" s="94">
        <v>302</v>
      </c>
      <c r="G133" s="94">
        <v>47</v>
      </c>
      <c r="H133" s="94">
        <v>430</v>
      </c>
      <c r="I133" s="94">
        <v>5738</v>
      </c>
      <c r="J133" s="94">
        <v>4890</v>
      </c>
      <c r="K133" s="94">
        <v>25</v>
      </c>
      <c r="L133" s="92" t="s">
        <v>18</v>
      </c>
      <c r="M133" s="92" t="s">
        <v>25</v>
      </c>
      <c r="N133" s="20">
        <f t="shared" si="2"/>
        <v>0.13576158940397351</v>
      </c>
    </row>
    <row r="134" spans="1:14" x14ac:dyDescent="0.3">
      <c r="A134" s="87" t="s">
        <v>224</v>
      </c>
      <c r="B134" s="88" t="s">
        <v>14</v>
      </c>
      <c r="C134" s="89">
        <v>45667</v>
      </c>
      <c r="D134" s="88" t="s">
        <v>49</v>
      </c>
      <c r="E134" s="88" t="s">
        <v>50</v>
      </c>
      <c r="F134" s="94">
        <v>2214</v>
      </c>
      <c r="G134" s="94">
        <v>249</v>
      </c>
      <c r="H134" s="94">
        <v>152</v>
      </c>
      <c r="I134" s="94">
        <v>15498</v>
      </c>
      <c r="J134" s="94">
        <v>14800</v>
      </c>
      <c r="K134" s="94">
        <v>180</v>
      </c>
      <c r="L134" s="92" t="s">
        <v>18</v>
      </c>
      <c r="M134" s="92" t="s">
        <v>25</v>
      </c>
      <c r="N134" s="20">
        <f t="shared" si="2"/>
        <v>0.16873144921925409</v>
      </c>
    </row>
    <row r="135" spans="1:14" x14ac:dyDescent="0.3">
      <c r="A135" s="87" t="s">
        <v>226</v>
      </c>
      <c r="B135" s="88" t="s">
        <v>31</v>
      </c>
      <c r="C135" s="89">
        <v>45446</v>
      </c>
      <c r="D135" s="88" t="s">
        <v>49</v>
      </c>
      <c r="E135" s="88" t="s">
        <v>50</v>
      </c>
      <c r="F135" s="94">
        <v>3861</v>
      </c>
      <c r="G135" s="94">
        <v>960</v>
      </c>
      <c r="H135" s="94">
        <v>101</v>
      </c>
      <c r="I135" s="94">
        <v>69498</v>
      </c>
      <c r="J135" s="94">
        <v>68817</v>
      </c>
      <c r="K135" s="94">
        <v>297</v>
      </c>
      <c r="L135" s="92" t="s">
        <v>24</v>
      </c>
      <c r="M135" s="92" t="s">
        <v>25</v>
      </c>
      <c r="N135" s="20">
        <f t="shared" si="2"/>
        <v>7.0822181933293038E-2</v>
      </c>
    </row>
    <row r="136" spans="1:14" x14ac:dyDescent="0.3">
      <c r="A136" s="87" t="s">
        <v>228</v>
      </c>
      <c r="B136" s="88" t="s">
        <v>40</v>
      </c>
      <c r="C136" s="89">
        <v>45740</v>
      </c>
      <c r="D136" s="88" t="s">
        <v>49</v>
      </c>
      <c r="E136" s="88" t="s">
        <v>50</v>
      </c>
      <c r="F136" s="94">
        <v>1263</v>
      </c>
      <c r="G136" s="94">
        <v>397</v>
      </c>
      <c r="H136" s="94">
        <v>357</v>
      </c>
      <c r="I136" s="94">
        <v>25260</v>
      </c>
      <c r="J136" s="94">
        <v>24615</v>
      </c>
      <c r="K136" s="94">
        <v>137</v>
      </c>
      <c r="L136" s="92" t="s">
        <v>18</v>
      </c>
      <c r="M136" s="92" t="s">
        <v>25</v>
      </c>
      <c r="N136" s="20">
        <f t="shared" si="2"/>
        <v>7.984956452889945E-2</v>
      </c>
    </row>
    <row r="137" spans="1:14" x14ac:dyDescent="0.3">
      <c r="A137" s="87" t="s">
        <v>230</v>
      </c>
      <c r="B137" s="88" t="s">
        <v>14</v>
      </c>
      <c r="C137" s="89">
        <v>45586</v>
      </c>
      <c r="D137" s="88" t="s">
        <v>33</v>
      </c>
      <c r="E137" s="88" t="s">
        <v>34</v>
      </c>
      <c r="F137" s="94">
        <v>3801</v>
      </c>
      <c r="G137" s="94">
        <v>967</v>
      </c>
      <c r="H137" s="94">
        <v>401</v>
      </c>
      <c r="I137" s="94">
        <v>38010</v>
      </c>
      <c r="J137" s="94">
        <v>37625</v>
      </c>
      <c r="K137" s="94">
        <v>236</v>
      </c>
      <c r="L137" s="92" t="s">
        <v>58</v>
      </c>
      <c r="M137" s="92" t="s">
        <v>55</v>
      </c>
      <c r="N137" s="20">
        <f t="shared" si="2"/>
        <v>0.13599052880820836</v>
      </c>
    </row>
    <row r="138" spans="1:14" x14ac:dyDescent="0.3">
      <c r="A138" s="87" t="s">
        <v>231</v>
      </c>
      <c r="B138" s="88" t="s">
        <v>31</v>
      </c>
      <c r="C138" s="89">
        <v>45637</v>
      </c>
      <c r="D138" s="88" t="s">
        <v>69</v>
      </c>
      <c r="E138" s="88" t="s">
        <v>70</v>
      </c>
      <c r="F138" s="94">
        <v>1431</v>
      </c>
      <c r="G138" s="94">
        <v>951</v>
      </c>
      <c r="H138" s="94">
        <v>26</v>
      </c>
      <c r="I138" s="94">
        <v>8586</v>
      </c>
      <c r="J138" s="94">
        <v>8396</v>
      </c>
      <c r="K138" s="94">
        <v>150</v>
      </c>
      <c r="L138" s="92" t="s">
        <v>44</v>
      </c>
      <c r="M138" s="92" t="s">
        <v>19</v>
      </c>
      <c r="N138" s="20">
        <f t="shared" si="2"/>
        <v>0.28045655718611695</v>
      </c>
    </row>
    <row r="139" spans="1:14" x14ac:dyDescent="0.3">
      <c r="A139" s="87" t="s">
        <v>231</v>
      </c>
      <c r="B139" s="88" t="s">
        <v>31</v>
      </c>
      <c r="C139" s="89">
        <v>45637</v>
      </c>
      <c r="D139" s="88" t="s">
        <v>69</v>
      </c>
      <c r="E139" s="88" t="s">
        <v>70</v>
      </c>
      <c r="F139" s="94">
        <v>1431</v>
      </c>
      <c r="G139" s="94">
        <v>951</v>
      </c>
      <c r="H139" s="94">
        <v>26</v>
      </c>
      <c r="I139" s="94">
        <v>8586</v>
      </c>
      <c r="J139" s="94">
        <v>8396</v>
      </c>
      <c r="K139" s="94">
        <v>150</v>
      </c>
      <c r="L139" s="92" t="s">
        <v>77</v>
      </c>
      <c r="M139" s="92" t="s">
        <v>19</v>
      </c>
      <c r="N139" s="20">
        <f t="shared" si="2"/>
        <v>0.28045655718611695</v>
      </c>
    </row>
    <row r="140" spans="1:14" x14ac:dyDescent="0.3">
      <c r="A140" s="87" t="s">
        <v>233</v>
      </c>
      <c r="B140" s="88" t="s">
        <v>31</v>
      </c>
      <c r="C140" s="89">
        <v>45603</v>
      </c>
      <c r="D140" s="88" t="s">
        <v>49</v>
      </c>
      <c r="E140" s="88" t="s">
        <v>50</v>
      </c>
      <c r="F140" s="94">
        <v>2647</v>
      </c>
      <c r="G140" s="94">
        <v>304</v>
      </c>
      <c r="H140" s="94">
        <v>170</v>
      </c>
      <c r="I140" s="94">
        <v>18529</v>
      </c>
      <c r="J140" s="94">
        <v>17841</v>
      </c>
      <c r="K140" s="94">
        <v>46</v>
      </c>
      <c r="L140" s="92" t="s">
        <v>58</v>
      </c>
      <c r="M140" s="92" t="s">
        <v>25</v>
      </c>
      <c r="N140" s="20">
        <f t="shared" si="2"/>
        <v>0.16843866371633656</v>
      </c>
    </row>
    <row r="141" spans="1:14" x14ac:dyDescent="0.3">
      <c r="A141" s="87" t="s">
        <v>234</v>
      </c>
      <c r="B141" s="88" t="s">
        <v>31</v>
      </c>
      <c r="C141" s="89">
        <v>45604</v>
      </c>
      <c r="D141" s="88" t="s">
        <v>22</v>
      </c>
      <c r="E141" s="88" t="s">
        <v>23</v>
      </c>
      <c r="F141" s="94">
        <v>3182</v>
      </c>
      <c r="G141" s="94">
        <v>559</v>
      </c>
      <c r="H141" s="94">
        <v>160</v>
      </c>
      <c r="I141" s="94">
        <v>57276</v>
      </c>
      <c r="J141" s="94">
        <v>56890</v>
      </c>
      <c r="K141" s="94">
        <v>163</v>
      </c>
      <c r="L141" s="92" t="s">
        <v>58</v>
      </c>
      <c r="M141" s="92" t="s">
        <v>25</v>
      </c>
      <c r="N141" s="20">
        <f t="shared" si="2"/>
        <v>6.8108806480899509E-2</v>
      </c>
    </row>
    <row r="142" spans="1:14" x14ac:dyDescent="0.3">
      <c r="A142" s="87" t="s">
        <v>234</v>
      </c>
      <c r="B142" s="88" t="s">
        <v>31</v>
      </c>
      <c r="C142" s="89">
        <v>45604</v>
      </c>
      <c r="D142" s="88" t="s">
        <v>22</v>
      </c>
      <c r="E142" s="88" t="s">
        <v>23</v>
      </c>
      <c r="F142" s="94">
        <v>3182</v>
      </c>
      <c r="G142" s="94">
        <v>559</v>
      </c>
      <c r="H142" s="94">
        <v>160</v>
      </c>
      <c r="I142" s="94">
        <v>57276</v>
      </c>
      <c r="J142" s="94">
        <v>56890</v>
      </c>
      <c r="K142" s="94">
        <v>163</v>
      </c>
      <c r="L142" s="92" t="s">
        <v>44</v>
      </c>
      <c r="M142" s="92" t="s">
        <v>25</v>
      </c>
      <c r="N142" s="20">
        <f t="shared" si="2"/>
        <v>6.8108806480899509E-2</v>
      </c>
    </row>
    <row r="143" spans="1:14" x14ac:dyDescent="0.3">
      <c r="A143" s="87" t="s">
        <v>236</v>
      </c>
      <c r="B143" s="88" t="s">
        <v>14</v>
      </c>
      <c r="C143" s="89">
        <v>45545</v>
      </c>
      <c r="D143" s="88" t="s">
        <v>49</v>
      </c>
      <c r="E143" s="88" t="s">
        <v>50</v>
      </c>
      <c r="F143" s="94">
        <v>1238</v>
      </c>
      <c r="G143" s="94">
        <v>366</v>
      </c>
      <c r="H143" s="94">
        <v>444</v>
      </c>
      <c r="I143" s="94">
        <v>19808</v>
      </c>
      <c r="J143" s="94">
        <v>19334</v>
      </c>
      <c r="K143" s="94">
        <v>123</v>
      </c>
      <c r="L143" s="92" t="s">
        <v>77</v>
      </c>
      <c r="M143" s="92" t="s">
        <v>38</v>
      </c>
      <c r="N143" s="20">
        <f t="shared" si="2"/>
        <v>0.10339256865912763</v>
      </c>
    </row>
    <row r="144" spans="1:14" x14ac:dyDescent="0.3">
      <c r="A144" s="87" t="s">
        <v>238</v>
      </c>
      <c r="B144" s="88" t="s">
        <v>31</v>
      </c>
      <c r="C144" s="89">
        <v>45517</v>
      </c>
      <c r="D144" s="88" t="s">
        <v>49</v>
      </c>
      <c r="E144" s="88" t="s">
        <v>50</v>
      </c>
      <c r="F144" s="94">
        <v>4739</v>
      </c>
      <c r="G144" s="94">
        <v>527</v>
      </c>
      <c r="H144" s="94">
        <v>135</v>
      </c>
      <c r="I144" s="94">
        <v>61607</v>
      </c>
      <c r="J144" s="94">
        <v>61333</v>
      </c>
      <c r="K144" s="94">
        <v>36</v>
      </c>
      <c r="L144" s="92" t="s">
        <v>58</v>
      </c>
      <c r="M144" s="92" t="s">
        <v>25</v>
      </c>
      <c r="N144" s="20">
        <f t="shared" si="2"/>
        <v>8.7668609086629767E-2</v>
      </c>
    </row>
    <row r="145" spans="1:14" x14ac:dyDescent="0.3">
      <c r="A145" s="87" t="s">
        <v>238</v>
      </c>
      <c r="B145" s="88" t="s">
        <v>31</v>
      </c>
      <c r="C145" s="89">
        <v>45517</v>
      </c>
      <c r="D145" s="88" t="s">
        <v>49</v>
      </c>
      <c r="E145" s="88" t="s">
        <v>50</v>
      </c>
      <c r="F145" s="94">
        <v>4739</v>
      </c>
      <c r="G145" s="94">
        <v>527</v>
      </c>
      <c r="H145" s="94">
        <v>135</v>
      </c>
      <c r="I145" s="94">
        <v>61607</v>
      </c>
      <c r="J145" s="94">
        <v>61333</v>
      </c>
      <c r="K145" s="94">
        <v>36</v>
      </c>
      <c r="L145" s="92" t="s">
        <v>18</v>
      </c>
      <c r="M145" s="92" t="s">
        <v>25</v>
      </c>
      <c r="N145" s="20">
        <f t="shared" si="2"/>
        <v>8.7668609086629767E-2</v>
      </c>
    </row>
    <row r="146" spans="1:14" x14ac:dyDescent="0.3">
      <c r="A146" s="87" t="s">
        <v>240</v>
      </c>
      <c r="B146" s="88" t="s">
        <v>14</v>
      </c>
      <c r="C146" s="89">
        <v>45453</v>
      </c>
      <c r="D146" s="88" t="s">
        <v>33</v>
      </c>
      <c r="E146" s="88" t="s">
        <v>34</v>
      </c>
      <c r="F146" s="94">
        <v>1575</v>
      </c>
      <c r="G146" s="94">
        <v>771</v>
      </c>
      <c r="H146" s="94">
        <v>486</v>
      </c>
      <c r="I146" s="94">
        <v>25200</v>
      </c>
      <c r="J146" s="94">
        <v>24826</v>
      </c>
      <c r="K146" s="94">
        <v>17</v>
      </c>
      <c r="L146" s="92" t="s">
        <v>58</v>
      </c>
      <c r="M146" s="92" t="s">
        <v>38</v>
      </c>
      <c r="N146" s="20">
        <f t="shared" si="2"/>
        <v>0.11238095238095239</v>
      </c>
    </row>
    <row r="147" spans="1:14" x14ac:dyDescent="0.3">
      <c r="A147" s="87" t="s">
        <v>241</v>
      </c>
      <c r="B147" s="88" t="s">
        <v>577</v>
      </c>
      <c r="C147" s="89">
        <v>45475</v>
      </c>
      <c r="D147" s="88" t="s">
        <v>42</v>
      </c>
      <c r="E147" s="88" t="s">
        <v>43</v>
      </c>
      <c r="F147" s="94">
        <v>4171</v>
      </c>
      <c r="G147" s="94">
        <v>548</v>
      </c>
      <c r="H147" s="94">
        <v>86</v>
      </c>
      <c r="I147" s="94">
        <v>66736</v>
      </c>
      <c r="J147" s="94">
        <v>66634</v>
      </c>
      <c r="K147" s="94">
        <v>173</v>
      </c>
      <c r="L147" s="92" t="s">
        <v>58</v>
      </c>
      <c r="M147" s="92" t="s">
        <v>38</v>
      </c>
      <c r="N147" s="20">
        <f t="shared" si="2"/>
        <v>7.2000119875329657E-2</v>
      </c>
    </row>
    <row r="148" spans="1:14" x14ac:dyDescent="0.3">
      <c r="A148" s="87" t="s">
        <v>243</v>
      </c>
      <c r="B148" s="88" t="s">
        <v>577</v>
      </c>
      <c r="C148" s="89">
        <v>45698</v>
      </c>
      <c r="D148" s="88" t="s">
        <v>69</v>
      </c>
      <c r="E148" s="88" t="s">
        <v>70</v>
      </c>
      <c r="F148" s="94">
        <v>1766</v>
      </c>
      <c r="G148" s="94">
        <v>92</v>
      </c>
      <c r="H148" s="94">
        <v>424</v>
      </c>
      <c r="I148" s="94">
        <v>24724</v>
      </c>
      <c r="J148" s="94">
        <v>24333</v>
      </c>
      <c r="K148" s="94">
        <v>52</v>
      </c>
      <c r="L148" s="92" t="s">
        <v>58</v>
      </c>
      <c r="M148" s="92" t="s">
        <v>19</v>
      </c>
      <c r="N148" s="20">
        <f t="shared" si="2"/>
        <v>9.2298980747451867E-2</v>
      </c>
    </row>
    <row r="149" spans="1:14" x14ac:dyDescent="0.3">
      <c r="A149" s="87" t="s">
        <v>245</v>
      </c>
      <c r="B149" s="88" t="s">
        <v>577</v>
      </c>
      <c r="C149" s="89">
        <v>45583</v>
      </c>
      <c r="D149" s="88" t="s">
        <v>69</v>
      </c>
      <c r="E149" s="88" t="s">
        <v>70</v>
      </c>
      <c r="F149" s="94">
        <v>4450</v>
      </c>
      <c r="G149" s="94">
        <v>983</v>
      </c>
      <c r="H149" s="94">
        <v>143</v>
      </c>
      <c r="I149" s="94">
        <v>75650</v>
      </c>
      <c r="J149" s="94">
        <v>75008</v>
      </c>
      <c r="K149" s="94">
        <v>12</v>
      </c>
      <c r="L149" s="92" t="s">
        <v>18</v>
      </c>
      <c r="M149" s="92" t="s">
        <v>25</v>
      </c>
      <c r="N149" s="20">
        <f t="shared" si="2"/>
        <v>7.3707865168539333E-2</v>
      </c>
    </row>
    <row r="150" spans="1:14" x14ac:dyDescent="0.3">
      <c r="A150" s="87" t="s">
        <v>245</v>
      </c>
      <c r="B150" s="88" t="s">
        <v>577</v>
      </c>
      <c r="C150" s="89">
        <v>45583</v>
      </c>
      <c r="D150" s="88" t="s">
        <v>69</v>
      </c>
      <c r="E150" s="88" t="s">
        <v>70</v>
      </c>
      <c r="F150" s="94">
        <v>4450</v>
      </c>
      <c r="G150" s="94">
        <v>983</v>
      </c>
      <c r="H150" s="94">
        <v>143</v>
      </c>
      <c r="I150" s="94">
        <v>75650</v>
      </c>
      <c r="J150" s="94">
        <v>75008</v>
      </c>
      <c r="K150" s="94">
        <v>12</v>
      </c>
      <c r="L150" s="92" t="s">
        <v>58</v>
      </c>
      <c r="M150" s="92" t="s">
        <v>25</v>
      </c>
      <c r="N150" s="20">
        <f t="shared" si="2"/>
        <v>7.3707865168539333E-2</v>
      </c>
    </row>
    <row r="151" spans="1:14" x14ac:dyDescent="0.3">
      <c r="A151" s="87" t="s">
        <v>246</v>
      </c>
      <c r="B151" s="88" t="s">
        <v>14</v>
      </c>
      <c r="C151" s="89">
        <v>45553</v>
      </c>
      <c r="D151" s="88" t="s">
        <v>16</v>
      </c>
      <c r="E151" s="88" t="s">
        <v>17</v>
      </c>
      <c r="F151" s="94">
        <v>1000</v>
      </c>
      <c r="G151" s="94">
        <v>978</v>
      </c>
      <c r="H151" s="94">
        <v>162</v>
      </c>
      <c r="I151" s="94">
        <v>6000</v>
      </c>
      <c r="J151" s="94">
        <v>5221</v>
      </c>
      <c r="K151" s="94">
        <v>223</v>
      </c>
      <c r="L151" s="92" t="s">
        <v>44</v>
      </c>
      <c r="M151" s="92" t="s">
        <v>38</v>
      </c>
      <c r="N151" s="20">
        <f t="shared" si="2"/>
        <v>0.35666666666666669</v>
      </c>
    </row>
    <row r="152" spans="1:14" x14ac:dyDescent="0.3">
      <c r="A152" s="87" t="s">
        <v>246</v>
      </c>
      <c r="B152" s="88" t="s">
        <v>14</v>
      </c>
      <c r="C152" s="89">
        <v>45553</v>
      </c>
      <c r="D152" s="88" t="s">
        <v>16</v>
      </c>
      <c r="E152" s="88" t="s">
        <v>17</v>
      </c>
      <c r="F152" s="94">
        <v>1000</v>
      </c>
      <c r="G152" s="94">
        <v>978</v>
      </c>
      <c r="H152" s="94">
        <v>162</v>
      </c>
      <c r="I152" s="94">
        <v>6000</v>
      </c>
      <c r="J152" s="94">
        <v>5221</v>
      </c>
      <c r="K152" s="94">
        <v>223</v>
      </c>
      <c r="L152" s="92" t="s">
        <v>24</v>
      </c>
      <c r="M152" s="92" t="s">
        <v>38</v>
      </c>
      <c r="N152" s="20">
        <f t="shared" si="2"/>
        <v>0.35666666666666669</v>
      </c>
    </row>
    <row r="153" spans="1:14" x14ac:dyDescent="0.3">
      <c r="A153" s="87" t="s">
        <v>248</v>
      </c>
      <c r="B153" s="88" t="s">
        <v>40</v>
      </c>
      <c r="C153" s="89">
        <v>45454</v>
      </c>
      <c r="D153" s="88" t="s">
        <v>49</v>
      </c>
      <c r="E153" s="88" t="s">
        <v>50</v>
      </c>
      <c r="F153" s="94">
        <v>3689</v>
      </c>
      <c r="G153" s="94">
        <v>48</v>
      </c>
      <c r="H153" s="94">
        <v>306</v>
      </c>
      <c r="I153" s="94">
        <v>40579</v>
      </c>
      <c r="J153" s="94">
        <v>39588</v>
      </c>
      <c r="K153" s="94">
        <v>212</v>
      </c>
      <c r="L153" s="92" t="s">
        <v>44</v>
      </c>
      <c r="M153" s="92" t="s">
        <v>19</v>
      </c>
      <c r="N153" s="20">
        <f t="shared" si="2"/>
        <v>9.9632815002833983E-2</v>
      </c>
    </row>
    <row r="154" spans="1:14" x14ac:dyDescent="0.3">
      <c r="A154" s="87" t="s">
        <v>250</v>
      </c>
      <c r="B154" s="88" t="s">
        <v>577</v>
      </c>
      <c r="C154" s="89">
        <v>45739</v>
      </c>
      <c r="D154" s="88" t="s">
        <v>33</v>
      </c>
      <c r="E154" s="88" t="s">
        <v>34</v>
      </c>
      <c r="F154" s="94">
        <v>3655</v>
      </c>
      <c r="G154" s="94">
        <v>568</v>
      </c>
      <c r="H154" s="94">
        <v>286</v>
      </c>
      <c r="I154" s="94">
        <v>32895</v>
      </c>
      <c r="J154" s="94">
        <v>32015</v>
      </c>
      <c r="K154" s="94">
        <v>199</v>
      </c>
      <c r="L154" s="92" t="s">
        <v>44</v>
      </c>
      <c r="M154" s="92" t="s">
        <v>55</v>
      </c>
      <c r="N154" s="20">
        <f t="shared" si="2"/>
        <v>0.13707250341997265</v>
      </c>
    </row>
    <row r="155" spans="1:14" x14ac:dyDescent="0.3">
      <c r="A155" s="87" t="s">
        <v>252</v>
      </c>
      <c r="B155" s="88" t="s">
        <v>31</v>
      </c>
      <c r="C155" s="89">
        <v>45457</v>
      </c>
      <c r="D155" s="88" t="s">
        <v>42</v>
      </c>
      <c r="E155" s="88" t="s">
        <v>43</v>
      </c>
      <c r="F155" s="94">
        <v>498</v>
      </c>
      <c r="G155" s="94">
        <v>38</v>
      </c>
      <c r="H155" s="94">
        <v>42</v>
      </c>
      <c r="I155" s="94">
        <v>4482</v>
      </c>
      <c r="J155" s="94">
        <v>3647</v>
      </c>
      <c r="K155" s="94">
        <v>32</v>
      </c>
      <c r="L155" s="92" t="s">
        <v>58</v>
      </c>
      <c r="M155" s="92" t="s">
        <v>55</v>
      </c>
      <c r="N155" s="20">
        <f t="shared" si="2"/>
        <v>0.12896028558679162</v>
      </c>
    </row>
    <row r="156" spans="1:14" x14ac:dyDescent="0.3">
      <c r="A156" s="87" t="s">
        <v>252</v>
      </c>
      <c r="B156" s="88" t="s">
        <v>31</v>
      </c>
      <c r="C156" s="89">
        <v>45457</v>
      </c>
      <c r="D156" s="88" t="s">
        <v>42</v>
      </c>
      <c r="E156" s="88" t="s">
        <v>43</v>
      </c>
      <c r="F156" s="94">
        <v>498</v>
      </c>
      <c r="G156" s="94">
        <v>38</v>
      </c>
      <c r="H156" s="94">
        <v>42</v>
      </c>
      <c r="I156" s="94">
        <v>4482</v>
      </c>
      <c r="J156" s="94">
        <v>3647</v>
      </c>
      <c r="K156" s="94">
        <v>32</v>
      </c>
      <c r="L156" s="92" t="s">
        <v>77</v>
      </c>
      <c r="M156" s="92" t="s">
        <v>55</v>
      </c>
      <c r="N156" s="20">
        <f t="shared" si="2"/>
        <v>0.12896028558679162</v>
      </c>
    </row>
    <row r="157" spans="1:14" x14ac:dyDescent="0.3">
      <c r="A157" s="87" t="s">
        <v>254</v>
      </c>
      <c r="B157" s="88" t="s">
        <v>31</v>
      </c>
      <c r="C157" s="89">
        <v>45692</v>
      </c>
      <c r="D157" s="88" t="s">
        <v>49</v>
      </c>
      <c r="E157" s="88" t="s">
        <v>50</v>
      </c>
      <c r="F157" s="94">
        <v>4619</v>
      </c>
      <c r="G157" s="94">
        <v>821</v>
      </c>
      <c r="H157" s="94">
        <v>499</v>
      </c>
      <c r="I157" s="94">
        <v>69285</v>
      </c>
      <c r="J157" s="94">
        <v>69141</v>
      </c>
      <c r="K157" s="94">
        <v>298</v>
      </c>
      <c r="L157" s="92" t="s">
        <v>24</v>
      </c>
      <c r="M157" s="92" t="s">
        <v>19</v>
      </c>
      <c r="N157" s="20">
        <f t="shared" si="2"/>
        <v>8.5718409468138843E-2</v>
      </c>
    </row>
    <row r="158" spans="1:14" x14ac:dyDescent="0.3">
      <c r="A158" s="87" t="s">
        <v>256</v>
      </c>
      <c r="B158" s="88" t="s">
        <v>577</v>
      </c>
      <c r="C158" s="89">
        <v>45464</v>
      </c>
      <c r="D158" s="88" t="s">
        <v>49</v>
      </c>
      <c r="E158" s="88" t="s">
        <v>50</v>
      </c>
      <c r="F158" s="94">
        <v>4832</v>
      </c>
      <c r="G158" s="94">
        <v>893</v>
      </c>
      <c r="H158" s="94">
        <v>10</v>
      </c>
      <c r="I158" s="94">
        <v>91808</v>
      </c>
      <c r="J158" s="94">
        <v>91296</v>
      </c>
      <c r="K158" s="94">
        <v>182</v>
      </c>
      <c r="L158" s="92" t="s">
        <v>18</v>
      </c>
      <c r="M158" s="92" t="s">
        <v>38</v>
      </c>
      <c r="N158" s="20">
        <f t="shared" si="2"/>
        <v>6.2467323109097243E-2</v>
      </c>
    </row>
    <row r="159" spans="1:14" x14ac:dyDescent="0.3">
      <c r="A159" s="87" t="s">
        <v>256</v>
      </c>
      <c r="B159" s="88" t="s">
        <v>577</v>
      </c>
      <c r="C159" s="89">
        <v>45464</v>
      </c>
      <c r="D159" s="88" t="s">
        <v>49</v>
      </c>
      <c r="E159" s="88" t="s">
        <v>50</v>
      </c>
      <c r="F159" s="94">
        <v>4832</v>
      </c>
      <c r="G159" s="94">
        <v>893</v>
      </c>
      <c r="H159" s="94">
        <v>10</v>
      </c>
      <c r="I159" s="94">
        <v>91808</v>
      </c>
      <c r="J159" s="94">
        <v>91296</v>
      </c>
      <c r="K159" s="94">
        <v>182</v>
      </c>
      <c r="L159" s="92" t="s">
        <v>58</v>
      </c>
      <c r="M159" s="92" t="s">
        <v>38</v>
      </c>
      <c r="N159" s="20">
        <f t="shared" si="2"/>
        <v>6.2467323109097243E-2</v>
      </c>
    </row>
    <row r="160" spans="1:14" x14ac:dyDescent="0.3">
      <c r="A160" s="87" t="s">
        <v>258</v>
      </c>
      <c r="B160" s="88" t="s">
        <v>14</v>
      </c>
      <c r="C160" s="89">
        <v>45741</v>
      </c>
      <c r="D160" s="88" t="s">
        <v>69</v>
      </c>
      <c r="E160" s="88" t="s">
        <v>70</v>
      </c>
      <c r="F160" s="94">
        <v>4050</v>
      </c>
      <c r="G160" s="94">
        <v>871</v>
      </c>
      <c r="H160" s="94">
        <v>347</v>
      </c>
      <c r="I160" s="94">
        <v>52650</v>
      </c>
      <c r="J160" s="94">
        <v>51755</v>
      </c>
      <c r="K160" s="94">
        <v>209</v>
      </c>
      <c r="L160" s="92" t="s">
        <v>58</v>
      </c>
      <c r="M160" s="92" t="s">
        <v>19</v>
      </c>
      <c r="N160" s="20">
        <f t="shared" si="2"/>
        <v>0.10005698005698006</v>
      </c>
    </row>
    <row r="161" spans="1:14" x14ac:dyDescent="0.3">
      <c r="A161" s="87" t="s">
        <v>258</v>
      </c>
      <c r="B161" s="88" t="s">
        <v>14</v>
      </c>
      <c r="C161" s="89">
        <v>45741</v>
      </c>
      <c r="D161" s="88" t="s">
        <v>69</v>
      </c>
      <c r="E161" s="88" t="s">
        <v>70</v>
      </c>
      <c r="F161" s="94">
        <v>4050</v>
      </c>
      <c r="G161" s="94">
        <v>871</v>
      </c>
      <c r="H161" s="94">
        <v>347</v>
      </c>
      <c r="I161" s="94">
        <v>52650</v>
      </c>
      <c r="J161" s="94">
        <v>51755</v>
      </c>
      <c r="K161" s="94">
        <v>209</v>
      </c>
      <c r="L161" s="92" t="s">
        <v>77</v>
      </c>
      <c r="M161" s="92" t="s">
        <v>19</v>
      </c>
      <c r="N161" s="20">
        <f t="shared" si="2"/>
        <v>0.10005698005698006</v>
      </c>
    </row>
    <row r="162" spans="1:14" x14ac:dyDescent="0.3">
      <c r="A162" s="87" t="s">
        <v>260</v>
      </c>
      <c r="B162" s="88" t="s">
        <v>14</v>
      </c>
      <c r="C162" s="89">
        <v>45512</v>
      </c>
      <c r="D162" s="88" t="s">
        <v>33</v>
      </c>
      <c r="E162" s="88" t="s">
        <v>34</v>
      </c>
      <c r="F162" s="94">
        <v>3649</v>
      </c>
      <c r="G162" s="94">
        <v>215</v>
      </c>
      <c r="H162" s="94">
        <v>413</v>
      </c>
      <c r="I162" s="94">
        <v>25543</v>
      </c>
      <c r="J162" s="94">
        <v>24963</v>
      </c>
      <c r="K162" s="94">
        <v>167</v>
      </c>
      <c r="L162" s="92" t="s">
        <v>24</v>
      </c>
      <c r="M162" s="92" t="s">
        <v>19</v>
      </c>
      <c r="N162" s="20">
        <f t="shared" si="2"/>
        <v>0.16744313510550835</v>
      </c>
    </row>
    <row r="163" spans="1:14" x14ac:dyDescent="0.3">
      <c r="A163" s="87" t="s">
        <v>260</v>
      </c>
      <c r="B163" s="88" t="s">
        <v>14</v>
      </c>
      <c r="C163" s="89">
        <v>45512</v>
      </c>
      <c r="D163" s="88" t="s">
        <v>33</v>
      </c>
      <c r="E163" s="88" t="s">
        <v>34</v>
      </c>
      <c r="F163" s="94">
        <v>3649</v>
      </c>
      <c r="G163" s="94">
        <v>215</v>
      </c>
      <c r="H163" s="94">
        <v>413</v>
      </c>
      <c r="I163" s="94">
        <v>25543</v>
      </c>
      <c r="J163" s="94">
        <v>24963</v>
      </c>
      <c r="K163" s="94">
        <v>167</v>
      </c>
      <c r="L163" s="92" t="s">
        <v>58</v>
      </c>
      <c r="M163" s="92" t="s">
        <v>19</v>
      </c>
      <c r="N163" s="20">
        <f t="shared" si="2"/>
        <v>0.16744313510550835</v>
      </c>
    </row>
    <row r="164" spans="1:14" x14ac:dyDescent="0.3">
      <c r="A164" s="87" t="s">
        <v>262</v>
      </c>
      <c r="B164" s="88" t="s">
        <v>31</v>
      </c>
      <c r="C164" s="89">
        <v>45502</v>
      </c>
      <c r="D164" s="88" t="s">
        <v>16</v>
      </c>
      <c r="E164" s="88" t="s">
        <v>17</v>
      </c>
      <c r="F164" s="94">
        <v>3523</v>
      </c>
      <c r="G164" s="94">
        <v>753</v>
      </c>
      <c r="H164" s="94">
        <v>482</v>
      </c>
      <c r="I164" s="94">
        <v>38753</v>
      </c>
      <c r="J164" s="94">
        <v>38579</v>
      </c>
      <c r="K164" s="94">
        <v>270</v>
      </c>
      <c r="L164" s="92" t="s">
        <v>77</v>
      </c>
      <c r="M164" s="92" t="s">
        <v>25</v>
      </c>
      <c r="N164" s="20">
        <f t="shared" si="2"/>
        <v>0.12277759141227776</v>
      </c>
    </row>
    <row r="165" spans="1:14" x14ac:dyDescent="0.3">
      <c r="A165" s="87" t="s">
        <v>262</v>
      </c>
      <c r="B165" s="88" t="s">
        <v>31</v>
      </c>
      <c r="C165" s="89">
        <v>45502</v>
      </c>
      <c r="D165" s="88" t="s">
        <v>16</v>
      </c>
      <c r="E165" s="88" t="s">
        <v>17</v>
      </c>
      <c r="F165" s="94">
        <v>3523</v>
      </c>
      <c r="G165" s="94">
        <v>753</v>
      </c>
      <c r="H165" s="94">
        <v>482</v>
      </c>
      <c r="I165" s="94">
        <v>38753</v>
      </c>
      <c r="J165" s="94">
        <v>38579</v>
      </c>
      <c r="K165" s="94">
        <v>270</v>
      </c>
      <c r="L165" s="92" t="s">
        <v>58</v>
      </c>
      <c r="M165" s="92" t="s">
        <v>25</v>
      </c>
      <c r="N165" s="20">
        <f t="shared" si="2"/>
        <v>0.12277759141227776</v>
      </c>
    </row>
    <row r="166" spans="1:14" x14ac:dyDescent="0.3">
      <c r="A166" s="87" t="s">
        <v>265</v>
      </c>
      <c r="B166" s="88" t="s">
        <v>577</v>
      </c>
      <c r="C166" s="89">
        <v>45619</v>
      </c>
      <c r="D166" s="88" t="s">
        <v>49</v>
      </c>
      <c r="E166" s="88" t="s">
        <v>50</v>
      </c>
      <c r="F166" s="94">
        <v>2719</v>
      </c>
      <c r="G166" s="94">
        <v>17</v>
      </c>
      <c r="H166" s="94">
        <v>285</v>
      </c>
      <c r="I166" s="94">
        <v>40785</v>
      </c>
      <c r="J166" s="94">
        <v>40281</v>
      </c>
      <c r="K166" s="94">
        <v>40</v>
      </c>
      <c r="L166" s="92" t="s">
        <v>24</v>
      </c>
      <c r="M166" s="92" t="s">
        <v>38</v>
      </c>
      <c r="N166" s="20">
        <f t="shared" si="2"/>
        <v>7.4071349760941527E-2</v>
      </c>
    </row>
    <row r="167" spans="1:14" x14ac:dyDescent="0.3">
      <c r="A167" s="87" t="s">
        <v>265</v>
      </c>
      <c r="B167" s="88" t="s">
        <v>577</v>
      </c>
      <c r="C167" s="89">
        <v>45619</v>
      </c>
      <c r="D167" s="88" t="s">
        <v>49</v>
      </c>
      <c r="E167" s="88" t="s">
        <v>50</v>
      </c>
      <c r="F167" s="94">
        <v>2719</v>
      </c>
      <c r="G167" s="94">
        <v>17</v>
      </c>
      <c r="H167" s="94">
        <v>285</v>
      </c>
      <c r="I167" s="94">
        <v>40785</v>
      </c>
      <c r="J167" s="94">
        <v>40281</v>
      </c>
      <c r="K167" s="94">
        <v>40</v>
      </c>
      <c r="L167" s="92" t="s">
        <v>58</v>
      </c>
      <c r="M167" s="92" t="s">
        <v>38</v>
      </c>
      <c r="N167" s="20">
        <f t="shared" si="2"/>
        <v>7.4071349760941527E-2</v>
      </c>
    </row>
    <row r="168" spans="1:14" x14ac:dyDescent="0.3">
      <c r="A168" s="87" t="s">
        <v>267</v>
      </c>
      <c r="B168" s="88" t="s">
        <v>14</v>
      </c>
      <c r="C168" s="89">
        <v>45570</v>
      </c>
      <c r="D168" s="88" t="s">
        <v>33</v>
      </c>
      <c r="E168" s="88" t="s">
        <v>34</v>
      </c>
      <c r="F168" s="94">
        <v>1957</v>
      </c>
      <c r="G168" s="94">
        <v>877</v>
      </c>
      <c r="H168" s="94">
        <v>238</v>
      </c>
      <c r="I168" s="94">
        <v>17613</v>
      </c>
      <c r="J168" s="94">
        <v>16865</v>
      </c>
      <c r="K168" s="94">
        <v>297</v>
      </c>
      <c r="L168" s="92" t="s">
        <v>24</v>
      </c>
      <c r="M168" s="92" t="s">
        <v>38</v>
      </c>
      <c r="N168" s="20">
        <f t="shared" si="2"/>
        <v>0.17441662408448305</v>
      </c>
    </row>
    <row r="169" spans="1:14" x14ac:dyDescent="0.3">
      <c r="A169" s="87" t="s">
        <v>267</v>
      </c>
      <c r="B169" s="88" t="s">
        <v>14</v>
      </c>
      <c r="C169" s="89">
        <v>45570</v>
      </c>
      <c r="D169" s="88" t="s">
        <v>33</v>
      </c>
      <c r="E169" s="88" t="s">
        <v>34</v>
      </c>
      <c r="F169" s="94">
        <v>1957</v>
      </c>
      <c r="G169" s="94">
        <v>877</v>
      </c>
      <c r="H169" s="94">
        <v>238</v>
      </c>
      <c r="I169" s="94">
        <v>17613</v>
      </c>
      <c r="J169" s="94">
        <v>16865</v>
      </c>
      <c r="K169" s="94">
        <v>297</v>
      </c>
      <c r="L169" s="92" t="s">
        <v>18</v>
      </c>
      <c r="M169" s="92" t="s">
        <v>38</v>
      </c>
      <c r="N169" s="20">
        <f t="shared" si="2"/>
        <v>0.17441662408448305</v>
      </c>
    </row>
    <row r="170" spans="1:14" x14ac:dyDescent="0.3">
      <c r="A170" s="87" t="s">
        <v>269</v>
      </c>
      <c r="B170" s="88" t="s">
        <v>14</v>
      </c>
      <c r="C170" s="89">
        <v>45567</v>
      </c>
      <c r="D170" s="88" t="s">
        <v>42</v>
      </c>
      <c r="E170" s="88" t="s">
        <v>43</v>
      </c>
      <c r="F170" s="94">
        <v>4419</v>
      </c>
      <c r="G170" s="94">
        <v>236</v>
      </c>
      <c r="H170" s="94">
        <v>369</v>
      </c>
      <c r="I170" s="94">
        <v>44190</v>
      </c>
      <c r="J170" s="94">
        <v>43582</v>
      </c>
      <c r="K170" s="94">
        <v>10</v>
      </c>
      <c r="L170" s="92" t="s">
        <v>44</v>
      </c>
      <c r="M170" s="92" t="s">
        <v>55</v>
      </c>
      <c r="N170" s="20">
        <f t="shared" si="2"/>
        <v>0.11369088028965829</v>
      </c>
    </row>
    <row r="171" spans="1:14" x14ac:dyDescent="0.3">
      <c r="A171" s="87" t="s">
        <v>271</v>
      </c>
      <c r="B171" s="88" t="s">
        <v>14</v>
      </c>
      <c r="C171" s="89">
        <v>45610</v>
      </c>
      <c r="D171" s="88" t="s">
        <v>33</v>
      </c>
      <c r="E171" s="88" t="s">
        <v>34</v>
      </c>
      <c r="F171" s="94">
        <v>4000</v>
      </c>
      <c r="G171" s="94">
        <v>689</v>
      </c>
      <c r="H171" s="94">
        <v>488</v>
      </c>
      <c r="I171" s="94">
        <v>40000</v>
      </c>
      <c r="J171" s="94">
        <v>39569</v>
      </c>
      <c r="K171" s="94">
        <v>44</v>
      </c>
      <c r="L171" s="92" t="s">
        <v>77</v>
      </c>
      <c r="M171" s="92" t="s">
        <v>38</v>
      </c>
      <c r="N171" s="20">
        <f t="shared" si="2"/>
        <v>0.12942500000000001</v>
      </c>
    </row>
    <row r="172" spans="1:14" x14ac:dyDescent="0.3">
      <c r="A172" s="87" t="s">
        <v>271</v>
      </c>
      <c r="B172" s="88" t="s">
        <v>14</v>
      </c>
      <c r="C172" s="89">
        <v>45610</v>
      </c>
      <c r="D172" s="88" t="s">
        <v>33</v>
      </c>
      <c r="E172" s="88" t="s">
        <v>34</v>
      </c>
      <c r="F172" s="94">
        <v>4000</v>
      </c>
      <c r="G172" s="94">
        <v>689</v>
      </c>
      <c r="H172" s="94">
        <v>488</v>
      </c>
      <c r="I172" s="94">
        <v>40000</v>
      </c>
      <c r="J172" s="94">
        <v>39569</v>
      </c>
      <c r="K172" s="94">
        <v>44</v>
      </c>
      <c r="L172" s="92" t="s">
        <v>24</v>
      </c>
      <c r="M172" s="92" t="s">
        <v>38</v>
      </c>
      <c r="N172" s="20">
        <f t="shared" si="2"/>
        <v>0.12942500000000001</v>
      </c>
    </row>
    <row r="173" spans="1:14" x14ac:dyDescent="0.3">
      <c r="A173" s="87" t="s">
        <v>273</v>
      </c>
      <c r="B173" s="88" t="s">
        <v>14</v>
      </c>
      <c r="C173" s="89">
        <v>45788</v>
      </c>
      <c r="D173" s="88" t="s">
        <v>49</v>
      </c>
      <c r="E173" s="88" t="s">
        <v>50</v>
      </c>
      <c r="F173" s="94">
        <v>2493</v>
      </c>
      <c r="G173" s="94">
        <v>97</v>
      </c>
      <c r="H173" s="94">
        <v>44</v>
      </c>
      <c r="I173" s="94">
        <v>42381</v>
      </c>
      <c r="J173" s="94">
        <v>41991</v>
      </c>
      <c r="K173" s="94">
        <v>242</v>
      </c>
      <c r="L173" s="92" t="s">
        <v>18</v>
      </c>
      <c r="M173" s="92" t="s">
        <v>19</v>
      </c>
      <c r="N173" s="20">
        <f t="shared" si="2"/>
        <v>6.2150491965739366E-2</v>
      </c>
    </row>
    <row r="174" spans="1:14" x14ac:dyDescent="0.3">
      <c r="A174" s="87" t="s">
        <v>273</v>
      </c>
      <c r="B174" s="88" t="s">
        <v>14</v>
      </c>
      <c r="C174" s="89">
        <v>45788</v>
      </c>
      <c r="D174" s="88" t="s">
        <v>49</v>
      </c>
      <c r="E174" s="88" t="s">
        <v>50</v>
      </c>
      <c r="F174" s="94">
        <v>2493</v>
      </c>
      <c r="G174" s="94">
        <v>97</v>
      </c>
      <c r="H174" s="94">
        <v>44</v>
      </c>
      <c r="I174" s="94">
        <v>42381</v>
      </c>
      <c r="J174" s="94">
        <v>41991</v>
      </c>
      <c r="K174" s="94">
        <v>242</v>
      </c>
      <c r="L174" s="92" t="s">
        <v>58</v>
      </c>
      <c r="M174" s="92" t="s">
        <v>19</v>
      </c>
      <c r="N174" s="20">
        <f t="shared" si="2"/>
        <v>6.2150491965739366E-2</v>
      </c>
    </row>
    <row r="175" spans="1:14" x14ac:dyDescent="0.3">
      <c r="A175" s="87" t="s">
        <v>275</v>
      </c>
      <c r="B175" s="88" t="s">
        <v>577</v>
      </c>
      <c r="C175" s="89">
        <v>45734</v>
      </c>
      <c r="D175" s="88" t="s">
        <v>16</v>
      </c>
      <c r="E175" s="88" t="s">
        <v>17</v>
      </c>
      <c r="F175" s="94">
        <v>3704</v>
      </c>
      <c r="G175" s="94">
        <v>186</v>
      </c>
      <c r="H175" s="94">
        <v>458</v>
      </c>
      <c r="I175" s="94">
        <v>25928</v>
      </c>
      <c r="J175" s="94">
        <v>25081</v>
      </c>
      <c r="K175" s="94">
        <v>131</v>
      </c>
      <c r="L175" s="92" t="s">
        <v>58</v>
      </c>
      <c r="M175" s="92" t="s">
        <v>19</v>
      </c>
      <c r="N175" s="20">
        <f t="shared" si="2"/>
        <v>0.16769515581610614</v>
      </c>
    </row>
    <row r="176" spans="1:14" x14ac:dyDescent="0.3">
      <c r="A176" s="87" t="s">
        <v>277</v>
      </c>
      <c r="B176" s="88" t="s">
        <v>14</v>
      </c>
      <c r="C176" s="89">
        <v>45600</v>
      </c>
      <c r="D176" s="88" t="s">
        <v>49</v>
      </c>
      <c r="E176" s="88" t="s">
        <v>50</v>
      </c>
      <c r="F176" s="94">
        <v>1606</v>
      </c>
      <c r="G176" s="94">
        <v>451</v>
      </c>
      <c r="H176" s="94">
        <v>405</v>
      </c>
      <c r="I176" s="94">
        <v>20878</v>
      </c>
      <c r="J176" s="94">
        <v>20190</v>
      </c>
      <c r="K176" s="94">
        <v>219</v>
      </c>
      <c r="L176" s="92" t="s">
        <v>18</v>
      </c>
      <c r="M176" s="92" t="s">
        <v>25</v>
      </c>
      <c r="N176" s="20">
        <f t="shared" si="2"/>
        <v>0.11792317271769326</v>
      </c>
    </row>
    <row r="177" spans="1:14" x14ac:dyDescent="0.3">
      <c r="A177" s="87" t="s">
        <v>277</v>
      </c>
      <c r="B177" s="88" t="s">
        <v>14</v>
      </c>
      <c r="C177" s="89">
        <v>45600</v>
      </c>
      <c r="D177" s="88" t="s">
        <v>49</v>
      </c>
      <c r="E177" s="88" t="s">
        <v>50</v>
      </c>
      <c r="F177" s="94">
        <v>1606</v>
      </c>
      <c r="G177" s="94">
        <v>451</v>
      </c>
      <c r="H177" s="94">
        <v>405</v>
      </c>
      <c r="I177" s="94">
        <v>20878</v>
      </c>
      <c r="J177" s="94">
        <v>20190</v>
      </c>
      <c r="K177" s="94">
        <v>219</v>
      </c>
      <c r="L177" s="92" t="s">
        <v>58</v>
      </c>
      <c r="M177" s="92" t="s">
        <v>25</v>
      </c>
      <c r="N177" s="20">
        <f t="shared" si="2"/>
        <v>0.11792317271769326</v>
      </c>
    </row>
    <row r="178" spans="1:14" x14ac:dyDescent="0.3">
      <c r="A178" s="87" t="s">
        <v>279</v>
      </c>
      <c r="B178" s="88" t="s">
        <v>40</v>
      </c>
      <c r="C178" s="89">
        <v>45600</v>
      </c>
      <c r="D178" s="88" t="s">
        <v>49</v>
      </c>
      <c r="E178" s="88" t="s">
        <v>50</v>
      </c>
      <c r="F178" s="94">
        <v>4551</v>
      </c>
      <c r="G178" s="94">
        <v>714</v>
      </c>
      <c r="H178" s="94">
        <v>207</v>
      </c>
      <c r="I178" s="94">
        <v>68265</v>
      </c>
      <c r="J178" s="94">
        <v>67754</v>
      </c>
      <c r="K178" s="94">
        <v>57</v>
      </c>
      <c r="L178" s="92" t="s">
        <v>44</v>
      </c>
      <c r="M178" s="92" t="s">
        <v>25</v>
      </c>
      <c r="N178" s="20">
        <f t="shared" si="2"/>
        <v>8.0158206987475278E-2</v>
      </c>
    </row>
    <row r="179" spans="1:14" x14ac:dyDescent="0.3">
      <c r="A179" s="87" t="s">
        <v>280</v>
      </c>
      <c r="B179" s="88" t="s">
        <v>31</v>
      </c>
      <c r="C179" s="89">
        <v>45695</v>
      </c>
      <c r="D179" s="88" t="s">
        <v>16</v>
      </c>
      <c r="E179" s="88" t="s">
        <v>17</v>
      </c>
      <c r="F179" s="94">
        <v>1970</v>
      </c>
      <c r="G179" s="94">
        <v>675</v>
      </c>
      <c r="H179" s="94">
        <v>478</v>
      </c>
      <c r="I179" s="94">
        <v>9850</v>
      </c>
      <c r="J179" s="94">
        <v>8924</v>
      </c>
      <c r="K179" s="94">
        <v>117</v>
      </c>
      <c r="L179" s="92" t="s">
        <v>44</v>
      </c>
      <c r="M179" s="92" t="s">
        <v>55</v>
      </c>
      <c r="N179" s="20">
        <f t="shared" si="2"/>
        <v>0.31705583756345179</v>
      </c>
    </row>
    <row r="180" spans="1:14" x14ac:dyDescent="0.3">
      <c r="A180" s="87" t="s">
        <v>282</v>
      </c>
      <c r="B180" s="88" t="s">
        <v>40</v>
      </c>
      <c r="C180" s="89">
        <v>45586</v>
      </c>
      <c r="D180" s="88" t="s">
        <v>33</v>
      </c>
      <c r="E180" s="88" t="s">
        <v>34</v>
      </c>
      <c r="F180" s="94">
        <v>780</v>
      </c>
      <c r="G180" s="94">
        <v>928</v>
      </c>
      <c r="H180" s="94">
        <v>301</v>
      </c>
      <c r="I180" s="94">
        <v>8580</v>
      </c>
      <c r="J180" s="94">
        <v>8081</v>
      </c>
      <c r="K180" s="94">
        <v>91</v>
      </c>
      <c r="L180" s="92" t="s">
        <v>18</v>
      </c>
      <c r="M180" s="92" t="s">
        <v>55</v>
      </c>
      <c r="N180" s="20">
        <f t="shared" si="2"/>
        <v>0.23414918414918415</v>
      </c>
    </row>
    <row r="181" spans="1:14" x14ac:dyDescent="0.3">
      <c r="A181" s="87" t="s">
        <v>282</v>
      </c>
      <c r="B181" s="88" t="s">
        <v>40</v>
      </c>
      <c r="C181" s="89">
        <v>45586</v>
      </c>
      <c r="D181" s="88" t="s">
        <v>33</v>
      </c>
      <c r="E181" s="88" t="s">
        <v>34</v>
      </c>
      <c r="F181" s="94">
        <v>780</v>
      </c>
      <c r="G181" s="94">
        <v>928</v>
      </c>
      <c r="H181" s="94">
        <v>301</v>
      </c>
      <c r="I181" s="94">
        <v>8580</v>
      </c>
      <c r="J181" s="94">
        <v>8081</v>
      </c>
      <c r="K181" s="94">
        <v>91</v>
      </c>
      <c r="L181" s="92" t="s">
        <v>24</v>
      </c>
      <c r="M181" s="92" t="s">
        <v>55</v>
      </c>
      <c r="N181" s="20">
        <f t="shared" si="2"/>
        <v>0.23414918414918415</v>
      </c>
    </row>
    <row r="182" spans="1:14" x14ac:dyDescent="0.3">
      <c r="A182" s="87" t="s">
        <v>283</v>
      </c>
      <c r="B182" s="88" t="s">
        <v>31</v>
      </c>
      <c r="C182" s="89">
        <v>45502</v>
      </c>
      <c r="D182" s="88" t="s">
        <v>33</v>
      </c>
      <c r="E182" s="88" t="s">
        <v>34</v>
      </c>
      <c r="F182" s="94">
        <v>498</v>
      </c>
      <c r="G182" s="94">
        <v>701</v>
      </c>
      <c r="H182" s="94">
        <v>412</v>
      </c>
      <c r="I182" s="94">
        <v>4980</v>
      </c>
      <c r="J182" s="94">
        <v>4185</v>
      </c>
      <c r="K182" s="94">
        <v>185</v>
      </c>
      <c r="L182" s="92" t="s">
        <v>77</v>
      </c>
      <c r="M182" s="92" t="s">
        <v>55</v>
      </c>
      <c r="N182" s="20">
        <f t="shared" si="2"/>
        <v>0.32349397590361445</v>
      </c>
    </row>
    <row r="183" spans="1:14" x14ac:dyDescent="0.3">
      <c r="A183" s="87" t="s">
        <v>283</v>
      </c>
      <c r="B183" s="88" t="s">
        <v>31</v>
      </c>
      <c r="C183" s="89">
        <v>45502</v>
      </c>
      <c r="D183" s="88" t="s">
        <v>33</v>
      </c>
      <c r="E183" s="88" t="s">
        <v>34</v>
      </c>
      <c r="F183" s="94">
        <v>498</v>
      </c>
      <c r="G183" s="94">
        <v>701</v>
      </c>
      <c r="H183" s="94">
        <v>412</v>
      </c>
      <c r="I183" s="94">
        <v>4980</v>
      </c>
      <c r="J183" s="94">
        <v>4185</v>
      </c>
      <c r="K183" s="94">
        <v>185</v>
      </c>
      <c r="L183" s="92" t="s">
        <v>58</v>
      </c>
      <c r="M183" s="92" t="s">
        <v>55</v>
      </c>
      <c r="N183" s="20">
        <f t="shared" si="2"/>
        <v>0.32349397590361445</v>
      </c>
    </row>
    <row r="184" spans="1:14" x14ac:dyDescent="0.3">
      <c r="A184" s="87" t="s">
        <v>284</v>
      </c>
      <c r="B184" s="88" t="s">
        <v>31</v>
      </c>
      <c r="C184" s="89">
        <v>45567</v>
      </c>
      <c r="D184" s="88" t="s">
        <v>22</v>
      </c>
      <c r="E184" s="88" t="s">
        <v>23</v>
      </c>
      <c r="F184" s="94">
        <v>3432</v>
      </c>
      <c r="G184" s="94">
        <v>869</v>
      </c>
      <c r="H184" s="94">
        <v>123</v>
      </c>
      <c r="I184" s="94">
        <v>54912</v>
      </c>
      <c r="J184" s="94">
        <v>53916</v>
      </c>
      <c r="K184" s="94">
        <v>264</v>
      </c>
      <c r="L184" s="92" t="s">
        <v>24</v>
      </c>
      <c r="M184" s="92" t="s">
        <v>25</v>
      </c>
      <c r="N184" s="20">
        <f t="shared" si="2"/>
        <v>8.0565268065268064E-2</v>
      </c>
    </row>
    <row r="185" spans="1:14" x14ac:dyDescent="0.3">
      <c r="A185" s="87" t="s">
        <v>284</v>
      </c>
      <c r="B185" s="88" t="s">
        <v>31</v>
      </c>
      <c r="C185" s="89">
        <v>45567</v>
      </c>
      <c r="D185" s="88" t="s">
        <v>22</v>
      </c>
      <c r="E185" s="88" t="s">
        <v>23</v>
      </c>
      <c r="F185" s="94">
        <v>3432</v>
      </c>
      <c r="G185" s="94">
        <v>869</v>
      </c>
      <c r="H185" s="94">
        <v>123</v>
      </c>
      <c r="I185" s="94">
        <v>54912</v>
      </c>
      <c r="J185" s="94">
        <v>53916</v>
      </c>
      <c r="K185" s="94">
        <v>264</v>
      </c>
      <c r="L185" s="92" t="s">
        <v>44</v>
      </c>
      <c r="M185" s="92" t="s">
        <v>25</v>
      </c>
      <c r="N185" s="20">
        <f t="shared" si="2"/>
        <v>8.0565268065268064E-2</v>
      </c>
    </row>
    <row r="186" spans="1:14" x14ac:dyDescent="0.3">
      <c r="A186" s="87" t="s">
        <v>286</v>
      </c>
      <c r="B186" s="88" t="s">
        <v>31</v>
      </c>
      <c r="C186" s="89">
        <v>45457</v>
      </c>
      <c r="D186" s="88" t="s">
        <v>33</v>
      </c>
      <c r="E186" s="88" t="s">
        <v>34</v>
      </c>
      <c r="F186" s="94">
        <v>4363</v>
      </c>
      <c r="G186" s="94">
        <v>649</v>
      </c>
      <c r="H186" s="94">
        <v>140</v>
      </c>
      <c r="I186" s="94">
        <v>21815</v>
      </c>
      <c r="J186" s="94">
        <v>21481</v>
      </c>
      <c r="K186" s="94">
        <v>157</v>
      </c>
      <c r="L186" s="92" t="s">
        <v>18</v>
      </c>
      <c r="M186" s="92" t="s">
        <v>25</v>
      </c>
      <c r="N186" s="20">
        <f t="shared" si="2"/>
        <v>0.23616777446710979</v>
      </c>
    </row>
    <row r="187" spans="1:14" x14ac:dyDescent="0.3">
      <c r="A187" s="87" t="s">
        <v>286</v>
      </c>
      <c r="B187" s="88" t="s">
        <v>31</v>
      </c>
      <c r="C187" s="89">
        <v>45457</v>
      </c>
      <c r="D187" s="88" t="s">
        <v>33</v>
      </c>
      <c r="E187" s="88" t="s">
        <v>34</v>
      </c>
      <c r="F187" s="94">
        <v>4363</v>
      </c>
      <c r="G187" s="94">
        <v>649</v>
      </c>
      <c r="H187" s="94">
        <v>140</v>
      </c>
      <c r="I187" s="94">
        <v>21815</v>
      </c>
      <c r="J187" s="94">
        <v>21481</v>
      </c>
      <c r="K187" s="94">
        <v>157</v>
      </c>
      <c r="L187" s="92" t="s">
        <v>24</v>
      </c>
      <c r="M187" s="92" t="s">
        <v>25</v>
      </c>
      <c r="N187" s="20">
        <f t="shared" si="2"/>
        <v>0.23616777446710979</v>
      </c>
    </row>
    <row r="188" spans="1:14" x14ac:dyDescent="0.3">
      <c r="A188" s="87" t="s">
        <v>287</v>
      </c>
      <c r="B188" s="88" t="s">
        <v>577</v>
      </c>
      <c r="C188" s="89">
        <v>45753</v>
      </c>
      <c r="D188" s="88" t="s">
        <v>42</v>
      </c>
      <c r="E188" s="88" t="s">
        <v>43</v>
      </c>
      <c r="F188" s="94">
        <v>736</v>
      </c>
      <c r="G188" s="94">
        <v>771</v>
      </c>
      <c r="H188" s="94">
        <v>225</v>
      </c>
      <c r="I188" s="94">
        <v>5152</v>
      </c>
      <c r="J188" s="94">
        <v>4706</v>
      </c>
      <c r="K188" s="94">
        <v>19</v>
      </c>
      <c r="L188" s="92" t="s">
        <v>58</v>
      </c>
      <c r="M188" s="92" t="s">
        <v>38</v>
      </c>
      <c r="N188" s="20">
        <f t="shared" si="2"/>
        <v>0.33618012422360249</v>
      </c>
    </row>
    <row r="189" spans="1:14" x14ac:dyDescent="0.3">
      <c r="A189" s="87" t="s">
        <v>289</v>
      </c>
      <c r="B189" s="88" t="s">
        <v>14</v>
      </c>
      <c r="C189" s="89">
        <v>45543</v>
      </c>
      <c r="D189" s="88" t="s">
        <v>42</v>
      </c>
      <c r="E189" s="88" t="s">
        <v>43</v>
      </c>
      <c r="F189" s="94">
        <v>3811</v>
      </c>
      <c r="G189" s="94">
        <v>866</v>
      </c>
      <c r="H189" s="94">
        <v>216</v>
      </c>
      <c r="I189" s="94">
        <v>34299</v>
      </c>
      <c r="J189" s="94">
        <v>34088</v>
      </c>
      <c r="K189" s="94">
        <v>233</v>
      </c>
      <c r="L189" s="92" t="s">
        <v>58</v>
      </c>
      <c r="M189" s="92" t="s">
        <v>38</v>
      </c>
      <c r="N189" s="20">
        <f t="shared" si="2"/>
        <v>0.14265722032712325</v>
      </c>
    </row>
    <row r="190" spans="1:14" x14ac:dyDescent="0.3">
      <c r="A190" s="87" t="s">
        <v>291</v>
      </c>
      <c r="B190" s="88" t="s">
        <v>31</v>
      </c>
      <c r="C190" s="89">
        <v>45744</v>
      </c>
      <c r="D190" s="88" t="s">
        <v>42</v>
      </c>
      <c r="E190" s="88" t="s">
        <v>43</v>
      </c>
      <c r="F190" s="94">
        <v>4158</v>
      </c>
      <c r="G190" s="94">
        <v>167</v>
      </c>
      <c r="H190" s="94">
        <v>241</v>
      </c>
      <c r="I190" s="94">
        <v>45738</v>
      </c>
      <c r="J190" s="94">
        <v>45183</v>
      </c>
      <c r="K190" s="94">
        <v>142</v>
      </c>
      <c r="L190" s="92" t="s">
        <v>24</v>
      </c>
      <c r="M190" s="92" t="s">
        <v>25</v>
      </c>
      <c r="N190" s="20">
        <f t="shared" si="2"/>
        <v>9.9829463465827106E-2</v>
      </c>
    </row>
    <row r="191" spans="1:14" x14ac:dyDescent="0.3">
      <c r="A191" s="87" t="s">
        <v>292</v>
      </c>
      <c r="B191" s="88" t="s">
        <v>40</v>
      </c>
      <c r="C191" s="89">
        <v>45684</v>
      </c>
      <c r="D191" s="88" t="s">
        <v>16</v>
      </c>
      <c r="E191" s="88" t="s">
        <v>17</v>
      </c>
      <c r="F191" s="94">
        <v>3452</v>
      </c>
      <c r="G191" s="94">
        <v>652</v>
      </c>
      <c r="H191" s="94">
        <v>442</v>
      </c>
      <c r="I191" s="94">
        <v>65588</v>
      </c>
      <c r="J191" s="94">
        <v>65049</v>
      </c>
      <c r="K191" s="94">
        <v>158</v>
      </c>
      <c r="L191" s="92" t="s">
        <v>18</v>
      </c>
      <c r="M191" s="92" t="s">
        <v>19</v>
      </c>
      <c r="N191" s="20">
        <f t="shared" si="2"/>
        <v>6.9311459413307311E-2</v>
      </c>
    </row>
    <row r="192" spans="1:14" x14ac:dyDescent="0.3">
      <c r="A192" s="87" t="s">
        <v>292</v>
      </c>
      <c r="B192" s="88" t="s">
        <v>40</v>
      </c>
      <c r="C192" s="89">
        <v>45684</v>
      </c>
      <c r="D192" s="88" t="s">
        <v>16</v>
      </c>
      <c r="E192" s="88" t="s">
        <v>17</v>
      </c>
      <c r="F192" s="94">
        <v>3452</v>
      </c>
      <c r="G192" s="94">
        <v>652</v>
      </c>
      <c r="H192" s="94">
        <v>442</v>
      </c>
      <c r="I192" s="94">
        <v>65588</v>
      </c>
      <c r="J192" s="94">
        <v>65049</v>
      </c>
      <c r="K192" s="94">
        <v>158</v>
      </c>
      <c r="L192" s="92" t="s">
        <v>58</v>
      </c>
      <c r="M192" s="92" t="s">
        <v>19</v>
      </c>
      <c r="N192" s="20">
        <f t="shared" si="2"/>
        <v>6.9311459413307311E-2</v>
      </c>
    </row>
    <row r="193" spans="1:14" x14ac:dyDescent="0.3">
      <c r="A193" s="87" t="s">
        <v>293</v>
      </c>
      <c r="B193" s="88" t="s">
        <v>14</v>
      </c>
      <c r="C193" s="89">
        <v>45667</v>
      </c>
      <c r="D193" s="88" t="s">
        <v>49</v>
      </c>
      <c r="E193" s="88" t="s">
        <v>50</v>
      </c>
      <c r="F193" s="94">
        <v>3092</v>
      </c>
      <c r="G193" s="94">
        <v>106</v>
      </c>
      <c r="H193" s="94">
        <v>291</v>
      </c>
      <c r="I193" s="94">
        <v>27828</v>
      </c>
      <c r="J193" s="94">
        <v>27217</v>
      </c>
      <c r="K193" s="94">
        <v>102</v>
      </c>
      <c r="L193" s="92" t="s">
        <v>58</v>
      </c>
      <c r="M193" s="92" t="s">
        <v>55</v>
      </c>
      <c r="N193" s="20">
        <f t="shared" si="2"/>
        <v>0.12537731780940059</v>
      </c>
    </row>
    <row r="194" spans="1:14" x14ac:dyDescent="0.3">
      <c r="A194" s="87" t="s">
        <v>294</v>
      </c>
      <c r="B194" s="88" t="s">
        <v>14</v>
      </c>
      <c r="C194" s="89">
        <v>45494</v>
      </c>
      <c r="D194" s="88" t="s">
        <v>22</v>
      </c>
      <c r="E194" s="88" t="s">
        <v>23</v>
      </c>
      <c r="F194" s="94">
        <v>2147</v>
      </c>
      <c r="G194" s="94">
        <v>430</v>
      </c>
      <c r="H194" s="94">
        <v>393</v>
      </c>
      <c r="I194" s="94">
        <v>17176</v>
      </c>
      <c r="J194" s="94">
        <v>16483</v>
      </c>
      <c r="K194" s="94">
        <v>170</v>
      </c>
      <c r="L194" s="92" t="s">
        <v>77</v>
      </c>
      <c r="M194" s="92" t="s">
        <v>55</v>
      </c>
      <c r="N194" s="20">
        <f t="shared" si="2"/>
        <v>0.17291569632044715</v>
      </c>
    </row>
    <row r="195" spans="1:14" x14ac:dyDescent="0.3">
      <c r="A195" s="87" t="s">
        <v>295</v>
      </c>
      <c r="B195" s="88" t="s">
        <v>577</v>
      </c>
      <c r="C195" s="89">
        <v>45564</v>
      </c>
      <c r="D195" s="88" t="s">
        <v>16</v>
      </c>
      <c r="E195" s="88" t="s">
        <v>17</v>
      </c>
      <c r="F195" s="94">
        <v>2936</v>
      </c>
      <c r="G195" s="94">
        <v>439</v>
      </c>
      <c r="H195" s="94">
        <v>44</v>
      </c>
      <c r="I195" s="94">
        <v>38168</v>
      </c>
      <c r="J195" s="94">
        <v>37571</v>
      </c>
      <c r="K195" s="94">
        <v>22</v>
      </c>
      <c r="L195" s="92" t="s">
        <v>18</v>
      </c>
      <c r="M195" s="92" t="s">
        <v>38</v>
      </c>
      <c r="N195" s="20">
        <f t="shared" ref="N195:N258" si="3">SUM(F195,G195,H195)/I195</f>
        <v>8.9577656675749323E-2</v>
      </c>
    </row>
    <row r="196" spans="1:14" x14ac:dyDescent="0.3">
      <c r="A196" s="87" t="s">
        <v>297</v>
      </c>
      <c r="B196" s="88" t="s">
        <v>31</v>
      </c>
      <c r="C196" s="89">
        <v>45586</v>
      </c>
      <c r="D196" s="88" t="s">
        <v>16</v>
      </c>
      <c r="E196" s="88" t="s">
        <v>17</v>
      </c>
      <c r="F196" s="94">
        <v>4840</v>
      </c>
      <c r="G196" s="94">
        <v>658</v>
      </c>
      <c r="H196" s="94">
        <v>211</v>
      </c>
      <c r="I196" s="94">
        <v>43560</v>
      </c>
      <c r="J196" s="94">
        <v>43225</v>
      </c>
      <c r="K196" s="94">
        <v>57</v>
      </c>
      <c r="L196" s="92" t="s">
        <v>18</v>
      </c>
      <c r="M196" s="92" t="s">
        <v>25</v>
      </c>
      <c r="N196" s="20">
        <f t="shared" si="3"/>
        <v>0.13106060606060607</v>
      </c>
    </row>
    <row r="197" spans="1:14" x14ac:dyDescent="0.3">
      <c r="A197" s="87" t="s">
        <v>297</v>
      </c>
      <c r="B197" s="88" t="s">
        <v>31</v>
      </c>
      <c r="C197" s="89">
        <v>45586</v>
      </c>
      <c r="D197" s="88" t="s">
        <v>16</v>
      </c>
      <c r="E197" s="88" t="s">
        <v>17</v>
      </c>
      <c r="F197" s="94">
        <v>4840</v>
      </c>
      <c r="G197" s="94">
        <v>658</v>
      </c>
      <c r="H197" s="94">
        <v>211</v>
      </c>
      <c r="I197" s="94">
        <v>43560</v>
      </c>
      <c r="J197" s="94">
        <v>43225</v>
      </c>
      <c r="K197" s="94">
        <v>57</v>
      </c>
      <c r="L197" s="92" t="s">
        <v>24</v>
      </c>
      <c r="M197" s="92" t="s">
        <v>25</v>
      </c>
      <c r="N197" s="20">
        <f t="shared" si="3"/>
        <v>0.13106060606060607</v>
      </c>
    </row>
    <row r="198" spans="1:14" x14ac:dyDescent="0.3">
      <c r="A198" s="87" t="s">
        <v>298</v>
      </c>
      <c r="B198" s="88" t="s">
        <v>31</v>
      </c>
      <c r="C198" s="89">
        <v>45720</v>
      </c>
      <c r="D198" s="88" t="s">
        <v>33</v>
      </c>
      <c r="E198" s="88" t="s">
        <v>34</v>
      </c>
      <c r="F198" s="94">
        <v>1947</v>
      </c>
      <c r="G198" s="94">
        <v>842</v>
      </c>
      <c r="H198" s="94">
        <v>101</v>
      </c>
      <c r="I198" s="94">
        <v>21417</v>
      </c>
      <c r="J198" s="94">
        <v>20967</v>
      </c>
      <c r="K198" s="94">
        <v>186</v>
      </c>
      <c r="L198" s="92" t="s">
        <v>24</v>
      </c>
      <c r="M198" s="92" t="s">
        <v>25</v>
      </c>
      <c r="N198" s="20">
        <f t="shared" si="3"/>
        <v>0.13493953401503478</v>
      </c>
    </row>
    <row r="199" spans="1:14" x14ac:dyDescent="0.3">
      <c r="A199" s="87" t="s">
        <v>299</v>
      </c>
      <c r="B199" s="88" t="s">
        <v>40</v>
      </c>
      <c r="C199" s="89">
        <v>45694</v>
      </c>
      <c r="D199" s="88" t="s">
        <v>49</v>
      </c>
      <c r="E199" s="88" t="s">
        <v>50</v>
      </c>
      <c r="F199" s="94">
        <v>2072</v>
      </c>
      <c r="G199" s="94">
        <v>532</v>
      </c>
      <c r="H199" s="94">
        <v>71</v>
      </c>
      <c r="I199" s="94">
        <v>37296</v>
      </c>
      <c r="J199" s="94">
        <v>36467</v>
      </c>
      <c r="K199" s="94">
        <v>25</v>
      </c>
      <c r="L199" s="92" t="s">
        <v>18</v>
      </c>
      <c r="M199" s="92" t="s">
        <v>38</v>
      </c>
      <c r="N199" s="20">
        <f t="shared" si="3"/>
        <v>7.172350922350923E-2</v>
      </c>
    </row>
    <row r="200" spans="1:14" x14ac:dyDescent="0.3">
      <c r="A200" s="87" t="s">
        <v>301</v>
      </c>
      <c r="B200" s="88" t="s">
        <v>14</v>
      </c>
      <c r="C200" s="89">
        <v>45771</v>
      </c>
      <c r="D200" s="88" t="s">
        <v>16</v>
      </c>
      <c r="E200" s="88" t="s">
        <v>17</v>
      </c>
      <c r="F200" s="94">
        <v>3731</v>
      </c>
      <c r="G200" s="94">
        <v>115</v>
      </c>
      <c r="H200" s="94">
        <v>135</v>
      </c>
      <c r="I200" s="94">
        <v>55965</v>
      </c>
      <c r="J200" s="94">
        <v>55436</v>
      </c>
      <c r="K200" s="94">
        <v>103</v>
      </c>
      <c r="L200" s="92" t="s">
        <v>77</v>
      </c>
      <c r="M200" s="92" t="s">
        <v>55</v>
      </c>
      <c r="N200" s="20">
        <f t="shared" si="3"/>
        <v>7.1133744304476013E-2</v>
      </c>
    </row>
    <row r="201" spans="1:14" x14ac:dyDescent="0.3">
      <c r="A201" s="87" t="s">
        <v>303</v>
      </c>
      <c r="B201" s="88" t="s">
        <v>40</v>
      </c>
      <c r="C201" s="89">
        <v>45624</v>
      </c>
      <c r="D201" s="88" t="s">
        <v>22</v>
      </c>
      <c r="E201" s="88" t="s">
        <v>23</v>
      </c>
      <c r="F201" s="94">
        <v>4213</v>
      </c>
      <c r="G201" s="94">
        <v>253</v>
      </c>
      <c r="H201" s="94">
        <v>434</v>
      </c>
      <c r="I201" s="94">
        <v>75834</v>
      </c>
      <c r="J201" s="94">
        <v>75437</v>
      </c>
      <c r="K201" s="94">
        <v>272</v>
      </c>
      <c r="L201" s="92" t="s">
        <v>44</v>
      </c>
      <c r="M201" s="92" t="s">
        <v>38</v>
      </c>
      <c r="N201" s="20">
        <f t="shared" si="3"/>
        <v>6.461481657304112E-2</v>
      </c>
    </row>
    <row r="202" spans="1:14" x14ac:dyDescent="0.3">
      <c r="A202" s="87" t="s">
        <v>305</v>
      </c>
      <c r="B202" s="88" t="s">
        <v>31</v>
      </c>
      <c r="C202" s="89">
        <v>45484</v>
      </c>
      <c r="D202" s="88" t="s">
        <v>22</v>
      </c>
      <c r="E202" s="88" t="s">
        <v>23</v>
      </c>
      <c r="F202" s="94">
        <v>3134</v>
      </c>
      <c r="G202" s="94">
        <v>888</v>
      </c>
      <c r="H202" s="94">
        <v>444</v>
      </c>
      <c r="I202" s="94">
        <v>21938</v>
      </c>
      <c r="J202" s="94">
        <v>21337</v>
      </c>
      <c r="K202" s="94">
        <v>130</v>
      </c>
      <c r="L202" s="92" t="s">
        <v>18</v>
      </c>
      <c r="M202" s="92" t="s">
        <v>55</v>
      </c>
      <c r="N202" s="20">
        <f t="shared" si="3"/>
        <v>0.20357370772176134</v>
      </c>
    </row>
    <row r="203" spans="1:14" x14ac:dyDescent="0.3">
      <c r="A203" s="87" t="s">
        <v>305</v>
      </c>
      <c r="B203" s="88" t="s">
        <v>31</v>
      </c>
      <c r="C203" s="89">
        <v>45484</v>
      </c>
      <c r="D203" s="88" t="s">
        <v>22</v>
      </c>
      <c r="E203" s="88" t="s">
        <v>23</v>
      </c>
      <c r="F203" s="94">
        <v>3134</v>
      </c>
      <c r="G203" s="94">
        <v>888</v>
      </c>
      <c r="H203" s="94">
        <v>444</v>
      </c>
      <c r="I203" s="94">
        <v>21938</v>
      </c>
      <c r="J203" s="94">
        <v>21337</v>
      </c>
      <c r="K203" s="94">
        <v>130</v>
      </c>
      <c r="L203" s="92" t="s">
        <v>24</v>
      </c>
      <c r="M203" s="92" t="s">
        <v>55</v>
      </c>
      <c r="N203" s="20">
        <f t="shared" si="3"/>
        <v>0.20357370772176134</v>
      </c>
    </row>
    <row r="204" spans="1:14" x14ac:dyDescent="0.3">
      <c r="A204" s="87" t="s">
        <v>307</v>
      </c>
      <c r="B204" s="88" t="s">
        <v>40</v>
      </c>
      <c r="C204" s="89">
        <v>45504</v>
      </c>
      <c r="D204" s="88" t="s">
        <v>69</v>
      </c>
      <c r="E204" s="88" t="s">
        <v>70</v>
      </c>
      <c r="F204" s="94">
        <v>3008</v>
      </c>
      <c r="G204" s="94">
        <v>94</v>
      </c>
      <c r="H204" s="94">
        <v>37</v>
      </c>
      <c r="I204" s="94">
        <v>15040</v>
      </c>
      <c r="J204" s="94">
        <v>14639</v>
      </c>
      <c r="K204" s="94">
        <v>277</v>
      </c>
      <c r="L204" s="92" t="s">
        <v>77</v>
      </c>
      <c r="M204" s="92" t="s">
        <v>19</v>
      </c>
      <c r="N204" s="20">
        <f t="shared" si="3"/>
        <v>0.20871010638297871</v>
      </c>
    </row>
    <row r="205" spans="1:14" x14ac:dyDescent="0.3">
      <c r="A205" s="87" t="s">
        <v>308</v>
      </c>
      <c r="B205" s="88" t="s">
        <v>14</v>
      </c>
      <c r="C205" s="89">
        <v>45745</v>
      </c>
      <c r="D205" s="88" t="s">
        <v>49</v>
      </c>
      <c r="E205" s="88" t="s">
        <v>50</v>
      </c>
      <c r="F205" s="94">
        <v>305</v>
      </c>
      <c r="G205" s="94">
        <v>187</v>
      </c>
      <c r="H205" s="94">
        <v>243</v>
      </c>
      <c r="I205" s="94">
        <v>4575</v>
      </c>
      <c r="J205" s="94">
        <v>3704</v>
      </c>
      <c r="K205" s="94">
        <v>234</v>
      </c>
      <c r="L205" s="92" t="s">
        <v>24</v>
      </c>
      <c r="M205" s="92" t="s">
        <v>55</v>
      </c>
      <c r="N205" s="20">
        <f t="shared" si="3"/>
        <v>0.16065573770491803</v>
      </c>
    </row>
    <row r="206" spans="1:14" x14ac:dyDescent="0.3">
      <c r="A206" s="87" t="s">
        <v>308</v>
      </c>
      <c r="B206" s="88" t="s">
        <v>14</v>
      </c>
      <c r="C206" s="89">
        <v>45745</v>
      </c>
      <c r="D206" s="88" t="s">
        <v>49</v>
      </c>
      <c r="E206" s="88" t="s">
        <v>50</v>
      </c>
      <c r="F206" s="94">
        <v>305</v>
      </c>
      <c r="G206" s="94">
        <v>187</v>
      </c>
      <c r="H206" s="94">
        <v>243</v>
      </c>
      <c r="I206" s="94">
        <v>4575</v>
      </c>
      <c r="J206" s="94">
        <v>3704</v>
      </c>
      <c r="K206" s="94">
        <v>234</v>
      </c>
      <c r="L206" s="92" t="s">
        <v>44</v>
      </c>
      <c r="M206" s="92" t="s">
        <v>55</v>
      </c>
      <c r="N206" s="20">
        <f t="shared" si="3"/>
        <v>0.16065573770491803</v>
      </c>
    </row>
    <row r="207" spans="1:14" x14ac:dyDescent="0.3">
      <c r="A207" s="87" t="s">
        <v>309</v>
      </c>
      <c r="B207" s="88" t="s">
        <v>577</v>
      </c>
      <c r="C207" s="89">
        <v>45594</v>
      </c>
      <c r="D207" s="88" t="s">
        <v>22</v>
      </c>
      <c r="E207" s="88" t="s">
        <v>23</v>
      </c>
      <c r="F207" s="94">
        <v>2746</v>
      </c>
      <c r="G207" s="94">
        <v>156</v>
      </c>
      <c r="H207" s="94">
        <v>203</v>
      </c>
      <c r="I207" s="94">
        <v>32952</v>
      </c>
      <c r="J207" s="94">
        <v>32147</v>
      </c>
      <c r="K207" s="94">
        <v>147</v>
      </c>
      <c r="L207" s="92" t="s">
        <v>24</v>
      </c>
      <c r="M207" s="92" t="s">
        <v>25</v>
      </c>
      <c r="N207" s="20">
        <f t="shared" si="3"/>
        <v>9.422796795338674E-2</v>
      </c>
    </row>
    <row r="208" spans="1:14" x14ac:dyDescent="0.3">
      <c r="A208" s="87" t="s">
        <v>309</v>
      </c>
      <c r="B208" s="88" t="s">
        <v>577</v>
      </c>
      <c r="C208" s="89">
        <v>45594</v>
      </c>
      <c r="D208" s="88" t="s">
        <v>22</v>
      </c>
      <c r="E208" s="88" t="s">
        <v>23</v>
      </c>
      <c r="F208" s="94">
        <v>2746</v>
      </c>
      <c r="G208" s="94">
        <v>156</v>
      </c>
      <c r="H208" s="94">
        <v>203</v>
      </c>
      <c r="I208" s="94">
        <v>32952</v>
      </c>
      <c r="J208" s="94">
        <v>32147</v>
      </c>
      <c r="K208" s="94">
        <v>147</v>
      </c>
      <c r="L208" s="92" t="s">
        <v>58</v>
      </c>
      <c r="M208" s="92" t="s">
        <v>25</v>
      </c>
      <c r="N208" s="20">
        <f t="shared" si="3"/>
        <v>9.422796795338674E-2</v>
      </c>
    </row>
    <row r="209" spans="1:14" x14ac:dyDescent="0.3">
      <c r="A209" s="87" t="s">
        <v>311</v>
      </c>
      <c r="B209" s="88" t="s">
        <v>40</v>
      </c>
      <c r="C209" s="89">
        <v>45488</v>
      </c>
      <c r="D209" s="88" t="s">
        <v>49</v>
      </c>
      <c r="E209" s="88" t="s">
        <v>50</v>
      </c>
      <c r="F209" s="94">
        <v>2291</v>
      </c>
      <c r="G209" s="94">
        <v>78</v>
      </c>
      <c r="H209" s="94">
        <v>485</v>
      </c>
      <c r="I209" s="94">
        <v>18328</v>
      </c>
      <c r="J209" s="94">
        <v>18101</v>
      </c>
      <c r="K209" s="94">
        <v>10</v>
      </c>
      <c r="L209" s="92" t="s">
        <v>77</v>
      </c>
      <c r="M209" s="92" t="s">
        <v>19</v>
      </c>
      <c r="N209" s="20">
        <f t="shared" si="3"/>
        <v>0.15571802706241816</v>
      </c>
    </row>
    <row r="210" spans="1:14" x14ac:dyDescent="0.3">
      <c r="A210" s="87" t="s">
        <v>313</v>
      </c>
      <c r="B210" s="88" t="s">
        <v>14</v>
      </c>
      <c r="C210" s="89">
        <v>45535</v>
      </c>
      <c r="D210" s="88" t="s">
        <v>49</v>
      </c>
      <c r="E210" s="88" t="s">
        <v>50</v>
      </c>
      <c r="F210" s="94">
        <v>3170</v>
      </c>
      <c r="G210" s="94">
        <v>857</v>
      </c>
      <c r="H210" s="94">
        <v>379</v>
      </c>
      <c r="I210" s="94">
        <v>19020</v>
      </c>
      <c r="J210" s="94">
        <v>18559</v>
      </c>
      <c r="K210" s="94">
        <v>240</v>
      </c>
      <c r="L210" s="92" t="s">
        <v>18</v>
      </c>
      <c r="M210" s="92" t="s">
        <v>38</v>
      </c>
      <c r="N210" s="20">
        <f t="shared" si="3"/>
        <v>0.2316508937960042</v>
      </c>
    </row>
    <row r="211" spans="1:14" x14ac:dyDescent="0.3">
      <c r="A211" s="87" t="s">
        <v>315</v>
      </c>
      <c r="B211" s="88" t="s">
        <v>577</v>
      </c>
      <c r="C211" s="89">
        <v>45741</v>
      </c>
      <c r="D211" s="88" t="s">
        <v>33</v>
      </c>
      <c r="E211" s="88" t="s">
        <v>34</v>
      </c>
      <c r="F211" s="94">
        <v>2070</v>
      </c>
      <c r="G211" s="94">
        <v>275</v>
      </c>
      <c r="H211" s="94">
        <v>386</v>
      </c>
      <c r="I211" s="94">
        <v>39330</v>
      </c>
      <c r="J211" s="94">
        <v>38627</v>
      </c>
      <c r="K211" s="94">
        <v>114</v>
      </c>
      <c r="L211" s="92" t="s">
        <v>18</v>
      </c>
      <c r="M211" s="92" t="s">
        <v>55</v>
      </c>
      <c r="N211" s="20">
        <f t="shared" si="3"/>
        <v>6.9438087973557078E-2</v>
      </c>
    </row>
    <row r="212" spans="1:14" x14ac:dyDescent="0.3">
      <c r="A212" s="87" t="s">
        <v>316</v>
      </c>
      <c r="B212" s="88" t="s">
        <v>577</v>
      </c>
      <c r="C212" s="89">
        <v>45567</v>
      </c>
      <c r="D212" s="88" t="s">
        <v>42</v>
      </c>
      <c r="E212" s="88" t="s">
        <v>43</v>
      </c>
      <c r="F212" s="94">
        <v>80</v>
      </c>
      <c r="G212" s="94">
        <v>362</v>
      </c>
      <c r="H212" s="94">
        <v>80</v>
      </c>
      <c r="I212" s="94">
        <v>1040</v>
      </c>
      <c r="J212" s="94">
        <v>349</v>
      </c>
      <c r="K212" s="94">
        <v>117</v>
      </c>
      <c r="L212" s="92" t="s">
        <v>24</v>
      </c>
      <c r="M212" s="92" t="s">
        <v>25</v>
      </c>
      <c r="N212" s="20">
        <f t="shared" si="3"/>
        <v>0.50192307692307692</v>
      </c>
    </row>
    <row r="213" spans="1:14" x14ac:dyDescent="0.3">
      <c r="A213" s="87" t="s">
        <v>316</v>
      </c>
      <c r="B213" s="88" t="s">
        <v>577</v>
      </c>
      <c r="C213" s="89">
        <v>45567</v>
      </c>
      <c r="D213" s="88" t="s">
        <v>42</v>
      </c>
      <c r="E213" s="88" t="s">
        <v>43</v>
      </c>
      <c r="F213" s="94">
        <v>80</v>
      </c>
      <c r="G213" s="94">
        <v>362</v>
      </c>
      <c r="H213" s="94">
        <v>80</v>
      </c>
      <c r="I213" s="94">
        <v>1040</v>
      </c>
      <c r="J213" s="94">
        <v>349</v>
      </c>
      <c r="K213" s="94">
        <v>117</v>
      </c>
      <c r="L213" s="92" t="s">
        <v>58</v>
      </c>
      <c r="M213" s="92" t="s">
        <v>25</v>
      </c>
      <c r="N213" s="20">
        <f t="shared" si="3"/>
        <v>0.50192307692307692</v>
      </c>
    </row>
    <row r="214" spans="1:14" x14ac:dyDescent="0.3">
      <c r="A214" s="87" t="s">
        <v>317</v>
      </c>
      <c r="B214" s="88" t="s">
        <v>577</v>
      </c>
      <c r="C214" s="89">
        <v>45593</v>
      </c>
      <c r="D214" s="88" t="s">
        <v>33</v>
      </c>
      <c r="E214" s="88" t="s">
        <v>34</v>
      </c>
      <c r="F214" s="94">
        <v>4929</v>
      </c>
      <c r="G214" s="94">
        <v>749</v>
      </c>
      <c r="H214" s="94">
        <v>452</v>
      </c>
      <c r="I214" s="94">
        <v>93651</v>
      </c>
      <c r="J214" s="94">
        <v>92810</v>
      </c>
      <c r="K214" s="94">
        <v>66</v>
      </c>
      <c r="L214" s="92" t="s">
        <v>44</v>
      </c>
      <c r="M214" s="92" t="s">
        <v>19</v>
      </c>
      <c r="N214" s="20">
        <f t="shared" si="3"/>
        <v>6.5455787978772245E-2</v>
      </c>
    </row>
    <row r="215" spans="1:14" x14ac:dyDescent="0.3">
      <c r="A215" s="87" t="s">
        <v>317</v>
      </c>
      <c r="B215" s="88" t="s">
        <v>577</v>
      </c>
      <c r="C215" s="89">
        <v>45593</v>
      </c>
      <c r="D215" s="88" t="s">
        <v>33</v>
      </c>
      <c r="E215" s="88" t="s">
        <v>34</v>
      </c>
      <c r="F215" s="94">
        <v>4929</v>
      </c>
      <c r="G215" s="94">
        <v>749</v>
      </c>
      <c r="H215" s="94">
        <v>452</v>
      </c>
      <c r="I215" s="94">
        <v>93651</v>
      </c>
      <c r="J215" s="94">
        <v>92810</v>
      </c>
      <c r="K215" s="94">
        <v>66</v>
      </c>
      <c r="L215" s="92" t="s">
        <v>58</v>
      </c>
      <c r="M215" s="92" t="s">
        <v>19</v>
      </c>
      <c r="N215" s="20">
        <f t="shared" si="3"/>
        <v>6.5455787978772245E-2</v>
      </c>
    </row>
    <row r="216" spans="1:14" x14ac:dyDescent="0.3">
      <c r="A216" s="87" t="s">
        <v>318</v>
      </c>
      <c r="B216" s="88" t="s">
        <v>31</v>
      </c>
      <c r="C216" s="89">
        <v>45516</v>
      </c>
      <c r="D216" s="88" t="s">
        <v>42</v>
      </c>
      <c r="E216" s="88" t="s">
        <v>43</v>
      </c>
      <c r="F216" s="94">
        <v>1878</v>
      </c>
      <c r="G216" s="94">
        <v>62</v>
      </c>
      <c r="H216" s="94">
        <v>179</v>
      </c>
      <c r="I216" s="94">
        <v>37560</v>
      </c>
      <c r="J216" s="94">
        <v>36874</v>
      </c>
      <c r="K216" s="94">
        <v>142</v>
      </c>
      <c r="L216" s="92" t="s">
        <v>77</v>
      </c>
      <c r="M216" s="92" t="s">
        <v>19</v>
      </c>
      <c r="N216" s="20">
        <f t="shared" si="3"/>
        <v>5.6416400425985093E-2</v>
      </c>
    </row>
    <row r="217" spans="1:14" x14ac:dyDescent="0.3">
      <c r="A217" s="87" t="s">
        <v>318</v>
      </c>
      <c r="B217" s="88" t="s">
        <v>31</v>
      </c>
      <c r="C217" s="89">
        <v>45516</v>
      </c>
      <c r="D217" s="88" t="s">
        <v>42</v>
      </c>
      <c r="E217" s="88" t="s">
        <v>43</v>
      </c>
      <c r="F217" s="94">
        <v>1878</v>
      </c>
      <c r="G217" s="94">
        <v>62</v>
      </c>
      <c r="H217" s="94">
        <v>179</v>
      </c>
      <c r="I217" s="94">
        <v>37560</v>
      </c>
      <c r="J217" s="94">
        <v>36874</v>
      </c>
      <c r="K217" s="94">
        <v>142</v>
      </c>
      <c r="L217" s="92" t="s">
        <v>44</v>
      </c>
      <c r="M217" s="92" t="s">
        <v>19</v>
      </c>
      <c r="N217" s="20">
        <f t="shared" si="3"/>
        <v>5.6416400425985093E-2</v>
      </c>
    </row>
    <row r="218" spans="1:14" x14ac:dyDescent="0.3">
      <c r="A218" s="87" t="s">
        <v>319</v>
      </c>
      <c r="B218" s="88" t="s">
        <v>577</v>
      </c>
      <c r="C218" s="89">
        <v>45448</v>
      </c>
      <c r="D218" s="88" t="s">
        <v>16</v>
      </c>
      <c r="E218" s="88" t="s">
        <v>17</v>
      </c>
      <c r="F218" s="94">
        <v>3065</v>
      </c>
      <c r="G218" s="94">
        <v>772</v>
      </c>
      <c r="H218" s="94">
        <v>142</v>
      </c>
      <c r="I218" s="94">
        <v>18390</v>
      </c>
      <c r="J218" s="94">
        <v>17875</v>
      </c>
      <c r="K218" s="94">
        <v>200</v>
      </c>
      <c r="L218" s="92" t="s">
        <v>58</v>
      </c>
      <c r="M218" s="92" t="s">
        <v>19</v>
      </c>
      <c r="N218" s="20">
        <f t="shared" si="3"/>
        <v>0.21636759108210984</v>
      </c>
    </row>
    <row r="219" spans="1:14" x14ac:dyDescent="0.3">
      <c r="A219" s="87" t="s">
        <v>321</v>
      </c>
      <c r="B219" s="88" t="s">
        <v>31</v>
      </c>
      <c r="C219" s="89">
        <v>45586</v>
      </c>
      <c r="D219" s="88" t="s">
        <v>16</v>
      </c>
      <c r="E219" s="88" t="s">
        <v>17</v>
      </c>
      <c r="F219" s="94">
        <v>3256</v>
      </c>
      <c r="G219" s="94">
        <v>459</v>
      </c>
      <c r="H219" s="94">
        <v>266</v>
      </c>
      <c r="I219" s="94">
        <v>26048</v>
      </c>
      <c r="J219" s="94">
        <v>25529</v>
      </c>
      <c r="K219" s="94">
        <v>143</v>
      </c>
      <c r="L219" s="92" t="s">
        <v>18</v>
      </c>
      <c r="M219" s="92" t="s">
        <v>38</v>
      </c>
      <c r="N219" s="20">
        <f t="shared" si="3"/>
        <v>0.15283323095823095</v>
      </c>
    </row>
    <row r="220" spans="1:14" x14ac:dyDescent="0.3">
      <c r="A220" s="87" t="s">
        <v>321</v>
      </c>
      <c r="B220" s="88" t="s">
        <v>31</v>
      </c>
      <c r="C220" s="89">
        <v>45586</v>
      </c>
      <c r="D220" s="88" t="s">
        <v>16</v>
      </c>
      <c r="E220" s="88" t="s">
        <v>17</v>
      </c>
      <c r="F220" s="94">
        <v>3256</v>
      </c>
      <c r="G220" s="94">
        <v>459</v>
      </c>
      <c r="H220" s="94">
        <v>266</v>
      </c>
      <c r="I220" s="94">
        <v>26048</v>
      </c>
      <c r="J220" s="94">
        <v>25529</v>
      </c>
      <c r="K220" s="94">
        <v>143</v>
      </c>
      <c r="L220" s="92" t="s">
        <v>58</v>
      </c>
      <c r="M220" s="92" t="s">
        <v>38</v>
      </c>
      <c r="N220" s="20">
        <f t="shared" si="3"/>
        <v>0.15283323095823095</v>
      </c>
    </row>
    <row r="221" spans="1:14" x14ac:dyDescent="0.3">
      <c r="A221" s="87" t="s">
        <v>322</v>
      </c>
      <c r="B221" s="88" t="s">
        <v>31</v>
      </c>
      <c r="C221" s="89">
        <v>45762</v>
      </c>
      <c r="D221" s="88" t="s">
        <v>69</v>
      </c>
      <c r="E221" s="88" t="s">
        <v>70</v>
      </c>
      <c r="F221" s="94">
        <v>4133</v>
      </c>
      <c r="G221" s="94">
        <v>466</v>
      </c>
      <c r="H221" s="94">
        <v>327</v>
      </c>
      <c r="I221" s="94">
        <v>24798</v>
      </c>
      <c r="J221" s="94">
        <v>24620</v>
      </c>
      <c r="K221" s="94">
        <v>176</v>
      </c>
      <c r="L221" s="92" t="s">
        <v>58</v>
      </c>
      <c r="M221" s="92" t="s">
        <v>25</v>
      </c>
      <c r="N221" s="20">
        <f t="shared" si="3"/>
        <v>0.19864505202032423</v>
      </c>
    </row>
    <row r="222" spans="1:14" x14ac:dyDescent="0.3">
      <c r="A222" s="87" t="s">
        <v>323</v>
      </c>
      <c r="B222" s="88" t="s">
        <v>14</v>
      </c>
      <c r="C222" s="89">
        <v>45459</v>
      </c>
      <c r="D222" s="88" t="s">
        <v>69</v>
      </c>
      <c r="E222" s="88" t="s">
        <v>70</v>
      </c>
      <c r="F222" s="94">
        <v>1702</v>
      </c>
      <c r="G222" s="94">
        <v>750</v>
      </c>
      <c r="H222" s="94">
        <v>179</v>
      </c>
      <c r="I222" s="94">
        <v>34040</v>
      </c>
      <c r="J222" s="94">
        <v>33174</v>
      </c>
      <c r="K222" s="94">
        <v>76</v>
      </c>
      <c r="L222" s="92" t="s">
        <v>44</v>
      </c>
      <c r="M222" s="92" t="s">
        <v>38</v>
      </c>
      <c r="N222" s="20">
        <f t="shared" si="3"/>
        <v>7.7291421856639245E-2</v>
      </c>
    </row>
    <row r="223" spans="1:14" x14ac:dyDescent="0.3">
      <c r="A223" s="87" t="s">
        <v>325</v>
      </c>
      <c r="B223" s="88" t="s">
        <v>577</v>
      </c>
      <c r="C223" s="89">
        <v>45526</v>
      </c>
      <c r="D223" s="88" t="s">
        <v>42</v>
      </c>
      <c r="E223" s="88" t="s">
        <v>43</v>
      </c>
      <c r="F223" s="94">
        <v>4295</v>
      </c>
      <c r="G223" s="94">
        <v>853</v>
      </c>
      <c r="H223" s="94">
        <v>325</v>
      </c>
      <c r="I223" s="94">
        <v>85900</v>
      </c>
      <c r="J223" s="94">
        <v>85788</v>
      </c>
      <c r="K223" s="94">
        <v>290</v>
      </c>
      <c r="L223" s="92" t="s">
        <v>44</v>
      </c>
      <c r="M223" s="92" t="s">
        <v>25</v>
      </c>
      <c r="N223" s="20">
        <f t="shared" si="3"/>
        <v>6.3713620488940623E-2</v>
      </c>
    </row>
    <row r="224" spans="1:14" x14ac:dyDescent="0.3">
      <c r="A224" s="87" t="s">
        <v>325</v>
      </c>
      <c r="B224" s="88" t="s">
        <v>577</v>
      </c>
      <c r="C224" s="89">
        <v>45526</v>
      </c>
      <c r="D224" s="88" t="s">
        <v>42</v>
      </c>
      <c r="E224" s="88" t="s">
        <v>43</v>
      </c>
      <c r="F224" s="94">
        <v>4295</v>
      </c>
      <c r="G224" s="94">
        <v>853</v>
      </c>
      <c r="H224" s="94">
        <v>325</v>
      </c>
      <c r="I224" s="94">
        <v>85900</v>
      </c>
      <c r="J224" s="94">
        <v>85788</v>
      </c>
      <c r="K224" s="94">
        <v>290</v>
      </c>
      <c r="L224" s="92" t="s">
        <v>18</v>
      </c>
      <c r="M224" s="92" t="s">
        <v>25</v>
      </c>
      <c r="N224" s="20">
        <f t="shared" si="3"/>
        <v>6.3713620488940623E-2</v>
      </c>
    </row>
    <row r="225" spans="1:14" x14ac:dyDescent="0.3">
      <c r="A225" s="87" t="s">
        <v>327</v>
      </c>
      <c r="B225" s="88" t="s">
        <v>31</v>
      </c>
      <c r="C225" s="89">
        <v>45499</v>
      </c>
      <c r="D225" s="88" t="s">
        <v>49</v>
      </c>
      <c r="E225" s="88" t="s">
        <v>50</v>
      </c>
      <c r="F225" s="94">
        <v>3559</v>
      </c>
      <c r="G225" s="94">
        <v>59</v>
      </c>
      <c r="H225" s="94">
        <v>289</v>
      </c>
      <c r="I225" s="94">
        <v>35590</v>
      </c>
      <c r="J225" s="94">
        <v>35105</v>
      </c>
      <c r="K225" s="94">
        <v>122</v>
      </c>
      <c r="L225" s="92" t="s">
        <v>44</v>
      </c>
      <c r="M225" s="92" t="s">
        <v>38</v>
      </c>
      <c r="N225" s="20">
        <f t="shared" si="3"/>
        <v>0.10977802753582468</v>
      </c>
    </row>
    <row r="226" spans="1:14" x14ac:dyDescent="0.3">
      <c r="A226" s="87" t="s">
        <v>327</v>
      </c>
      <c r="B226" s="88" t="s">
        <v>31</v>
      </c>
      <c r="C226" s="89">
        <v>45499</v>
      </c>
      <c r="D226" s="88" t="s">
        <v>49</v>
      </c>
      <c r="E226" s="88" t="s">
        <v>50</v>
      </c>
      <c r="F226" s="94">
        <v>3559</v>
      </c>
      <c r="G226" s="94">
        <v>59</v>
      </c>
      <c r="H226" s="94">
        <v>289</v>
      </c>
      <c r="I226" s="94">
        <v>35590</v>
      </c>
      <c r="J226" s="94">
        <v>35105</v>
      </c>
      <c r="K226" s="94">
        <v>122</v>
      </c>
      <c r="L226" s="92" t="s">
        <v>58</v>
      </c>
      <c r="M226" s="92" t="s">
        <v>38</v>
      </c>
      <c r="N226" s="20">
        <f t="shared" si="3"/>
        <v>0.10977802753582468</v>
      </c>
    </row>
    <row r="227" spans="1:14" x14ac:dyDescent="0.3">
      <c r="A227" s="87" t="s">
        <v>328</v>
      </c>
      <c r="B227" s="88" t="s">
        <v>40</v>
      </c>
      <c r="C227" s="89">
        <v>45769</v>
      </c>
      <c r="D227" s="88" t="s">
        <v>49</v>
      </c>
      <c r="E227" s="88" t="s">
        <v>50</v>
      </c>
      <c r="F227" s="94">
        <v>4804</v>
      </c>
      <c r="G227" s="94">
        <v>550</v>
      </c>
      <c r="H227" s="94">
        <v>270</v>
      </c>
      <c r="I227" s="94">
        <v>28824</v>
      </c>
      <c r="J227" s="94">
        <v>28370</v>
      </c>
      <c r="K227" s="94">
        <v>47</v>
      </c>
      <c r="L227" s="92" t="s">
        <v>18</v>
      </c>
      <c r="M227" s="92" t="s">
        <v>55</v>
      </c>
      <c r="N227" s="20">
        <f t="shared" si="3"/>
        <v>0.19511518179295032</v>
      </c>
    </row>
    <row r="228" spans="1:14" x14ac:dyDescent="0.3">
      <c r="A228" s="87" t="s">
        <v>328</v>
      </c>
      <c r="B228" s="88" t="s">
        <v>40</v>
      </c>
      <c r="C228" s="89">
        <v>45769</v>
      </c>
      <c r="D228" s="88" t="s">
        <v>49</v>
      </c>
      <c r="E228" s="88" t="s">
        <v>50</v>
      </c>
      <c r="F228" s="94">
        <v>4804</v>
      </c>
      <c r="G228" s="94">
        <v>550</v>
      </c>
      <c r="H228" s="94">
        <v>270</v>
      </c>
      <c r="I228" s="94">
        <v>28824</v>
      </c>
      <c r="J228" s="94">
        <v>28370</v>
      </c>
      <c r="K228" s="94">
        <v>47</v>
      </c>
      <c r="L228" s="92" t="s">
        <v>58</v>
      </c>
      <c r="M228" s="92" t="s">
        <v>55</v>
      </c>
      <c r="N228" s="20">
        <f t="shared" si="3"/>
        <v>0.19511518179295032</v>
      </c>
    </row>
    <row r="229" spans="1:14" x14ac:dyDescent="0.3">
      <c r="A229" s="87" t="s">
        <v>330</v>
      </c>
      <c r="B229" s="88" t="s">
        <v>14</v>
      </c>
      <c r="C229" s="89">
        <v>45658</v>
      </c>
      <c r="D229" s="88" t="s">
        <v>69</v>
      </c>
      <c r="E229" s="88" t="s">
        <v>70</v>
      </c>
      <c r="F229" s="94">
        <v>754</v>
      </c>
      <c r="G229" s="94">
        <v>197</v>
      </c>
      <c r="H229" s="94">
        <v>257</v>
      </c>
      <c r="I229" s="94">
        <v>6786</v>
      </c>
      <c r="J229" s="94">
        <v>6221</v>
      </c>
      <c r="K229" s="94">
        <v>212</v>
      </c>
      <c r="L229" s="92" t="s">
        <v>77</v>
      </c>
      <c r="M229" s="92" t="s">
        <v>38</v>
      </c>
      <c r="N229" s="20">
        <f t="shared" si="3"/>
        <v>0.17801355732390214</v>
      </c>
    </row>
    <row r="230" spans="1:14" x14ac:dyDescent="0.3">
      <c r="A230" s="87" t="s">
        <v>330</v>
      </c>
      <c r="B230" s="88" t="s">
        <v>14</v>
      </c>
      <c r="C230" s="89">
        <v>45658</v>
      </c>
      <c r="D230" s="88" t="s">
        <v>69</v>
      </c>
      <c r="E230" s="88" t="s">
        <v>70</v>
      </c>
      <c r="F230" s="94">
        <v>754</v>
      </c>
      <c r="G230" s="94">
        <v>197</v>
      </c>
      <c r="H230" s="94">
        <v>257</v>
      </c>
      <c r="I230" s="94">
        <v>6786</v>
      </c>
      <c r="J230" s="94">
        <v>6221</v>
      </c>
      <c r="K230" s="94">
        <v>212</v>
      </c>
      <c r="L230" s="92" t="s">
        <v>44</v>
      </c>
      <c r="M230" s="92" t="s">
        <v>38</v>
      </c>
      <c r="N230" s="20">
        <f t="shared" si="3"/>
        <v>0.17801355732390214</v>
      </c>
    </row>
    <row r="231" spans="1:14" x14ac:dyDescent="0.3">
      <c r="A231" s="87" t="s">
        <v>332</v>
      </c>
      <c r="B231" s="88" t="s">
        <v>31</v>
      </c>
      <c r="C231" s="89">
        <v>45574</v>
      </c>
      <c r="D231" s="88" t="s">
        <v>42</v>
      </c>
      <c r="E231" s="88" t="s">
        <v>43</v>
      </c>
      <c r="F231" s="94">
        <v>985</v>
      </c>
      <c r="G231" s="94">
        <v>932</v>
      </c>
      <c r="H231" s="94">
        <v>287</v>
      </c>
      <c r="I231" s="94">
        <v>6895</v>
      </c>
      <c r="J231" s="94">
        <v>6757</v>
      </c>
      <c r="K231" s="94">
        <v>64</v>
      </c>
      <c r="L231" s="92" t="s">
        <v>18</v>
      </c>
      <c r="M231" s="92" t="s">
        <v>25</v>
      </c>
      <c r="N231" s="20">
        <f t="shared" si="3"/>
        <v>0.31965192168237855</v>
      </c>
    </row>
    <row r="232" spans="1:14" x14ac:dyDescent="0.3">
      <c r="A232" s="87" t="s">
        <v>332</v>
      </c>
      <c r="B232" s="88" t="s">
        <v>31</v>
      </c>
      <c r="C232" s="89">
        <v>45574</v>
      </c>
      <c r="D232" s="88" t="s">
        <v>42</v>
      </c>
      <c r="E232" s="88" t="s">
        <v>43</v>
      </c>
      <c r="F232" s="94">
        <v>985</v>
      </c>
      <c r="G232" s="94">
        <v>932</v>
      </c>
      <c r="H232" s="94">
        <v>287</v>
      </c>
      <c r="I232" s="94">
        <v>6895</v>
      </c>
      <c r="J232" s="94">
        <v>6757</v>
      </c>
      <c r="K232" s="94">
        <v>64</v>
      </c>
      <c r="L232" s="92" t="s">
        <v>24</v>
      </c>
      <c r="M232" s="92" t="s">
        <v>25</v>
      </c>
      <c r="N232" s="20">
        <f t="shared" si="3"/>
        <v>0.31965192168237855</v>
      </c>
    </row>
    <row r="233" spans="1:14" x14ac:dyDescent="0.3">
      <c r="A233" s="87" t="s">
        <v>333</v>
      </c>
      <c r="B233" s="88" t="s">
        <v>577</v>
      </c>
      <c r="C233" s="89">
        <v>45647</v>
      </c>
      <c r="D233" s="88" t="s">
        <v>49</v>
      </c>
      <c r="E233" s="88" t="s">
        <v>50</v>
      </c>
      <c r="F233" s="94">
        <v>2283</v>
      </c>
      <c r="G233" s="94">
        <v>210</v>
      </c>
      <c r="H233" s="94">
        <v>130</v>
      </c>
      <c r="I233" s="94">
        <v>22830</v>
      </c>
      <c r="J233" s="94">
        <v>22617</v>
      </c>
      <c r="K233" s="94">
        <v>143</v>
      </c>
      <c r="L233" s="92" t="s">
        <v>24</v>
      </c>
      <c r="M233" s="92" t="s">
        <v>38</v>
      </c>
      <c r="N233" s="20">
        <f t="shared" si="3"/>
        <v>0.11489268506351293</v>
      </c>
    </row>
    <row r="234" spans="1:14" x14ac:dyDescent="0.3">
      <c r="A234" s="87" t="s">
        <v>333</v>
      </c>
      <c r="B234" s="88" t="s">
        <v>577</v>
      </c>
      <c r="C234" s="89">
        <v>45647</v>
      </c>
      <c r="D234" s="88" t="s">
        <v>49</v>
      </c>
      <c r="E234" s="88" t="s">
        <v>50</v>
      </c>
      <c r="F234" s="94">
        <v>2283</v>
      </c>
      <c r="G234" s="94">
        <v>210</v>
      </c>
      <c r="H234" s="94">
        <v>130</v>
      </c>
      <c r="I234" s="94">
        <v>22830</v>
      </c>
      <c r="J234" s="94">
        <v>22617</v>
      </c>
      <c r="K234" s="94">
        <v>143</v>
      </c>
      <c r="L234" s="92" t="s">
        <v>58</v>
      </c>
      <c r="M234" s="92" t="s">
        <v>38</v>
      </c>
      <c r="N234" s="20">
        <f t="shared" si="3"/>
        <v>0.11489268506351293</v>
      </c>
    </row>
    <row r="235" spans="1:14" x14ac:dyDescent="0.3">
      <c r="A235" s="87" t="s">
        <v>335</v>
      </c>
      <c r="B235" s="88" t="s">
        <v>40</v>
      </c>
      <c r="C235" s="89">
        <v>45587</v>
      </c>
      <c r="D235" s="88" t="s">
        <v>42</v>
      </c>
      <c r="E235" s="88" t="s">
        <v>43</v>
      </c>
      <c r="F235" s="94">
        <v>3352</v>
      </c>
      <c r="G235" s="94">
        <v>941</v>
      </c>
      <c r="H235" s="94">
        <v>482</v>
      </c>
      <c r="I235" s="94">
        <v>43576</v>
      </c>
      <c r="J235" s="94">
        <v>43338</v>
      </c>
      <c r="K235" s="94">
        <v>240</v>
      </c>
      <c r="L235" s="92" t="s">
        <v>44</v>
      </c>
      <c r="M235" s="92" t="s">
        <v>38</v>
      </c>
      <c r="N235" s="20">
        <f t="shared" si="3"/>
        <v>0.1095786671562328</v>
      </c>
    </row>
    <row r="236" spans="1:14" x14ac:dyDescent="0.3">
      <c r="A236" s="87" t="s">
        <v>337</v>
      </c>
      <c r="B236" s="88" t="s">
        <v>577</v>
      </c>
      <c r="C236" s="89">
        <v>45496</v>
      </c>
      <c r="D236" s="88" t="s">
        <v>33</v>
      </c>
      <c r="E236" s="88" t="s">
        <v>34</v>
      </c>
      <c r="F236" s="94">
        <v>4775</v>
      </c>
      <c r="G236" s="94">
        <v>173</v>
      </c>
      <c r="H236" s="94">
        <v>206</v>
      </c>
      <c r="I236" s="94">
        <v>47750</v>
      </c>
      <c r="J236" s="94">
        <v>47544</v>
      </c>
      <c r="K236" s="94">
        <v>187</v>
      </c>
      <c r="L236" s="92" t="s">
        <v>58</v>
      </c>
      <c r="M236" s="92" t="s">
        <v>55</v>
      </c>
      <c r="N236" s="20">
        <f t="shared" si="3"/>
        <v>0.10793717277486911</v>
      </c>
    </row>
    <row r="237" spans="1:14" x14ac:dyDescent="0.3">
      <c r="A237" s="87" t="s">
        <v>337</v>
      </c>
      <c r="B237" s="88" t="s">
        <v>577</v>
      </c>
      <c r="C237" s="89">
        <v>45496</v>
      </c>
      <c r="D237" s="88" t="s">
        <v>33</v>
      </c>
      <c r="E237" s="88" t="s">
        <v>34</v>
      </c>
      <c r="F237" s="94">
        <v>4775</v>
      </c>
      <c r="G237" s="94">
        <v>173</v>
      </c>
      <c r="H237" s="94">
        <v>206</v>
      </c>
      <c r="I237" s="94">
        <v>47750</v>
      </c>
      <c r="J237" s="94">
        <v>47544</v>
      </c>
      <c r="K237" s="94">
        <v>187</v>
      </c>
      <c r="L237" s="92" t="s">
        <v>44</v>
      </c>
      <c r="M237" s="92" t="s">
        <v>55</v>
      </c>
      <c r="N237" s="20">
        <f t="shared" si="3"/>
        <v>0.10793717277486911</v>
      </c>
    </row>
    <row r="238" spans="1:14" x14ac:dyDescent="0.3">
      <c r="A238" s="87" t="s">
        <v>339</v>
      </c>
      <c r="B238" s="88" t="s">
        <v>31</v>
      </c>
      <c r="C238" s="89">
        <v>45515</v>
      </c>
      <c r="D238" s="88" t="s">
        <v>33</v>
      </c>
      <c r="E238" s="88" t="s">
        <v>34</v>
      </c>
      <c r="F238" s="94">
        <v>1762</v>
      </c>
      <c r="G238" s="94">
        <v>405</v>
      </c>
      <c r="H238" s="94">
        <v>423</v>
      </c>
      <c r="I238" s="94">
        <v>22906</v>
      </c>
      <c r="J238" s="94">
        <v>21925</v>
      </c>
      <c r="K238" s="94">
        <v>25</v>
      </c>
      <c r="L238" s="92" t="s">
        <v>77</v>
      </c>
      <c r="M238" s="92" t="s">
        <v>25</v>
      </c>
      <c r="N238" s="20">
        <f t="shared" si="3"/>
        <v>0.11307081114118571</v>
      </c>
    </row>
    <row r="239" spans="1:14" x14ac:dyDescent="0.3">
      <c r="A239" s="87" t="s">
        <v>341</v>
      </c>
      <c r="B239" s="88" t="s">
        <v>40</v>
      </c>
      <c r="C239" s="89">
        <v>45621</v>
      </c>
      <c r="D239" s="88" t="s">
        <v>33</v>
      </c>
      <c r="E239" s="88" t="s">
        <v>34</v>
      </c>
      <c r="F239" s="94">
        <v>2120</v>
      </c>
      <c r="G239" s="94">
        <v>158</v>
      </c>
      <c r="H239" s="94">
        <v>488</v>
      </c>
      <c r="I239" s="94">
        <v>12720</v>
      </c>
      <c r="J239" s="94">
        <v>12085</v>
      </c>
      <c r="K239" s="94">
        <v>17</v>
      </c>
      <c r="L239" s="92" t="s">
        <v>58</v>
      </c>
      <c r="M239" s="92" t="s">
        <v>25</v>
      </c>
      <c r="N239" s="20">
        <f t="shared" si="3"/>
        <v>0.21745283018867925</v>
      </c>
    </row>
    <row r="240" spans="1:14" x14ac:dyDescent="0.3">
      <c r="A240" s="87" t="s">
        <v>341</v>
      </c>
      <c r="B240" s="88" t="s">
        <v>40</v>
      </c>
      <c r="C240" s="89">
        <v>45621</v>
      </c>
      <c r="D240" s="88" t="s">
        <v>33</v>
      </c>
      <c r="E240" s="88" t="s">
        <v>34</v>
      </c>
      <c r="F240" s="94">
        <v>2120</v>
      </c>
      <c r="G240" s="94">
        <v>158</v>
      </c>
      <c r="H240" s="94">
        <v>488</v>
      </c>
      <c r="I240" s="94">
        <v>12720</v>
      </c>
      <c r="J240" s="94">
        <v>12085</v>
      </c>
      <c r="K240" s="94">
        <v>17</v>
      </c>
      <c r="L240" s="92" t="s">
        <v>44</v>
      </c>
      <c r="M240" s="92" t="s">
        <v>25</v>
      </c>
      <c r="N240" s="20">
        <f t="shared" si="3"/>
        <v>0.21745283018867925</v>
      </c>
    </row>
    <row r="241" spans="1:14" x14ac:dyDescent="0.3">
      <c r="A241" s="87" t="s">
        <v>342</v>
      </c>
      <c r="B241" s="88" t="s">
        <v>14</v>
      </c>
      <c r="C241" s="89">
        <v>45528</v>
      </c>
      <c r="D241" s="88" t="s">
        <v>69</v>
      </c>
      <c r="E241" s="88" t="s">
        <v>70</v>
      </c>
      <c r="F241" s="94">
        <v>1082</v>
      </c>
      <c r="G241" s="94">
        <v>209</v>
      </c>
      <c r="H241" s="94">
        <v>484</v>
      </c>
      <c r="I241" s="94">
        <v>19476</v>
      </c>
      <c r="J241" s="94">
        <v>18654</v>
      </c>
      <c r="K241" s="94">
        <v>20</v>
      </c>
      <c r="L241" s="92" t="s">
        <v>58</v>
      </c>
      <c r="M241" s="92" t="s">
        <v>55</v>
      </c>
      <c r="N241" s="20">
        <f t="shared" si="3"/>
        <v>9.1137810638734856E-2</v>
      </c>
    </row>
    <row r="242" spans="1:14" x14ac:dyDescent="0.3">
      <c r="A242" s="87" t="s">
        <v>344</v>
      </c>
      <c r="B242" s="88" t="s">
        <v>14</v>
      </c>
      <c r="C242" s="89">
        <v>45707</v>
      </c>
      <c r="D242" s="88" t="s">
        <v>22</v>
      </c>
      <c r="E242" s="88" t="s">
        <v>23</v>
      </c>
      <c r="F242" s="94">
        <v>4671</v>
      </c>
      <c r="G242" s="94">
        <v>876</v>
      </c>
      <c r="H242" s="94">
        <v>366</v>
      </c>
      <c r="I242" s="94">
        <v>51381</v>
      </c>
      <c r="J242" s="94">
        <v>50565</v>
      </c>
      <c r="K242" s="94">
        <v>245</v>
      </c>
      <c r="L242" s="92" t="s">
        <v>18</v>
      </c>
      <c r="M242" s="92" t="s">
        <v>25</v>
      </c>
      <c r="N242" s="20">
        <f t="shared" si="3"/>
        <v>0.11508145034156594</v>
      </c>
    </row>
    <row r="243" spans="1:14" x14ac:dyDescent="0.3">
      <c r="A243" s="87" t="s">
        <v>346</v>
      </c>
      <c r="B243" s="88" t="s">
        <v>40</v>
      </c>
      <c r="C243" s="89">
        <v>45748</v>
      </c>
      <c r="D243" s="88" t="s">
        <v>33</v>
      </c>
      <c r="E243" s="88" t="s">
        <v>34</v>
      </c>
      <c r="F243" s="94">
        <v>3430</v>
      </c>
      <c r="G243" s="94">
        <v>566</v>
      </c>
      <c r="H243" s="94">
        <v>164</v>
      </c>
      <c r="I243" s="94">
        <v>48020</v>
      </c>
      <c r="J243" s="94">
        <v>47305</v>
      </c>
      <c r="K243" s="94">
        <v>120</v>
      </c>
      <c r="L243" s="92" t="s">
        <v>44</v>
      </c>
      <c r="M243" s="92" t="s">
        <v>25</v>
      </c>
      <c r="N243" s="20">
        <f t="shared" si="3"/>
        <v>8.6630570595585168E-2</v>
      </c>
    </row>
    <row r="244" spans="1:14" x14ac:dyDescent="0.3">
      <c r="A244" s="87" t="s">
        <v>348</v>
      </c>
      <c r="B244" s="88" t="s">
        <v>31</v>
      </c>
      <c r="C244" s="89">
        <v>45755</v>
      </c>
      <c r="D244" s="88" t="s">
        <v>49</v>
      </c>
      <c r="E244" s="88" t="s">
        <v>50</v>
      </c>
      <c r="F244" s="94">
        <v>4501</v>
      </c>
      <c r="G244" s="94">
        <v>375</v>
      </c>
      <c r="H244" s="94">
        <v>323</v>
      </c>
      <c r="I244" s="94">
        <v>22505</v>
      </c>
      <c r="J244" s="94">
        <v>21836</v>
      </c>
      <c r="K244" s="94">
        <v>132</v>
      </c>
      <c r="L244" s="92" t="s">
        <v>24</v>
      </c>
      <c r="M244" s="92" t="s">
        <v>55</v>
      </c>
      <c r="N244" s="20">
        <f t="shared" si="3"/>
        <v>0.23101532992668297</v>
      </c>
    </row>
    <row r="245" spans="1:14" x14ac:dyDescent="0.3">
      <c r="A245" s="87" t="s">
        <v>350</v>
      </c>
      <c r="B245" s="88" t="s">
        <v>577</v>
      </c>
      <c r="C245" s="89">
        <v>45715</v>
      </c>
      <c r="D245" s="88" t="s">
        <v>22</v>
      </c>
      <c r="E245" s="88" t="s">
        <v>23</v>
      </c>
      <c r="F245" s="94">
        <v>4934</v>
      </c>
      <c r="G245" s="94">
        <v>971</v>
      </c>
      <c r="H245" s="94">
        <v>156</v>
      </c>
      <c r="I245" s="94">
        <v>39472</v>
      </c>
      <c r="J245" s="94">
        <v>39025</v>
      </c>
      <c r="K245" s="94">
        <v>169</v>
      </c>
      <c r="L245" s="92" t="s">
        <v>77</v>
      </c>
      <c r="M245" s="92" t="s">
        <v>25</v>
      </c>
      <c r="N245" s="20">
        <f t="shared" si="3"/>
        <v>0.15355188488042157</v>
      </c>
    </row>
    <row r="246" spans="1:14" x14ac:dyDescent="0.3">
      <c r="A246" s="87" t="s">
        <v>350</v>
      </c>
      <c r="B246" s="88" t="s">
        <v>577</v>
      </c>
      <c r="C246" s="89">
        <v>45715</v>
      </c>
      <c r="D246" s="88" t="s">
        <v>22</v>
      </c>
      <c r="E246" s="88" t="s">
        <v>23</v>
      </c>
      <c r="F246" s="94">
        <v>4934</v>
      </c>
      <c r="G246" s="94">
        <v>971</v>
      </c>
      <c r="H246" s="94">
        <v>156</v>
      </c>
      <c r="I246" s="94">
        <v>39472</v>
      </c>
      <c r="J246" s="94">
        <v>39025</v>
      </c>
      <c r="K246" s="94">
        <v>169</v>
      </c>
      <c r="L246" s="92" t="s">
        <v>58</v>
      </c>
      <c r="M246" s="92" t="s">
        <v>25</v>
      </c>
      <c r="N246" s="20">
        <f t="shared" si="3"/>
        <v>0.15355188488042157</v>
      </c>
    </row>
    <row r="247" spans="1:14" x14ac:dyDescent="0.3">
      <c r="A247" s="87" t="s">
        <v>351</v>
      </c>
      <c r="B247" s="88" t="s">
        <v>14</v>
      </c>
      <c r="C247" s="89">
        <v>45637</v>
      </c>
      <c r="D247" s="88" t="s">
        <v>22</v>
      </c>
      <c r="E247" s="88" t="s">
        <v>23</v>
      </c>
      <c r="F247" s="94">
        <v>3239</v>
      </c>
      <c r="G247" s="94">
        <v>43</v>
      </c>
      <c r="H247" s="94">
        <v>211</v>
      </c>
      <c r="I247" s="94">
        <v>22673</v>
      </c>
      <c r="J247" s="94">
        <v>22171</v>
      </c>
      <c r="K247" s="94">
        <v>230</v>
      </c>
      <c r="L247" s="92" t="s">
        <v>44</v>
      </c>
      <c r="M247" s="92" t="s">
        <v>25</v>
      </c>
      <c r="N247" s="20">
        <f t="shared" si="3"/>
        <v>0.15405989502933004</v>
      </c>
    </row>
    <row r="248" spans="1:14" x14ac:dyDescent="0.3">
      <c r="A248" s="87" t="s">
        <v>351</v>
      </c>
      <c r="B248" s="88" t="s">
        <v>14</v>
      </c>
      <c r="C248" s="89">
        <v>45637</v>
      </c>
      <c r="D248" s="88" t="s">
        <v>22</v>
      </c>
      <c r="E248" s="88" t="s">
        <v>23</v>
      </c>
      <c r="F248" s="94">
        <v>3239</v>
      </c>
      <c r="G248" s="94">
        <v>43</v>
      </c>
      <c r="H248" s="94">
        <v>211</v>
      </c>
      <c r="I248" s="94">
        <v>22673</v>
      </c>
      <c r="J248" s="94">
        <v>22171</v>
      </c>
      <c r="K248" s="94">
        <v>230</v>
      </c>
      <c r="L248" s="92" t="s">
        <v>58</v>
      </c>
      <c r="M248" s="92" t="s">
        <v>25</v>
      </c>
      <c r="N248" s="20">
        <f t="shared" si="3"/>
        <v>0.15405989502933004</v>
      </c>
    </row>
    <row r="249" spans="1:14" x14ac:dyDescent="0.3">
      <c r="A249" s="87" t="s">
        <v>352</v>
      </c>
      <c r="B249" s="88" t="s">
        <v>14</v>
      </c>
      <c r="C249" s="89">
        <v>45704</v>
      </c>
      <c r="D249" s="88" t="s">
        <v>16</v>
      </c>
      <c r="E249" s="88" t="s">
        <v>17</v>
      </c>
      <c r="F249" s="94">
        <v>1076</v>
      </c>
      <c r="G249" s="94">
        <v>313</v>
      </c>
      <c r="H249" s="94">
        <v>306</v>
      </c>
      <c r="I249" s="94">
        <v>11836</v>
      </c>
      <c r="J249" s="94">
        <v>11596</v>
      </c>
      <c r="K249" s="94">
        <v>104</v>
      </c>
      <c r="L249" s="92" t="s">
        <v>77</v>
      </c>
      <c r="M249" s="92" t="s">
        <v>25</v>
      </c>
      <c r="N249" s="20">
        <f t="shared" si="3"/>
        <v>0.14320716458262928</v>
      </c>
    </row>
    <row r="250" spans="1:14" x14ac:dyDescent="0.3">
      <c r="A250" s="87" t="s">
        <v>353</v>
      </c>
      <c r="B250" s="88" t="s">
        <v>31</v>
      </c>
      <c r="C250" s="89">
        <v>45624</v>
      </c>
      <c r="D250" s="88" t="s">
        <v>22</v>
      </c>
      <c r="E250" s="88" t="s">
        <v>23</v>
      </c>
      <c r="F250" s="94">
        <v>4771</v>
      </c>
      <c r="G250" s="94">
        <v>818</v>
      </c>
      <c r="H250" s="94">
        <v>56</v>
      </c>
      <c r="I250" s="94">
        <v>57252</v>
      </c>
      <c r="J250" s="94">
        <v>56378</v>
      </c>
      <c r="K250" s="94">
        <v>150</v>
      </c>
      <c r="L250" s="92" t="s">
        <v>18</v>
      </c>
      <c r="M250" s="92" t="s">
        <v>25</v>
      </c>
      <c r="N250" s="20">
        <f t="shared" si="3"/>
        <v>9.859917557465242E-2</v>
      </c>
    </row>
    <row r="251" spans="1:14" x14ac:dyDescent="0.3">
      <c r="A251" s="87" t="s">
        <v>354</v>
      </c>
      <c r="B251" s="88" t="s">
        <v>40</v>
      </c>
      <c r="C251" s="89">
        <v>45608</v>
      </c>
      <c r="D251" s="88" t="s">
        <v>22</v>
      </c>
      <c r="E251" s="88" t="s">
        <v>23</v>
      </c>
      <c r="F251" s="94">
        <v>2418</v>
      </c>
      <c r="G251" s="94">
        <v>754</v>
      </c>
      <c r="H251" s="94">
        <v>54</v>
      </c>
      <c r="I251" s="94">
        <v>43524</v>
      </c>
      <c r="J251" s="94">
        <v>42743</v>
      </c>
      <c r="K251" s="94">
        <v>182</v>
      </c>
      <c r="L251" s="92" t="s">
        <v>24</v>
      </c>
      <c r="M251" s="92" t="s">
        <v>55</v>
      </c>
      <c r="N251" s="20">
        <f t="shared" si="3"/>
        <v>7.412002573292896E-2</v>
      </c>
    </row>
    <row r="252" spans="1:14" x14ac:dyDescent="0.3">
      <c r="A252" s="87" t="s">
        <v>354</v>
      </c>
      <c r="B252" s="88" t="s">
        <v>40</v>
      </c>
      <c r="C252" s="89">
        <v>45608</v>
      </c>
      <c r="D252" s="88" t="s">
        <v>22</v>
      </c>
      <c r="E252" s="88" t="s">
        <v>23</v>
      </c>
      <c r="F252" s="94">
        <v>2418</v>
      </c>
      <c r="G252" s="94">
        <v>754</v>
      </c>
      <c r="H252" s="94">
        <v>54</v>
      </c>
      <c r="I252" s="94">
        <v>43524</v>
      </c>
      <c r="J252" s="94">
        <v>42743</v>
      </c>
      <c r="K252" s="94">
        <v>182</v>
      </c>
      <c r="L252" s="92" t="s">
        <v>44</v>
      </c>
      <c r="M252" s="92" t="s">
        <v>55</v>
      </c>
      <c r="N252" s="20">
        <f t="shared" si="3"/>
        <v>7.412002573292896E-2</v>
      </c>
    </row>
    <row r="253" spans="1:14" x14ac:dyDescent="0.3">
      <c r="A253" s="87" t="s">
        <v>356</v>
      </c>
      <c r="B253" s="88" t="s">
        <v>577</v>
      </c>
      <c r="C253" s="89">
        <v>45629</v>
      </c>
      <c r="D253" s="88" t="s">
        <v>69</v>
      </c>
      <c r="E253" s="88" t="s">
        <v>70</v>
      </c>
      <c r="F253" s="94">
        <v>3809</v>
      </c>
      <c r="G253" s="94">
        <v>273</v>
      </c>
      <c r="H253" s="94">
        <v>200</v>
      </c>
      <c r="I253" s="94">
        <v>34281</v>
      </c>
      <c r="J253" s="94">
        <v>33534</v>
      </c>
      <c r="K253" s="94">
        <v>83</v>
      </c>
      <c r="L253" s="92" t="s">
        <v>44</v>
      </c>
      <c r="M253" s="92" t="s">
        <v>38</v>
      </c>
      <c r="N253" s="20">
        <f t="shared" si="3"/>
        <v>0.12490884163239112</v>
      </c>
    </row>
    <row r="254" spans="1:14" x14ac:dyDescent="0.3">
      <c r="A254" s="87" t="s">
        <v>358</v>
      </c>
      <c r="B254" s="88" t="s">
        <v>14</v>
      </c>
      <c r="C254" s="89">
        <v>45775</v>
      </c>
      <c r="D254" s="88" t="s">
        <v>22</v>
      </c>
      <c r="E254" s="88" t="s">
        <v>23</v>
      </c>
      <c r="F254" s="94">
        <v>3577</v>
      </c>
      <c r="G254" s="94">
        <v>596</v>
      </c>
      <c r="H254" s="94">
        <v>493</v>
      </c>
      <c r="I254" s="94">
        <v>67963</v>
      </c>
      <c r="J254" s="94">
        <v>67839</v>
      </c>
      <c r="K254" s="94">
        <v>53</v>
      </c>
      <c r="L254" s="92" t="s">
        <v>58</v>
      </c>
      <c r="M254" s="92" t="s">
        <v>55</v>
      </c>
      <c r="N254" s="20">
        <f t="shared" si="3"/>
        <v>6.8655003457763777E-2</v>
      </c>
    </row>
    <row r="255" spans="1:14" x14ac:dyDescent="0.3">
      <c r="A255" s="87" t="s">
        <v>358</v>
      </c>
      <c r="B255" s="88" t="s">
        <v>14</v>
      </c>
      <c r="C255" s="89">
        <v>45775</v>
      </c>
      <c r="D255" s="88" t="s">
        <v>22</v>
      </c>
      <c r="E255" s="88" t="s">
        <v>23</v>
      </c>
      <c r="F255" s="94">
        <v>3577</v>
      </c>
      <c r="G255" s="94">
        <v>596</v>
      </c>
      <c r="H255" s="94">
        <v>493</v>
      </c>
      <c r="I255" s="94">
        <v>67963</v>
      </c>
      <c r="J255" s="94">
        <v>67839</v>
      </c>
      <c r="K255" s="94">
        <v>53</v>
      </c>
      <c r="L255" s="92" t="s">
        <v>44</v>
      </c>
      <c r="M255" s="92" t="s">
        <v>55</v>
      </c>
      <c r="N255" s="20">
        <f t="shared" si="3"/>
        <v>6.8655003457763777E-2</v>
      </c>
    </row>
    <row r="256" spans="1:14" x14ac:dyDescent="0.3">
      <c r="A256" s="87" t="s">
        <v>360</v>
      </c>
      <c r="B256" s="88" t="s">
        <v>577</v>
      </c>
      <c r="C256" s="89">
        <v>45657</v>
      </c>
      <c r="D256" s="88" t="s">
        <v>69</v>
      </c>
      <c r="E256" s="88" t="s">
        <v>70</v>
      </c>
      <c r="F256" s="94">
        <v>1018</v>
      </c>
      <c r="G256" s="94">
        <v>447</v>
      </c>
      <c r="H256" s="94">
        <v>332</v>
      </c>
      <c r="I256" s="94">
        <v>18324</v>
      </c>
      <c r="J256" s="94">
        <v>18164</v>
      </c>
      <c r="K256" s="94">
        <v>38</v>
      </c>
      <c r="L256" s="92" t="s">
        <v>18</v>
      </c>
      <c r="M256" s="92" t="s">
        <v>55</v>
      </c>
      <c r="N256" s="20">
        <f t="shared" si="3"/>
        <v>9.8068107400130972E-2</v>
      </c>
    </row>
    <row r="257" spans="1:14" x14ac:dyDescent="0.3">
      <c r="A257" s="87" t="s">
        <v>360</v>
      </c>
      <c r="B257" s="88" t="s">
        <v>577</v>
      </c>
      <c r="C257" s="89">
        <v>45657</v>
      </c>
      <c r="D257" s="88" t="s">
        <v>69</v>
      </c>
      <c r="E257" s="88" t="s">
        <v>70</v>
      </c>
      <c r="F257" s="94">
        <v>1018</v>
      </c>
      <c r="G257" s="94">
        <v>447</v>
      </c>
      <c r="H257" s="94">
        <v>332</v>
      </c>
      <c r="I257" s="94">
        <v>18324</v>
      </c>
      <c r="J257" s="94">
        <v>18164</v>
      </c>
      <c r="K257" s="94">
        <v>38</v>
      </c>
      <c r="L257" s="92" t="s">
        <v>24</v>
      </c>
      <c r="M257" s="92" t="s">
        <v>55</v>
      </c>
      <c r="N257" s="20">
        <f t="shared" si="3"/>
        <v>9.8068107400130972E-2</v>
      </c>
    </row>
    <row r="258" spans="1:14" x14ac:dyDescent="0.3">
      <c r="A258" s="87" t="s">
        <v>362</v>
      </c>
      <c r="B258" s="88" t="s">
        <v>40</v>
      </c>
      <c r="C258" s="89">
        <v>45518</v>
      </c>
      <c r="D258" s="88" t="s">
        <v>42</v>
      </c>
      <c r="E258" s="88" t="s">
        <v>43</v>
      </c>
      <c r="F258" s="94">
        <v>3073</v>
      </c>
      <c r="G258" s="94">
        <v>553</v>
      </c>
      <c r="H258" s="94">
        <v>174</v>
      </c>
      <c r="I258" s="94">
        <v>52241</v>
      </c>
      <c r="J258" s="94">
        <v>51605</v>
      </c>
      <c r="K258" s="94">
        <v>246</v>
      </c>
      <c r="L258" s="92" t="s">
        <v>24</v>
      </c>
      <c r="M258" s="92" t="s">
        <v>55</v>
      </c>
      <c r="N258" s="20">
        <f t="shared" si="3"/>
        <v>7.2739802071170159E-2</v>
      </c>
    </row>
    <row r="259" spans="1:14" x14ac:dyDescent="0.3">
      <c r="A259" s="87" t="s">
        <v>362</v>
      </c>
      <c r="B259" s="88" t="s">
        <v>40</v>
      </c>
      <c r="C259" s="89">
        <v>45518</v>
      </c>
      <c r="D259" s="88" t="s">
        <v>42</v>
      </c>
      <c r="E259" s="88" t="s">
        <v>43</v>
      </c>
      <c r="F259" s="94">
        <v>3073</v>
      </c>
      <c r="G259" s="94">
        <v>553</v>
      </c>
      <c r="H259" s="94">
        <v>174</v>
      </c>
      <c r="I259" s="94">
        <v>52241</v>
      </c>
      <c r="J259" s="94">
        <v>51605</v>
      </c>
      <c r="K259" s="94">
        <v>246</v>
      </c>
      <c r="L259" s="92" t="s">
        <v>58</v>
      </c>
      <c r="M259" s="92" t="s">
        <v>55</v>
      </c>
      <c r="N259" s="20">
        <f t="shared" ref="N259:N322" si="4">SUM(F259,G259,H259)/I259</f>
        <v>7.2739802071170159E-2</v>
      </c>
    </row>
    <row r="260" spans="1:14" x14ac:dyDescent="0.3">
      <c r="A260" s="87" t="s">
        <v>364</v>
      </c>
      <c r="B260" s="88" t="s">
        <v>14</v>
      </c>
      <c r="C260" s="89">
        <v>45631</v>
      </c>
      <c r="D260" s="88" t="s">
        <v>69</v>
      </c>
      <c r="E260" s="88" t="s">
        <v>70</v>
      </c>
      <c r="F260" s="94">
        <v>1330</v>
      </c>
      <c r="G260" s="94">
        <v>925</v>
      </c>
      <c r="H260" s="94">
        <v>35</v>
      </c>
      <c r="I260" s="94">
        <v>15960</v>
      </c>
      <c r="J260" s="94">
        <v>15379</v>
      </c>
      <c r="K260" s="94">
        <v>229</v>
      </c>
      <c r="L260" s="92" t="s">
        <v>77</v>
      </c>
      <c r="M260" s="92" t="s">
        <v>55</v>
      </c>
      <c r="N260" s="20">
        <f t="shared" si="4"/>
        <v>0.14348370927318296</v>
      </c>
    </row>
    <row r="261" spans="1:14" x14ac:dyDescent="0.3">
      <c r="A261" s="87" t="s">
        <v>364</v>
      </c>
      <c r="B261" s="88" t="s">
        <v>14</v>
      </c>
      <c r="C261" s="89">
        <v>45631</v>
      </c>
      <c r="D261" s="88" t="s">
        <v>69</v>
      </c>
      <c r="E261" s="88" t="s">
        <v>70</v>
      </c>
      <c r="F261" s="94">
        <v>1330</v>
      </c>
      <c r="G261" s="94">
        <v>925</v>
      </c>
      <c r="H261" s="94">
        <v>35</v>
      </c>
      <c r="I261" s="94">
        <v>15960</v>
      </c>
      <c r="J261" s="94">
        <v>15379</v>
      </c>
      <c r="K261" s="94">
        <v>229</v>
      </c>
      <c r="L261" s="92" t="s">
        <v>44</v>
      </c>
      <c r="M261" s="92" t="s">
        <v>55</v>
      </c>
      <c r="N261" s="20">
        <f t="shared" si="4"/>
        <v>0.14348370927318296</v>
      </c>
    </row>
    <row r="262" spans="1:14" x14ac:dyDescent="0.3">
      <c r="A262" s="87" t="s">
        <v>366</v>
      </c>
      <c r="B262" s="88" t="s">
        <v>40</v>
      </c>
      <c r="C262" s="89">
        <v>45465</v>
      </c>
      <c r="D262" s="88" t="s">
        <v>22</v>
      </c>
      <c r="E262" s="88" t="s">
        <v>23</v>
      </c>
      <c r="F262" s="94">
        <v>3828</v>
      </c>
      <c r="G262" s="94">
        <v>148</v>
      </c>
      <c r="H262" s="94">
        <v>253</v>
      </c>
      <c r="I262" s="94">
        <v>30624</v>
      </c>
      <c r="J262" s="94">
        <v>30229</v>
      </c>
      <c r="K262" s="94">
        <v>235</v>
      </c>
      <c r="L262" s="92" t="s">
        <v>18</v>
      </c>
      <c r="M262" s="92" t="s">
        <v>55</v>
      </c>
      <c r="N262" s="20">
        <f t="shared" si="4"/>
        <v>0.13809430512016718</v>
      </c>
    </row>
    <row r="263" spans="1:14" x14ac:dyDescent="0.3">
      <c r="A263" s="87" t="s">
        <v>366</v>
      </c>
      <c r="B263" s="88" t="s">
        <v>40</v>
      </c>
      <c r="C263" s="89">
        <v>45465</v>
      </c>
      <c r="D263" s="88" t="s">
        <v>22</v>
      </c>
      <c r="E263" s="88" t="s">
        <v>23</v>
      </c>
      <c r="F263" s="94">
        <v>3828</v>
      </c>
      <c r="G263" s="94">
        <v>148</v>
      </c>
      <c r="H263" s="94">
        <v>253</v>
      </c>
      <c r="I263" s="94">
        <v>30624</v>
      </c>
      <c r="J263" s="94">
        <v>30229</v>
      </c>
      <c r="K263" s="94">
        <v>235</v>
      </c>
      <c r="L263" s="92" t="s">
        <v>58</v>
      </c>
      <c r="M263" s="92" t="s">
        <v>55</v>
      </c>
      <c r="N263" s="20">
        <f t="shared" si="4"/>
        <v>0.13809430512016718</v>
      </c>
    </row>
    <row r="264" spans="1:14" x14ac:dyDescent="0.3">
      <c r="A264" s="87" t="s">
        <v>367</v>
      </c>
      <c r="B264" s="88" t="s">
        <v>31</v>
      </c>
      <c r="C264" s="89">
        <v>45674</v>
      </c>
      <c r="D264" s="88" t="s">
        <v>16</v>
      </c>
      <c r="E264" s="88" t="s">
        <v>17</v>
      </c>
      <c r="F264" s="94">
        <v>142</v>
      </c>
      <c r="G264" s="94">
        <v>784</v>
      </c>
      <c r="H264" s="94">
        <v>183</v>
      </c>
      <c r="I264" s="94">
        <v>1704</v>
      </c>
      <c r="J264" s="94">
        <v>995</v>
      </c>
      <c r="K264" s="94">
        <v>154</v>
      </c>
      <c r="L264" s="92" t="s">
        <v>18</v>
      </c>
      <c r="M264" s="92" t="s">
        <v>19</v>
      </c>
      <c r="N264" s="20">
        <f t="shared" si="4"/>
        <v>0.6508215962441315</v>
      </c>
    </row>
    <row r="265" spans="1:14" x14ac:dyDescent="0.3">
      <c r="A265" s="87" t="s">
        <v>369</v>
      </c>
      <c r="B265" s="88" t="s">
        <v>40</v>
      </c>
      <c r="C265" s="89">
        <v>45463</v>
      </c>
      <c r="D265" s="88" t="s">
        <v>69</v>
      </c>
      <c r="E265" s="88" t="s">
        <v>70</v>
      </c>
      <c r="F265" s="94">
        <v>3798</v>
      </c>
      <c r="G265" s="94">
        <v>31</v>
      </c>
      <c r="H265" s="94">
        <v>279</v>
      </c>
      <c r="I265" s="94">
        <v>75960</v>
      </c>
      <c r="J265" s="94">
        <v>75813</v>
      </c>
      <c r="K265" s="94">
        <v>266</v>
      </c>
      <c r="L265" s="92" t="s">
        <v>24</v>
      </c>
      <c r="M265" s="92" t="s">
        <v>25</v>
      </c>
      <c r="N265" s="20">
        <f t="shared" si="4"/>
        <v>5.4081095313322801E-2</v>
      </c>
    </row>
    <row r="266" spans="1:14" x14ac:dyDescent="0.3">
      <c r="A266" s="87" t="s">
        <v>371</v>
      </c>
      <c r="B266" s="88" t="s">
        <v>31</v>
      </c>
      <c r="C266" s="89">
        <v>45483</v>
      </c>
      <c r="D266" s="88" t="s">
        <v>42</v>
      </c>
      <c r="E266" s="88" t="s">
        <v>43</v>
      </c>
      <c r="F266" s="94">
        <v>3099</v>
      </c>
      <c r="G266" s="94">
        <v>694</v>
      </c>
      <c r="H266" s="94">
        <v>171</v>
      </c>
      <c r="I266" s="94">
        <v>43386</v>
      </c>
      <c r="J266" s="94">
        <v>42921</v>
      </c>
      <c r="K266" s="94">
        <v>52</v>
      </c>
      <c r="L266" s="92" t="s">
        <v>77</v>
      </c>
      <c r="M266" s="92" t="s">
        <v>55</v>
      </c>
      <c r="N266" s="20">
        <f t="shared" si="4"/>
        <v>9.1365878393951966E-2</v>
      </c>
    </row>
    <row r="267" spans="1:14" x14ac:dyDescent="0.3">
      <c r="A267" s="87" t="s">
        <v>373</v>
      </c>
      <c r="B267" s="88" t="s">
        <v>31</v>
      </c>
      <c r="C267" s="89">
        <v>45603</v>
      </c>
      <c r="D267" s="88" t="s">
        <v>69</v>
      </c>
      <c r="E267" s="88" t="s">
        <v>70</v>
      </c>
      <c r="F267" s="94">
        <v>129</v>
      </c>
      <c r="G267" s="94">
        <v>643</v>
      </c>
      <c r="H267" s="94">
        <v>136</v>
      </c>
      <c r="I267" s="94">
        <v>1290</v>
      </c>
      <c r="J267" s="94">
        <v>839</v>
      </c>
      <c r="K267" s="94">
        <v>238</v>
      </c>
      <c r="L267" s="92" t="s">
        <v>58</v>
      </c>
      <c r="M267" s="92" t="s">
        <v>55</v>
      </c>
      <c r="N267" s="20">
        <f t="shared" si="4"/>
        <v>0.70387596899224802</v>
      </c>
    </row>
    <row r="268" spans="1:14" x14ac:dyDescent="0.3">
      <c r="A268" s="87" t="s">
        <v>373</v>
      </c>
      <c r="B268" s="88" t="s">
        <v>31</v>
      </c>
      <c r="C268" s="89">
        <v>45603</v>
      </c>
      <c r="D268" s="88" t="s">
        <v>69</v>
      </c>
      <c r="E268" s="88" t="s">
        <v>70</v>
      </c>
      <c r="F268" s="94">
        <v>129</v>
      </c>
      <c r="G268" s="94">
        <v>643</v>
      </c>
      <c r="H268" s="94">
        <v>136</v>
      </c>
      <c r="I268" s="94">
        <v>1290</v>
      </c>
      <c r="J268" s="94">
        <v>839</v>
      </c>
      <c r="K268" s="94">
        <v>238</v>
      </c>
      <c r="L268" s="92" t="s">
        <v>77</v>
      </c>
      <c r="M268" s="92" t="s">
        <v>55</v>
      </c>
      <c r="N268" s="20">
        <f t="shared" si="4"/>
        <v>0.70387596899224802</v>
      </c>
    </row>
    <row r="269" spans="1:14" x14ac:dyDescent="0.3">
      <c r="A269" s="87" t="s">
        <v>374</v>
      </c>
      <c r="B269" s="88" t="s">
        <v>40</v>
      </c>
      <c r="C269" s="89">
        <v>45488</v>
      </c>
      <c r="D269" s="88" t="s">
        <v>42</v>
      </c>
      <c r="E269" s="88" t="s">
        <v>43</v>
      </c>
      <c r="F269" s="94">
        <v>3796</v>
      </c>
      <c r="G269" s="94">
        <v>667</v>
      </c>
      <c r="H269" s="94">
        <v>395</v>
      </c>
      <c r="I269" s="94">
        <v>64532</v>
      </c>
      <c r="J269" s="94">
        <v>63550</v>
      </c>
      <c r="K269" s="94">
        <v>292</v>
      </c>
      <c r="L269" s="92" t="s">
        <v>58</v>
      </c>
      <c r="M269" s="92" t="s">
        <v>19</v>
      </c>
      <c r="N269" s="20">
        <f t="shared" si="4"/>
        <v>7.5280481001673588E-2</v>
      </c>
    </row>
    <row r="270" spans="1:14" x14ac:dyDescent="0.3">
      <c r="A270" s="87" t="s">
        <v>375</v>
      </c>
      <c r="B270" s="88" t="s">
        <v>577</v>
      </c>
      <c r="C270" s="89">
        <v>45629</v>
      </c>
      <c r="D270" s="88" t="s">
        <v>22</v>
      </c>
      <c r="E270" s="88" t="s">
        <v>23</v>
      </c>
      <c r="F270" s="94">
        <v>3711</v>
      </c>
      <c r="G270" s="94">
        <v>352</v>
      </c>
      <c r="H270" s="94">
        <v>290</v>
      </c>
      <c r="I270" s="94">
        <v>48243</v>
      </c>
      <c r="J270" s="94">
        <v>47579</v>
      </c>
      <c r="K270" s="94">
        <v>11</v>
      </c>
      <c r="L270" s="92" t="s">
        <v>58</v>
      </c>
      <c r="M270" s="92" t="s">
        <v>55</v>
      </c>
      <c r="N270" s="20">
        <f t="shared" si="4"/>
        <v>9.023070704558174E-2</v>
      </c>
    </row>
    <row r="271" spans="1:14" x14ac:dyDescent="0.3">
      <c r="A271" s="87" t="s">
        <v>375</v>
      </c>
      <c r="B271" s="88" t="s">
        <v>577</v>
      </c>
      <c r="C271" s="89">
        <v>45629</v>
      </c>
      <c r="D271" s="88" t="s">
        <v>22</v>
      </c>
      <c r="E271" s="88" t="s">
        <v>23</v>
      </c>
      <c r="F271" s="94">
        <v>3711</v>
      </c>
      <c r="G271" s="94">
        <v>352</v>
      </c>
      <c r="H271" s="94">
        <v>290</v>
      </c>
      <c r="I271" s="94">
        <v>48243</v>
      </c>
      <c r="J271" s="94">
        <v>47579</v>
      </c>
      <c r="K271" s="94">
        <v>11</v>
      </c>
      <c r="L271" s="92" t="s">
        <v>77</v>
      </c>
      <c r="M271" s="92" t="s">
        <v>55</v>
      </c>
      <c r="N271" s="20">
        <f t="shared" si="4"/>
        <v>9.023070704558174E-2</v>
      </c>
    </row>
    <row r="272" spans="1:14" x14ac:dyDescent="0.3">
      <c r="A272" s="87" t="s">
        <v>376</v>
      </c>
      <c r="B272" s="88" t="s">
        <v>577</v>
      </c>
      <c r="C272" s="89">
        <v>45737</v>
      </c>
      <c r="D272" s="88" t="s">
        <v>49</v>
      </c>
      <c r="E272" s="88" t="s">
        <v>50</v>
      </c>
      <c r="F272" s="94">
        <v>606</v>
      </c>
      <c r="G272" s="94">
        <v>789</v>
      </c>
      <c r="H272" s="94">
        <v>470</v>
      </c>
      <c r="I272" s="94">
        <v>7878</v>
      </c>
      <c r="J272" s="94">
        <v>7389</v>
      </c>
      <c r="K272" s="94">
        <v>239</v>
      </c>
      <c r="L272" s="92" t="s">
        <v>18</v>
      </c>
      <c r="M272" s="92" t="s">
        <v>25</v>
      </c>
      <c r="N272" s="20">
        <f t="shared" si="4"/>
        <v>0.23673521198273673</v>
      </c>
    </row>
    <row r="273" spans="1:14" x14ac:dyDescent="0.3">
      <c r="A273" s="87" t="s">
        <v>378</v>
      </c>
      <c r="B273" s="88" t="s">
        <v>40</v>
      </c>
      <c r="C273" s="89">
        <v>45504</v>
      </c>
      <c r="D273" s="88" t="s">
        <v>49</v>
      </c>
      <c r="E273" s="88" t="s">
        <v>50</v>
      </c>
      <c r="F273" s="94">
        <v>4689</v>
      </c>
      <c r="G273" s="94">
        <v>134</v>
      </c>
      <c r="H273" s="94">
        <v>403</v>
      </c>
      <c r="I273" s="94">
        <v>51579</v>
      </c>
      <c r="J273" s="94">
        <v>50924</v>
      </c>
      <c r="K273" s="94">
        <v>173</v>
      </c>
      <c r="L273" s="92" t="s">
        <v>77</v>
      </c>
      <c r="M273" s="92" t="s">
        <v>19</v>
      </c>
      <c r="N273" s="20">
        <f t="shared" si="4"/>
        <v>0.10132030477519921</v>
      </c>
    </row>
    <row r="274" spans="1:14" x14ac:dyDescent="0.3">
      <c r="A274" s="87" t="s">
        <v>379</v>
      </c>
      <c r="B274" s="88" t="s">
        <v>31</v>
      </c>
      <c r="C274" s="89">
        <v>45643</v>
      </c>
      <c r="D274" s="88" t="s">
        <v>33</v>
      </c>
      <c r="E274" s="88" t="s">
        <v>34</v>
      </c>
      <c r="F274" s="94">
        <v>360</v>
      </c>
      <c r="G274" s="94">
        <v>590</v>
      </c>
      <c r="H274" s="94">
        <v>393</v>
      </c>
      <c r="I274" s="94">
        <v>4680</v>
      </c>
      <c r="J274" s="94">
        <v>4322</v>
      </c>
      <c r="K274" s="94">
        <v>208</v>
      </c>
      <c r="L274" s="92" t="s">
        <v>58</v>
      </c>
      <c r="M274" s="92" t="s">
        <v>25</v>
      </c>
      <c r="N274" s="20">
        <f t="shared" si="4"/>
        <v>0.28696581196581195</v>
      </c>
    </row>
    <row r="275" spans="1:14" x14ac:dyDescent="0.3">
      <c r="A275" s="87" t="s">
        <v>379</v>
      </c>
      <c r="B275" s="88" t="s">
        <v>31</v>
      </c>
      <c r="C275" s="89">
        <v>45643</v>
      </c>
      <c r="D275" s="88" t="s">
        <v>33</v>
      </c>
      <c r="E275" s="88" t="s">
        <v>34</v>
      </c>
      <c r="F275" s="94">
        <v>360</v>
      </c>
      <c r="G275" s="94">
        <v>590</v>
      </c>
      <c r="H275" s="94">
        <v>393</v>
      </c>
      <c r="I275" s="94">
        <v>4680</v>
      </c>
      <c r="J275" s="94">
        <v>4322</v>
      </c>
      <c r="K275" s="94">
        <v>208</v>
      </c>
      <c r="L275" s="92" t="s">
        <v>77</v>
      </c>
      <c r="M275" s="92" t="s">
        <v>25</v>
      </c>
      <c r="N275" s="20">
        <f t="shared" si="4"/>
        <v>0.28696581196581195</v>
      </c>
    </row>
    <row r="276" spans="1:14" x14ac:dyDescent="0.3">
      <c r="A276" s="87" t="s">
        <v>381</v>
      </c>
      <c r="B276" s="88" t="s">
        <v>14</v>
      </c>
      <c r="C276" s="89">
        <v>45501</v>
      </c>
      <c r="D276" s="88" t="s">
        <v>49</v>
      </c>
      <c r="E276" s="88" t="s">
        <v>50</v>
      </c>
      <c r="F276" s="94">
        <v>3215</v>
      </c>
      <c r="G276" s="94">
        <v>960</v>
      </c>
      <c r="H276" s="94">
        <v>202</v>
      </c>
      <c r="I276" s="94">
        <v>32150</v>
      </c>
      <c r="J276" s="94">
        <v>31404</v>
      </c>
      <c r="K276" s="94">
        <v>251</v>
      </c>
      <c r="L276" s="92" t="s">
        <v>58</v>
      </c>
      <c r="M276" s="92" t="s">
        <v>38</v>
      </c>
      <c r="N276" s="20">
        <f t="shared" si="4"/>
        <v>0.13614307931570763</v>
      </c>
    </row>
    <row r="277" spans="1:14" x14ac:dyDescent="0.3">
      <c r="A277" s="87" t="s">
        <v>383</v>
      </c>
      <c r="B277" s="88" t="s">
        <v>31</v>
      </c>
      <c r="C277" s="89">
        <v>45668</v>
      </c>
      <c r="D277" s="88" t="s">
        <v>42</v>
      </c>
      <c r="E277" s="88" t="s">
        <v>43</v>
      </c>
      <c r="F277" s="94">
        <v>4523</v>
      </c>
      <c r="G277" s="94">
        <v>61</v>
      </c>
      <c r="H277" s="94">
        <v>157</v>
      </c>
      <c r="I277" s="94">
        <v>49753</v>
      </c>
      <c r="J277" s="94">
        <v>49329</v>
      </c>
      <c r="K277" s="94">
        <v>71</v>
      </c>
      <c r="L277" s="92" t="s">
        <v>18</v>
      </c>
      <c r="M277" s="92" t="s">
        <v>55</v>
      </c>
      <c r="N277" s="20">
        <f t="shared" si="4"/>
        <v>9.5290736237010829E-2</v>
      </c>
    </row>
    <row r="278" spans="1:14" x14ac:dyDescent="0.3">
      <c r="A278" s="87" t="s">
        <v>383</v>
      </c>
      <c r="B278" s="88" t="s">
        <v>31</v>
      </c>
      <c r="C278" s="89">
        <v>45668</v>
      </c>
      <c r="D278" s="88" t="s">
        <v>42</v>
      </c>
      <c r="E278" s="88" t="s">
        <v>43</v>
      </c>
      <c r="F278" s="94">
        <v>4523</v>
      </c>
      <c r="G278" s="94">
        <v>61</v>
      </c>
      <c r="H278" s="94">
        <v>157</v>
      </c>
      <c r="I278" s="94">
        <v>49753</v>
      </c>
      <c r="J278" s="94">
        <v>49329</v>
      </c>
      <c r="K278" s="94">
        <v>71</v>
      </c>
      <c r="L278" s="92" t="s">
        <v>44</v>
      </c>
      <c r="M278" s="92" t="s">
        <v>55</v>
      </c>
      <c r="N278" s="20">
        <f t="shared" si="4"/>
        <v>9.5290736237010829E-2</v>
      </c>
    </row>
    <row r="279" spans="1:14" x14ac:dyDescent="0.3">
      <c r="A279" s="87" t="s">
        <v>385</v>
      </c>
      <c r="B279" s="88" t="s">
        <v>40</v>
      </c>
      <c r="C279" s="89">
        <v>45528</v>
      </c>
      <c r="D279" s="88" t="s">
        <v>42</v>
      </c>
      <c r="E279" s="88" t="s">
        <v>43</v>
      </c>
      <c r="F279" s="94">
        <v>4292</v>
      </c>
      <c r="G279" s="94">
        <v>51</v>
      </c>
      <c r="H279" s="94">
        <v>392</v>
      </c>
      <c r="I279" s="94">
        <v>55796</v>
      </c>
      <c r="J279" s="94">
        <v>54826</v>
      </c>
      <c r="K279" s="94">
        <v>264</v>
      </c>
      <c r="L279" s="92" t="s">
        <v>44</v>
      </c>
      <c r="M279" s="92" t="s">
        <v>19</v>
      </c>
      <c r="N279" s="20">
        <f t="shared" si="4"/>
        <v>8.4862714173059003E-2</v>
      </c>
    </row>
    <row r="280" spans="1:14" x14ac:dyDescent="0.3">
      <c r="A280" s="87" t="s">
        <v>385</v>
      </c>
      <c r="B280" s="88" t="s">
        <v>40</v>
      </c>
      <c r="C280" s="89">
        <v>45528</v>
      </c>
      <c r="D280" s="88" t="s">
        <v>42</v>
      </c>
      <c r="E280" s="88" t="s">
        <v>43</v>
      </c>
      <c r="F280" s="94">
        <v>4292</v>
      </c>
      <c r="G280" s="94">
        <v>51</v>
      </c>
      <c r="H280" s="94">
        <v>392</v>
      </c>
      <c r="I280" s="94">
        <v>55796</v>
      </c>
      <c r="J280" s="94">
        <v>54826</v>
      </c>
      <c r="K280" s="94">
        <v>264</v>
      </c>
      <c r="L280" s="92" t="s">
        <v>58</v>
      </c>
      <c r="M280" s="92" t="s">
        <v>19</v>
      </c>
      <c r="N280" s="20">
        <f t="shared" si="4"/>
        <v>8.4862714173059003E-2</v>
      </c>
    </row>
    <row r="281" spans="1:14" x14ac:dyDescent="0.3">
      <c r="A281" s="87" t="s">
        <v>386</v>
      </c>
      <c r="B281" s="88" t="s">
        <v>14</v>
      </c>
      <c r="C281" s="89">
        <v>45648</v>
      </c>
      <c r="D281" s="88" t="s">
        <v>16</v>
      </c>
      <c r="E281" s="88" t="s">
        <v>17</v>
      </c>
      <c r="F281" s="94">
        <v>1644</v>
      </c>
      <c r="G281" s="94">
        <v>546</v>
      </c>
      <c r="H281" s="94">
        <v>150</v>
      </c>
      <c r="I281" s="94">
        <v>27948</v>
      </c>
      <c r="J281" s="94">
        <v>27184</v>
      </c>
      <c r="K281" s="94">
        <v>300</v>
      </c>
      <c r="L281" s="92" t="s">
        <v>18</v>
      </c>
      <c r="M281" s="92" t="s">
        <v>19</v>
      </c>
      <c r="N281" s="20">
        <f t="shared" si="4"/>
        <v>8.3726921425504502E-2</v>
      </c>
    </row>
    <row r="282" spans="1:14" x14ac:dyDescent="0.3">
      <c r="A282" s="87" t="s">
        <v>386</v>
      </c>
      <c r="B282" s="88" t="s">
        <v>14</v>
      </c>
      <c r="C282" s="89">
        <v>45648</v>
      </c>
      <c r="D282" s="88" t="s">
        <v>16</v>
      </c>
      <c r="E282" s="88" t="s">
        <v>17</v>
      </c>
      <c r="F282" s="94">
        <v>1644</v>
      </c>
      <c r="G282" s="94">
        <v>546</v>
      </c>
      <c r="H282" s="94">
        <v>150</v>
      </c>
      <c r="I282" s="94">
        <v>27948</v>
      </c>
      <c r="J282" s="94">
        <v>27184</v>
      </c>
      <c r="K282" s="94">
        <v>300</v>
      </c>
      <c r="L282" s="92" t="s">
        <v>44</v>
      </c>
      <c r="M282" s="92" t="s">
        <v>19</v>
      </c>
      <c r="N282" s="20">
        <f t="shared" si="4"/>
        <v>8.3726921425504502E-2</v>
      </c>
    </row>
    <row r="283" spans="1:14" x14ac:dyDescent="0.3">
      <c r="A283" s="87" t="s">
        <v>388</v>
      </c>
      <c r="B283" s="88" t="s">
        <v>577</v>
      </c>
      <c r="C283" s="89">
        <v>45449</v>
      </c>
      <c r="D283" s="88" t="s">
        <v>16</v>
      </c>
      <c r="E283" s="88" t="s">
        <v>17</v>
      </c>
      <c r="F283" s="94">
        <v>2728</v>
      </c>
      <c r="G283" s="94">
        <v>533</v>
      </c>
      <c r="H283" s="94">
        <v>215</v>
      </c>
      <c r="I283" s="94">
        <v>40920</v>
      </c>
      <c r="J283" s="94">
        <v>40816</v>
      </c>
      <c r="K283" s="94">
        <v>137</v>
      </c>
      <c r="L283" s="92" t="s">
        <v>18</v>
      </c>
      <c r="M283" s="92" t="s">
        <v>25</v>
      </c>
      <c r="N283" s="20">
        <f t="shared" si="4"/>
        <v>8.4946236559139784E-2</v>
      </c>
    </row>
    <row r="284" spans="1:14" x14ac:dyDescent="0.3">
      <c r="A284" s="87" t="s">
        <v>389</v>
      </c>
      <c r="B284" s="88" t="s">
        <v>40</v>
      </c>
      <c r="C284" s="89">
        <v>45740</v>
      </c>
      <c r="D284" s="88" t="s">
        <v>16</v>
      </c>
      <c r="E284" s="88" t="s">
        <v>17</v>
      </c>
      <c r="F284" s="94">
        <v>3360</v>
      </c>
      <c r="G284" s="94">
        <v>525</v>
      </c>
      <c r="H284" s="94">
        <v>500</v>
      </c>
      <c r="I284" s="94">
        <v>60480</v>
      </c>
      <c r="J284" s="94">
        <v>59610</v>
      </c>
      <c r="K284" s="94">
        <v>192</v>
      </c>
      <c r="L284" s="92" t="s">
        <v>18</v>
      </c>
      <c r="M284" s="92" t="s">
        <v>19</v>
      </c>
      <c r="N284" s="20">
        <f t="shared" si="4"/>
        <v>7.2503306878306875E-2</v>
      </c>
    </row>
    <row r="285" spans="1:14" x14ac:dyDescent="0.3">
      <c r="A285" s="87" t="s">
        <v>389</v>
      </c>
      <c r="B285" s="88" t="s">
        <v>40</v>
      </c>
      <c r="C285" s="89">
        <v>45740</v>
      </c>
      <c r="D285" s="88" t="s">
        <v>16</v>
      </c>
      <c r="E285" s="88" t="s">
        <v>17</v>
      </c>
      <c r="F285" s="94">
        <v>3360</v>
      </c>
      <c r="G285" s="94">
        <v>525</v>
      </c>
      <c r="H285" s="94">
        <v>500</v>
      </c>
      <c r="I285" s="94">
        <v>60480</v>
      </c>
      <c r="J285" s="94">
        <v>59610</v>
      </c>
      <c r="K285" s="94">
        <v>192</v>
      </c>
      <c r="L285" s="92" t="s">
        <v>58</v>
      </c>
      <c r="M285" s="92" t="s">
        <v>19</v>
      </c>
      <c r="N285" s="20">
        <f t="shared" si="4"/>
        <v>7.2503306878306875E-2</v>
      </c>
    </row>
    <row r="286" spans="1:14" x14ac:dyDescent="0.3">
      <c r="A286" s="87" t="s">
        <v>390</v>
      </c>
      <c r="B286" s="88" t="s">
        <v>577</v>
      </c>
      <c r="C286" s="89">
        <v>45569</v>
      </c>
      <c r="D286" s="88" t="s">
        <v>22</v>
      </c>
      <c r="E286" s="88" t="s">
        <v>23</v>
      </c>
      <c r="F286" s="94">
        <v>1963</v>
      </c>
      <c r="G286" s="94">
        <v>213</v>
      </c>
      <c r="H286" s="94">
        <v>19</v>
      </c>
      <c r="I286" s="94">
        <v>39260</v>
      </c>
      <c r="J286" s="94">
        <v>38771</v>
      </c>
      <c r="K286" s="94">
        <v>145</v>
      </c>
      <c r="L286" s="92" t="s">
        <v>58</v>
      </c>
      <c r="M286" s="92" t="s">
        <v>19</v>
      </c>
      <c r="N286" s="20">
        <f t="shared" si="4"/>
        <v>5.5909322465613857E-2</v>
      </c>
    </row>
    <row r="287" spans="1:14" x14ac:dyDescent="0.3">
      <c r="A287" s="87" t="s">
        <v>392</v>
      </c>
      <c r="B287" s="88" t="s">
        <v>577</v>
      </c>
      <c r="C287" s="89">
        <v>45629</v>
      </c>
      <c r="D287" s="88" t="s">
        <v>33</v>
      </c>
      <c r="E287" s="88" t="s">
        <v>34</v>
      </c>
      <c r="F287" s="94">
        <v>4285</v>
      </c>
      <c r="G287" s="94">
        <v>886</v>
      </c>
      <c r="H287" s="94">
        <v>376</v>
      </c>
      <c r="I287" s="94">
        <v>55705</v>
      </c>
      <c r="J287" s="94">
        <v>55556</v>
      </c>
      <c r="K287" s="94">
        <v>51</v>
      </c>
      <c r="L287" s="92" t="s">
        <v>24</v>
      </c>
      <c r="M287" s="92" t="s">
        <v>55</v>
      </c>
      <c r="N287" s="20">
        <f t="shared" si="4"/>
        <v>9.9578134817341346E-2</v>
      </c>
    </row>
    <row r="288" spans="1:14" x14ac:dyDescent="0.3">
      <c r="A288" s="87" t="s">
        <v>392</v>
      </c>
      <c r="B288" s="88" t="s">
        <v>577</v>
      </c>
      <c r="C288" s="89">
        <v>45629</v>
      </c>
      <c r="D288" s="88" t="s">
        <v>33</v>
      </c>
      <c r="E288" s="88" t="s">
        <v>34</v>
      </c>
      <c r="F288" s="94">
        <v>4285</v>
      </c>
      <c r="G288" s="94">
        <v>886</v>
      </c>
      <c r="H288" s="94">
        <v>376</v>
      </c>
      <c r="I288" s="94">
        <v>55705</v>
      </c>
      <c r="J288" s="94">
        <v>55556</v>
      </c>
      <c r="K288" s="94">
        <v>51</v>
      </c>
      <c r="L288" s="92" t="s">
        <v>77</v>
      </c>
      <c r="M288" s="92" t="s">
        <v>55</v>
      </c>
      <c r="N288" s="20">
        <f t="shared" si="4"/>
        <v>9.9578134817341346E-2</v>
      </c>
    </row>
    <row r="289" spans="1:14" x14ac:dyDescent="0.3">
      <c r="A289" s="87" t="s">
        <v>393</v>
      </c>
      <c r="B289" s="88" t="s">
        <v>31</v>
      </c>
      <c r="C289" s="89">
        <v>45625</v>
      </c>
      <c r="D289" s="88" t="s">
        <v>69</v>
      </c>
      <c r="E289" s="88" t="s">
        <v>70</v>
      </c>
      <c r="F289" s="94">
        <v>1176</v>
      </c>
      <c r="G289" s="94">
        <v>464</v>
      </c>
      <c r="H289" s="94">
        <v>394</v>
      </c>
      <c r="I289" s="94">
        <v>14112</v>
      </c>
      <c r="J289" s="94">
        <v>13588</v>
      </c>
      <c r="K289" s="94">
        <v>272</v>
      </c>
      <c r="L289" s="92" t="s">
        <v>77</v>
      </c>
      <c r="M289" s="92" t="s">
        <v>19</v>
      </c>
      <c r="N289" s="20">
        <f t="shared" si="4"/>
        <v>0.1441326530612245</v>
      </c>
    </row>
    <row r="290" spans="1:14" x14ac:dyDescent="0.3">
      <c r="A290" s="87" t="s">
        <v>395</v>
      </c>
      <c r="B290" s="88" t="s">
        <v>14</v>
      </c>
      <c r="C290" s="89">
        <v>45546</v>
      </c>
      <c r="D290" s="88" t="s">
        <v>49</v>
      </c>
      <c r="E290" s="88" t="s">
        <v>50</v>
      </c>
      <c r="F290" s="94">
        <v>4858</v>
      </c>
      <c r="G290" s="94">
        <v>317</v>
      </c>
      <c r="H290" s="94">
        <v>129</v>
      </c>
      <c r="I290" s="94">
        <v>53438</v>
      </c>
      <c r="J290" s="94">
        <v>52687</v>
      </c>
      <c r="K290" s="94">
        <v>223</v>
      </c>
      <c r="L290" s="92" t="s">
        <v>77</v>
      </c>
      <c r="M290" s="92" t="s">
        <v>19</v>
      </c>
      <c r="N290" s="20">
        <f t="shared" si="4"/>
        <v>9.9255211647142488E-2</v>
      </c>
    </row>
    <row r="291" spans="1:14" x14ac:dyDescent="0.3">
      <c r="A291" s="87" t="s">
        <v>395</v>
      </c>
      <c r="B291" s="88" t="s">
        <v>14</v>
      </c>
      <c r="C291" s="89">
        <v>45546</v>
      </c>
      <c r="D291" s="88" t="s">
        <v>49</v>
      </c>
      <c r="E291" s="88" t="s">
        <v>50</v>
      </c>
      <c r="F291" s="94">
        <v>4858</v>
      </c>
      <c r="G291" s="94">
        <v>317</v>
      </c>
      <c r="H291" s="94">
        <v>129</v>
      </c>
      <c r="I291" s="94">
        <v>53438</v>
      </c>
      <c r="J291" s="94">
        <v>52687</v>
      </c>
      <c r="K291" s="94">
        <v>223</v>
      </c>
      <c r="L291" s="92" t="s">
        <v>44</v>
      </c>
      <c r="M291" s="92" t="s">
        <v>19</v>
      </c>
      <c r="N291" s="20">
        <f t="shared" si="4"/>
        <v>9.9255211647142488E-2</v>
      </c>
    </row>
    <row r="292" spans="1:14" x14ac:dyDescent="0.3">
      <c r="A292" s="87" t="s">
        <v>397</v>
      </c>
      <c r="B292" s="88" t="s">
        <v>577</v>
      </c>
      <c r="C292" s="89">
        <v>45567</v>
      </c>
      <c r="D292" s="88" t="s">
        <v>33</v>
      </c>
      <c r="E292" s="88" t="s">
        <v>34</v>
      </c>
      <c r="F292" s="94">
        <v>4350</v>
      </c>
      <c r="G292" s="94">
        <v>771</v>
      </c>
      <c r="H292" s="94">
        <v>7</v>
      </c>
      <c r="I292" s="94">
        <v>60900</v>
      </c>
      <c r="J292" s="94">
        <v>60592</v>
      </c>
      <c r="K292" s="94">
        <v>195</v>
      </c>
      <c r="L292" s="92" t="s">
        <v>77</v>
      </c>
      <c r="M292" s="92" t="s">
        <v>25</v>
      </c>
      <c r="N292" s="20">
        <f t="shared" si="4"/>
        <v>8.4203612479474554E-2</v>
      </c>
    </row>
    <row r="293" spans="1:14" x14ac:dyDescent="0.3">
      <c r="A293" s="87" t="s">
        <v>397</v>
      </c>
      <c r="B293" s="88" t="s">
        <v>577</v>
      </c>
      <c r="C293" s="89">
        <v>45567</v>
      </c>
      <c r="D293" s="88" t="s">
        <v>33</v>
      </c>
      <c r="E293" s="88" t="s">
        <v>34</v>
      </c>
      <c r="F293" s="94">
        <v>4350</v>
      </c>
      <c r="G293" s="94">
        <v>771</v>
      </c>
      <c r="H293" s="94">
        <v>7</v>
      </c>
      <c r="I293" s="94">
        <v>60900</v>
      </c>
      <c r="J293" s="94">
        <v>60592</v>
      </c>
      <c r="K293" s="94">
        <v>195</v>
      </c>
      <c r="L293" s="92" t="s">
        <v>58</v>
      </c>
      <c r="M293" s="92" t="s">
        <v>25</v>
      </c>
      <c r="N293" s="20">
        <f t="shared" si="4"/>
        <v>8.4203612479474554E-2</v>
      </c>
    </row>
    <row r="294" spans="1:14" x14ac:dyDescent="0.3">
      <c r="A294" s="87" t="s">
        <v>398</v>
      </c>
      <c r="B294" s="88" t="s">
        <v>31</v>
      </c>
      <c r="C294" s="89">
        <v>45519</v>
      </c>
      <c r="D294" s="88" t="s">
        <v>42</v>
      </c>
      <c r="E294" s="88" t="s">
        <v>43</v>
      </c>
      <c r="F294" s="94">
        <v>914</v>
      </c>
      <c r="G294" s="94">
        <v>464</v>
      </c>
      <c r="H294" s="94">
        <v>246</v>
      </c>
      <c r="I294" s="94">
        <v>11882</v>
      </c>
      <c r="J294" s="94">
        <v>11500</v>
      </c>
      <c r="K294" s="94">
        <v>282</v>
      </c>
      <c r="L294" s="92" t="s">
        <v>24</v>
      </c>
      <c r="M294" s="92" t="s">
        <v>38</v>
      </c>
      <c r="N294" s="20">
        <f t="shared" si="4"/>
        <v>0.13667732704931829</v>
      </c>
    </row>
    <row r="295" spans="1:14" x14ac:dyDescent="0.3">
      <c r="A295" s="87" t="s">
        <v>398</v>
      </c>
      <c r="B295" s="88" t="s">
        <v>31</v>
      </c>
      <c r="C295" s="89">
        <v>45519</v>
      </c>
      <c r="D295" s="88" t="s">
        <v>42</v>
      </c>
      <c r="E295" s="88" t="s">
        <v>43</v>
      </c>
      <c r="F295" s="94">
        <v>914</v>
      </c>
      <c r="G295" s="94">
        <v>464</v>
      </c>
      <c r="H295" s="94">
        <v>246</v>
      </c>
      <c r="I295" s="94">
        <v>11882</v>
      </c>
      <c r="J295" s="94">
        <v>11500</v>
      </c>
      <c r="K295" s="94">
        <v>282</v>
      </c>
      <c r="L295" s="92" t="s">
        <v>44</v>
      </c>
      <c r="M295" s="92" t="s">
        <v>38</v>
      </c>
      <c r="N295" s="20">
        <f t="shared" si="4"/>
        <v>0.13667732704931829</v>
      </c>
    </row>
    <row r="296" spans="1:14" x14ac:dyDescent="0.3">
      <c r="A296" s="87" t="s">
        <v>400</v>
      </c>
      <c r="B296" s="88" t="s">
        <v>31</v>
      </c>
      <c r="C296" s="89">
        <v>45645</v>
      </c>
      <c r="D296" s="88" t="s">
        <v>22</v>
      </c>
      <c r="E296" s="88" t="s">
        <v>23</v>
      </c>
      <c r="F296" s="94">
        <v>1813</v>
      </c>
      <c r="G296" s="94">
        <v>623</v>
      </c>
      <c r="H296" s="94">
        <v>72</v>
      </c>
      <c r="I296" s="94">
        <v>19943</v>
      </c>
      <c r="J296" s="94">
        <v>18959</v>
      </c>
      <c r="K296" s="94">
        <v>85</v>
      </c>
      <c r="L296" s="92" t="s">
        <v>44</v>
      </c>
      <c r="M296" s="92" t="s">
        <v>38</v>
      </c>
      <c r="N296" s="20">
        <f t="shared" si="4"/>
        <v>0.12575841147269717</v>
      </c>
    </row>
    <row r="297" spans="1:14" x14ac:dyDescent="0.3">
      <c r="A297" s="87" t="s">
        <v>400</v>
      </c>
      <c r="B297" s="88" t="s">
        <v>31</v>
      </c>
      <c r="C297" s="89">
        <v>45645</v>
      </c>
      <c r="D297" s="88" t="s">
        <v>22</v>
      </c>
      <c r="E297" s="88" t="s">
        <v>23</v>
      </c>
      <c r="F297" s="94">
        <v>1813</v>
      </c>
      <c r="G297" s="94">
        <v>623</v>
      </c>
      <c r="H297" s="94">
        <v>72</v>
      </c>
      <c r="I297" s="94">
        <v>19943</v>
      </c>
      <c r="J297" s="94">
        <v>18959</v>
      </c>
      <c r="K297" s="94">
        <v>85</v>
      </c>
      <c r="L297" s="92" t="s">
        <v>24</v>
      </c>
      <c r="M297" s="92" t="s">
        <v>38</v>
      </c>
      <c r="N297" s="20">
        <f t="shared" si="4"/>
        <v>0.12575841147269717</v>
      </c>
    </row>
    <row r="298" spans="1:14" x14ac:dyDescent="0.3">
      <c r="A298" s="87" t="s">
        <v>402</v>
      </c>
      <c r="B298" s="88" t="s">
        <v>14</v>
      </c>
      <c r="C298" s="89">
        <v>45587</v>
      </c>
      <c r="D298" s="88" t="s">
        <v>16</v>
      </c>
      <c r="E298" s="88" t="s">
        <v>17</v>
      </c>
      <c r="F298" s="94">
        <v>4782</v>
      </c>
      <c r="G298" s="94">
        <v>721</v>
      </c>
      <c r="H298" s="94">
        <v>82</v>
      </c>
      <c r="I298" s="94">
        <v>86076</v>
      </c>
      <c r="J298" s="94">
        <v>85339</v>
      </c>
      <c r="K298" s="94">
        <v>19</v>
      </c>
      <c r="L298" s="92" t="s">
        <v>77</v>
      </c>
      <c r="M298" s="92" t="s">
        <v>25</v>
      </c>
      <c r="N298" s="20">
        <f t="shared" si="4"/>
        <v>6.4884520656164318E-2</v>
      </c>
    </row>
    <row r="299" spans="1:14" x14ac:dyDescent="0.3">
      <c r="A299" s="87" t="s">
        <v>403</v>
      </c>
      <c r="B299" s="88" t="s">
        <v>14</v>
      </c>
      <c r="C299" s="89">
        <v>45549</v>
      </c>
      <c r="D299" s="88" t="s">
        <v>49</v>
      </c>
      <c r="E299" s="88" t="s">
        <v>50</v>
      </c>
      <c r="F299" s="94">
        <v>1048</v>
      </c>
      <c r="G299" s="94">
        <v>374</v>
      </c>
      <c r="H299" s="94">
        <v>450</v>
      </c>
      <c r="I299" s="94">
        <v>9432</v>
      </c>
      <c r="J299" s="94">
        <v>8882</v>
      </c>
      <c r="K299" s="94">
        <v>158</v>
      </c>
      <c r="L299" s="92" t="s">
        <v>44</v>
      </c>
      <c r="M299" s="92" t="s">
        <v>25</v>
      </c>
      <c r="N299" s="20">
        <f t="shared" si="4"/>
        <v>0.19847328244274809</v>
      </c>
    </row>
    <row r="300" spans="1:14" x14ac:dyDescent="0.3">
      <c r="A300" s="87" t="s">
        <v>403</v>
      </c>
      <c r="B300" s="88" t="s">
        <v>14</v>
      </c>
      <c r="C300" s="89">
        <v>45549</v>
      </c>
      <c r="D300" s="88" t="s">
        <v>49</v>
      </c>
      <c r="E300" s="88" t="s">
        <v>50</v>
      </c>
      <c r="F300" s="94">
        <v>1048</v>
      </c>
      <c r="G300" s="94">
        <v>374</v>
      </c>
      <c r="H300" s="94">
        <v>450</v>
      </c>
      <c r="I300" s="94">
        <v>9432</v>
      </c>
      <c r="J300" s="94">
        <v>8882</v>
      </c>
      <c r="K300" s="94">
        <v>158</v>
      </c>
      <c r="L300" s="92" t="s">
        <v>18</v>
      </c>
      <c r="M300" s="92" t="s">
        <v>25</v>
      </c>
      <c r="N300" s="20">
        <f t="shared" si="4"/>
        <v>0.19847328244274809</v>
      </c>
    </row>
    <row r="301" spans="1:14" x14ac:dyDescent="0.3">
      <c r="A301" s="87" t="s">
        <v>405</v>
      </c>
      <c r="B301" s="88" t="s">
        <v>577</v>
      </c>
      <c r="C301" s="89">
        <v>45626</v>
      </c>
      <c r="D301" s="88" t="s">
        <v>42</v>
      </c>
      <c r="E301" s="88" t="s">
        <v>43</v>
      </c>
      <c r="F301" s="94">
        <v>2509</v>
      </c>
      <c r="G301" s="94">
        <v>324</v>
      </c>
      <c r="H301" s="94">
        <v>171</v>
      </c>
      <c r="I301" s="94">
        <v>35126</v>
      </c>
      <c r="J301" s="94">
        <v>34685</v>
      </c>
      <c r="K301" s="94">
        <v>277</v>
      </c>
      <c r="L301" s="92" t="s">
        <v>77</v>
      </c>
      <c r="M301" s="92" t="s">
        <v>25</v>
      </c>
      <c r="N301" s="20">
        <f t="shared" si="4"/>
        <v>8.5520696919660646E-2</v>
      </c>
    </row>
    <row r="302" spans="1:14" x14ac:dyDescent="0.3">
      <c r="A302" s="87" t="s">
        <v>406</v>
      </c>
      <c r="B302" s="88" t="s">
        <v>40</v>
      </c>
      <c r="C302" s="89">
        <v>45754</v>
      </c>
      <c r="D302" s="88" t="s">
        <v>16</v>
      </c>
      <c r="E302" s="88" t="s">
        <v>17</v>
      </c>
      <c r="F302" s="94">
        <v>3718</v>
      </c>
      <c r="G302" s="94">
        <v>385</v>
      </c>
      <c r="H302" s="94">
        <v>310</v>
      </c>
      <c r="I302" s="94">
        <v>70642</v>
      </c>
      <c r="J302" s="94">
        <v>69749</v>
      </c>
      <c r="K302" s="94">
        <v>233</v>
      </c>
      <c r="L302" s="92" t="s">
        <v>44</v>
      </c>
      <c r="M302" s="92" t="s">
        <v>19</v>
      </c>
      <c r="N302" s="20">
        <f t="shared" si="4"/>
        <v>6.246991874522239E-2</v>
      </c>
    </row>
    <row r="303" spans="1:14" x14ac:dyDescent="0.3">
      <c r="A303" s="87" t="s">
        <v>408</v>
      </c>
      <c r="B303" s="88" t="s">
        <v>14</v>
      </c>
      <c r="C303" s="89">
        <v>45672</v>
      </c>
      <c r="D303" s="88" t="s">
        <v>16</v>
      </c>
      <c r="E303" s="88" t="s">
        <v>17</v>
      </c>
      <c r="F303" s="94">
        <v>802</v>
      </c>
      <c r="G303" s="94">
        <v>262</v>
      </c>
      <c r="H303" s="94">
        <v>244</v>
      </c>
      <c r="I303" s="94">
        <v>14436</v>
      </c>
      <c r="J303" s="94">
        <v>14280</v>
      </c>
      <c r="K303" s="94">
        <v>49</v>
      </c>
      <c r="L303" s="92" t="s">
        <v>18</v>
      </c>
      <c r="M303" s="92" t="s">
        <v>55</v>
      </c>
      <c r="N303" s="20">
        <f t="shared" si="4"/>
        <v>9.0606816292601824E-2</v>
      </c>
    </row>
    <row r="304" spans="1:14" x14ac:dyDescent="0.3">
      <c r="A304" s="87" t="s">
        <v>408</v>
      </c>
      <c r="B304" s="88" t="s">
        <v>14</v>
      </c>
      <c r="C304" s="89">
        <v>45672</v>
      </c>
      <c r="D304" s="88" t="s">
        <v>16</v>
      </c>
      <c r="E304" s="88" t="s">
        <v>17</v>
      </c>
      <c r="F304" s="94">
        <v>802</v>
      </c>
      <c r="G304" s="94">
        <v>262</v>
      </c>
      <c r="H304" s="94">
        <v>244</v>
      </c>
      <c r="I304" s="94">
        <v>14436</v>
      </c>
      <c r="J304" s="94">
        <v>14280</v>
      </c>
      <c r="K304" s="94">
        <v>49</v>
      </c>
      <c r="L304" s="92" t="s">
        <v>77</v>
      </c>
      <c r="M304" s="92" t="s">
        <v>55</v>
      </c>
      <c r="N304" s="20">
        <f t="shared" si="4"/>
        <v>9.0606816292601824E-2</v>
      </c>
    </row>
    <row r="305" spans="1:14" x14ac:dyDescent="0.3">
      <c r="A305" s="87" t="s">
        <v>410</v>
      </c>
      <c r="B305" s="88" t="s">
        <v>40</v>
      </c>
      <c r="C305" s="89">
        <v>45445</v>
      </c>
      <c r="D305" s="88" t="s">
        <v>49</v>
      </c>
      <c r="E305" s="88" t="s">
        <v>50</v>
      </c>
      <c r="F305" s="94">
        <v>1871</v>
      </c>
      <c r="G305" s="94">
        <v>252</v>
      </c>
      <c r="H305" s="94">
        <v>335</v>
      </c>
      <c r="I305" s="94">
        <v>29936</v>
      </c>
      <c r="J305" s="94">
        <v>29576</v>
      </c>
      <c r="K305" s="94">
        <v>288</v>
      </c>
      <c r="L305" s="92" t="s">
        <v>44</v>
      </c>
      <c r="M305" s="92" t="s">
        <v>25</v>
      </c>
      <c r="N305" s="20">
        <f t="shared" si="4"/>
        <v>8.2108498129342594E-2</v>
      </c>
    </row>
    <row r="306" spans="1:14" x14ac:dyDescent="0.3">
      <c r="A306" s="87" t="s">
        <v>412</v>
      </c>
      <c r="B306" s="88" t="s">
        <v>31</v>
      </c>
      <c r="C306" s="89">
        <v>45617</v>
      </c>
      <c r="D306" s="88" t="s">
        <v>42</v>
      </c>
      <c r="E306" s="88" t="s">
        <v>43</v>
      </c>
      <c r="F306" s="94">
        <v>3773</v>
      </c>
      <c r="G306" s="94">
        <v>299</v>
      </c>
      <c r="H306" s="94">
        <v>38</v>
      </c>
      <c r="I306" s="94">
        <v>71687</v>
      </c>
      <c r="J306" s="94">
        <v>71447</v>
      </c>
      <c r="K306" s="94">
        <v>286</v>
      </c>
      <c r="L306" s="92" t="s">
        <v>44</v>
      </c>
      <c r="M306" s="92" t="s">
        <v>55</v>
      </c>
      <c r="N306" s="20">
        <f t="shared" si="4"/>
        <v>5.7332570758993957E-2</v>
      </c>
    </row>
    <row r="307" spans="1:14" x14ac:dyDescent="0.3">
      <c r="A307" s="87" t="s">
        <v>414</v>
      </c>
      <c r="B307" s="88" t="s">
        <v>31</v>
      </c>
      <c r="C307" s="89">
        <v>45658</v>
      </c>
      <c r="D307" s="88" t="s">
        <v>42</v>
      </c>
      <c r="E307" s="88" t="s">
        <v>43</v>
      </c>
      <c r="F307" s="94">
        <v>2234</v>
      </c>
      <c r="G307" s="94">
        <v>653</v>
      </c>
      <c r="H307" s="94">
        <v>432</v>
      </c>
      <c r="I307" s="94">
        <v>11170</v>
      </c>
      <c r="J307" s="94">
        <v>10569</v>
      </c>
      <c r="K307" s="94">
        <v>198</v>
      </c>
      <c r="L307" s="92" t="s">
        <v>77</v>
      </c>
      <c r="M307" s="92" t="s">
        <v>55</v>
      </c>
      <c r="N307" s="20">
        <f t="shared" si="4"/>
        <v>0.29713518352730528</v>
      </c>
    </row>
    <row r="308" spans="1:14" x14ac:dyDescent="0.3">
      <c r="A308" s="87" t="s">
        <v>414</v>
      </c>
      <c r="B308" s="88" t="s">
        <v>31</v>
      </c>
      <c r="C308" s="89">
        <v>45658</v>
      </c>
      <c r="D308" s="88" t="s">
        <v>42</v>
      </c>
      <c r="E308" s="88" t="s">
        <v>43</v>
      </c>
      <c r="F308" s="94">
        <v>2234</v>
      </c>
      <c r="G308" s="94">
        <v>653</v>
      </c>
      <c r="H308" s="94">
        <v>432</v>
      </c>
      <c r="I308" s="94">
        <v>11170</v>
      </c>
      <c r="J308" s="94">
        <v>10569</v>
      </c>
      <c r="K308" s="94">
        <v>198</v>
      </c>
      <c r="L308" s="92" t="s">
        <v>58</v>
      </c>
      <c r="M308" s="92" t="s">
        <v>55</v>
      </c>
      <c r="N308" s="20">
        <f t="shared" si="4"/>
        <v>0.29713518352730528</v>
      </c>
    </row>
    <row r="309" spans="1:14" x14ac:dyDescent="0.3">
      <c r="A309" s="87" t="s">
        <v>415</v>
      </c>
      <c r="B309" s="88" t="s">
        <v>14</v>
      </c>
      <c r="C309" s="89">
        <v>45771</v>
      </c>
      <c r="D309" s="88" t="s">
        <v>69</v>
      </c>
      <c r="E309" s="88" t="s">
        <v>70</v>
      </c>
      <c r="F309" s="94">
        <v>3820</v>
      </c>
      <c r="G309" s="94">
        <v>697</v>
      </c>
      <c r="H309" s="94">
        <v>268</v>
      </c>
      <c r="I309" s="94">
        <v>45840</v>
      </c>
      <c r="J309" s="94">
        <v>45631</v>
      </c>
      <c r="K309" s="94">
        <v>171</v>
      </c>
      <c r="L309" s="92" t="s">
        <v>58</v>
      </c>
      <c r="M309" s="92" t="s">
        <v>19</v>
      </c>
      <c r="N309" s="20">
        <f t="shared" si="4"/>
        <v>0.1043848167539267</v>
      </c>
    </row>
    <row r="310" spans="1:14" x14ac:dyDescent="0.3">
      <c r="A310" s="87" t="s">
        <v>415</v>
      </c>
      <c r="B310" s="88" t="s">
        <v>14</v>
      </c>
      <c r="C310" s="89">
        <v>45771</v>
      </c>
      <c r="D310" s="88" t="s">
        <v>69</v>
      </c>
      <c r="E310" s="88" t="s">
        <v>70</v>
      </c>
      <c r="F310" s="94">
        <v>3820</v>
      </c>
      <c r="G310" s="94">
        <v>697</v>
      </c>
      <c r="H310" s="94">
        <v>268</v>
      </c>
      <c r="I310" s="94">
        <v>45840</v>
      </c>
      <c r="J310" s="94">
        <v>45631</v>
      </c>
      <c r="K310" s="94">
        <v>171</v>
      </c>
      <c r="L310" s="92" t="s">
        <v>77</v>
      </c>
      <c r="M310" s="92" t="s">
        <v>19</v>
      </c>
      <c r="N310" s="20">
        <f t="shared" si="4"/>
        <v>0.1043848167539267</v>
      </c>
    </row>
    <row r="311" spans="1:14" x14ac:dyDescent="0.3">
      <c r="A311" s="87" t="s">
        <v>416</v>
      </c>
      <c r="B311" s="88" t="s">
        <v>14</v>
      </c>
      <c r="C311" s="89">
        <v>45467</v>
      </c>
      <c r="D311" s="88" t="s">
        <v>22</v>
      </c>
      <c r="E311" s="88" t="s">
        <v>23</v>
      </c>
      <c r="F311" s="94">
        <v>941</v>
      </c>
      <c r="G311" s="94">
        <v>121</v>
      </c>
      <c r="H311" s="94">
        <v>458</v>
      </c>
      <c r="I311" s="94">
        <v>14115</v>
      </c>
      <c r="J311" s="94">
        <v>13838</v>
      </c>
      <c r="K311" s="94">
        <v>87</v>
      </c>
      <c r="L311" s="92" t="s">
        <v>24</v>
      </c>
      <c r="M311" s="92" t="s">
        <v>25</v>
      </c>
      <c r="N311" s="20">
        <f t="shared" si="4"/>
        <v>0.10768685795253277</v>
      </c>
    </row>
    <row r="312" spans="1:14" x14ac:dyDescent="0.3">
      <c r="A312" s="87" t="s">
        <v>416</v>
      </c>
      <c r="B312" s="88" t="s">
        <v>14</v>
      </c>
      <c r="C312" s="89">
        <v>45467</v>
      </c>
      <c r="D312" s="88" t="s">
        <v>22</v>
      </c>
      <c r="E312" s="88" t="s">
        <v>23</v>
      </c>
      <c r="F312" s="94">
        <v>941</v>
      </c>
      <c r="G312" s="94">
        <v>121</v>
      </c>
      <c r="H312" s="94">
        <v>458</v>
      </c>
      <c r="I312" s="94">
        <v>14115</v>
      </c>
      <c r="J312" s="94">
        <v>13838</v>
      </c>
      <c r="K312" s="94">
        <v>87</v>
      </c>
      <c r="L312" s="92" t="s">
        <v>18</v>
      </c>
      <c r="M312" s="92" t="s">
        <v>25</v>
      </c>
      <c r="N312" s="20">
        <f t="shared" si="4"/>
        <v>0.10768685795253277</v>
      </c>
    </row>
    <row r="313" spans="1:14" x14ac:dyDescent="0.3">
      <c r="A313" s="87" t="s">
        <v>417</v>
      </c>
      <c r="B313" s="88" t="s">
        <v>14</v>
      </c>
      <c r="C313" s="89">
        <v>45655</v>
      </c>
      <c r="D313" s="88" t="s">
        <v>42</v>
      </c>
      <c r="E313" s="88" t="s">
        <v>43</v>
      </c>
      <c r="F313" s="94">
        <v>4274</v>
      </c>
      <c r="G313" s="94">
        <v>340</v>
      </c>
      <c r="H313" s="94">
        <v>281</v>
      </c>
      <c r="I313" s="94">
        <v>34192</v>
      </c>
      <c r="J313" s="94">
        <v>33446</v>
      </c>
      <c r="K313" s="94">
        <v>129</v>
      </c>
      <c r="L313" s="92" t="s">
        <v>58</v>
      </c>
      <c r="M313" s="92" t="s">
        <v>38</v>
      </c>
      <c r="N313" s="20">
        <f t="shared" si="4"/>
        <v>0.14316214319138981</v>
      </c>
    </row>
    <row r="314" spans="1:14" x14ac:dyDescent="0.3">
      <c r="A314" s="87" t="s">
        <v>417</v>
      </c>
      <c r="B314" s="88" t="s">
        <v>14</v>
      </c>
      <c r="C314" s="89">
        <v>45655</v>
      </c>
      <c r="D314" s="88" t="s">
        <v>42</v>
      </c>
      <c r="E314" s="88" t="s">
        <v>43</v>
      </c>
      <c r="F314" s="94">
        <v>4274</v>
      </c>
      <c r="G314" s="94">
        <v>340</v>
      </c>
      <c r="H314" s="94">
        <v>281</v>
      </c>
      <c r="I314" s="94">
        <v>34192</v>
      </c>
      <c r="J314" s="94">
        <v>33446</v>
      </c>
      <c r="K314" s="94">
        <v>129</v>
      </c>
      <c r="L314" s="92" t="s">
        <v>77</v>
      </c>
      <c r="M314" s="92" t="s">
        <v>38</v>
      </c>
      <c r="N314" s="20">
        <f t="shared" si="4"/>
        <v>0.14316214319138981</v>
      </c>
    </row>
    <row r="315" spans="1:14" x14ac:dyDescent="0.3">
      <c r="A315" s="87" t="s">
        <v>419</v>
      </c>
      <c r="B315" s="88" t="s">
        <v>577</v>
      </c>
      <c r="C315" s="89">
        <v>45467</v>
      </c>
      <c r="D315" s="88" t="s">
        <v>69</v>
      </c>
      <c r="E315" s="88" t="s">
        <v>70</v>
      </c>
      <c r="F315" s="94">
        <v>2949</v>
      </c>
      <c r="G315" s="94">
        <v>476</v>
      </c>
      <c r="H315" s="94">
        <v>403</v>
      </c>
      <c r="I315" s="94">
        <v>44235</v>
      </c>
      <c r="J315" s="94">
        <v>43705</v>
      </c>
      <c r="K315" s="94">
        <v>135</v>
      </c>
      <c r="L315" s="92" t="s">
        <v>44</v>
      </c>
      <c r="M315" s="92" t="s">
        <v>19</v>
      </c>
      <c r="N315" s="20">
        <f t="shared" si="4"/>
        <v>8.6537809426924378E-2</v>
      </c>
    </row>
    <row r="316" spans="1:14" x14ac:dyDescent="0.3">
      <c r="A316" s="87" t="s">
        <v>419</v>
      </c>
      <c r="B316" s="88" t="s">
        <v>577</v>
      </c>
      <c r="C316" s="89">
        <v>45467</v>
      </c>
      <c r="D316" s="88" t="s">
        <v>69</v>
      </c>
      <c r="E316" s="88" t="s">
        <v>70</v>
      </c>
      <c r="F316" s="94">
        <v>2949</v>
      </c>
      <c r="G316" s="94">
        <v>476</v>
      </c>
      <c r="H316" s="94">
        <v>403</v>
      </c>
      <c r="I316" s="94">
        <v>44235</v>
      </c>
      <c r="J316" s="94">
        <v>43705</v>
      </c>
      <c r="K316" s="94">
        <v>135</v>
      </c>
      <c r="L316" s="92" t="s">
        <v>77</v>
      </c>
      <c r="M316" s="92" t="s">
        <v>19</v>
      </c>
      <c r="N316" s="20">
        <f t="shared" si="4"/>
        <v>8.6537809426924378E-2</v>
      </c>
    </row>
    <row r="317" spans="1:14" x14ac:dyDescent="0.3">
      <c r="A317" s="87" t="s">
        <v>420</v>
      </c>
      <c r="B317" s="88" t="s">
        <v>14</v>
      </c>
      <c r="C317" s="89">
        <v>45735</v>
      </c>
      <c r="D317" s="88" t="s">
        <v>69</v>
      </c>
      <c r="E317" s="88" t="s">
        <v>70</v>
      </c>
      <c r="F317" s="94">
        <v>3160</v>
      </c>
      <c r="G317" s="94">
        <v>204</v>
      </c>
      <c r="H317" s="94">
        <v>297</v>
      </c>
      <c r="I317" s="94">
        <v>44240</v>
      </c>
      <c r="J317" s="94">
        <v>43666</v>
      </c>
      <c r="K317" s="94">
        <v>49</v>
      </c>
      <c r="L317" s="92" t="s">
        <v>58</v>
      </c>
      <c r="M317" s="92" t="s">
        <v>19</v>
      </c>
      <c r="N317" s="20">
        <f t="shared" si="4"/>
        <v>8.2753164556962022E-2</v>
      </c>
    </row>
    <row r="318" spans="1:14" x14ac:dyDescent="0.3">
      <c r="A318" s="87" t="s">
        <v>420</v>
      </c>
      <c r="B318" s="88" t="s">
        <v>14</v>
      </c>
      <c r="C318" s="89">
        <v>45735</v>
      </c>
      <c r="D318" s="88" t="s">
        <v>69</v>
      </c>
      <c r="E318" s="88" t="s">
        <v>70</v>
      </c>
      <c r="F318" s="94">
        <v>3160</v>
      </c>
      <c r="G318" s="94">
        <v>204</v>
      </c>
      <c r="H318" s="94">
        <v>297</v>
      </c>
      <c r="I318" s="94">
        <v>44240</v>
      </c>
      <c r="J318" s="94">
        <v>43666</v>
      </c>
      <c r="K318" s="94">
        <v>49</v>
      </c>
      <c r="L318" s="92" t="s">
        <v>44</v>
      </c>
      <c r="M318" s="92" t="s">
        <v>19</v>
      </c>
      <c r="N318" s="20">
        <f t="shared" si="4"/>
        <v>8.2753164556962022E-2</v>
      </c>
    </row>
    <row r="319" spans="1:14" x14ac:dyDescent="0.3">
      <c r="A319" s="87" t="s">
        <v>422</v>
      </c>
      <c r="B319" s="88" t="s">
        <v>577</v>
      </c>
      <c r="C319" s="89">
        <v>45707</v>
      </c>
      <c r="D319" s="88" t="s">
        <v>49</v>
      </c>
      <c r="E319" s="88" t="s">
        <v>50</v>
      </c>
      <c r="F319" s="94">
        <v>257</v>
      </c>
      <c r="G319" s="94">
        <v>966</v>
      </c>
      <c r="H319" s="94">
        <v>398</v>
      </c>
      <c r="I319" s="94">
        <v>3341</v>
      </c>
      <c r="J319" s="94">
        <v>2753</v>
      </c>
      <c r="K319" s="94">
        <v>287</v>
      </c>
      <c r="L319" s="92" t="s">
        <v>44</v>
      </c>
      <c r="M319" s="92" t="s">
        <v>19</v>
      </c>
      <c r="N319" s="20">
        <f t="shared" si="4"/>
        <v>0.48518407662376534</v>
      </c>
    </row>
    <row r="320" spans="1:14" x14ac:dyDescent="0.3">
      <c r="A320" s="87" t="s">
        <v>422</v>
      </c>
      <c r="B320" s="88" t="s">
        <v>577</v>
      </c>
      <c r="C320" s="89">
        <v>45707</v>
      </c>
      <c r="D320" s="88" t="s">
        <v>49</v>
      </c>
      <c r="E320" s="88" t="s">
        <v>50</v>
      </c>
      <c r="F320" s="94">
        <v>257</v>
      </c>
      <c r="G320" s="94">
        <v>966</v>
      </c>
      <c r="H320" s="94">
        <v>398</v>
      </c>
      <c r="I320" s="94">
        <v>3341</v>
      </c>
      <c r="J320" s="94">
        <v>2753</v>
      </c>
      <c r="K320" s="94">
        <v>287</v>
      </c>
      <c r="L320" s="92" t="s">
        <v>18</v>
      </c>
      <c r="M320" s="92" t="s">
        <v>19</v>
      </c>
      <c r="N320" s="20">
        <f t="shared" si="4"/>
        <v>0.48518407662376534</v>
      </c>
    </row>
    <row r="321" spans="1:17" x14ac:dyDescent="0.3">
      <c r="A321" s="87" t="s">
        <v>423</v>
      </c>
      <c r="B321" s="88" t="s">
        <v>14</v>
      </c>
      <c r="C321" s="89">
        <v>45491</v>
      </c>
      <c r="D321" s="88" t="s">
        <v>42</v>
      </c>
      <c r="E321" s="88" t="s">
        <v>43</v>
      </c>
      <c r="F321" s="94">
        <v>2120</v>
      </c>
      <c r="G321" s="94">
        <v>38</v>
      </c>
      <c r="H321" s="94">
        <v>212</v>
      </c>
      <c r="I321" s="94">
        <v>12720</v>
      </c>
      <c r="J321" s="94">
        <v>12564</v>
      </c>
      <c r="K321" s="94">
        <v>21</v>
      </c>
      <c r="L321" s="92" t="s">
        <v>44</v>
      </c>
      <c r="M321" s="92" t="s">
        <v>19</v>
      </c>
      <c r="N321" s="20">
        <f t="shared" si="4"/>
        <v>0.18632075471698112</v>
      </c>
    </row>
    <row r="322" spans="1:17" x14ac:dyDescent="0.3">
      <c r="A322" s="87" t="s">
        <v>423</v>
      </c>
      <c r="B322" s="88" t="s">
        <v>14</v>
      </c>
      <c r="C322" s="89">
        <v>45491</v>
      </c>
      <c r="D322" s="88" t="s">
        <v>42</v>
      </c>
      <c r="E322" s="88" t="s">
        <v>43</v>
      </c>
      <c r="F322" s="94">
        <v>2120</v>
      </c>
      <c r="G322" s="94">
        <v>38</v>
      </c>
      <c r="H322" s="94">
        <v>212</v>
      </c>
      <c r="I322" s="94">
        <v>12720</v>
      </c>
      <c r="J322" s="94">
        <v>12564</v>
      </c>
      <c r="K322" s="94">
        <v>21</v>
      </c>
      <c r="L322" s="92" t="s">
        <v>18</v>
      </c>
      <c r="M322" s="92" t="s">
        <v>19</v>
      </c>
      <c r="N322" s="20">
        <f t="shared" si="4"/>
        <v>0.18632075471698112</v>
      </c>
    </row>
    <row r="323" spans="1:17" x14ac:dyDescent="0.3">
      <c r="A323" s="87" t="s">
        <v>425</v>
      </c>
      <c r="B323" s="88" t="s">
        <v>577</v>
      </c>
      <c r="C323" s="89">
        <v>45719</v>
      </c>
      <c r="D323" s="88" t="s">
        <v>69</v>
      </c>
      <c r="E323" s="88" t="s">
        <v>70</v>
      </c>
      <c r="F323" s="94">
        <v>3874</v>
      </c>
      <c r="G323" s="94">
        <v>884</v>
      </c>
      <c r="H323" s="94">
        <v>19</v>
      </c>
      <c r="I323" s="94">
        <v>38740</v>
      </c>
      <c r="J323" s="94">
        <v>38552</v>
      </c>
      <c r="K323" s="94">
        <v>219</v>
      </c>
      <c r="L323" s="92" t="s">
        <v>58</v>
      </c>
      <c r="M323" s="92" t="s">
        <v>55</v>
      </c>
      <c r="N323" s="20">
        <f t="shared" ref="N323:N386" si="5">SUM(F323,G323,H323)/I323</f>
        <v>0.123309241094476</v>
      </c>
    </row>
    <row r="324" spans="1:17" x14ac:dyDescent="0.3">
      <c r="A324" s="87" t="s">
        <v>426</v>
      </c>
      <c r="B324" s="88" t="s">
        <v>40</v>
      </c>
      <c r="C324" s="89">
        <v>45778</v>
      </c>
      <c r="D324" s="88" t="s">
        <v>42</v>
      </c>
      <c r="E324" s="88" t="s">
        <v>43</v>
      </c>
      <c r="F324" s="94">
        <v>2696</v>
      </c>
      <c r="G324" s="94">
        <v>628</v>
      </c>
      <c r="H324" s="94">
        <v>443</v>
      </c>
      <c r="I324" s="94">
        <v>45832</v>
      </c>
      <c r="J324" s="94">
        <v>45632</v>
      </c>
      <c r="K324" s="94">
        <v>248</v>
      </c>
      <c r="L324" s="92" t="s">
        <v>18</v>
      </c>
      <c r="M324" s="92" t="s">
        <v>38</v>
      </c>
      <c r="N324" s="20">
        <f t="shared" si="5"/>
        <v>8.21914819340199E-2</v>
      </c>
    </row>
    <row r="325" spans="1:17" x14ac:dyDescent="0.3">
      <c r="A325" s="87" t="s">
        <v>428</v>
      </c>
      <c r="B325" s="88" t="s">
        <v>31</v>
      </c>
      <c r="C325" s="89">
        <v>45649</v>
      </c>
      <c r="D325" s="88" t="s">
        <v>49</v>
      </c>
      <c r="E325" s="88" t="s">
        <v>50</v>
      </c>
      <c r="F325" s="94">
        <v>521</v>
      </c>
      <c r="G325" s="94">
        <v>746</v>
      </c>
      <c r="H325" s="94">
        <v>315</v>
      </c>
      <c r="I325" s="94">
        <v>4168</v>
      </c>
      <c r="J325" s="94">
        <v>3399</v>
      </c>
      <c r="K325" s="94">
        <v>282</v>
      </c>
      <c r="L325" s="92" t="s">
        <v>18</v>
      </c>
      <c r="M325" s="92" t="s">
        <v>19</v>
      </c>
      <c r="N325" s="20">
        <f t="shared" si="5"/>
        <v>0.37955854126679461</v>
      </c>
    </row>
    <row r="326" spans="1:17" x14ac:dyDescent="0.3">
      <c r="A326" s="87" t="s">
        <v>429</v>
      </c>
      <c r="B326" s="88" t="s">
        <v>40</v>
      </c>
      <c r="C326" s="89">
        <v>45783</v>
      </c>
      <c r="D326" s="88" t="s">
        <v>49</v>
      </c>
      <c r="E326" s="88" t="s">
        <v>50</v>
      </c>
      <c r="F326" s="94">
        <v>4872</v>
      </c>
      <c r="G326" s="94">
        <v>925</v>
      </c>
      <c r="H326" s="94">
        <v>176</v>
      </c>
      <c r="I326" s="94">
        <v>82824</v>
      </c>
      <c r="J326" s="94">
        <v>82543</v>
      </c>
      <c r="K326" s="94">
        <v>89</v>
      </c>
      <c r="L326" s="92" t="s">
        <v>18</v>
      </c>
      <c r="M326" s="92" t="s">
        <v>19</v>
      </c>
      <c r="N326" s="20">
        <f t="shared" si="5"/>
        <v>7.2116777745580993E-2</v>
      </c>
    </row>
    <row r="327" spans="1:17" x14ac:dyDescent="0.3">
      <c r="A327" s="87" t="s">
        <v>429</v>
      </c>
      <c r="B327" s="88" t="s">
        <v>40</v>
      </c>
      <c r="C327" s="89">
        <v>45783</v>
      </c>
      <c r="D327" s="88" t="s">
        <v>49</v>
      </c>
      <c r="E327" s="88" t="s">
        <v>50</v>
      </c>
      <c r="F327" s="94">
        <v>4872</v>
      </c>
      <c r="G327" s="94">
        <v>925</v>
      </c>
      <c r="H327" s="94">
        <v>176</v>
      </c>
      <c r="I327" s="94">
        <v>82824</v>
      </c>
      <c r="J327" s="94">
        <v>82543</v>
      </c>
      <c r="K327" s="94">
        <v>89</v>
      </c>
      <c r="L327" s="92" t="s">
        <v>44</v>
      </c>
      <c r="M327" s="92" t="s">
        <v>19</v>
      </c>
      <c r="N327" s="20">
        <f t="shared" si="5"/>
        <v>7.2116777745580993E-2</v>
      </c>
    </row>
    <row r="328" spans="1:17" x14ac:dyDescent="0.3">
      <c r="A328" s="87" t="s">
        <v>431</v>
      </c>
      <c r="B328" s="88" t="s">
        <v>577</v>
      </c>
      <c r="C328" s="89">
        <v>45502</v>
      </c>
      <c r="D328" s="88" t="s">
        <v>33</v>
      </c>
      <c r="E328" s="88" t="s">
        <v>34</v>
      </c>
      <c r="F328" s="94">
        <v>1509</v>
      </c>
      <c r="G328" s="94">
        <v>88</v>
      </c>
      <c r="H328" s="94">
        <v>163</v>
      </c>
      <c r="I328" s="94">
        <v>30180</v>
      </c>
      <c r="J328" s="94">
        <v>29689</v>
      </c>
      <c r="K328" s="94">
        <v>119</v>
      </c>
      <c r="L328" s="92" t="s">
        <v>44</v>
      </c>
      <c r="M328" s="92" t="s">
        <v>19</v>
      </c>
      <c r="N328" s="20">
        <f t="shared" si="5"/>
        <v>5.8316766070245198E-2</v>
      </c>
    </row>
    <row r="329" spans="1:17" x14ac:dyDescent="0.3">
      <c r="A329" s="87" t="s">
        <v>432</v>
      </c>
      <c r="B329" s="88" t="s">
        <v>40</v>
      </c>
      <c r="C329" s="89">
        <v>45629</v>
      </c>
      <c r="D329" s="88" t="s">
        <v>49</v>
      </c>
      <c r="E329" s="88" t="s">
        <v>50</v>
      </c>
      <c r="F329" s="94">
        <v>4606</v>
      </c>
      <c r="G329" s="94">
        <v>931</v>
      </c>
      <c r="H329" s="94">
        <v>230</v>
      </c>
      <c r="I329" s="94">
        <v>92120</v>
      </c>
      <c r="J329" s="94">
        <v>91440</v>
      </c>
      <c r="K329" s="94">
        <v>56</v>
      </c>
      <c r="L329" s="92" t="s">
        <v>77</v>
      </c>
      <c r="M329" s="92" t="s">
        <v>38</v>
      </c>
      <c r="N329" s="20">
        <f t="shared" si="5"/>
        <v>6.2603126356925748E-2</v>
      </c>
    </row>
    <row r="330" spans="1:17" x14ac:dyDescent="0.3">
      <c r="A330" s="87" t="s">
        <v>432</v>
      </c>
      <c r="B330" s="88" t="s">
        <v>40</v>
      </c>
      <c r="C330" s="89">
        <v>45629</v>
      </c>
      <c r="D330" s="88" t="s">
        <v>49</v>
      </c>
      <c r="E330" s="88" t="s">
        <v>50</v>
      </c>
      <c r="F330" s="94">
        <v>4606</v>
      </c>
      <c r="G330" s="94">
        <v>931</v>
      </c>
      <c r="H330" s="94">
        <v>230</v>
      </c>
      <c r="I330" s="94">
        <v>92120</v>
      </c>
      <c r="J330" s="94">
        <v>91440</v>
      </c>
      <c r="K330" s="94">
        <v>56</v>
      </c>
      <c r="L330" s="92" t="s">
        <v>24</v>
      </c>
      <c r="M330" s="92" t="s">
        <v>38</v>
      </c>
      <c r="N330" s="20">
        <f t="shared" si="5"/>
        <v>6.2603126356925748E-2</v>
      </c>
    </row>
    <row r="331" spans="1:17" x14ac:dyDescent="0.3">
      <c r="A331" s="87" t="s">
        <v>433</v>
      </c>
      <c r="B331" s="88" t="s">
        <v>40</v>
      </c>
      <c r="C331" s="89">
        <v>45454</v>
      </c>
      <c r="D331" s="88" t="s">
        <v>42</v>
      </c>
      <c r="E331" s="88" t="s">
        <v>43</v>
      </c>
      <c r="F331" s="94">
        <v>1869</v>
      </c>
      <c r="G331" s="94">
        <v>453</v>
      </c>
      <c r="H331" s="94">
        <v>490</v>
      </c>
      <c r="I331" s="94">
        <v>14952</v>
      </c>
      <c r="J331" s="94">
        <v>14309</v>
      </c>
      <c r="K331" s="94">
        <v>275</v>
      </c>
      <c r="L331" s="92" t="s">
        <v>77</v>
      </c>
      <c r="M331" s="92" t="s">
        <v>19</v>
      </c>
      <c r="N331" s="20">
        <f t="shared" si="5"/>
        <v>0.18806848582129482</v>
      </c>
    </row>
    <row r="332" spans="1:17" x14ac:dyDescent="0.3">
      <c r="A332" s="87" t="s">
        <v>433</v>
      </c>
      <c r="B332" s="88" t="s">
        <v>40</v>
      </c>
      <c r="C332" s="89">
        <v>45454</v>
      </c>
      <c r="D332" s="88" t="s">
        <v>42</v>
      </c>
      <c r="E332" s="88" t="s">
        <v>43</v>
      </c>
      <c r="F332" s="94">
        <v>1869</v>
      </c>
      <c r="G332" s="94">
        <v>453</v>
      </c>
      <c r="H332" s="94">
        <v>490</v>
      </c>
      <c r="I332" s="94">
        <v>14952</v>
      </c>
      <c r="J332" s="94">
        <v>14309</v>
      </c>
      <c r="K332" s="94">
        <v>275</v>
      </c>
      <c r="L332" s="92" t="s">
        <v>58</v>
      </c>
      <c r="M332" s="92" t="s">
        <v>19</v>
      </c>
      <c r="N332" s="20">
        <f t="shared" si="5"/>
        <v>0.18806848582129482</v>
      </c>
    </row>
    <row r="333" spans="1:17" x14ac:dyDescent="0.3">
      <c r="A333" s="87" t="s">
        <v>434</v>
      </c>
      <c r="B333" s="88" t="s">
        <v>14</v>
      </c>
      <c r="C333" s="89">
        <v>45685</v>
      </c>
      <c r="D333" s="88" t="s">
        <v>16</v>
      </c>
      <c r="E333" s="88" t="s">
        <v>17</v>
      </c>
      <c r="F333" s="94">
        <v>1188</v>
      </c>
      <c r="G333" s="94">
        <v>470</v>
      </c>
      <c r="H333" s="94">
        <v>174</v>
      </c>
      <c r="I333" s="94">
        <v>7128</v>
      </c>
      <c r="J333" s="94">
        <v>6145</v>
      </c>
      <c r="K333" s="94">
        <v>270</v>
      </c>
      <c r="L333" s="92" t="s">
        <v>58</v>
      </c>
      <c r="M333" s="92" t="s">
        <v>25</v>
      </c>
      <c r="N333" s="20">
        <f t="shared" si="5"/>
        <v>0.25701459034792368</v>
      </c>
    </row>
    <row r="334" spans="1:17" x14ac:dyDescent="0.3">
      <c r="A334" s="87" t="s">
        <v>434</v>
      </c>
      <c r="B334" s="88" t="s">
        <v>14</v>
      </c>
      <c r="C334" s="89">
        <v>45685</v>
      </c>
      <c r="D334" s="88" t="s">
        <v>16</v>
      </c>
      <c r="E334" s="88" t="s">
        <v>17</v>
      </c>
      <c r="F334" s="94">
        <v>1188</v>
      </c>
      <c r="G334" s="94">
        <v>470</v>
      </c>
      <c r="H334" s="94">
        <v>174</v>
      </c>
      <c r="I334" s="94">
        <v>7128</v>
      </c>
      <c r="J334" s="94">
        <v>6145</v>
      </c>
      <c r="K334" s="94">
        <v>270</v>
      </c>
      <c r="L334" s="92" t="s">
        <v>24</v>
      </c>
      <c r="M334" s="92" t="s">
        <v>25</v>
      </c>
      <c r="N334" s="20">
        <f t="shared" si="5"/>
        <v>0.25701459034792368</v>
      </c>
    </row>
    <row r="335" spans="1:17" x14ac:dyDescent="0.3">
      <c r="A335" s="87" t="s">
        <v>435</v>
      </c>
      <c r="B335" s="88" t="s">
        <v>31</v>
      </c>
      <c r="C335" s="89">
        <v>45445</v>
      </c>
      <c r="D335" s="88" t="s">
        <v>33</v>
      </c>
      <c r="E335" s="88" t="s">
        <v>34</v>
      </c>
      <c r="F335" s="94">
        <v>84</v>
      </c>
      <c r="G335" s="94">
        <v>897</v>
      </c>
      <c r="H335" s="94">
        <v>85</v>
      </c>
      <c r="I335" s="94">
        <v>588</v>
      </c>
      <c r="J335" s="94">
        <v>8</v>
      </c>
      <c r="K335" s="94">
        <v>12</v>
      </c>
      <c r="L335" s="92" t="s">
        <v>58</v>
      </c>
      <c r="M335" s="92" t="s">
        <v>25</v>
      </c>
      <c r="N335" s="20">
        <f t="shared" si="5"/>
        <v>1.8129251700680271</v>
      </c>
      <c r="Q335" s="122"/>
    </row>
    <row r="336" spans="1:17" x14ac:dyDescent="0.3">
      <c r="A336" s="87" t="s">
        <v>436</v>
      </c>
      <c r="B336" s="88" t="s">
        <v>40</v>
      </c>
      <c r="C336" s="89">
        <v>45739</v>
      </c>
      <c r="D336" s="88" t="s">
        <v>69</v>
      </c>
      <c r="E336" s="88" t="s">
        <v>70</v>
      </c>
      <c r="F336" s="94">
        <v>4453</v>
      </c>
      <c r="G336" s="94">
        <v>111</v>
      </c>
      <c r="H336" s="94">
        <v>420</v>
      </c>
      <c r="I336" s="94">
        <v>31171</v>
      </c>
      <c r="J336" s="94">
        <v>30565</v>
      </c>
      <c r="K336" s="94">
        <v>23</v>
      </c>
      <c r="L336" s="92" t="s">
        <v>44</v>
      </c>
      <c r="M336" s="92" t="s">
        <v>55</v>
      </c>
      <c r="N336" s="20">
        <f t="shared" si="5"/>
        <v>0.15989220750056141</v>
      </c>
    </row>
    <row r="337" spans="1:14" x14ac:dyDescent="0.3">
      <c r="A337" s="87" t="s">
        <v>436</v>
      </c>
      <c r="B337" s="88" t="s">
        <v>40</v>
      </c>
      <c r="C337" s="89">
        <v>45739</v>
      </c>
      <c r="D337" s="88" t="s">
        <v>69</v>
      </c>
      <c r="E337" s="88" t="s">
        <v>70</v>
      </c>
      <c r="F337" s="94">
        <v>4453</v>
      </c>
      <c r="G337" s="94">
        <v>111</v>
      </c>
      <c r="H337" s="94">
        <v>420</v>
      </c>
      <c r="I337" s="94">
        <v>31171</v>
      </c>
      <c r="J337" s="94">
        <v>30565</v>
      </c>
      <c r="K337" s="94">
        <v>23</v>
      </c>
      <c r="L337" s="92" t="s">
        <v>24</v>
      </c>
      <c r="M337" s="92" t="s">
        <v>55</v>
      </c>
      <c r="N337" s="20">
        <f t="shared" si="5"/>
        <v>0.15989220750056141</v>
      </c>
    </row>
    <row r="338" spans="1:14" x14ac:dyDescent="0.3">
      <c r="A338" s="87" t="s">
        <v>437</v>
      </c>
      <c r="B338" s="88" t="s">
        <v>40</v>
      </c>
      <c r="C338" s="89">
        <v>45573</v>
      </c>
      <c r="D338" s="88" t="s">
        <v>16</v>
      </c>
      <c r="E338" s="88" t="s">
        <v>17</v>
      </c>
      <c r="F338" s="94">
        <v>1814</v>
      </c>
      <c r="G338" s="94">
        <v>653</v>
      </c>
      <c r="H338" s="94">
        <v>363</v>
      </c>
      <c r="I338" s="94">
        <v>25396</v>
      </c>
      <c r="J338" s="94">
        <v>25286</v>
      </c>
      <c r="K338" s="94">
        <v>39</v>
      </c>
      <c r="L338" s="92" t="s">
        <v>58</v>
      </c>
      <c r="M338" s="92" t="s">
        <v>19</v>
      </c>
      <c r="N338" s="20">
        <f t="shared" si="5"/>
        <v>0.11143487163332809</v>
      </c>
    </row>
    <row r="339" spans="1:14" x14ac:dyDescent="0.3">
      <c r="A339" s="87" t="s">
        <v>439</v>
      </c>
      <c r="B339" s="88" t="s">
        <v>14</v>
      </c>
      <c r="C339" s="89">
        <v>45608</v>
      </c>
      <c r="D339" s="88" t="s">
        <v>49</v>
      </c>
      <c r="E339" s="88" t="s">
        <v>50</v>
      </c>
      <c r="F339" s="94">
        <v>3338</v>
      </c>
      <c r="G339" s="94">
        <v>277</v>
      </c>
      <c r="H339" s="94">
        <v>118</v>
      </c>
      <c r="I339" s="94">
        <v>60084</v>
      </c>
      <c r="J339" s="94">
        <v>59842</v>
      </c>
      <c r="K339" s="94">
        <v>252</v>
      </c>
      <c r="L339" s="92" t="s">
        <v>58</v>
      </c>
      <c r="M339" s="92" t="s">
        <v>19</v>
      </c>
      <c r="N339" s="20">
        <f t="shared" si="5"/>
        <v>6.2129685107516146E-2</v>
      </c>
    </row>
    <row r="340" spans="1:14" x14ac:dyDescent="0.3">
      <c r="A340" s="87" t="s">
        <v>440</v>
      </c>
      <c r="B340" s="88" t="s">
        <v>40</v>
      </c>
      <c r="C340" s="89">
        <v>45790</v>
      </c>
      <c r="D340" s="88" t="s">
        <v>49</v>
      </c>
      <c r="E340" s="88" t="s">
        <v>50</v>
      </c>
      <c r="F340" s="94">
        <v>602</v>
      </c>
      <c r="G340" s="94">
        <v>594</v>
      </c>
      <c r="H340" s="94">
        <v>156</v>
      </c>
      <c r="I340" s="94">
        <v>4214</v>
      </c>
      <c r="J340" s="94">
        <v>3363</v>
      </c>
      <c r="K340" s="94">
        <v>164</v>
      </c>
      <c r="L340" s="92" t="s">
        <v>18</v>
      </c>
      <c r="M340" s="92" t="s">
        <v>38</v>
      </c>
      <c r="N340" s="20">
        <f t="shared" si="5"/>
        <v>0.32083531086853345</v>
      </c>
    </row>
    <row r="341" spans="1:14" x14ac:dyDescent="0.3">
      <c r="A341" s="87" t="s">
        <v>442</v>
      </c>
      <c r="B341" s="88" t="s">
        <v>14</v>
      </c>
      <c r="C341" s="89">
        <v>45463</v>
      </c>
      <c r="D341" s="88" t="s">
        <v>42</v>
      </c>
      <c r="E341" s="88" t="s">
        <v>43</v>
      </c>
      <c r="F341" s="94">
        <v>4672</v>
      </c>
      <c r="G341" s="94">
        <v>325</v>
      </c>
      <c r="H341" s="94">
        <v>32</v>
      </c>
      <c r="I341" s="94">
        <v>88768</v>
      </c>
      <c r="J341" s="94">
        <v>87833</v>
      </c>
      <c r="K341" s="94">
        <v>118</v>
      </c>
      <c r="L341" s="92" t="s">
        <v>77</v>
      </c>
      <c r="M341" s="92" t="s">
        <v>38</v>
      </c>
      <c r="N341" s="20">
        <f t="shared" si="5"/>
        <v>5.6653298485940883E-2</v>
      </c>
    </row>
    <row r="342" spans="1:14" x14ac:dyDescent="0.3">
      <c r="A342" s="87" t="s">
        <v>442</v>
      </c>
      <c r="B342" s="88" t="s">
        <v>14</v>
      </c>
      <c r="C342" s="89">
        <v>45463</v>
      </c>
      <c r="D342" s="88" t="s">
        <v>42</v>
      </c>
      <c r="E342" s="88" t="s">
        <v>43</v>
      </c>
      <c r="F342" s="94">
        <v>4672</v>
      </c>
      <c r="G342" s="94">
        <v>325</v>
      </c>
      <c r="H342" s="94">
        <v>32</v>
      </c>
      <c r="I342" s="94">
        <v>88768</v>
      </c>
      <c r="J342" s="94">
        <v>87833</v>
      </c>
      <c r="K342" s="94">
        <v>118</v>
      </c>
      <c r="L342" s="92" t="s">
        <v>18</v>
      </c>
      <c r="M342" s="92" t="s">
        <v>38</v>
      </c>
      <c r="N342" s="20">
        <f t="shared" si="5"/>
        <v>5.6653298485940883E-2</v>
      </c>
    </row>
    <row r="343" spans="1:14" x14ac:dyDescent="0.3">
      <c r="A343" s="87" t="s">
        <v>443</v>
      </c>
      <c r="B343" s="88" t="s">
        <v>31</v>
      </c>
      <c r="C343" s="89">
        <v>45511</v>
      </c>
      <c r="D343" s="88" t="s">
        <v>42</v>
      </c>
      <c r="E343" s="88" t="s">
        <v>43</v>
      </c>
      <c r="F343" s="94">
        <v>1741</v>
      </c>
      <c r="G343" s="94">
        <v>164</v>
      </c>
      <c r="H343" s="94">
        <v>318</v>
      </c>
      <c r="I343" s="94">
        <v>8705</v>
      </c>
      <c r="J343" s="94">
        <v>8272</v>
      </c>
      <c r="K343" s="94">
        <v>121</v>
      </c>
      <c r="L343" s="92" t="s">
        <v>18</v>
      </c>
      <c r="M343" s="92" t="s">
        <v>25</v>
      </c>
      <c r="N343" s="20">
        <f t="shared" si="5"/>
        <v>0.25537047673750718</v>
      </c>
    </row>
    <row r="344" spans="1:14" x14ac:dyDescent="0.3">
      <c r="A344" s="87" t="s">
        <v>445</v>
      </c>
      <c r="B344" s="88" t="s">
        <v>31</v>
      </c>
      <c r="C344" s="89">
        <v>45455</v>
      </c>
      <c r="D344" s="88" t="s">
        <v>22</v>
      </c>
      <c r="E344" s="88" t="s">
        <v>23</v>
      </c>
      <c r="F344" s="94">
        <v>246</v>
      </c>
      <c r="G344" s="94">
        <v>149</v>
      </c>
      <c r="H344" s="94">
        <v>130</v>
      </c>
      <c r="I344" s="94">
        <v>4674</v>
      </c>
      <c r="J344" s="94">
        <v>4390</v>
      </c>
      <c r="K344" s="94">
        <v>217</v>
      </c>
      <c r="L344" s="92" t="s">
        <v>44</v>
      </c>
      <c r="M344" s="92" t="s">
        <v>25</v>
      </c>
      <c r="N344" s="20">
        <f t="shared" si="5"/>
        <v>0.11232349165596919</v>
      </c>
    </row>
    <row r="345" spans="1:14" x14ac:dyDescent="0.3">
      <c r="A345" s="87" t="s">
        <v>445</v>
      </c>
      <c r="B345" s="88" t="s">
        <v>31</v>
      </c>
      <c r="C345" s="89">
        <v>45455</v>
      </c>
      <c r="D345" s="88" t="s">
        <v>22</v>
      </c>
      <c r="E345" s="88" t="s">
        <v>23</v>
      </c>
      <c r="F345" s="94">
        <v>246</v>
      </c>
      <c r="G345" s="94">
        <v>149</v>
      </c>
      <c r="H345" s="94">
        <v>130</v>
      </c>
      <c r="I345" s="94">
        <v>4674</v>
      </c>
      <c r="J345" s="94">
        <v>4390</v>
      </c>
      <c r="K345" s="94">
        <v>217</v>
      </c>
      <c r="L345" s="92" t="s">
        <v>77</v>
      </c>
      <c r="M345" s="92" t="s">
        <v>25</v>
      </c>
      <c r="N345" s="20">
        <f t="shared" si="5"/>
        <v>0.11232349165596919</v>
      </c>
    </row>
    <row r="346" spans="1:14" x14ac:dyDescent="0.3">
      <c r="A346" s="87" t="s">
        <v>447</v>
      </c>
      <c r="B346" s="88" t="s">
        <v>31</v>
      </c>
      <c r="C346" s="89">
        <v>45474</v>
      </c>
      <c r="D346" s="88" t="s">
        <v>33</v>
      </c>
      <c r="E346" s="88" t="s">
        <v>34</v>
      </c>
      <c r="F346" s="94">
        <v>4808</v>
      </c>
      <c r="G346" s="94">
        <v>772</v>
      </c>
      <c r="H346" s="94">
        <v>320</v>
      </c>
      <c r="I346" s="94">
        <v>72120</v>
      </c>
      <c r="J346" s="94">
        <v>71696</v>
      </c>
      <c r="K346" s="94">
        <v>195</v>
      </c>
      <c r="L346" s="92" t="s">
        <v>44</v>
      </c>
      <c r="M346" s="92" t="s">
        <v>55</v>
      </c>
      <c r="N346" s="20">
        <f t="shared" si="5"/>
        <v>8.1808097615085965E-2</v>
      </c>
    </row>
    <row r="347" spans="1:14" x14ac:dyDescent="0.3">
      <c r="A347" s="87" t="s">
        <v>447</v>
      </c>
      <c r="B347" s="88" t="s">
        <v>31</v>
      </c>
      <c r="C347" s="89">
        <v>45474</v>
      </c>
      <c r="D347" s="88" t="s">
        <v>33</v>
      </c>
      <c r="E347" s="88" t="s">
        <v>34</v>
      </c>
      <c r="F347" s="94">
        <v>4808</v>
      </c>
      <c r="G347" s="94">
        <v>772</v>
      </c>
      <c r="H347" s="94">
        <v>320</v>
      </c>
      <c r="I347" s="94">
        <v>72120</v>
      </c>
      <c r="J347" s="94">
        <v>71696</v>
      </c>
      <c r="K347" s="94">
        <v>195</v>
      </c>
      <c r="L347" s="92" t="s">
        <v>18</v>
      </c>
      <c r="M347" s="92" t="s">
        <v>55</v>
      </c>
      <c r="N347" s="20">
        <f t="shared" si="5"/>
        <v>8.1808097615085965E-2</v>
      </c>
    </row>
    <row r="348" spans="1:14" x14ac:dyDescent="0.3">
      <c r="A348" s="87" t="s">
        <v>449</v>
      </c>
      <c r="B348" s="88" t="s">
        <v>31</v>
      </c>
      <c r="C348" s="89">
        <v>45476</v>
      </c>
      <c r="D348" s="88" t="s">
        <v>42</v>
      </c>
      <c r="E348" s="88" t="s">
        <v>43</v>
      </c>
      <c r="F348" s="94">
        <v>4799</v>
      </c>
      <c r="G348" s="94">
        <v>694</v>
      </c>
      <c r="H348" s="94">
        <v>289</v>
      </c>
      <c r="I348" s="94">
        <v>43191</v>
      </c>
      <c r="J348" s="94">
        <v>42228</v>
      </c>
      <c r="K348" s="94">
        <v>118</v>
      </c>
      <c r="L348" s="92" t="s">
        <v>44</v>
      </c>
      <c r="M348" s="92" t="s">
        <v>25</v>
      </c>
      <c r="N348" s="20">
        <f t="shared" si="5"/>
        <v>0.13387048227640017</v>
      </c>
    </row>
    <row r="349" spans="1:14" x14ac:dyDescent="0.3">
      <c r="A349" s="87" t="s">
        <v>450</v>
      </c>
      <c r="B349" s="88" t="s">
        <v>40</v>
      </c>
      <c r="C349" s="89">
        <v>45488</v>
      </c>
      <c r="D349" s="88" t="s">
        <v>16</v>
      </c>
      <c r="E349" s="88" t="s">
        <v>17</v>
      </c>
      <c r="F349" s="94">
        <v>3663</v>
      </c>
      <c r="G349" s="94">
        <v>17</v>
      </c>
      <c r="H349" s="94">
        <v>295</v>
      </c>
      <c r="I349" s="94">
        <v>51282</v>
      </c>
      <c r="J349" s="94">
        <v>50567</v>
      </c>
      <c r="K349" s="94">
        <v>84</v>
      </c>
      <c r="L349" s="92" t="s">
        <v>18</v>
      </c>
      <c r="M349" s="92" t="s">
        <v>19</v>
      </c>
      <c r="N349" s="20">
        <f t="shared" si="5"/>
        <v>7.7512577512577507E-2</v>
      </c>
    </row>
    <row r="350" spans="1:14" x14ac:dyDescent="0.3">
      <c r="A350" s="87" t="s">
        <v>451</v>
      </c>
      <c r="B350" s="88" t="s">
        <v>31</v>
      </c>
      <c r="C350" s="89">
        <v>45778</v>
      </c>
      <c r="D350" s="88" t="s">
        <v>22</v>
      </c>
      <c r="E350" s="88" t="s">
        <v>23</v>
      </c>
      <c r="F350" s="94">
        <v>1430</v>
      </c>
      <c r="G350" s="94">
        <v>376</v>
      </c>
      <c r="H350" s="94">
        <v>33</v>
      </c>
      <c r="I350" s="94">
        <v>21450</v>
      </c>
      <c r="J350" s="94">
        <v>20509</v>
      </c>
      <c r="K350" s="94">
        <v>251</v>
      </c>
      <c r="L350" s="92" t="s">
        <v>77</v>
      </c>
      <c r="M350" s="92" t="s">
        <v>38</v>
      </c>
      <c r="N350" s="20">
        <f t="shared" si="5"/>
        <v>8.5734265734265735E-2</v>
      </c>
    </row>
    <row r="351" spans="1:14" x14ac:dyDescent="0.3">
      <c r="A351" s="87" t="s">
        <v>452</v>
      </c>
      <c r="B351" s="88" t="s">
        <v>14</v>
      </c>
      <c r="C351" s="89">
        <v>45776</v>
      </c>
      <c r="D351" s="88" t="s">
        <v>33</v>
      </c>
      <c r="E351" s="88" t="s">
        <v>34</v>
      </c>
      <c r="F351" s="94">
        <v>249</v>
      </c>
      <c r="G351" s="94">
        <v>592</v>
      </c>
      <c r="H351" s="94">
        <v>230</v>
      </c>
      <c r="I351" s="94">
        <v>1494</v>
      </c>
      <c r="J351" s="94">
        <v>1044</v>
      </c>
      <c r="K351" s="94">
        <v>201</v>
      </c>
      <c r="L351" s="92" t="s">
        <v>24</v>
      </c>
      <c r="M351" s="92" t="s">
        <v>55</v>
      </c>
      <c r="N351" s="20">
        <f t="shared" si="5"/>
        <v>0.7168674698795181</v>
      </c>
    </row>
    <row r="352" spans="1:14" x14ac:dyDescent="0.3">
      <c r="A352" s="87" t="s">
        <v>452</v>
      </c>
      <c r="B352" s="88" t="s">
        <v>14</v>
      </c>
      <c r="C352" s="89">
        <v>45776</v>
      </c>
      <c r="D352" s="88" t="s">
        <v>33</v>
      </c>
      <c r="E352" s="88" t="s">
        <v>34</v>
      </c>
      <c r="F352" s="94">
        <v>249</v>
      </c>
      <c r="G352" s="94">
        <v>592</v>
      </c>
      <c r="H352" s="94">
        <v>230</v>
      </c>
      <c r="I352" s="94">
        <v>1494</v>
      </c>
      <c r="J352" s="94">
        <v>1044</v>
      </c>
      <c r="K352" s="94">
        <v>201</v>
      </c>
      <c r="L352" s="92" t="s">
        <v>44</v>
      </c>
      <c r="M352" s="92" t="s">
        <v>55</v>
      </c>
      <c r="N352" s="20">
        <f t="shared" si="5"/>
        <v>0.7168674698795181</v>
      </c>
    </row>
    <row r="353" spans="1:14" x14ac:dyDescent="0.3">
      <c r="A353" s="87" t="s">
        <v>454</v>
      </c>
      <c r="B353" s="88" t="s">
        <v>40</v>
      </c>
      <c r="C353" s="89">
        <v>45724</v>
      </c>
      <c r="D353" s="88" t="s">
        <v>49</v>
      </c>
      <c r="E353" s="88" t="s">
        <v>50</v>
      </c>
      <c r="F353" s="94">
        <v>2382</v>
      </c>
      <c r="G353" s="94">
        <v>265</v>
      </c>
      <c r="H353" s="94">
        <v>134</v>
      </c>
      <c r="I353" s="94">
        <v>38112</v>
      </c>
      <c r="J353" s="94">
        <v>37437</v>
      </c>
      <c r="K353" s="94">
        <v>249</v>
      </c>
      <c r="L353" s="92" t="s">
        <v>77</v>
      </c>
      <c r="M353" s="92" t="s">
        <v>25</v>
      </c>
      <c r="N353" s="20">
        <f t="shared" si="5"/>
        <v>7.2969143576826198E-2</v>
      </c>
    </row>
    <row r="354" spans="1:14" x14ac:dyDescent="0.3">
      <c r="A354" s="87" t="s">
        <v>454</v>
      </c>
      <c r="B354" s="88" t="s">
        <v>40</v>
      </c>
      <c r="C354" s="89">
        <v>45724</v>
      </c>
      <c r="D354" s="88" t="s">
        <v>49</v>
      </c>
      <c r="E354" s="88" t="s">
        <v>50</v>
      </c>
      <c r="F354" s="94">
        <v>2382</v>
      </c>
      <c r="G354" s="94">
        <v>265</v>
      </c>
      <c r="H354" s="94">
        <v>134</v>
      </c>
      <c r="I354" s="94">
        <v>38112</v>
      </c>
      <c r="J354" s="94">
        <v>37437</v>
      </c>
      <c r="K354" s="94">
        <v>249</v>
      </c>
      <c r="L354" s="92" t="s">
        <v>44</v>
      </c>
      <c r="M354" s="92" t="s">
        <v>25</v>
      </c>
      <c r="N354" s="20">
        <f t="shared" si="5"/>
        <v>7.2969143576826198E-2</v>
      </c>
    </row>
    <row r="355" spans="1:14" x14ac:dyDescent="0.3">
      <c r="A355" s="87" t="s">
        <v>455</v>
      </c>
      <c r="B355" s="88" t="s">
        <v>40</v>
      </c>
      <c r="C355" s="89">
        <v>45444</v>
      </c>
      <c r="D355" s="88" t="s">
        <v>22</v>
      </c>
      <c r="E355" s="88" t="s">
        <v>23</v>
      </c>
      <c r="F355" s="94">
        <v>1272</v>
      </c>
      <c r="G355" s="94">
        <v>465</v>
      </c>
      <c r="H355" s="94">
        <v>99</v>
      </c>
      <c r="I355" s="94">
        <v>24168</v>
      </c>
      <c r="J355" s="94">
        <v>23719</v>
      </c>
      <c r="K355" s="94">
        <v>42</v>
      </c>
      <c r="L355" s="92" t="s">
        <v>24</v>
      </c>
      <c r="M355" s="92" t="s">
        <v>25</v>
      </c>
      <c r="N355" s="20">
        <f t="shared" si="5"/>
        <v>7.5968222442899705E-2</v>
      </c>
    </row>
    <row r="356" spans="1:14" x14ac:dyDescent="0.3">
      <c r="A356" s="87" t="s">
        <v>455</v>
      </c>
      <c r="B356" s="88" t="s">
        <v>40</v>
      </c>
      <c r="C356" s="89">
        <v>45444</v>
      </c>
      <c r="D356" s="88" t="s">
        <v>22</v>
      </c>
      <c r="E356" s="88" t="s">
        <v>23</v>
      </c>
      <c r="F356" s="94">
        <v>1272</v>
      </c>
      <c r="G356" s="94">
        <v>465</v>
      </c>
      <c r="H356" s="94">
        <v>99</v>
      </c>
      <c r="I356" s="94">
        <v>24168</v>
      </c>
      <c r="J356" s="94">
        <v>23719</v>
      </c>
      <c r="K356" s="94">
        <v>42</v>
      </c>
      <c r="L356" s="92" t="s">
        <v>77</v>
      </c>
      <c r="M356" s="92" t="s">
        <v>25</v>
      </c>
      <c r="N356" s="20">
        <f t="shared" si="5"/>
        <v>7.5968222442899705E-2</v>
      </c>
    </row>
    <row r="357" spans="1:14" x14ac:dyDescent="0.3">
      <c r="A357" s="87" t="s">
        <v>457</v>
      </c>
      <c r="B357" s="88" t="s">
        <v>40</v>
      </c>
      <c r="C357" s="89">
        <v>45648</v>
      </c>
      <c r="D357" s="88" t="s">
        <v>49</v>
      </c>
      <c r="E357" s="88" t="s">
        <v>50</v>
      </c>
      <c r="F357" s="94">
        <v>3196</v>
      </c>
      <c r="G357" s="94">
        <v>941</v>
      </c>
      <c r="H357" s="94">
        <v>376</v>
      </c>
      <c r="I357" s="94">
        <v>35156</v>
      </c>
      <c r="J357" s="94">
        <v>34444</v>
      </c>
      <c r="K357" s="94">
        <v>241</v>
      </c>
      <c r="L357" s="92" t="s">
        <v>58</v>
      </c>
      <c r="M357" s="92" t="s">
        <v>55</v>
      </c>
      <c r="N357" s="20">
        <f t="shared" si="5"/>
        <v>0.1283706906360223</v>
      </c>
    </row>
    <row r="358" spans="1:14" x14ac:dyDescent="0.3">
      <c r="A358" s="87" t="s">
        <v>457</v>
      </c>
      <c r="B358" s="88" t="s">
        <v>40</v>
      </c>
      <c r="C358" s="89">
        <v>45648</v>
      </c>
      <c r="D358" s="88" t="s">
        <v>49</v>
      </c>
      <c r="E358" s="88" t="s">
        <v>50</v>
      </c>
      <c r="F358" s="94">
        <v>3196</v>
      </c>
      <c r="G358" s="94">
        <v>941</v>
      </c>
      <c r="H358" s="94">
        <v>376</v>
      </c>
      <c r="I358" s="94">
        <v>35156</v>
      </c>
      <c r="J358" s="94">
        <v>34444</v>
      </c>
      <c r="K358" s="94">
        <v>241</v>
      </c>
      <c r="L358" s="92" t="s">
        <v>44</v>
      </c>
      <c r="M358" s="92" t="s">
        <v>55</v>
      </c>
      <c r="N358" s="20">
        <f t="shared" si="5"/>
        <v>0.1283706906360223</v>
      </c>
    </row>
    <row r="359" spans="1:14" x14ac:dyDescent="0.3">
      <c r="A359" s="87" t="s">
        <v>458</v>
      </c>
      <c r="B359" s="88" t="s">
        <v>40</v>
      </c>
      <c r="C359" s="89">
        <v>45523</v>
      </c>
      <c r="D359" s="88" t="s">
        <v>22</v>
      </c>
      <c r="E359" s="88" t="s">
        <v>23</v>
      </c>
      <c r="F359" s="94">
        <v>1257</v>
      </c>
      <c r="G359" s="94">
        <v>19</v>
      </c>
      <c r="H359" s="94">
        <v>351</v>
      </c>
      <c r="I359" s="94">
        <v>12570</v>
      </c>
      <c r="J359" s="94">
        <v>11660</v>
      </c>
      <c r="K359" s="94">
        <v>194</v>
      </c>
      <c r="L359" s="92" t="s">
        <v>58</v>
      </c>
      <c r="M359" s="92" t="s">
        <v>19</v>
      </c>
      <c r="N359" s="20">
        <f t="shared" si="5"/>
        <v>0.12943516308671441</v>
      </c>
    </row>
    <row r="360" spans="1:14" x14ac:dyDescent="0.3">
      <c r="A360" s="87" t="s">
        <v>459</v>
      </c>
      <c r="B360" s="88" t="s">
        <v>31</v>
      </c>
      <c r="C360" s="89">
        <v>45587</v>
      </c>
      <c r="D360" s="88" t="s">
        <v>33</v>
      </c>
      <c r="E360" s="88" t="s">
        <v>34</v>
      </c>
      <c r="F360" s="94">
        <v>3770</v>
      </c>
      <c r="G360" s="94">
        <v>917</v>
      </c>
      <c r="H360" s="94">
        <v>129</v>
      </c>
      <c r="I360" s="94">
        <v>71630</v>
      </c>
      <c r="J360" s="94">
        <v>71322</v>
      </c>
      <c r="K360" s="94">
        <v>76</v>
      </c>
      <c r="L360" s="92" t="s">
        <v>18</v>
      </c>
      <c r="M360" s="92" t="s">
        <v>55</v>
      </c>
      <c r="N360" s="20">
        <f t="shared" si="5"/>
        <v>6.7234398994834563E-2</v>
      </c>
    </row>
    <row r="361" spans="1:14" x14ac:dyDescent="0.3">
      <c r="A361" s="87" t="s">
        <v>459</v>
      </c>
      <c r="B361" s="88" t="s">
        <v>31</v>
      </c>
      <c r="C361" s="89">
        <v>45587</v>
      </c>
      <c r="D361" s="88" t="s">
        <v>33</v>
      </c>
      <c r="E361" s="88" t="s">
        <v>34</v>
      </c>
      <c r="F361" s="94">
        <v>3770</v>
      </c>
      <c r="G361" s="94">
        <v>917</v>
      </c>
      <c r="H361" s="94">
        <v>129</v>
      </c>
      <c r="I361" s="94">
        <v>71630</v>
      </c>
      <c r="J361" s="94">
        <v>71322</v>
      </c>
      <c r="K361" s="94">
        <v>76</v>
      </c>
      <c r="L361" s="92" t="s">
        <v>44</v>
      </c>
      <c r="M361" s="92" t="s">
        <v>55</v>
      </c>
      <c r="N361" s="20">
        <f t="shared" si="5"/>
        <v>6.7234398994834563E-2</v>
      </c>
    </row>
    <row r="362" spans="1:14" x14ac:dyDescent="0.3">
      <c r="A362" s="87" t="s">
        <v>460</v>
      </c>
      <c r="B362" s="88" t="s">
        <v>14</v>
      </c>
      <c r="C362" s="89">
        <v>45489</v>
      </c>
      <c r="D362" s="88" t="s">
        <v>22</v>
      </c>
      <c r="E362" s="88" t="s">
        <v>23</v>
      </c>
      <c r="F362" s="94">
        <v>4725</v>
      </c>
      <c r="G362" s="94">
        <v>400</v>
      </c>
      <c r="H362" s="94">
        <v>362</v>
      </c>
      <c r="I362" s="94">
        <v>75600</v>
      </c>
      <c r="J362" s="94">
        <v>74927</v>
      </c>
      <c r="K362" s="94">
        <v>43</v>
      </c>
      <c r="L362" s="92" t="s">
        <v>44</v>
      </c>
      <c r="M362" s="92" t="s">
        <v>19</v>
      </c>
      <c r="N362" s="20">
        <f t="shared" si="5"/>
        <v>7.2579365079365077E-2</v>
      </c>
    </row>
    <row r="363" spans="1:14" x14ac:dyDescent="0.3">
      <c r="A363" s="87" t="s">
        <v>460</v>
      </c>
      <c r="B363" s="88" t="s">
        <v>14</v>
      </c>
      <c r="C363" s="89">
        <v>45489</v>
      </c>
      <c r="D363" s="88" t="s">
        <v>22</v>
      </c>
      <c r="E363" s="88" t="s">
        <v>23</v>
      </c>
      <c r="F363" s="94">
        <v>4725</v>
      </c>
      <c r="G363" s="94">
        <v>400</v>
      </c>
      <c r="H363" s="94">
        <v>362</v>
      </c>
      <c r="I363" s="94">
        <v>75600</v>
      </c>
      <c r="J363" s="94">
        <v>74927</v>
      </c>
      <c r="K363" s="94">
        <v>43</v>
      </c>
      <c r="L363" s="92" t="s">
        <v>24</v>
      </c>
      <c r="M363" s="92" t="s">
        <v>19</v>
      </c>
      <c r="N363" s="20">
        <f t="shared" si="5"/>
        <v>7.2579365079365077E-2</v>
      </c>
    </row>
    <row r="364" spans="1:14" x14ac:dyDescent="0.3">
      <c r="A364" s="87" t="s">
        <v>462</v>
      </c>
      <c r="B364" s="88" t="s">
        <v>577</v>
      </c>
      <c r="C364" s="89">
        <v>45712</v>
      </c>
      <c r="D364" s="88" t="s">
        <v>22</v>
      </c>
      <c r="E364" s="88" t="s">
        <v>23</v>
      </c>
      <c r="F364" s="94">
        <v>4188</v>
      </c>
      <c r="G364" s="94">
        <v>942</v>
      </c>
      <c r="H364" s="94">
        <v>118</v>
      </c>
      <c r="I364" s="94">
        <v>20940</v>
      </c>
      <c r="J364" s="94">
        <v>20471</v>
      </c>
      <c r="K364" s="94">
        <v>102</v>
      </c>
      <c r="L364" s="92" t="s">
        <v>58</v>
      </c>
      <c r="M364" s="92" t="s">
        <v>25</v>
      </c>
      <c r="N364" s="20">
        <f t="shared" si="5"/>
        <v>0.25062082139446035</v>
      </c>
    </row>
    <row r="365" spans="1:14" x14ac:dyDescent="0.3">
      <c r="A365" s="87" t="s">
        <v>463</v>
      </c>
      <c r="B365" s="88" t="s">
        <v>14</v>
      </c>
      <c r="C365" s="89">
        <v>45530</v>
      </c>
      <c r="D365" s="88" t="s">
        <v>42</v>
      </c>
      <c r="E365" s="88" t="s">
        <v>43</v>
      </c>
      <c r="F365" s="94">
        <v>929</v>
      </c>
      <c r="G365" s="94">
        <v>192</v>
      </c>
      <c r="H365" s="94">
        <v>322</v>
      </c>
      <c r="I365" s="94">
        <v>16722</v>
      </c>
      <c r="J365" s="94">
        <v>15996</v>
      </c>
      <c r="K365" s="94">
        <v>145</v>
      </c>
      <c r="L365" s="92" t="s">
        <v>24</v>
      </c>
      <c r="M365" s="92" t="s">
        <v>38</v>
      </c>
      <c r="N365" s="20">
        <f t="shared" si="5"/>
        <v>8.6293505561535699E-2</v>
      </c>
    </row>
    <row r="366" spans="1:14" x14ac:dyDescent="0.3">
      <c r="A366" s="87" t="s">
        <v>464</v>
      </c>
      <c r="B366" s="88" t="s">
        <v>40</v>
      </c>
      <c r="C366" s="89">
        <v>45675</v>
      </c>
      <c r="D366" s="88" t="s">
        <v>33</v>
      </c>
      <c r="E366" s="88" t="s">
        <v>34</v>
      </c>
      <c r="F366" s="94">
        <v>4321</v>
      </c>
      <c r="G366" s="94">
        <v>874</v>
      </c>
      <c r="H366" s="94">
        <v>172</v>
      </c>
      <c r="I366" s="94">
        <v>30247</v>
      </c>
      <c r="J366" s="94">
        <v>29254</v>
      </c>
      <c r="K366" s="94">
        <v>122</v>
      </c>
      <c r="L366" s="92" t="s">
        <v>18</v>
      </c>
      <c r="M366" s="92" t="s">
        <v>38</v>
      </c>
      <c r="N366" s="20">
        <f t="shared" si="5"/>
        <v>0.17743908486792079</v>
      </c>
    </row>
    <row r="367" spans="1:14" x14ac:dyDescent="0.3">
      <c r="A367" s="87" t="s">
        <v>464</v>
      </c>
      <c r="B367" s="88" t="s">
        <v>40</v>
      </c>
      <c r="C367" s="89">
        <v>45675</v>
      </c>
      <c r="D367" s="88" t="s">
        <v>33</v>
      </c>
      <c r="E367" s="88" t="s">
        <v>34</v>
      </c>
      <c r="F367" s="94">
        <v>4321</v>
      </c>
      <c r="G367" s="94">
        <v>874</v>
      </c>
      <c r="H367" s="94">
        <v>172</v>
      </c>
      <c r="I367" s="94">
        <v>30247</v>
      </c>
      <c r="J367" s="94">
        <v>29254</v>
      </c>
      <c r="K367" s="94">
        <v>122</v>
      </c>
      <c r="L367" s="92" t="s">
        <v>24</v>
      </c>
      <c r="M367" s="92" t="s">
        <v>38</v>
      </c>
      <c r="N367" s="20">
        <f t="shared" si="5"/>
        <v>0.17743908486792079</v>
      </c>
    </row>
    <row r="368" spans="1:14" x14ac:dyDescent="0.3">
      <c r="A368" s="87" t="s">
        <v>466</v>
      </c>
      <c r="B368" s="88" t="s">
        <v>40</v>
      </c>
      <c r="C368" s="89">
        <v>45480</v>
      </c>
      <c r="D368" s="88" t="s">
        <v>16</v>
      </c>
      <c r="E368" s="88" t="s">
        <v>17</v>
      </c>
      <c r="F368" s="94">
        <v>4767</v>
      </c>
      <c r="G368" s="94">
        <v>190</v>
      </c>
      <c r="H368" s="94">
        <v>340</v>
      </c>
      <c r="I368" s="94">
        <v>28602</v>
      </c>
      <c r="J368" s="94">
        <v>28044</v>
      </c>
      <c r="K368" s="94">
        <v>210</v>
      </c>
      <c r="L368" s="92" t="s">
        <v>77</v>
      </c>
      <c r="M368" s="92" t="s">
        <v>55</v>
      </c>
      <c r="N368" s="20">
        <f t="shared" si="5"/>
        <v>0.18519683938186141</v>
      </c>
    </row>
    <row r="369" spans="1:14" x14ac:dyDescent="0.3">
      <c r="A369" s="87" t="s">
        <v>467</v>
      </c>
      <c r="B369" s="88" t="s">
        <v>14</v>
      </c>
      <c r="C369" s="89">
        <v>45722</v>
      </c>
      <c r="D369" s="88" t="s">
        <v>49</v>
      </c>
      <c r="E369" s="88" t="s">
        <v>50</v>
      </c>
      <c r="F369" s="94">
        <v>3592</v>
      </c>
      <c r="G369" s="94">
        <v>911</v>
      </c>
      <c r="H369" s="94">
        <v>375</v>
      </c>
      <c r="I369" s="94">
        <v>50288</v>
      </c>
      <c r="J369" s="94">
        <v>49490</v>
      </c>
      <c r="K369" s="94">
        <v>32</v>
      </c>
      <c r="L369" s="92" t="s">
        <v>58</v>
      </c>
      <c r="M369" s="92" t="s">
        <v>25</v>
      </c>
      <c r="N369" s="20">
        <f t="shared" si="5"/>
        <v>9.7001272669424113E-2</v>
      </c>
    </row>
    <row r="370" spans="1:14" x14ac:dyDescent="0.3">
      <c r="A370" s="87" t="s">
        <v>469</v>
      </c>
      <c r="B370" s="88" t="s">
        <v>577</v>
      </c>
      <c r="C370" s="89">
        <v>45590</v>
      </c>
      <c r="D370" s="88" t="s">
        <v>69</v>
      </c>
      <c r="E370" s="88" t="s">
        <v>70</v>
      </c>
      <c r="F370" s="94">
        <v>4661</v>
      </c>
      <c r="G370" s="94">
        <v>935</v>
      </c>
      <c r="H370" s="94">
        <v>433</v>
      </c>
      <c r="I370" s="94">
        <v>23305</v>
      </c>
      <c r="J370" s="94">
        <v>22583</v>
      </c>
      <c r="K370" s="94">
        <v>63</v>
      </c>
      <c r="L370" s="92" t="s">
        <v>58</v>
      </c>
      <c r="M370" s="92" t="s">
        <v>19</v>
      </c>
      <c r="N370" s="20">
        <f t="shared" si="5"/>
        <v>0.25869984981763572</v>
      </c>
    </row>
    <row r="371" spans="1:14" x14ac:dyDescent="0.3">
      <c r="A371" s="87" t="s">
        <v>469</v>
      </c>
      <c r="B371" s="88" t="s">
        <v>577</v>
      </c>
      <c r="C371" s="89">
        <v>45590</v>
      </c>
      <c r="D371" s="88" t="s">
        <v>69</v>
      </c>
      <c r="E371" s="88" t="s">
        <v>70</v>
      </c>
      <c r="F371" s="94">
        <v>4661</v>
      </c>
      <c r="G371" s="94">
        <v>935</v>
      </c>
      <c r="H371" s="94">
        <v>433</v>
      </c>
      <c r="I371" s="94">
        <v>23305</v>
      </c>
      <c r="J371" s="94">
        <v>22583</v>
      </c>
      <c r="K371" s="94">
        <v>63</v>
      </c>
      <c r="L371" s="92" t="s">
        <v>77</v>
      </c>
      <c r="M371" s="92" t="s">
        <v>19</v>
      </c>
      <c r="N371" s="20">
        <f t="shared" si="5"/>
        <v>0.25869984981763572</v>
      </c>
    </row>
    <row r="372" spans="1:14" x14ac:dyDescent="0.3">
      <c r="A372" s="87" t="s">
        <v>471</v>
      </c>
      <c r="B372" s="88" t="s">
        <v>40</v>
      </c>
      <c r="C372" s="89">
        <v>45669</v>
      </c>
      <c r="D372" s="88" t="s">
        <v>16</v>
      </c>
      <c r="E372" s="88" t="s">
        <v>17</v>
      </c>
      <c r="F372" s="94">
        <v>4134</v>
      </c>
      <c r="G372" s="94">
        <v>824</v>
      </c>
      <c r="H372" s="94">
        <v>99</v>
      </c>
      <c r="I372" s="94">
        <v>41340</v>
      </c>
      <c r="J372" s="94">
        <v>41050</v>
      </c>
      <c r="K372" s="94">
        <v>177</v>
      </c>
      <c r="L372" s="92" t="s">
        <v>24</v>
      </c>
      <c r="M372" s="92" t="s">
        <v>25</v>
      </c>
      <c r="N372" s="20">
        <f t="shared" si="5"/>
        <v>0.12232704402515723</v>
      </c>
    </row>
    <row r="373" spans="1:14" x14ac:dyDescent="0.3">
      <c r="A373" s="87" t="s">
        <v>473</v>
      </c>
      <c r="B373" s="88" t="s">
        <v>40</v>
      </c>
      <c r="C373" s="89">
        <v>45576</v>
      </c>
      <c r="D373" s="88" t="s">
        <v>49</v>
      </c>
      <c r="E373" s="88" t="s">
        <v>50</v>
      </c>
      <c r="F373" s="94">
        <v>400</v>
      </c>
      <c r="G373" s="94">
        <v>680</v>
      </c>
      <c r="H373" s="94">
        <v>434</v>
      </c>
      <c r="I373" s="94">
        <v>6400</v>
      </c>
      <c r="J373" s="94">
        <v>5472</v>
      </c>
      <c r="K373" s="94">
        <v>160</v>
      </c>
      <c r="L373" s="92" t="s">
        <v>18</v>
      </c>
      <c r="M373" s="92" t="s">
        <v>25</v>
      </c>
      <c r="N373" s="20">
        <f t="shared" si="5"/>
        <v>0.23656250000000001</v>
      </c>
    </row>
    <row r="374" spans="1:14" x14ac:dyDescent="0.3">
      <c r="A374" s="87" t="s">
        <v>473</v>
      </c>
      <c r="B374" s="88" t="s">
        <v>40</v>
      </c>
      <c r="C374" s="89">
        <v>45576</v>
      </c>
      <c r="D374" s="88" t="s">
        <v>49</v>
      </c>
      <c r="E374" s="88" t="s">
        <v>50</v>
      </c>
      <c r="F374" s="94">
        <v>400</v>
      </c>
      <c r="G374" s="94">
        <v>680</v>
      </c>
      <c r="H374" s="94">
        <v>434</v>
      </c>
      <c r="I374" s="94">
        <v>6400</v>
      </c>
      <c r="J374" s="94">
        <v>5472</v>
      </c>
      <c r="K374" s="94">
        <v>160</v>
      </c>
      <c r="L374" s="92" t="s">
        <v>44</v>
      </c>
      <c r="M374" s="92" t="s">
        <v>25</v>
      </c>
      <c r="N374" s="20">
        <f t="shared" si="5"/>
        <v>0.23656250000000001</v>
      </c>
    </row>
    <row r="375" spans="1:14" x14ac:dyDescent="0.3">
      <c r="A375" s="87" t="s">
        <v>475</v>
      </c>
      <c r="B375" s="88" t="s">
        <v>40</v>
      </c>
      <c r="C375" s="89">
        <v>45531</v>
      </c>
      <c r="D375" s="88" t="s">
        <v>16</v>
      </c>
      <c r="E375" s="88" t="s">
        <v>17</v>
      </c>
      <c r="F375" s="94">
        <v>3960</v>
      </c>
      <c r="G375" s="94">
        <v>266</v>
      </c>
      <c r="H375" s="94">
        <v>8</v>
      </c>
      <c r="I375" s="94">
        <v>35640</v>
      </c>
      <c r="J375" s="94">
        <v>34850</v>
      </c>
      <c r="K375" s="94">
        <v>208</v>
      </c>
      <c r="L375" s="92" t="s">
        <v>44</v>
      </c>
      <c r="M375" s="92" t="s">
        <v>55</v>
      </c>
      <c r="N375" s="20">
        <f t="shared" si="5"/>
        <v>0.11879910213243547</v>
      </c>
    </row>
    <row r="376" spans="1:14" x14ac:dyDescent="0.3">
      <c r="A376" s="87" t="s">
        <v>475</v>
      </c>
      <c r="B376" s="88" t="s">
        <v>40</v>
      </c>
      <c r="C376" s="89">
        <v>45531</v>
      </c>
      <c r="D376" s="88" t="s">
        <v>16</v>
      </c>
      <c r="E376" s="88" t="s">
        <v>17</v>
      </c>
      <c r="F376" s="94">
        <v>3960</v>
      </c>
      <c r="G376" s="94">
        <v>266</v>
      </c>
      <c r="H376" s="94">
        <v>8</v>
      </c>
      <c r="I376" s="94">
        <v>35640</v>
      </c>
      <c r="J376" s="94">
        <v>34850</v>
      </c>
      <c r="K376" s="94">
        <v>208</v>
      </c>
      <c r="L376" s="92" t="s">
        <v>24</v>
      </c>
      <c r="M376" s="92" t="s">
        <v>55</v>
      </c>
      <c r="N376" s="20">
        <f t="shared" si="5"/>
        <v>0.11879910213243547</v>
      </c>
    </row>
    <row r="377" spans="1:14" x14ac:dyDescent="0.3">
      <c r="A377" s="87" t="s">
        <v>477</v>
      </c>
      <c r="B377" s="88" t="s">
        <v>40</v>
      </c>
      <c r="C377" s="89">
        <v>45690</v>
      </c>
      <c r="D377" s="88" t="s">
        <v>33</v>
      </c>
      <c r="E377" s="88" t="s">
        <v>34</v>
      </c>
      <c r="F377" s="94">
        <v>886</v>
      </c>
      <c r="G377" s="94">
        <v>126</v>
      </c>
      <c r="H377" s="94">
        <v>153</v>
      </c>
      <c r="I377" s="94">
        <v>4430</v>
      </c>
      <c r="J377" s="94">
        <v>4037</v>
      </c>
      <c r="K377" s="94">
        <v>212</v>
      </c>
      <c r="L377" s="92" t="s">
        <v>18</v>
      </c>
      <c r="M377" s="92" t="s">
        <v>38</v>
      </c>
      <c r="N377" s="20">
        <f t="shared" si="5"/>
        <v>0.26297968397291194</v>
      </c>
    </row>
    <row r="378" spans="1:14" x14ac:dyDescent="0.3">
      <c r="A378" s="87" t="s">
        <v>478</v>
      </c>
      <c r="B378" s="88" t="s">
        <v>14</v>
      </c>
      <c r="C378" s="89">
        <v>45491</v>
      </c>
      <c r="D378" s="88" t="s">
        <v>49</v>
      </c>
      <c r="E378" s="88" t="s">
        <v>50</v>
      </c>
      <c r="F378" s="94">
        <v>827</v>
      </c>
      <c r="G378" s="94">
        <v>77</v>
      </c>
      <c r="H378" s="94">
        <v>402</v>
      </c>
      <c r="I378" s="94">
        <v>14886</v>
      </c>
      <c r="J378" s="94">
        <v>14129</v>
      </c>
      <c r="K378" s="94">
        <v>254</v>
      </c>
      <c r="L378" s="92" t="s">
        <v>58</v>
      </c>
      <c r="M378" s="92" t="s">
        <v>25</v>
      </c>
      <c r="N378" s="20">
        <f t="shared" si="5"/>
        <v>8.7733440816874911E-2</v>
      </c>
    </row>
    <row r="379" spans="1:14" x14ac:dyDescent="0.3">
      <c r="A379" s="87" t="s">
        <v>479</v>
      </c>
      <c r="B379" s="88" t="s">
        <v>40</v>
      </c>
      <c r="C379" s="89">
        <v>45465</v>
      </c>
      <c r="D379" s="88" t="s">
        <v>16</v>
      </c>
      <c r="E379" s="88" t="s">
        <v>17</v>
      </c>
      <c r="F379" s="94">
        <v>3813</v>
      </c>
      <c r="G379" s="94">
        <v>935</v>
      </c>
      <c r="H379" s="94">
        <v>274</v>
      </c>
      <c r="I379" s="94">
        <v>68634</v>
      </c>
      <c r="J379" s="94">
        <v>68488</v>
      </c>
      <c r="K379" s="94">
        <v>251</v>
      </c>
      <c r="L379" s="92" t="s">
        <v>77</v>
      </c>
      <c r="M379" s="92" t="s">
        <v>19</v>
      </c>
      <c r="N379" s="20">
        <f t="shared" si="5"/>
        <v>7.3170731707317069E-2</v>
      </c>
    </row>
    <row r="380" spans="1:14" x14ac:dyDescent="0.3">
      <c r="A380" s="87" t="s">
        <v>479</v>
      </c>
      <c r="B380" s="88" t="s">
        <v>40</v>
      </c>
      <c r="C380" s="89">
        <v>45465</v>
      </c>
      <c r="D380" s="88" t="s">
        <v>16</v>
      </c>
      <c r="E380" s="88" t="s">
        <v>17</v>
      </c>
      <c r="F380" s="94">
        <v>3813</v>
      </c>
      <c r="G380" s="94">
        <v>935</v>
      </c>
      <c r="H380" s="94">
        <v>274</v>
      </c>
      <c r="I380" s="94">
        <v>68634</v>
      </c>
      <c r="J380" s="94">
        <v>68488</v>
      </c>
      <c r="K380" s="94">
        <v>251</v>
      </c>
      <c r="L380" s="92" t="s">
        <v>44</v>
      </c>
      <c r="M380" s="92" t="s">
        <v>19</v>
      </c>
      <c r="N380" s="20">
        <f t="shared" si="5"/>
        <v>7.3170731707317069E-2</v>
      </c>
    </row>
    <row r="381" spans="1:14" x14ac:dyDescent="0.3">
      <c r="A381" s="87" t="s">
        <v>480</v>
      </c>
      <c r="B381" s="88" t="s">
        <v>31</v>
      </c>
      <c r="C381" s="89">
        <v>45743</v>
      </c>
      <c r="D381" s="88" t="s">
        <v>42</v>
      </c>
      <c r="E381" s="88" t="s">
        <v>43</v>
      </c>
      <c r="F381" s="94">
        <v>1377</v>
      </c>
      <c r="G381" s="94">
        <v>796</v>
      </c>
      <c r="H381" s="94">
        <v>387</v>
      </c>
      <c r="I381" s="94">
        <v>22032</v>
      </c>
      <c r="J381" s="94">
        <v>21869</v>
      </c>
      <c r="K381" s="94">
        <v>189</v>
      </c>
      <c r="L381" s="92" t="s">
        <v>77</v>
      </c>
      <c r="M381" s="92" t="s">
        <v>38</v>
      </c>
      <c r="N381" s="20">
        <f t="shared" si="5"/>
        <v>0.11619462599854757</v>
      </c>
    </row>
    <row r="382" spans="1:14" x14ac:dyDescent="0.3">
      <c r="A382" s="87" t="s">
        <v>480</v>
      </c>
      <c r="B382" s="88" t="s">
        <v>31</v>
      </c>
      <c r="C382" s="89">
        <v>45743</v>
      </c>
      <c r="D382" s="88" t="s">
        <v>42</v>
      </c>
      <c r="E382" s="88" t="s">
        <v>43</v>
      </c>
      <c r="F382" s="94">
        <v>1377</v>
      </c>
      <c r="G382" s="94">
        <v>796</v>
      </c>
      <c r="H382" s="94">
        <v>387</v>
      </c>
      <c r="I382" s="94">
        <v>22032</v>
      </c>
      <c r="J382" s="94">
        <v>21869</v>
      </c>
      <c r="K382" s="94">
        <v>189</v>
      </c>
      <c r="L382" s="92" t="s">
        <v>24</v>
      </c>
      <c r="M382" s="92" t="s">
        <v>38</v>
      </c>
      <c r="N382" s="20">
        <f t="shared" si="5"/>
        <v>0.11619462599854757</v>
      </c>
    </row>
    <row r="383" spans="1:14" x14ac:dyDescent="0.3">
      <c r="A383" s="87" t="s">
        <v>482</v>
      </c>
      <c r="B383" s="88" t="s">
        <v>40</v>
      </c>
      <c r="C383" s="89">
        <v>45775</v>
      </c>
      <c r="D383" s="88" t="s">
        <v>42</v>
      </c>
      <c r="E383" s="88" t="s">
        <v>43</v>
      </c>
      <c r="F383" s="94">
        <v>2089</v>
      </c>
      <c r="G383" s="94">
        <v>476</v>
      </c>
      <c r="H383" s="94">
        <v>69</v>
      </c>
      <c r="I383" s="94">
        <v>16712</v>
      </c>
      <c r="J383" s="94">
        <v>16309</v>
      </c>
      <c r="K383" s="94">
        <v>64</v>
      </c>
      <c r="L383" s="92" t="s">
        <v>58</v>
      </c>
      <c r="M383" s="92" t="s">
        <v>19</v>
      </c>
      <c r="N383" s="20">
        <f t="shared" si="5"/>
        <v>0.15761129727142173</v>
      </c>
    </row>
    <row r="384" spans="1:14" x14ac:dyDescent="0.3">
      <c r="A384" s="87" t="s">
        <v>482</v>
      </c>
      <c r="B384" s="88" t="s">
        <v>40</v>
      </c>
      <c r="C384" s="89">
        <v>45775</v>
      </c>
      <c r="D384" s="88" t="s">
        <v>42</v>
      </c>
      <c r="E384" s="88" t="s">
        <v>43</v>
      </c>
      <c r="F384" s="94">
        <v>2089</v>
      </c>
      <c r="G384" s="94">
        <v>476</v>
      </c>
      <c r="H384" s="94">
        <v>69</v>
      </c>
      <c r="I384" s="94">
        <v>16712</v>
      </c>
      <c r="J384" s="94">
        <v>16309</v>
      </c>
      <c r="K384" s="94">
        <v>64</v>
      </c>
      <c r="L384" s="92" t="s">
        <v>18</v>
      </c>
      <c r="M384" s="92" t="s">
        <v>19</v>
      </c>
      <c r="N384" s="20">
        <f t="shared" si="5"/>
        <v>0.15761129727142173</v>
      </c>
    </row>
    <row r="385" spans="1:14" x14ac:dyDescent="0.3">
      <c r="A385" s="87" t="s">
        <v>483</v>
      </c>
      <c r="B385" s="88" t="s">
        <v>14</v>
      </c>
      <c r="C385" s="89">
        <v>45507</v>
      </c>
      <c r="D385" s="88" t="s">
        <v>16</v>
      </c>
      <c r="E385" s="88" t="s">
        <v>17</v>
      </c>
      <c r="F385" s="94">
        <v>3791</v>
      </c>
      <c r="G385" s="94">
        <v>593</v>
      </c>
      <c r="H385" s="94">
        <v>228</v>
      </c>
      <c r="I385" s="94">
        <v>53074</v>
      </c>
      <c r="J385" s="94">
        <v>52613</v>
      </c>
      <c r="K385" s="94">
        <v>205</v>
      </c>
      <c r="L385" s="92" t="s">
        <v>58</v>
      </c>
      <c r="M385" s="92" t="s">
        <v>19</v>
      </c>
      <c r="N385" s="20">
        <f t="shared" si="5"/>
        <v>8.6897539284772202E-2</v>
      </c>
    </row>
    <row r="386" spans="1:14" x14ac:dyDescent="0.3">
      <c r="A386" s="87" t="s">
        <v>483</v>
      </c>
      <c r="B386" s="88" t="s">
        <v>14</v>
      </c>
      <c r="C386" s="89">
        <v>45507</v>
      </c>
      <c r="D386" s="88" t="s">
        <v>16</v>
      </c>
      <c r="E386" s="88" t="s">
        <v>17</v>
      </c>
      <c r="F386" s="94">
        <v>3791</v>
      </c>
      <c r="G386" s="94">
        <v>593</v>
      </c>
      <c r="H386" s="94">
        <v>228</v>
      </c>
      <c r="I386" s="94">
        <v>53074</v>
      </c>
      <c r="J386" s="94">
        <v>52613</v>
      </c>
      <c r="K386" s="94">
        <v>205</v>
      </c>
      <c r="L386" s="92" t="s">
        <v>77</v>
      </c>
      <c r="M386" s="92" t="s">
        <v>19</v>
      </c>
      <c r="N386" s="20">
        <f t="shared" si="5"/>
        <v>8.6897539284772202E-2</v>
      </c>
    </row>
    <row r="387" spans="1:14" x14ac:dyDescent="0.3">
      <c r="A387" s="87" t="s">
        <v>485</v>
      </c>
      <c r="B387" s="88" t="s">
        <v>14</v>
      </c>
      <c r="C387" s="89">
        <v>45671</v>
      </c>
      <c r="D387" s="88" t="s">
        <v>49</v>
      </c>
      <c r="E387" s="88" t="s">
        <v>50</v>
      </c>
      <c r="F387" s="94">
        <v>2692</v>
      </c>
      <c r="G387" s="94">
        <v>115</v>
      </c>
      <c r="H387" s="94">
        <v>64</v>
      </c>
      <c r="I387" s="94">
        <v>21536</v>
      </c>
      <c r="J387" s="94">
        <v>21120</v>
      </c>
      <c r="K387" s="94">
        <v>224</v>
      </c>
      <c r="L387" s="92" t="s">
        <v>77</v>
      </c>
      <c r="M387" s="92" t="s">
        <v>55</v>
      </c>
      <c r="N387" s="20">
        <f t="shared" ref="N387:N450" si="6">SUM(F387,G387,H387)/I387</f>
        <v>0.13331166419019316</v>
      </c>
    </row>
    <row r="388" spans="1:14" x14ac:dyDescent="0.3">
      <c r="A388" s="87" t="s">
        <v>485</v>
      </c>
      <c r="B388" s="88" t="s">
        <v>14</v>
      </c>
      <c r="C388" s="89">
        <v>45671</v>
      </c>
      <c r="D388" s="88" t="s">
        <v>49</v>
      </c>
      <c r="E388" s="88" t="s">
        <v>50</v>
      </c>
      <c r="F388" s="94">
        <v>2692</v>
      </c>
      <c r="G388" s="94">
        <v>115</v>
      </c>
      <c r="H388" s="94">
        <v>64</v>
      </c>
      <c r="I388" s="94">
        <v>21536</v>
      </c>
      <c r="J388" s="94">
        <v>21120</v>
      </c>
      <c r="K388" s="94">
        <v>224</v>
      </c>
      <c r="L388" s="92" t="s">
        <v>44</v>
      </c>
      <c r="M388" s="92" t="s">
        <v>55</v>
      </c>
      <c r="N388" s="20">
        <f t="shared" si="6"/>
        <v>0.13331166419019316</v>
      </c>
    </row>
    <row r="389" spans="1:14" x14ac:dyDescent="0.3">
      <c r="A389" s="87" t="s">
        <v>487</v>
      </c>
      <c r="B389" s="88" t="s">
        <v>40</v>
      </c>
      <c r="C389" s="89">
        <v>45750</v>
      </c>
      <c r="D389" s="88" t="s">
        <v>33</v>
      </c>
      <c r="E389" s="88" t="s">
        <v>34</v>
      </c>
      <c r="F389" s="94">
        <v>3767</v>
      </c>
      <c r="G389" s="94">
        <v>514</v>
      </c>
      <c r="H389" s="94">
        <v>238</v>
      </c>
      <c r="I389" s="94">
        <v>37670</v>
      </c>
      <c r="J389" s="94">
        <v>36807</v>
      </c>
      <c r="K389" s="94">
        <v>226</v>
      </c>
      <c r="L389" s="92" t="s">
        <v>58</v>
      </c>
      <c r="M389" s="92" t="s">
        <v>19</v>
      </c>
      <c r="N389" s="20">
        <f t="shared" si="6"/>
        <v>0.11996283514733209</v>
      </c>
    </row>
    <row r="390" spans="1:14" x14ac:dyDescent="0.3">
      <c r="A390" s="87" t="s">
        <v>487</v>
      </c>
      <c r="B390" s="88" t="s">
        <v>40</v>
      </c>
      <c r="C390" s="89">
        <v>45750</v>
      </c>
      <c r="D390" s="88" t="s">
        <v>33</v>
      </c>
      <c r="E390" s="88" t="s">
        <v>34</v>
      </c>
      <c r="F390" s="94">
        <v>3767</v>
      </c>
      <c r="G390" s="94">
        <v>514</v>
      </c>
      <c r="H390" s="94">
        <v>238</v>
      </c>
      <c r="I390" s="94">
        <v>37670</v>
      </c>
      <c r="J390" s="94">
        <v>36807</v>
      </c>
      <c r="K390" s="94">
        <v>226</v>
      </c>
      <c r="L390" s="92" t="s">
        <v>77</v>
      </c>
      <c r="M390" s="92" t="s">
        <v>19</v>
      </c>
      <c r="N390" s="20">
        <f t="shared" si="6"/>
        <v>0.11996283514733209</v>
      </c>
    </row>
    <row r="391" spans="1:14" x14ac:dyDescent="0.3">
      <c r="A391" s="87" t="s">
        <v>488</v>
      </c>
      <c r="B391" s="88" t="s">
        <v>577</v>
      </c>
      <c r="C391" s="89">
        <v>45553</v>
      </c>
      <c r="D391" s="88" t="s">
        <v>42</v>
      </c>
      <c r="E391" s="88" t="s">
        <v>43</v>
      </c>
      <c r="F391" s="94">
        <v>2143</v>
      </c>
      <c r="G391" s="94">
        <v>12</v>
      </c>
      <c r="H391" s="94">
        <v>204</v>
      </c>
      <c r="I391" s="94">
        <v>40717</v>
      </c>
      <c r="J391" s="94">
        <v>40125</v>
      </c>
      <c r="K391" s="94">
        <v>248</v>
      </c>
      <c r="L391" s="92" t="s">
        <v>77</v>
      </c>
      <c r="M391" s="92" t="s">
        <v>55</v>
      </c>
      <c r="N391" s="20">
        <f t="shared" si="6"/>
        <v>5.7936488444630008E-2</v>
      </c>
    </row>
    <row r="392" spans="1:14" x14ac:dyDescent="0.3">
      <c r="A392" s="87" t="s">
        <v>488</v>
      </c>
      <c r="B392" s="88" t="s">
        <v>577</v>
      </c>
      <c r="C392" s="89">
        <v>45553</v>
      </c>
      <c r="D392" s="88" t="s">
        <v>42</v>
      </c>
      <c r="E392" s="88" t="s">
        <v>43</v>
      </c>
      <c r="F392" s="94">
        <v>2143</v>
      </c>
      <c r="G392" s="94">
        <v>12</v>
      </c>
      <c r="H392" s="94">
        <v>204</v>
      </c>
      <c r="I392" s="94">
        <v>40717</v>
      </c>
      <c r="J392" s="94">
        <v>40125</v>
      </c>
      <c r="K392" s="94">
        <v>248</v>
      </c>
      <c r="L392" s="92" t="s">
        <v>18</v>
      </c>
      <c r="M392" s="92" t="s">
        <v>55</v>
      </c>
      <c r="N392" s="20">
        <f t="shared" si="6"/>
        <v>5.7936488444630008E-2</v>
      </c>
    </row>
    <row r="393" spans="1:14" x14ac:dyDescent="0.3">
      <c r="A393" s="87" t="s">
        <v>489</v>
      </c>
      <c r="B393" s="88" t="s">
        <v>40</v>
      </c>
      <c r="C393" s="89">
        <v>45753</v>
      </c>
      <c r="D393" s="88" t="s">
        <v>49</v>
      </c>
      <c r="E393" s="88" t="s">
        <v>50</v>
      </c>
      <c r="F393" s="94">
        <v>3090</v>
      </c>
      <c r="G393" s="94">
        <v>697</v>
      </c>
      <c r="H393" s="94">
        <v>164</v>
      </c>
      <c r="I393" s="94">
        <v>49440</v>
      </c>
      <c r="J393" s="94">
        <v>48524</v>
      </c>
      <c r="K393" s="94">
        <v>25</v>
      </c>
      <c r="L393" s="92" t="s">
        <v>77</v>
      </c>
      <c r="M393" s="92" t="s">
        <v>55</v>
      </c>
      <c r="N393" s="20">
        <f t="shared" si="6"/>
        <v>7.9915048543689318E-2</v>
      </c>
    </row>
    <row r="394" spans="1:14" x14ac:dyDescent="0.3">
      <c r="A394" s="87" t="s">
        <v>489</v>
      </c>
      <c r="B394" s="88" t="s">
        <v>40</v>
      </c>
      <c r="C394" s="89">
        <v>45753</v>
      </c>
      <c r="D394" s="88" t="s">
        <v>49</v>
      </c>
      <c r="E394" s="88" t="s">
        <v>50</v>
      </c>
      <c r="F394" s="94">
        <v>3090</v>
      </c>
      <c r="G394" s="94">
        <v>697</v>
      </c>
      <c r="H394" s="94">
        <v>164</v>
      </c>
      <c r="I394" s="94">
        <v>49440</v>
      </c>
      <c r="J394" s="94">
        <v>48524</v>
      </c>
      <c r="K394" s="94">
        <v>25</v>
      </c>
      <c r="L394" s="92" t="s">
        <v>58</v>
      </c>
      <c r="M394" s="92" t="s">
        <v>55</v>
      </c>
      <c r="N394" s="20">
        <f t="shared" si="6"/>
        <v>7.9915048543689318E-2</v>
      </c>
    </row>
    <row r="395" spans="1:14" x14ac:dyDescent="0.3">
      <c r="A395" s="87" t="s">
        <v>490</v>
      </c>
      <c r="B395" s="88" t="s">
        <v>31</v>
      </c>
      <c r="C395" s="89">
        <v>45509</v>
      </c>
      <c r="D395" s="88" t="s">
        <v>33</v>
      </c>
      <c r="E395" s="88" t="s">
        <v>34</v>
      </c>
      <c r="F395" s="94">
        <v>3601</v>
      </c>
      <c r="G395" s="94">
        <v>695</v>
      </c>
      <c r="H395" s="94">
        <v>75</v>
      </c>
      <c r="I395" s="94">
        <v>21606</v>
      </c>
      <c r="J395" s="94">
        <v>21454</v>
      </c>
      <c r="K395" s="94">
        <v>172</v>
      </c>
      <c r="L395" s="92" t="s">
        <v>58</v>
      </c>
      <c r="M395" s="92" t="s">
        <v>25</v>
      </c>
      <c r="N395" s="20">
        <f t="shared" si="6"/>
        <v>0.2023049153013052</v>
      </c>
    </row>
    <row r="396" spans="1:14" x14ac:dyDescent="0.3">
      <c r="A396" s="87" t="s">
        <v>492</v>
      </c>
      <c r="B396" s="88" t="s">
        <v>40</v>
      </c>
      <c r="C396" s="89">
        <v>45698</v>
      </c>
      <c r="D396" s="88" t="s">
        <v>22</v>
      </c>
      <c r="E396" s="88" t="s">
        <v>23</v>
      </c>
      <c r="F396" s="94">
        <v>562</v>
      </c>
      <c r="G396" s="94">
        <v>158</v>
      </c>
      <c r="H396" s="94">
        <v>149</v>
      </c>
      <c r="I396" s="94">
        <v>3372</v>
      </c>
      <c r="J396" s="94">
        <v>2940</v>
      </c>
      <c r="K396" s="94">
        <v>93</v>
      </c>
      <c r="L396" s="92" t="s">
        <v>77</v>
      </c>
      <c r="M396" s="92" t="s">
        <v>55</v>
      </c>
      <c r="N396" s="20">
        <f t="shared" si="6"/>
        <v>0.25771055753262156</v>
      </c>
    </row>
    <row r="397" spans="1:14" x14ac:dyDescent="0.3">
      <c r="A397" s="87" t="s">
        <v>492</v>
      </c>
      <c r="B397" s="88" t="s">
        <v>40</v>
      </c>
      <c r="C397" s="89">
        <v>45698</v>
      </c>
      <c r="D397" s="88" t="s">
        <v>22</v>
      </c>
      <c r="E397" s="88" t="s">
        <v>23</v>
      </c>
      <c r="F397" s="94">
        <v>562</v>
      </c>
      <c r="G397" s="94">
        <v>158</v>
      </c>
      <c r="H397" s="94">
        <v>149</v>
      </c>
      <c r="I397" s="94">
        <v>3372</v>
      </c>
      <c r="J397" s="94">
        <v>2940</v>
      </c>
      <c r="K397" s="94">
        <v>93</v>
      </c>
      <c r="L397" s="92" t="s">
        <v>18</v>
      </c>
      <c r="M397" s="92" t="s">
        <v>55</v>
      </c>
      <c r="N397" s="20">
        <f t="shared" si="6"/>
        <v>0.25771055753262156</v>
      </c>
    </row>
    <row r="398" spans="1:14" x14ac:dyDescent="0.3">
      <c r="A398" s="87" t="s">
        <v>493</v>
      </c>
      <c r="B398" s="88" t="s">
        <v>31</v>
      </c>
      <c r="C398" s="89">
        <v>45700</v>
      </c>
      <c r="D398" s="88" t="s">
        <v>33</v>
      </c>
      <c r="E398" s="88" t="s">
        <v>34</v>
      </c>
      <c r="F398" s="94">
        <v>4332</v>
      </c>
      <c r="G398" s="94">
        <v>771</v>
      </c>
      <c r="H398" s="94">
        <v>219</v>
      </c>
      <c r="I398" s="94">
        <v>60648</v>
      </c>
      <c r="J398" s="94">
        <v>60397</v>
      </c>
      <c r="K398" s="94">
        <v>10</v>
      </c>
      <c r="L398" s="92" t="s">
        <v>24</v>
      </c>
      <c r="M398" s="92" t="s">
        <v>38</v>
      </c>
      <c r="N398" s="20">
        <f t="shared" si="6"/>
        <v>8.7752275425405618E-2</v>
      </c>
    </row>
    <row r="399" spans="1:14" x14ac:dyDescent="0.3">
      <c r="A399" s="87" t="s">
        <v>495</v>
      </c>
      <c r="B399" s="88" t="s">
        <v>31</v>
      </c>
      <c r="C399" s="89">
        <v>45592</v>
      </c>
      <c r="D399" s="88" t="s">
        <v>49</v>
      </c>
      <c r="E399" s="88" t="s">
        <v>50</v>
      </c>
      <c r="F399" s="94">
        <v>4853</v>
      </c>
      <c r="G399" s="94">
        <v>837</v>
      </c>
      <c r="H399" s="94">
        <v>340</v>
      </c>
      <c r="I399" s="94">
        <v>72795</v>
      </c>
      <c r="J399" s="94">
        <v>72237</v>
      </c>
      <c r="K399" s="94">
        <v>170</v>
      </c>
      <c r="L399" s="92" t="s">
        <v>18</v>
      </c>
      <c r="M399" s="92" t="s">
        <v>25</v>
      </c>
      <c r="N399" s="20">
        <f t="shared" si="6"/>
        <v>8.2835359571399134E-2</v>
      </c>
    </row>
    <row r="400" spans="1:14" x14ac:dyDescent="0.3">
      <c r="A400" s="87" t="s">
        <v>497</v>
      </c>
      <c r="B400" s="88" t="s">
        <v>577</v>
      </c>
      <c r="C400" s="89">
        <v>45675</v>
      </c>
      <c r="D400" s="88" t="s">
        <v>49</v>
      </c>
      <c r="E400" s="88" t="s">
        <v>50</v>
      </c>
      <c r="F400" s="94">
        <v>1206</v>
      </c>
      <c r="G400" s="94">
        <v>238</v>
      </c>
      <c r="H400" s="94">
        <v>36</v>
      </c>
      <c r="I400" s="94">
        <v>9648</v>
      </c>
      <c r="J400" s="94">
        <v>9417</v>
      </c>
      <c r="K400" s="94">
        <v>237</v>
      </c>
      <c r="L400" s="92" t="s">
        <v>18</v>
      </c>
      <c r="M400" s="92" t="s">
        <v>38</v>
      </c>
      <c r="N400" s="20">
        <f t="shared" si="6"/>
        <v>0.15339966832504145</v>
      </c>
    </row>
    <row r="401" spans="1:14" x14ac:dyDescent="0.3">
      <c r="A401" s="87" t="s">
        <v>497</v>
      </c>
      <c r="B401" s="88" t="s">
        <v>577</v>
      </c>
      <c r="C401" s="89">
        <v>45675</v>
      </c>
      <c r="D401" s="88" t="s">
        <v>49</v>
      </c>
      <c r="E401" s="88" t="s">
        <v>50</v>
      </c>
      <c r="F401" s="94">
        <v>1206</v>
      </c>
      <c r="G401" s="94">
        <v>238</v>
      </c>
      <c r="H401" s="94">
        <v>36</v>
      </c>
      <c r="I401" s="94">
        <v>9648</v>
      </c>
      <c r="J401" s="94">
        <v>9417</v>
      </c>
      <c r="K401" s="94">
        <v>237</v>
      </c>
      <c r="L401" s="92" t="s">
        <v>58</v>
      </c>
      <c r="M401" s="92" t="s">
        <v>38</v>
      </c>
      <c r="N401" s="20">
        <f t="shared" si="6"/>
        <v>0.15339966832504145</v>
      </c>
    </row>
    <row r="402" spans="1:14" x14ac:dyDescent="0.3">
      <c r="A402" s="87" t="s">
        <v>498</v>
      </c>
      <c r="B402" s="88" t="s">
        <v>31</v>
      </c>
      <c r="C402" s="89">
        <v>45524</v>
      </c>
      <c r="D402" s="88" t="s">
        <v>16</v>
      </c>
      <c r="E402" s="88" t="s">
        <v>17</v>
      </c>
      <c r="F402" s="94">
        <v>2603</v>
      </c>
      <c r="G402" s="94">
        <v>690</v>
      </c>
      <c r="H402" s="94">
        <v>205</v>
      </c>
      <c r="I402" s="94">
        <v>13015</v>
      </c>
      <c r="J402" s="94">
        <v>12130</v>
      </c>
      <c r="K402" s="94">
        <v>20</v>
      </c>
      <c r="L402" s="92" t="s">
        <v>44</v>
      </c>
      <c r="M402" s="92" t="s">
        <v>19</v>
      </c>
      <c r="N402" s="20">
        <f t="shared" si="6"/>
        <v>0.26876680752977333</v>
      </c>
    </row>
    <row r="403" spans="1:14" x14ac:dyDescent="0.3">
      <c r="A403" s="87" t="s">
        <v>500</v>
      </c>
      <c r="B403" s="88" t="s">
        <v>14</v>
      </c>
      <c r="C403" s="89">
        <v>45687</v>
      </c>
      <c r="D403" s="88" t="s">
        <v>49</v>
      </c>
      <c r="E403" s="88" t="s">
        <v>50</v>
      </c>
      <c r="F403" s="94">
        <v>59</v>
      </c>
      <c r="G403" s="94">
        <v>163</v>
      </c>
      <c r="H403" s="94">
        <v>93</v>
      </c>
      <c r="I403" s="94">
        <v>590</v>
      </c>
      <c r="J403" s="94">
        <v>475</v>
      </c>
      <c r="K403" s="94">
        <v>293</v>
      </c>
      <c r="L403" s="92" t="s">
        <v>44</v>
      </c>
      <c r="M403" s="92" t="s">
        <v>55</v>
      </c>
      <c r="N403" s="20">
        <f t="shared" si="6"/>
        <v>0.53389830508474578</v>
      </c>
    </row>
    <row r="404" spans="1:14" x14ac:dyDescent="0.3">
      <c r="A404" s="87" t="s">
        <v>502</v>
      </c>
      <c r="B404" s="88" t="s">
        <v>14</v>
      </c>
      <c r="C404" s="89">
        <v>45708</v>
      </c>
      <c r="D404" s="88" t="s">
        <v>42</v>
      </c>
      <c r="E404" s="88" t="s">
        <v>43</v>
      </c>
      <c r="F404" s="94">
        <v>1877</v>
      </c>
      <c r="G404" s="94">
        <v>745</v>
      </c>
      <c r="H404" s="94">
        <v>225</v>
      </c>
      <c r="I404" s="94">
        <v>11262</v>
      </c>
      <c r="J404" s="94">
        <v>10967</v>
      </c>
      <c r="K404" s="94">
        <v>41</v>
      </c>
      <c r="L404" s="92" t="s">
        <v>58</v>
      </c>
      <c r="M404" s="92" t="s">
        <v>19</v>
      </c>
      <c r="N404" s="20">
        <f t="shared" si="6"/>
        <v>0.25279701651571657</v>
      </c>
    </row>
    <row r="405" spans="1:14" x14ac:dyDescent="0.3">
      <c r="A405" s="87" t="s">
        <v>502</v>
      </c>
      <c r="B405" s="88" t="s">
        <v>14</v>
      </c>
      <c r="C405" s="89">
        <v>45708</v>
      </c>
      <c r="D405" s="88" t="s">
        <v>42</v>
      </c>
      <c r="E405" s="88" t="s">
        <v>43</v>
      </c>
      <c r="F405" s="94">
        <v>1877</v>
      </c>
      <c r="G405" s="94">
        <v>745</v>
      </c>
      <c r="H405" s="94">
        <v>225</v>
      </c>
      <c r="I405" s="94">
        <v>11262</v>
      </c>
      <c r="J405" s="94">
        <v>10967</v>
      </c>
      <c r="K405" s="94">
        <v>41</v>
      </c>
      <c r="L405" s="92" t="s">
        <v>18</v>
      </c>
      <c r="M405" s="92" t="s">
        <v>19</v>
      </c>
      <c r="N405" s="20">
        <f t="shared" si="6"/>
        <v>0.25279701651571657</v>
      </c>
    </row>
    <row r="406" spans="1:14" x14ac:dyDescent="0.3">
      <c r="A406" s="87" t="s">
        <v>504</v>
      </c>
      <c r="B406" s="88" t="s">
        <v>40</v>
      </c>
      <c r="C406" s="89">
        <v>45621</v>
      </c>
      <c r="D406" s="88" t="s">
        <v>33</v>
      </c>
      <c r="E406" s="88" t="s">
        <v>34</v>
      </c>
      <c r="F406" s="94">
        <v>4182</v>
      </c>
      <c r="G406" s="94">
        <v>640</v>
      </c>
      <c r="H406" s="94">
        <v>240</v>
      </c>
      <c r="I406" s="94">
        <v>50184</v>
      </c>
      <c r="J406" s="94">
        <v>49351</v>
      </c>
      <c r="K406" s="94">
        <v>10</v>
      </c>
      <c r="L406" s="92" t="s">
        <v>18</v>
      </c>
      <c r="M406" s="92" t="s">
        <v>38</v>
      </c>
      <c r="N406" s="20">
        <f t="shared" si="6"/>
        <v>0.10086880280567512</v>
      </c>
    </row>
    <row r="407" spans="1:14" x14ac:dyDescent="0.3">
      <c r="A407" s="87" t="s">
        <v>504</v>
      </c>
      <c r="B407" s="88" t="s">
        <v>40</v>
      </c>
      <c r="C407" s="89">
        <v>45621</v>
      </c>
      <c r="D407" s="88" t="s">
        <v>33</v>
      </c>
      <c r="E407" s="88" t="s">
        <v>34</v>
      </c>
      <c r="F407" s="94">
        <v>4182</v>
      </c>
      <c r="G407" s="94">
        <v>640</v>
      </c>
      <c r="H407" s="94">
        <v>240</v>
      </c>
      <c r="I407" s="94">
        <v>50184</v>
      </c>
      <c r="J407" s="94">
        <v>49351</v>
      </c>
      <c r="K407" s="94">
        <v>10</v>
      </c>
      <c r="L407" s="92" t="s">
        <v>58</v>
      </c>
      <c r="M407" s="92" t="s">
        <v>38</v>
      </c>
      <c r="N407" s="20">
        <f t="shared" si="6"/>
        <v>0.10086880280567512</v>
      </c>
    </row>
    <row r="408" spans="1:14" x14ac:dyDescent="0.3">
      <c r="A408" s="87" t="s">
        <v>505</v>
      </c>
      <c r="B408" s="88" t="s">
        <v>14</v>
      </c>
      <c r="C408" s="89">
        <v>45569</v>
      </c>
      <c r="D408" s="88" t="s">
        <v>16</v>
      </c>
      <c r="E408" s="88" t="s">
        <v>17</v>
      </c>
      <c r="F408" s="94">
        <v>4187</v>
      </c>
      <c r="G408" s="94">
        <v>66</v>
      </c>
      <c r="H408" s="94">
        <v>31</v>
      </c>
      <c r="I408" s="94">
        <v>66992</v>
      </c>
      <c r="J408" s="94">
        <v>66614</v>
      </c>
      <c r="K408" s="94">
        <v>62</v>
      </c>
      <c r="L408" s="92" t="s">
        <v>58</v>
      </c>
      <c r="M408" s="92" t="s">
        <v>55</v>
      </c>
      <c r="N408" s="20">
        <f t="shared" si="6"/>
        <v>6.3947934081681396E-2</v>
      </c>
    </row>
    <row r="409" spans="1:14" x14ac:dyDescent="0.3">
      <c r="A409" s="87" t="s">
        <v>506</v>
      </c>
      <c r="B409" s="88" t="s">
        <v>31</v>
      </c>
      <c r="C409" s="89">
        <v>45760</v>
      </c>
      <c r="D409" s="88" t="s">
        <v>16</v>
      </c>
      <c r="E409" s="88" t="s">
        <v>17</v>
      </c>
      <c r="F409" s="94">
        <v>4579</v>
      </c>
      <c r="G409" s="94">
        <v>125</v>
      </c>
      <c r="H409" s="94">
        <v>300</v>
      </c>
      <c r="I409" s="94">
        <v>59527</v>
      </c>
      <c r="J409" s="94">
        <v>59400</v>
      </c>
      <c r="K409" s="94">
        <v>269</v>
      </c>
      <c r="L409" s="92" t="s">
        <v>58</v>
      </c>
      <c r="M409" s="92" t="s">
        <v>19</v>
      </c>
      <c r="N409" s="20">
        <f t="shared" si="6"/>
        <v>8.4062694239588759E-2</v>
      </c>
    </row>
    <row r="410" spans="1:14" x14ac:dyDescent="0.3">
      <c r="A410" s="87" t="s">
        <v>506</v>
      </c>
      <c r="B410" s="88" t="s">
        <v>31</v>
      </c>
      <c r="C410" s="89">
        <v>45760</v>
      </c>
      <c r="D410" s="88" t="s">
        <v>16</v>
      </c>
      <c r="E410" s="88" t="s">
        <v>17</v>
      </c>
      <c r="F410" s="94">
        <v>4579</v>
      </c>
      <c r="G410" s="94">
        <v>125</v>
      </c>
      <c r="H410" s="94">
        <v>300</v>
      </c>
      <c r="I410" s="94">
        <v>59527</v>
      </c>
      <c r="J410" s="94">
        <v>59400</v>
      </c>
      <c r="K410" s="94">
        <v>269</v>
      </c>
      <c r="L410" s="92" t="s">
        <v>24</v>
      </c>
      <c r="M410" s="92" t="s">
        <v>19</v>
      </c>
      <c r="N410" s="20">
        <f t="shared" si="6"/>
        <v>8.4062694239588759E-2</v>
      </c>
    </row>
    <row r="411" spans="1:14" x14ac:dyDescent="0.3">
      <c r="A411" s="87" t="s">
        <v>508</v>
      </c>
      <c r="B411" s="88" t="s">
        <v>31</v>
      </c>
      <c r="C411" s="89">
        <v>45601</v>
      </c>
      <c r="D411" s="88" t="s">
        <v>69</v>
      </c>
      <c r="E411" s="88" t="s">
        <v>70</v>
      </c>
      <c r="F411" s="94">
        <v>4561</v>
      </c>
      <c r="G411" s="94">
        <v>51</v>
      </c>
      <c r="H411" s="94">
        <v>441</v>
      </c>
      <c r="I411" s="94">
        <v>22805</v>
      </c>
      <c r="J411" s="94">
        <v>21890</v>
      </c>
      <c r="K411" s="94">
        <v>45</v>
      </c>
      <c r="L411" s="92" t="s">
        <v>58</v>
      </c>
      <c r="M411" s="92" t="s">
        <v>25</v>
      </c>
      <c r="N411" s="20">
        <f t="shared" si="6"/>
        <v>0.22157421618066214</v>
      </c>
    </row>
    <row r="412" spans="1:14" x14ac:dyDescent="0.3">
      <c r="A412" s="87" t="s">
        <v>510</v>
      </c>
      <c r="B412" s="88" t="s">
        <v>577</v>
      </c>
      <c r="C412" s="89">
        <v>45672</v>
      </c>
      <c r="D412" s="88" t="s">
        <v>16</v>
      </c>
      <c r="E412" s="88" t="s">
        <v>17</v>
      </c>
      <c r="F412" s="94">
        <v>3774</v>
      </c>
      <c r="G412" s="94">
        <v>239</v>
      </c>
      <c r="H412" s="94">
        <v>39</v>
      </c>
      <c r="I412" s="94">
        <v>60384</v>
      </c>
      <c r="J412" s="94">
        <v>59490</v>
      </c>
      <c r="K412" s="94">
        <v>241</v>
      </c>
      <c r="L412" s="92" t="s">
        <v>77</v>
      </c>
      <c r="M412" s="92" t="s">
        <v>38</v>
      </c>
      <c r="N412" s="20">
        <f t="shared" si="6"/>
        <v>6.7103868574456813E-2</v>
      </c>
    </row>
    <row r="413" spans="1:14" x14ac:dyDescent="0.3">
      <c r="A413" s="87" t="s">
        <v>511</v>
      </c>
      <c r="B413" s="88" t="s">
        <v>31</v>
      </c>
      <c r="C413" s="89">
        <v>45582</v>
      </c>
      <c r="D413" s="88" t="s">
        <v>69</v>
      </c>
      <c r="E413" s="88" t="s">
        <v>70</v>
      </c>
      <c r="F413" s="94">
        <v>3575</v>
      </c>
      <c r="G413" s="94">
        <v>749</v>
      </c>
      <c r="H413" s="94">
        <v>111</v>
      </c>
      <c r="I413" s="94">
        <v>21450</v>
      </c>
      <c r="J413" s="94">
        <v>20785</v>
      </c>
      <c r="K413" s="94">
        <v>195</v>
      </c>
      <c r="L413" s="92" t="s">
        <v>77</v>
      </c>
      <c r="M413" s="92" t="s">
        <v>38</v>
      </c>
      <c r="N413" s="20">
        <f t="shared" si="6"/>
        <v>0.20675990675990677</v>
      </c>
    </row>
    <row r="414" spans="1:14" x14ac:dyDescent="0.3">
      <c r="A414" s="87" t="s">
        <v>513</v>
      </c>
      <c r="B414" s="88" t="s">
        <v>31</v>
      </c>
      <c r="C414" s="89">
        <v>45743</v>
      </c>
      <c r="D414" s="88" t="s">
        <v>22</v>
      </c>
      <c r="E414" s="88" t="s">
        <v>23</v>
      </c>
      <c r="F414" s="94">
        <v>4941</v>
      </c>
      <c r="G414" s="94">
        <v>414</v>
      </c>
      <c r="H414" s="94">
        <v>266</v>
      </c>
      <c r="I414" s="94">
        <v>39528</v>
      </c>
      <c r="J414" s="94">
        <v>39154</v>
      </c>
      <c r="K414" s="94">
        <v>217</v>
      </c>
      <c r="L414" s="92" t="s">
        <v>18</v>
      </c>
      <c r="M414" s="92" t="s">
        <v>25</v>
      </c>
      <c r="N414" s="20">
        <f t="shared" si="6"/>
        <v>0.14220299534507186</v>
      </c>
    </row>
    <row r="415" spans="1:14" x14ac:dyDescent="0.3">
      <c r="A415" s="87" t="s">
        <v>514</v>
      </c>
      <c r="B415" s="88" t="s">
        <v>577</v>
      </c>
      <c r="C415" s="89">
        <v>45577</v>
      </c>
      <c r="D415" s="88" t="s">
        <v>33</v>
      </c>
      <c r="E415" s="88" t="s">
        <v>34</v>
      </c>
      <c r="F415" s="94">
        <v>3641</v>
      </c>
      <c r="G415" s="94">
        <v>226</v>
      </c>
      <c r="H415" s="94">
        <v>46</v>
      </c>
      <c r="I415" s="94">
        <v>40051</v>
      </c>
      <c r="J415" s="94">
        <v>39319</v>
      </c>
      <c r="K415" s="94">
        <v>296</v>
      </c>
      <c r="L415" s="92" t="s">
        <v>44</v>
      </c>
      <c r="M415" s="92" t="s">
        <v>25</v>
      </c>
      <c r="N415" s="20">
        <f t="shared" si="6"/>
        <v>9.7700431949264685E-2</v>
      </c>
    </row>
    <row r="416" spans="1:14" x14ac:dyDescent="0.3">
      <c r="A416" s="87" t="s">
        <v>516</v>
      </c>
      <c r="B416" s="88" t="s">
        <v>14</v>
      </c>
      <c r="C416" s="89">
        <v>45658</v>
      </c>
      <c r="D416" s="88" t="s">
        <v>42</v>
      </c>
      <c r="E416" s="88" t="s">
        <v>43</v>
      </c>
      <c r="F416" s="94">
        <v>3535</v>
      </c>
      <c r="G416" s="94">
        <v>494</v>
      </c>
      <c r="H416" s="94">
        <v>152</v>
      </c>
      <c r="I416" s="94">
        <v>53025</v>
      </c>
      <c r="J416" s="94">
        <v>52791</v>
      </c>
      <c r="K416" s="94">
        <v>44</v>
      </c>
      <c r="L416" s="92" t="s">
        <v>44</v>
      </c>
      <c r="M416" s="92" t="s">
        <v>25</v>
      </c>
      <c r="N416" s="20">
        <f t="shared" si="6"/>
        <v>7.8849599245638849E-2</v>
      </c>
    </row>
    <row r="417" spans="1:14" x14ac:dyDescent="0.3">
      <c r="A417" s="87" t="s">
        <v>516</v>
      </c>
      <c r="B417" s="88" t="s">
        <v>14</v>
      </c>
      <c r="C417" s="89">
        <v>45658</v>
      </c>
      <c r="D417" s="88" t="s">
        <v>42</v>
      </c>
      <c r="E417" s="88" t="s">
        <v>43</v>
      </c>
      <c r="F417" s="94">
        <v>3535</v>
      </c>
      <c r="G417" s="94">
        <v>494</v>
      </c>
      <c r="H417" s="94">
        <v>152</v>
      </c>
      <c r="I417" s="94">
        <v>53025</v>
      </c>
      <c r="J417" s="94">
        <v>52791</v>
      </c>
      <c r="K417" s="94">
        <v>44</v>
      </c>
      <c r="L417" s="92" t="s">
        <v>58</v>
      </c>
      <c r="M417" s="92" t="s">
        <v>25</v>
      </c>
      <c r="N417" s="20">
        <f t="shared" si="6"/>
        <v>7.8849599245638849E-2</v>
      </c>
    </row>
    <row r="418" spans="1:14" x14ac:dyDescent="0.3">
      <c r="A418" s="87" t="s">
        <v>517</v>
      </c>
      <c r="B418" s="88" t="s">
        <v>40</v>
      </c>
      <c r="C418" s="89">
        <v>45509</v>
      </c>
      <c r="D418" s="88" t="s">
        <v>16</v>
      </c>
      <c r="E418" s="88" t="s">
        <v>17</v>
      </c>
      <c r="F418" s="94">
        <v>1741</v>
      </c>
      <c r="G418" s="94">
        <v>831</v>
      </c>
      <c r="H418" s="94">
        <v>345</v>
      </c>
      <c r="I418" s="94">
        <v>17410</v>
      </c>
      <c r="J418" s="94">
        <v>16844</v>
      </c>
      <c r="K418" s="94">
        <v>58</v>
      </c>
      <c r="L418" s="92" t="s">
        <v>24</v>
      </c>
      <c r="M418" s="92" t="s">
        <v>55</v>
      </c>
      <c r="N418" s="20">
        <f t="shared" si="6"/>
        <v>0.16754738655944859</v>
      </c>
    </row>
    <row r="419" spans="1:14" x14ac:dyDescent="0.3">
      <c r="A419" s="87" t="s">
        <v>517</v>
      </c>
      <c r="B419" s="88" t="s">
        <v>40</v>
      </c>
      <c r="C419" s="89">
        <v>45509</v>
      </c>
      <c r="D419" s="88" t="s">
        <v>16</v>
      </c>
      <c r="E419" s="88" t="s">
        <v>17</v>
      </c>
      <c r="F419" s="94">
        <v>1741</v>
      </c>
      <c r="G419" s="94">
        <v>831</v>
      </c>
      <c r="H419" s="94">
        <v>345</v>
      </c>
      <c r="I419" s="94">
        <v>17410</v>
      </c>
      <c r="J419" s="94">
        <v>16844</v>
      </c>
      <c r="K419" s="94">
        <v>58</v>
      </c>
      <c r="L419" s="92" t="s">
        <v>77</v>
      </c>
      <c r="M419" s="92" t="s">
        <v>55</v>
      </c>
      <c r="N419" s="20">
        <f t="shared" si="6"/>
        <v>0.16754738655944859</v>
      </c>
    </row>
    <row r="420" spans="1:14" x14ac:dyDescent="0.3">
      <c r="A420" s="87" t="s">
        <v>518</v>
      </c>
      <c r="B420" s="88" t="s">
        <v>14</v>
      </c>
      <c r="C420" s="89">
        <v>45450</v>
      </c>
      <c r="D420" s="88" t="s">
        <v>42</v>
      </c>
      <c r="E420" s="88" t="s">
        <v>43</v>
      </c>
      <c r="F420" s="94">
        <v>1556</v>
      </c>
      <c r="G420" s="94">
        <v>195</v>
      </c>
      <c r="H420" s="94">
        <v>131</v>
      </c>
      <c r="I420" s="94">
        <v>9336</v>
      </c>
      <c r="J420" s="94">
        <v>8875</v>
      </c>
      <c r="K420" s="94">
        <v>137</v>
      </c>
      <c r="L420" s="92" t="s">
        <v>24</v>
      </c>
      <c r="M420" s="92" t="s">
        <v>25</v>
      </c>
      <c r="N420" s="20">
        <f t="shared" si="6"/>
        <v>0.2015852613538989</v>
      </c>
    </row>
    <row r="421" spans="1:14" x14ac:dyDescent="0.3">
      <c r="A421" s="87" t="s">
        <v>520</v>
      </c>
      <c r="B421" s="88" t="s">
        <v>40</v>
      </c>
      <c r="C421" s="89">
        <v>45753</v>
      </c>
      <c r="D421" s="88" t="s">
        <v>49</v>
      </c>
      <c r="E421" s="88" t="s">
        <v>50</v>
      </c>
      <c r="F421" s="94">
        <v>4236</v>
      </c>
      <c r="G421" s="94">
        <v>711</v>
      </c>
      <c r="H421" s="94">
        <v>298</v>
      </c>
      <c r="I421" s="94">
        <v>21180</v>
      </c>
      <c r="J421" s="94">
        <v>20516</v>
      </c>
      <c r="K421" s="94">
        <v>238</v>
      </c>
      <c r="L421" s="92" t="s">
        <v>44</v>
      </c>
      <c r="M421" s="92" t="s">
        <v>55</v>
      </c>
      <c r="N421" s="20">
        <f t="shared" si="6"/>
        <v>0.24763928234183191</v>
      </c>
    </row>
    <row r="422" spans="1:14" x14ac:dyDescent="0.3">
      <c r="A422" s="87" t="s">
        <v>520</v>
      </c>
      <c r="B422" s="88" t="s">
        <v>40</v>
      </c>
      <c r="C422" s="89">
        <v>45753</v>
      </c>
      <c r="D422" s="88" t="s">
        <v>49</v>
      </c>
      <c r="E422" s="88" t="s">
        <v>50</v>
      </c>
      <c r="F422" s="94">
        <v>4236</v>
      </c>
      <c r="G422" s="94">
        <v>711</v>
      </c>
      <c r="H422" s="94">
        <v>298</v>
      </c>
      <c r="I422" s="94">
        <v>21180</v>
      </c>
      <c r="J422" s="94">
        <v>20516</v>
      </c>
      <c r="K422" s="94">
        <v>238</v>
      </c>
      <c r="L422" s="92" t="s">
        <v>18</v>
      </c>
      <c r="M422" s="92" t="s">
        <v>55</v>
      </c>
      <c r="N422" s="20">
        <f t="shared" si="6"/>
        <v>0.24763928234183191</v>
      </c>
    </row>
    <row r="423" spans="1:14" x14ac:dyDescent="0.3">
      <c r="A423" s="87" t="s">
        <v>521</v>
      </c>
      <c r="B423" s="88" t="s">
        <v>14</v>
      </c>
      <c r="C423" s="89">
        <v>45622</v>
      </c>
      <c r="D423" s="88" t="s">
        <v>22</v>
      </c>
      <c r="E423" s="88" t="s">
        <v>23</v>
      </c>
      <c r="F423" s="94">
        <v>4516</v>
      </c>
      <c r="G423" s="94">
        <v>836</v>
      </c>
      <c r="H423" s="94">
        <v>169</v>
      </c>
      <c r="I423" s="94">
        <v>49676</v>
      </c>
      <c r="J423" s="94">
        <v>49257</v>
      </c>
      <c r="K423" s="94">
        <v>282</v>
      </c>
      <c r="L423" s="92" t="s">
        <v>44</v>
      </c>
      <c r="M423" s="92" t="s">
        <v>19</v>
      </c>
      <c r="N423" s="20">
        <f t="shared" si="6"/>
        <v>0.11114018842096787</v>
      </c>
    </row>
    <row r="424" spans="1:14" x14ac:dyDescent="0.3">
      <c r="A424" s="87" t="s">
        <v>523</v>
      </c>
      <c r="B424" s="88" t="s">
        <v>577</v>
      </c>
      <c r="C424" s="89">
        <v>45537</v>
      </c>
      <c r="D424" s="88" t="s">
        <v>49</v>
      </c>
      <c r="E424" s="88" t="s">
        <v>50</v>
      </c>
      <c r="F424" s="94">
        <v>4905</v>
      </c>
      <c r="G424" s="94">
        <v>845</v>
      </c>
      <c r="H424" s="94">
        <v>129</v>
      </c>
      <c r="I424" s="94">
        <v>98100</v>
      </c>
      <c r="J424" s="94">
        <v>97772</v>
      </c>
      <c r="K424" s="94">
        <v>279</v>
      </c>
      <c r="L424" s="92" t="s">
        <v>44</v>
      </c>
      <c r="M424" s="92" t="s">
        <v>55</v>
      </c>
      <c r="N424" s="20">
        <f t="shared" si="6"/>
        <v>5.9928644240570844E-2</v>
      </c>
    </row>
    <row r="425" spans="1:14" x14ac:dyDescent="0.3">
      <c r="A425" s="87" t="s">
        <v>524</v>
      </c>
      <c r="B425" s="88" t="s">
        <v>577</v>
      </c>
      <c r="C425" s="89">
        <v>45586</v>
      </c>
      <c r="D425" s="88" t="s">
        <v>69</v>
      </c>
      <c r="E425" s="88" t="s">
        <v>70</v>
      </c>
      <c r="F425" s="94">
        <v>4275</v>
      </c>
      <c r="G425" s="94">
        <v>680</v>
      </c>
      <c r="H425" s="94">
        <v>385</v>
      </c>
      <c r="I425" s="94">
        <v>64125</v>
      </c>
      <c r="J425" s="94">
        <v>63650</v>
      </c>
      <c r="K425" s="94">
        <v>104</v>
      </c>
      <c r="L425" s="92" t="s">
        <v>58</v>
      </c>
      <c r="M425" s="92" t="s">
        <v>55</v>
      </c>
      <c r="N425" s="20">
        <f t="shared" si="6"/>
        <v>8.3274853801169585E-2</v>
      </c>
    </row>
    <row r="426" spans="1:14" x14ac:dyDescent="0.3">
      <c r="A426" s="87" t="s">
        <v>525</v>
      </c>
      <c r="B426" s="88" t="s">
        <v>577</v>
      </c>
      <c r="C426" s="89">
        <v>45738</v>
      </c>
      <c r="D426" s="88" t="s">
        <v>49</v>
      </c>
      <c r="E426" s="88" t="s">
        <v>50</v>
      </c>
      <c r="F426" s="94">
        <v>3166</v>
      </c>
      <c r="G426" s="94">
        <v>90</v>
      </c>
      <c r="H426" s="94">
        <v>341</v>
      </c>
      <c r="I426" s="94">
        <v>56988</v>
      </c>
      <c r="J426" s="94">
        <v>56125</v>
      </c>
      <c r="K426" s="94">
        <v>135</v>
      </c>
      <c r="L426" s="92" t="s">
        <v>24</v>
      </c>
      <c r="M426" s="92" t="s">
        <v>25</v>
      </c>
      <c r="N426" s="20">
        <f t="shared" si="6"/>
        <v>6.3118551273952411E-2</v>
      </c>
    </row>
    <row r="427" spans="1:14" x14ac:dyDescent="0.3">
      <c r="A427" s="87" t="s">
        <v>525</v>
      </c>
      <c r="B427" s="88" t="s">
        <v>577</v>
      </c>
      <c r="C427" s="89">
        <v>45738</v>
      </c>
      <c r="D427" s="88" t="s">
        <v>49</v>
      </c>
      <c r="E427" s="88" t="s">
        <v>50</v>
      </c>
      <c r="F427" s="94">
        <v>3166</v>
      </c>
      <c r="G427" s="94">
        <v>90</v>
      </c>
      <c r="H427" s="94">
        <v>341</v>
      </c>
      <c r="I427" s="94">
        <v>56988</v>
      </c>
      <c r="J427" s="94">
        <v>56125</v>
      </c>
      <c r="K427" s="94">
        <v>135</v>
      </c>
      <c r="L427" s="92" t="s">
        <v>58</v>
      </c>
      <c r="M427" s="92" t="s">
        <v>25</v>
      </c>
      <c r="N427" s="20">
        <f t="shared" si="6"/>
        <v>6.3118551273952411E-2</v>
      </c>
    </row>
    <row r="428" spans="1:14" x14ac:dyDescent="0.3">
      <c r="A428" s="87" t="s">
        <v>527</v>
      </c>
      <c r="B428" s="88" t="s">
        <v>31</v>
      </c>
      <c r="C428" s="89">
        <v>45568</v>
      </c>
      <c r="D428" s="88" t="s">
        <v>69</v>
      </c>
      <c r="E428" s="88" t="s">
        <v>70</v>
      </c>
      <c r="F428" s="94">
        <v>1488</v>
      </c>
      <c r="G428" s="94">
        <v>417</v>
      </c>
      <c r="H428" s="94">
        <v>168</v>
      </c>
      <c r="I428" s="94">
        <v>19344</v>
      </c>
      <c r="J428" s="94">
        <v>18395</v>
      </c>
      <c r="K428" s="94">
        <v>30</v>
      </c>
      <c r="L428" s="92" t="s">
        <v>18</v>
      </c>
      <c r="M428" s="92" t="s">
        <v>19</v>
      </c>
      <c r="N428" s="20">
        <f t="shared" si="6"/>
        <v>0.1071650124069479</v>
      </c>
    </row>
    <row r="429" spans="1:14" x14ac:dyDescent="0.3">
      <c r="A429" s="87" t="s">
        <v>529</v>
      </c>
      <c r="B429" s="88" t="s">
        <v>14</v>
      </c>
      <c r="C429" s="89">
        <v>45786</v>
      </c>
      <c r="D429" s="88" t="s">
        <v>16</v>
      </c>
      <c r="E429" s="88" t="s">
        <v>17</v>
      </c>
      <c r="F429" s="94">
        <v>3367</v>
      </c>
      <c r="G429" s="94">
        <v>302</v>
      </c>
      <c r="H429" s="94">
        <v>57</v>
      </c>
      <c r="I429" s="94">
        <v>63973</v>
      </c>
      <c r="J429" s="94">
        <v>63789</v>
      </c>
      <c r="K429" s="94">
        <v>157</v>
      </c>
      <c r="L429" s="92" t="s">
        <v>44</v>
      </c>
      <c r="M429" s="92" t="s">
        <v>38</v>
      </c>
      <c r="N429" s="20">
        <f t="shared" si="6"/>
        <v>5.8243321401216137E-2</v>
      </c>
    </row>
    <row r="430" spans="1:14" x14ac:dyDescent="0.3">
      <c r="A430" s="87" t="s">
        <v>529</v>
      </c>
      <c r="B430" s="88" t="s">
        <v>14</v>
      </c>
      <c r="C430" s="89">
        <v>45786</v>
      </c>
      <c r="D430" s="88" t="s">
        <v>16</v>
      </c>
      <c r="E430" s="88" t="s">
        <v>17</v>
      </c>
      <c r="F430" s="94">
        <v>3367</v>
      </c>
      <c r="G430" s="94">
        <v>302</v>
      </c>
      <c r="H430" s="94">
        <v>57</v>
      </c>
      <c r="I430" s="94">
        <v>63973</v>
      </c>
      <c r="J430" s="94">
        <v>63789</v>
      </c>
      <c r="K430" s="94">
        <v>157</v>
      </c>
      <c r="L430" s="92" t="s">
        <v>24</v>
      </c>
      <c r="M430" s="92" t="s">
        <v>38</v>
      </c>
      <c r="N430" s="20">
        <f t="shared" si="6"/>
        <v>5.8243321401216137E-2</v>
      </c>
    </row>
    <row r="431" spans="1:14" x14ac:dyDescent="0.3">
      <c r="A431" s="87" t="s">
        <v>531</v>
      </c>
      <c r="B431" s="88" t="s">
        <v>14</v>
      </c>
      <c r="C431" s="89">
        <v>45552</v>
      </c>
      <c r="D431" s="88" t="s">
        <v>22</v>
      </c>
      <c r="E431" s="88" t="s">
        <v>23</v>
      </c>
      <c r="F431" s="94">
        <v>571</v>
      </c>
      <c r="G431" s="94">
        <v>190</v>
      </c>
      <c r="H431" s="94">
        <v>352</v>
      </c>
      <c r="I431" s="94">
        <v>9707</v>
      </c>
      <c r="J431" s="94">
        <v>9418</v>
      </c>
      <c r="K431" s="94">
        <v>231</v>
      </c>
      <c r="L431" s="92" t="s">
        <v>77</v>
      </c>
      <c r="M431" s="92" t="s">
        <v>25</v>
      </c>
      <c r="N431" s="20">
        <f t="shared" si="6"/>
        <v>0.11465952405480581</v>
      </c>
    </row>
    <row r="432" spans="1:14" x14ac:dyDescent="0.3">
      <c r="A432" s="87" t="s">
        <v>532</v>
      </c>
      <c r="B432" s="88" t="s">
        <v>577</v>
      </c>
      <c r="C432" s="89">
        <v>45491</v>
      </c>
      <c r="D432" s="88" t="s">
        <v>22</v>
      </c>
      <c r="E432" s="88" t="s">
        <v>23</v>
      </c>
      <c r="F432" s="94">
        <v>4021</v>
      </c>
      <c r="G432" s="94">
        <v>794</v>
      </c>
      <c r="H432" s="94">
        <v>77</v>
      </c>
      <c r="I432" s="94">
        <v>36189</v>
      </c>
      <c r="J432" s="94">
        <v>35505</v>
      </c>
      <c r="K432" s="94">
        <v>174</v>
      </c>
      <c r="L432" s="92" t="s">
        <v>77</v>
      </c>
      <c r="M432" s="92" t="s">
        <v>19</v>
      </c>
      <c r="N432" s="20">
        <f t="shared" si="6"/>
        <v>0.13517919809886983</v>
      </c>
    </row>
    <row r="433" spans="1:14" x14ac:dyDescent="0.3">
      <c r="A433" s="87" t="s">
        <v>532</v>
      </c>
      <c r="B433" s="88" t="s">
        <v>577</v>
      </c>
      <c r="C433" s="89">
        <v>45491</v>
      </c>
      <c r="D433" s="88" t="s">
        <v>22</v>
      </c>
      <c r="E433" s="88" t="s">
        <v>23</v>
      </c>
      <c r="F433" s="94">
        <v>4021</v>
      </c>
      <c r="G433" s="94">
        <v>794</v>
      </c>
      <c r="H433" s="94">
        <v>77</v>
      </c>
      <c r="I433" s="94">
        <v>36189</v>
      </c>
      <c r="J433" s="94">
        <v>35505</v>
      </c>
      <c r="K433" s="94">
        <v>174</v>
      </c>
      <c r="L433" s="92" t="s">
        <v>58</v>
      </c>
      <c r="M433" s="92" t="s">
        <v>19</v>
      </c>
      <c r="N433" s="20">
        <f t="shared" si="6"/>
        <v>0.13517919809886983</v>
      </c>
    </row>
    <row r="434" spans="1:14" x14ac:dyDescent="0.3">
      <c r="A434" s="87" t="s">
        <v>533</v>
      </c>
      <c r="B434" s="88" t="s">
        <v>577</v>
      </c>
      <c r="C434" s="89">
        <v>45560</v>
      </c>
      <c r="D434" s="88" t="s">
        <v>69</v>
      </c>
      <c r="E434" s="88" t="s">
        <v>70</v>
      </c>
      <c r="F434" s="94">
        <v>3389</v>
      </c>
      <c r="G434" s="94">
        <v>344</v>
      </c>
      <c r="H434" s="94">
        <v>229</v>
      </c>
      <c r="I434" s="94">
        <v>20334</v>
      </c>
      <c r="J434" s="94">
        <v>19443</v>
      </c>
      <c r="K434" s="94">
        <v>228</v>
      </c>
      <c r="L434" s="92" t="s">
        <v>24</v>
      </c>
      <c r="M434" s="92" t="s">
        <v>25</v>
      </c>
      <c r="N434" s="20">
        <f t="shared" si="6"/>
        <v>0.19484607062063539</v>
      </c>
    </row>
    <row r="435" spans="1:14" x14ac:dyDescent="0.3">
      <c r="A435" s="87" t="s">
        <v>533</v>
      </c>
      <c r="B435" s="88" t="s">
        <v>577</v>
      </c>
      <c r="C435" s="89">
        <v>45560</v>
      </c>
      <c r="D435" s="88" t="s">
        <v>69</v>
      </c>
      <c r="E435" s="88" t="s">
        <v>70</v>
      </c>
      <c r="F435" s="94">
        <v>3389</v>
      </c>
      <c r="G435" s="94">
        <v>344</v>
      </c>
      <c r="H435" s="94">
        <v>229</v>
      </c>
      <c r="I435" s="94">
        <v>20334</v>
      </c>
      <c r="J435" s="94">
        <v>19443</v>
      </c>
      <c r="K435" s="94">
        <v>228</v>
      </c>
      <c r="L435" s="92" t="s">
        <v>18</v>
      </c>
      <c r="M435" s="92" t="s">
        <v>25</v>
      </c>
      <c r="N435" s="20">
        <f t="shared" si="6"/>
        <v>0.19484607062063539</v>
      </c>
    </row>
    <row r="436" spans="1:14" x14ac:dyDescent="0.3">
      <c r="A436" s="87" t="s">
        <v>535</v>
      </c>
      <c r="B436" s="88" t="s">
        <v>31</v>
      </c>
      <c r="C436" s="89">
        <v>45519</v>
      </c>
      <c r="D436" s="88" t="s">
        <v>16</v>
      </c>
      <c r="E436" s="88" t="s">
        <v>17</v>
      </c>
      <c r="F436" s="94">
        <v>1164</v>
      </c>
      <c r="G436" s="94">
        <v>616</v>
      </c>
      <c r="H436" s="94">
        <v>324</v>
      </c>
      <c r="I436" s="94">
        <v>6984</v>
      </c>
      <c r="J436" s="94">
        <v>6636</v>
      </c>
      <c r="K436" s="94">
        <v>82</v>
      </c>
      <c r="L436" s="92" t="s">
        <v>24</v>
      </c>
      <c r="M436" s="92" t="s">
        <v>38</v>
      </c>
      <c r="N436" s="20">
        <f t="shared" si="6"/>
        <v>0.30126002290950743</v>
      </c>
    </row>
    <row r="437" spans="1:14" x14ac:dyDescent="0.3">
      <c r="A437" s="87" t="s">
        <v>535</v>
      </c>
      <c r="B437" s="88" t="s">
        <v>31</v>
      </c>
      <c r="C437" s="89">
        <v>45519</v>
      </c>
      <c r="D437" s="88" t="s">
        <v>16</v>
      </c>
      <c r="E437" s="88" t="s">
        <v>17</v>
      </c>
      <c r="F437" s="94">
        <v>1164</v>
      </c>
      <c r="G437" s="94">
        <v>616</v>
      </c>
      <c r="H437" s="94">
        <v>324</v>
      </c>
      <c r="I437" s="94">
        <v>6984</v>
      </c>
      <c r="J437" s="94">
        <v>6636</v>
      </c>
      <c r="K437" s="94">
        <v>82</v>
      </c>
      <c r="L437" s="92" t="s">
        <v>44</v>
      </c>
      <c r="M437" s="92" t="s">
        <v>38</v>
      </c>
      <c r="N437" s="20">
        <f t="shared" si="6"/>
        <v>0.30126002290950743</v>
      </c>
    </row>
    <row r="438" spans="1:14" x14ac:dyDescent="0.3">
      <c r="A438" s="87" t="s">
        <v>536</v>
      </c>
      <c r="B438" s="88" t="s">
        <v>577</v>
      </c>
      <c r="C438" s="89">
        <v>45764</v>
      </c>
      <c r="D438" s="88" t="s">
        <v>42</v>
      </c>
      <c r="E438" s="88" t="s">
        <v>43</v>
      </c>
      <c r="F438" s="94">
        <v>4780</v>
      </c>
      <c r="G438" s="94">
        <v>691</v>
      </c>
      <c r="H438" s="94">
        <v>380</v>
      </c>
      <c r="I438" s="94">
        <v>86040</v>
      </c>
      <c r="J438" s="94">
        <v>85743</v>
      </c>
      <c r="K438" s="94">
        <v>262</v>
      </c>
      <c r="L438" s="92" t="s">
        <v>24</v>
      </c>
      <c r="M438" s="92" t="s">
        <v>38</v>
      </c>
      <c r="N438" s="20">
        <f t="shared" si="6"/>
        <v>6.800325430032543E-2</v>
      </c>
    </row>
    <row r="439" spans="1:14" x14ac:dyDescent="0.3">
      <c r="A439" s="87" t="s">
        <v>536</v>
      </c>
      <c r="B439" s="88" t="s">
        <v>577</v>
      </c>
      <c r="C439" s="89">
        <v>45764</v>
      </c>
      <c r="D439" s="88" t="s">
        <v>42</v>
      </c>
      <c r="E439" s="88" t="s">
        <v>43</v>
      </c>
      <c r="F439" s="94">
        <v>4780</v>
      </c>
      <c r="G439" s="94">
        <v>691</v>
      </c>
      <c r="H439" s="94">
        <v>380</v>
      </c>
      <c r="I439" s="94">
        <v>86040</v>
      </c>
      <c r="J439" s="94">
        <v>85743</v>
      </c>
      <c r="K439" s="94">
        <v>262</v>
      </c>
      <c r="L439" s="92" t="s">
        <v>77</v>
      </c>
      <c r="M439" s="92" t="s">
        <v>38</v>
      </c>
      <c r="N439" s="20">
        <f t="shared" si="6"/>
        <v>6.800325430032543E-2</v>
      </c>
    </row>
    <row r="440" spans="1:14" x14ac:dyDescent="0.3">
      <c r="A440" s="87" t="s">
        <v>538</v>
      </c>
      <c r="B440" s="88" t="s">
        <v>40</v>
      </c>
      <c r="C440" s="89">
        <v>45624</v>
      </c>
      <c r="D440" s="88" t="s">
        <v>42</v>
      </c>
      <c r="E440" s="88" t="s">
        <v>43</v>
      </c>
      <c r="F440" s="94">
        <v>2751</v>
      </c>
      <c r="G440" s="94">
        <v>33</v>
      </c>
      <c r="H440" s="94">
        <v>430</v>
      </c>
      <c r="I440" s="94">
        <v>44016</v>
      </c>
      <c r="J440" s="94">
        <v>43415</v>
      </c>
      <c r="K440" s="94">
        <v>129</v>
      </c>
      <c r="L440" s="92" t="s">
        <v>44</v>
      </c>
      <c r="M440" s="92" t="s">
        <v>25</v>
      </c>
      <c r="N440" s="20">
        <f t="shared" si="6"/>
        <v>7.3018902217375503E-2</v>
      </c>
    </row>
    <row r="441" spans="1:14" x14ac:dyDescent="0.3">
      <c r="A441" s="87" t="s">
        <v>538</v>
      </c>
      <c r="B441" s="88" t="s">
        <v>40</v>
      </c>
      <c r="C441" s="89">
        <v>45624</v>
      </c>
      <c r="D441" s="88" t="s">
        <v>42</v>
      </c>
      <c r="E441" s="88" t="s">
        <v>43</v>
      </c>
      <c r="F441" s="94">
        <v>2751</v>
      </c>
      <c r="G441" s="94">
        <v>33</v>
      </c>
      <c r="H441" s="94">
        <v>430</v>
      </c>
      <c r="I441" s="94">
        <v>44016</v>
      </c>
      <c r="J441" s="94">
        <v>43415</v>
      </c>
      <c r="K441" s="94">
        <v>129</v>
      </c>
      <c r="L441" s="92" t="s">
        <v>58</v>
      </c>
      <c r="M441" s="92" t="s">
        <v>25</v>
      </c>
      <c r="N441" s="20">
        <f t="shared" si="6"/>
        <v>7.3018902217375503E-2</v>
      </c>
    </row>
    <row r="442" spans="1:14" x14ac:dyDescent="0.3">
      <c r="A442" s="87" t="s">
        <v>539</v>
      </c>
      <c r="B442" s="88" t="s">
        <v>31</v>
      </c>
      <c r="C442" s="89">
        <v>45646</v>
      </c>
      <c r="D442" s="88" t="s">
        <v>42</v>
      </c>
      <c r="E442" s="88" t="s">
        <v>43</v>
      </c>
      <c r="F442" s="94">
        <v>2107</v>
      </c>
      <c r="G442" s="94">
        <v>550</v>
      </c>
      <c r="H442" s="94">
        <v>349</v>
      </c>
      <c r="I442" s="94">
        <v>35819</v>
      </c>
      <c r="J442" s="94">
        <v>35340</v>
      </c>
      <c r="K442" s="94">
        <v>191</v>
      </c>
      <c r="L442" s="92" t="s">
        <v>44</v>
      </c>
      <c r="M442" s="92" t="s">
        <v>38</v>
      </c>
      <c r="N442" s="20">
        <f t="shared" si="6"/>
        <v>8.3921940869371006E-2</v>
      </c>
    </row>
    <row r="443" spans="1:14" x14ac:dyDescent="0.3">
      <c r="A443" s="87" t="s">
        <v>541</v>
      </c>
      <c r="B443" s="88" t="s">
        <v>40</v>
      </c>
      <c r="C443" s="89">
        <v>45602</v>
      </c>
      <c r="D443" s="88" t="s">
        <v>69</v>
      </c>
      <c r="E443" s="88" t="s">
        <v>70</v>
      </c>
      <c r="F443" s="94">
        <v>4663</v>
      </c>
      <c r="G443" s="94">
        <v>145</v>
      </c>
      <c r="H443" s="94">
        <v>225</v>
      </c>
      <c r="I443" s="94">
        <v>69945</v>
      </c>
      <c r="J443" s="94">
        <v>69596</v>
      </c>
      <c r="K443" s="94">
        <v>35</v>
      </c>
      <c r="L443" s="92" t="s">
        <v>24</v>
      </c>
      <c r="M443" s="92" t="s">
        <v>25</v>
      </c>
      <c r="N443" s="20">
        <f t="shared" si="6"/>
        <v>7.1956537279290869E-2</v>
      </c>
    </row>
    <row r="444" spans="1:14" x14ac:dyDescent="0.3">
      <c r="A444" s="87" t="s">
        <v>542</v>
      </c>
      <c r="B444" s="88" t="s">
        <v>40</v>
      </c>
      <c r="C444" s="89">
        <v>45613</v>
      </c>
      <c r="D444" s="88" t="s">
        <v>22</v>
      </c>
      <c r="E444" s="88" t="s">
        <v>23</v>
      </c>
      <c r="F444" s="94">
        <v>880</v>
      </c>
      <c r="G444" s="94">
        <v>297</v>
      </c>
      <c r="H444" s="94">
        <v>345</v>
      </c>
      <c r="I444" s="94">
        <v>12320</v>
      </c>
      <c r="J444" s="94">
        <v>11978</v>
      </c>
      <c r="K444" s="94">
        <v>238</v>
      </c>
      <c r="L444" s="92" t="s">
        <v>18</v>
      </c>
      <c r="M444" s="92" t="s">
        <v>25</v>
      </c>
      <c r="N444" s="20">
        <f t="shared" si="6"/>
        <v>0.12353896103896105</v>
      </c>
    </row>
    <row r="445" spans="1:14" x14ac:dyDescent="0.3">
      <c r="A445" s="87" t="s">
        <v>544</v>
      </c>
      <c r="B445" s="88" t="s">
        <v>40</v>
      </c>
      <c r="C445" s="89">
        <v>45791</v>
      </c>
      <c r="D445" s="88" t="s">
        <v>22</v>
      </c>
      <c r="E445" s="88" t="s">
        <v>23</v>
      </c>
      <c r="F445" s="94">
        <v>2634</v>
      </c>
      <c r="G445" s="94">
        <v>726</v>
      </c>
      <c r="H445" s="94">
        <v>241</v>
      </c>
      <c r="I445" s="94">
        <v>28974</v>
      </c>
      <c r="J445" s="94">
        <v>28102</v>
      </c>
      <c r="K445" s="94">
        <v>277</v>
      </c>
      <c r="L445" s="92" t="s">
        <v>58</v>
      </c>
      <c r="M445" s="92" t="s">
        <v>38</v>
      </c>
      <c r="N445" s="20">
        <f t="shared" si="6"/>
        <v>0.12428384068475185</v>
      </c>
    </row>
    <row r="446" spans="1:14" x14ac:dyDescent="0.3">
      <c r="A446" s="87" t="s">
        <v>546</v>
      </c>
      <c r="B446" s="88" t="s">
        <v>40</v>
      </c>
      <c r="C446" s="89">
        <v>45462</v>
      </c>
      <c r="D446" s="88" t="s">
        <v>42</v>
      </c>
      <c r="E446" s="88" t="s">
        <v>43</v>
      </c>
      <c r="F446" s="94">
        <v>4731</v>
      </c>
      <c r="G446" s="94">
        <v>173</v>
      </c>
      <c r="H446" s="94">
        <v>276</v>
      </c>
      <c r="I446" s="94">
        <v>28386</v>
      </c>
      <c r="J446" s="94">
        <v>28185</v>
      </c>
      <c r="K446" s="94">
        <v>89</v>
      </c>
      <c r="L446" s="92" t="s">
        <v>44</v>
      </c>
      <c r="M446" s="92" t="s">
        <v>55</v>
      </c>
      <c r="N446" s="20">
        <f t="shared" si="6"/>
        <v>0.18248432325794406</v>
      </c>
    </row>
    <row r="447" spans="1:14" x14ac:dyDescent="0.3">
      <c r="A447" s="87" t="s">
        <v>546</v>
      </c>
      <c r="B447" s="88" t="s">
        <v>40</v>
      </c>
      <c r="C447" s="89">
        <v>45462</v>
      </c>
      <c r="D447" s="88" t="s">
        <v>42</v>
      </c>
      <c r="E447" s="88" t="s">
        <v>43</v>
      </c>
      <c r="F447" s="94">
        <v>4731</v>
      </c>
      <c r="G447" s="94">
        <v>173</v>
      </c>
      <c r="H447" s="94">
        <v>276</v>
      </c>
      <c r="I447" s="94">
        <v>28386</v>
      </c>
      <c r="J447" s="94">
        <v>28185</v>
      </c>
      <c r="K447" s="94">
        <v>89</v>
      </c>
      <c r="L447" s="92" t="s">
        <v>24</v>
      </c>
      <c r="M447" s="92" t="s">
        <v>55</v>
      </c>
      <c r="N447" s="20">
        <f t="shared" si="6"/>
        <v>0.18248432325794406</v>
      </c>
    </row>
    <row r="448" spans="1:14" x14ac:dyDescent="0.3">
      <c r="A448" s="87" t="s">
        <v>548</v>
      </c>
      <c r="B448" s="88" t="s">
        <v>14</v>
      </c>
      <c r="C448" s="89">
        <v>45783</v>
      </c>
      <c r="D448" s="88" t="s">
        <v>49</v>
      </c>
      <c r="E448" s="88" t="s">
        <v>50</v>
      </c>
      <c r="F448" s="94">
        <v>1952</v>
      </c>
      <c r="G448" s="94">
        <v>344</v>
      </c>
      <c r="H448" s="94">
        <v>287</v>
      </c>
      <c r="I448" s="94">
        <v>15616</v>
      </c>
      <c r="J448" s="94">
        <v>15403</v>
      </c>
      <c r="K448" s="94">
        <v>235</v>
      </c>
      <c r="L448" s="92" t="s">
        <v>18</v>
      </c>
      <c r="M448" s="92" t="s">
        <v>38</v>
      </c>
      <c r="N448" s="20">
        <f t="shared" si="6"/>
        <v>0.16540727459016394</v>
      </c>
    </row>
    <row r="449" spans="1:14" x14ac:dyDescent="0.3">
      <c r="A449" s="87" t="s">
        <v>548</v>
      </c>
      <c r="B449" s="88" t="s">
        <v>14</v>
      </c>
      <c r="C449" s="89">
        <v>45783</v>
      </c>
      <c r="D449" s="88" t="s">
        <v>49</v>
      </c>
      <c r="E449" s="88" t="s">
        <v>50</v>
      </c>
      <c r="F449" s="94">
        <v>1952</v>
      </c>
      <c r="G449" s="94">
        <v>344</v>
      </c>
      <c r="H449" s="94">
        <v>287</v>
      </c>
      <c r="I449" s="94">
        <v>15616</v>
      </c>
      <c r="J449" s="94">
        <v>15403</v>
      </c>
      <c r="K449" s="94">
        <v>235</v>
      </c>
      <c r="L449" s="92" t="s">
        <v>24</v>
      </c>
      <c r="M449" s="92" t="s">
        <v>38</v>
      </c>
      <c r="N449" s="20">
        <f t="shared" si="6"/>
        <v>0.16540727459016394</v>
      </c>
    </row>
    <row r="450" spans="1:14" x14ac:dyDescent="0.3">
      <c r="A450" s="87" t="s">
        <v>549</v>
      </c>
      <c r="B450" s="88" t="s">
        <v>14</v>
      </c>
      <c r="C450" s="89">
        <v>45699</v>
      </c>
      <c r="D450" s="88" t="s">
        <v>69</v>
      </c>
      <c r="E450" s="88" t="s">
        <v>70</v>
      </c>
      <c r="F450" s="94">
        <v>3440</v>
      </c>
      <c r="G450" s="94">
        <v>13</v>
      </c>
      <c r="H450" s="94">
        <v>20</v>
      </c>
      <c r="I450" s="94">
        <v>58480</v>
      </c>
      <c r="J450" s="94">
        <v>58146</v>
      </c>
      <c r="K450" s="94">
        <v>210</v>
      </c>
      <c r="L450" s="92" t="s">
        <v>24</v>
      </c>
      <c r="M450" s="92" t="s">
        <v>19</v>
      </c>
      <c r="N450" s="20">
        <f t="shared" si="6"/>
        <v>5.9387824897400819E-2</v>
      </c>
    </row>
    <row r="451" spans="1:14" x14ac:dyDescent="0.3">
      <c r="A451" s="87" t="s">
        <v>549</v>
      </c>
      <c r="B451" s="88" t="s">
        <v>14</v>
      </c>
      <c r="C451" s="89">
        <v>45699</v>
      </c>
      <c r="D451" s="88" t="s">
        <v>69</v>
      </c>
      <c r="E451" s="88" t="s">
        <v>70</v>
      </c>
      <c r="F451" s="94">
        <v>3440</v>
      </c>
      <c r="G451" s="94">
        <v>13</v>
      </c>
      <c r="H451" s="94">
        <v>20</v>
      </c>
      <c r="I451" s="94">
        <v>58480</v>
      </c>
      <c r="J451" s="94">
        <v>58146</v>
      </c>
      <c r="K451" s="94">
        <v>210</v>
      </c>
      <c r="L451" s="92" t="s">
        <v>77</v>
      </c>
      <c r="M451" s="92" t="s">
        <v>19</v>
      </c>
      <c r="N451" s="20">
        <f t="shared" ref="N451:N457" si="7">SUM(F451,G451,H451)/I451</f>
        <v>5.9387824897400819E-2</v>
      </c>
    </row>
    <row r="452" spans="1:14" x14ac:dyDescent="0.3">
      <c r="A452" s="87" t="s">
        <v>551</v>
      </c>
      <c r="B452" s="88" t="s">
        <v>14</v>
      </c>
      <c r="C452" s="89">
        <v>45650</v>
      </c>
      <c r="D452" s="88" t="s">
        <v>22</v>
      </c>
      <c r="E452" s="88" t="s">
        <v>23</v>
      </c>
      <c r="F452" s="94">
        <v>2166</v>
      </c>
      <c r="G452" s="94">
        <v>354</v>
      </c>
      <c r="H452" s="94">
        <v>117</v>
      </c>
      <c r="I452" s="94">
        <v>10830</v>
      </c>
      <c r="J452" s="94">
        <v>10245</v>
      </c>
      <c r="K452" s="94">
        <v>24</v>
      </c>
      <c r="L452" s="92" t="s">
        <v>58</v>
      </c>
      <c r="M452" s="92" t="s">
        <v>19</v>
      </c>
      <c r="N452" s="20">
        <f t="shared" si="7"/>
        <v>0.24349030470914126</v>
      </c>
    </row>
    <row r="453" spans="1:14" x14ac:dyDescent="0.3">
      <c r="A453" s="87" t="s">
        <v>551</v>
      </c>
      <c r="B453" s="88" t="s">
        <v>14</v>
      </c>
      <c r="C453" s="89">
        <v>45650</v>
      </c>
      <c r="D453" s="88" t="s">
        <v>22</v>
      </c>
      <c r="E453" s="88" t="s">
        <v>23</v>
      </c>
      <c r="F453" s="94">
        <v>2166</v>
      </c>
      <c r="G453" s="94">
        <v>354</v>
      </c>
      <c r="H453" s="94">
        <v>117</v>
      </c>
      <c r="I453" s="94">
        <v>10830</v>
      </c>
      <c r="J453" s="94">
        <v>10245</v>
      </c>
      <c r="K453" s="94">
        <v>24</v>
      </c>
      <c r="L453" s="92" t="s">
        <v>44</v>
      </c>
      <c r="M453" s="92" t="s">
        <v>19</v>
      </c>
      <c r="N453" s="20">
        <f t="shared" si="7"/>
        <v>0.24349030470914126</v>
      </c>
    </row>
    <row r="454" spans="1:14" x14ac:dyDescent="0.3">
      <c r="A454" s="87" t="s">
        <v>553</v>
      </c>
      <c r="B454" s="88" t="s">
        <v>40</v>
      </c>
      <c r="C454" s="89">
        <v>45589</v>
      </c>
      <c r="D454" s="88" t="s">
        <v>49</v>
      </c>
      <c r="E454" s="88" t="s">
        <v>50</v>
      </c>
      <c r="F454" s="94">
        <v>4303</v>
      </c>
      <c r="G454" s="94">
        <v>451</v>
      </c>
      <c r="H454" s="94">
        <v>286</v>
      </c>
      <c r="I454" s="94">
        <v>86060</v>
      </c>
      <c r="J454" s="94">
        <v>85823</v>
      </c>
      <c r="K454" s="94">
        <v>14</v>
      </c>
      <c r="L454" s="92" t="s">
        <v>18</v>
      </c>
      <c r="M454" s="92" t="s">
        <v>25</v>
      </c>
      <c r="N454" s="20">
        <f t="shared" si="7"/>
        <v>5.8563792702765516E-2</v>
      </c>
    </row>
    <row r="455" spans="1:14" x14ac:dyDescent="0.3">
      <c r="A455" s="87" t="s">
        <v>554</v>
      </c>
      <c r="B455" s="88" t="s">
        <v>40</v>
      </c>
      <c r="C455" s="89">
        <v>45530</v>
      </c>
      <c r="D455" s="88" t="s">
        <v>49</v>
      </c>
      <c r="E455" s="88" t="s">
        <v>50</v>
      </c>
      <c r="F455" s="94">
        <v>2581</v>
      </c>
      <c r="G455" s="94">
        <v>517</v>
      </c>
      <c r="H455" s="94">
        <v>117</v>
      </c>
      <c r="I455" s="94">
        <v>23229</v>
      </c>
      <c r="J455" s="94">
        <v>22331</v>
      </c>
      <c r="K455" s="94">
        <v>70</v>
      </c>
      <c r="L455" s="92" t="s">
        <v>18</v>
      </c>
      <c r="M455" s="92" t="s">
        <v>25</v>
      </c>
      <c r="N455" s="20">
        <f t="shared" si="7"/>
        <v>0.13840458048129492</v>
      </c>
    </row>
    <row r="456" spans="1:14" x14ac:dyDescent="0.3">
      <c r="A456" s="87" t="s">
        <v>554</v>
      </c>
      <c r="B456" s="88" t="s">
        <v>40</v>
      </c>
      <c r="C456" s="89">
        <v>45530</v>
      </c>
      <c r="D456" s="88" t="s">
        <v>49</v>
      </c>
      <c r="E456" s="88" t="s">
        <v>50</v>
      </c>
      <c r="F456" s="94">
        <v>2581</v>
      </c>
      <c r="G456" s="94">
        <v>517</v>
      </c>
      <c r="H456" s="94">
        <v>117</v>
      </c>
      <c r="I456" s="94">
        <v>23229</v>
      </c>
      <c r="J456" s="94">
        <v>22331</v>
      </c>
      <c r="K456" s="94">
        <v>70</v>
      </c>
      <c r="L456" s="92" t="s">
        <v>58</v>
      </c>
      <c r="M456" s="92" t="s">
        <v>25</v>
      </c>
      <c r="N456" s="20">
        <f t="shared" si="7"/>
        <v>0.13840458048129492</v>
      </c>
    </row>
    <row r="457" spans="1:14" x14ac:dyDescent="0.3">
      <c r="A457" s="90" t="s">
        <v>555</v>
      </c>
      <c r="B457" s="84" t="s">
        <v>14</v>
      </c>
      <c r="C457" s="91">
        <v>45535</v>
      </c>
      <c r="D457" s="84" t="s">
        <v>42</v>
      </c>
      <c r="E457" s="84" t="s">
        <v>43</v>
      </c>
      <c r="F457" s="95">
        <v>4494</v>
      </c>
      <c r="G457" s="95">
        <v>717</v>
      </c>
      <c r="H457" s="95">
        <v>45</v>
      </c>
      <c r="I457" s="95">
        <v>62916</v>
      </c>
      <c r="J457" s="95">
        <v>62688</v>
      </c>
      <c r="K457" s="95">
        <v>191</v>
      </c>
      <c r="L457" s="97" t="s">
        <v>24</v>
      </c>
      <c r="M457" s="97" t="s">
        <v>19</v>
      </c>
      <c r="N457" s="20">
        <f t="shared" si="7"/>
        <v>8.3539958039290485E-2</v>
      </c>
    </row>
  </sheetData>
  <mergeCells count="1">
    <mergeCell ref="R2:V2"/>
  </mergeCells>
  <conditionalFormatting sqref="L2:L457">
    <cfRule type="expression" dxfId="0" priority="1">
      <formula>$N2 &gt;= _xlfn.PERCENTILE.INC($N$2:$N$700, 0.9)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64A8-C0E0-427A-A233-99A28C90FD9F}">
  <dimension ref="A1:N201"/>
  <sheetViews>
    <sheetView topLeftCell="A6" zoomScale="87" workbookViewId="0">
      <selection activeCell="J58" sqref="J58"/>
    </sheetView>
  </sheetViews>
  <sheetFormatPr defaultRowHeight="14.4" x14ac:dyDescent="0.3"/>
  <cols>
    <col min="1" max="1" width="17.6640625" customWidth="1"/>
    <col min="2" max="2" width="12.21875" customWidth="1"/>
    <col min="3" max="3" width="12.33203125" customWidth="1"/>
    <col min="4" max="4" width="9.88671875" customWidth="1"/>
    <col min="5" max="5" width="13.6640625" customWidth="1"/>
    <col min="6" max="6" width="16" customWidth="1"/>
    <col min="7" max="7" width="10.88671875" customWidth="1"/>
    <col min="8" max="8" width="12.77734375" customWidth="1"/>
    <col min="11" max="11" width="12.5546875" bestFit="1" customWidth="1"/>
    <col min="12" max="12" width="26.33203125" bestFit="1" customWidth="1"/>
    <col min="13" max="13" width="19.44140625" bestFit="1" customWidth="1"/>
  </cols>
  <sheetData>
    <row r="1" spans="1:14" x14ac:dyDescent="0.3">
      <c r="A1" s="125" t="s">
        <v>556</v>
      </c>
      <c r="B1" s="126" t="s">
        <v>1</v>
      </c>
      <c r="C1" s="127" t="s">
        <v>557</v>
      </c>
      <c r="D1" s="127" t="s">
        <v>558</v>
      </c>
      <c r="E1" s="127" t="s">
        <v>559</v>
      </c>
      <c r="F1" s="128" t="s">
        <v>560</v>
      </c>
      <c r="G1" s="127" t="s">
        <v>561</v>
      </c>
      <c r="H1" s="131" t="s">
        <v>599</v>
      </c>
    </row>
    <row r="2" spans="1:14" x14ac:dyDescent="0.3">
      <c r="A2" s="3">
        <v>45446</v>
      </c>
      <c r="B2" s="15" t="s">
        <v>31</v>
      </c>
      <c r="C2" s="14">
        <v>1135</v>
      </c>
      <c r="D2" s="14">
        <v>88</v>
      </c>
      <c r="E2" s="14">
        <v>344084</v>
      </c>
      <c r="F2" s="124">
        <v>8.06</v>
      </c>
      <c r="G2" s="14">
        <v>5904</v>
      </c>
      <c r="H2" s="20">
        <f>(C2/D2)*100</f>
        <v>1289.7727272727273</v>
      </c>
    </row>
    <row r="3" spans="1:14" ht="15.6" x14ac:dyDescent="0.3">
      <c r="A3" s="3">
        <v>45446</v>
      </c>
      <c r="B3" s="15" t="s">
        <v>40</v>
      </c>
      <c r="C3" s="14">
        <v>1312</v>
      </c>
      <c r="D3" s="14">
        <v>310</v>
      </c>
      <c r="E3" s="14">
        <v>42654</v>
      </c>
      <c r="F3" s="124">
        <v>4.9800000000000004</v>
      </c>
      <c r="G3" s="14">
        <v>9566</v>
      </c>
      <c r="H3" s="20">
        <f t="shared" ref="H3:H66" si="0">(C3/D3)*100</f>
        <v>423.22580645161293</v>
      </c>
      <c r="K3" s="154" t="s">
        <v>598</v>
      </c>
      <c r="L3" s="154"/>
      <c r="M3" s="154"/>
      <c r="N3" s="154"/>
    </row>
    <row r="4" spans="1:14" x14ac:dyDescent="0.3">
      <c r="A4" s="3">
        <v>45446</v>
      </c>
      <c r="B4" s="15" t="s">
        <v>14</v>
      </c>
      <c r="C4" s="14">
        <v>584</v>
      </c>
      <c r="D4" s="14">
        <v>169</v>
      </c>
      <c r="E4" s="14">
        <v>146834</v>
      </c>
      <c r="F4" s="124">
        <v>8.31</v>
      </c>
      <c r="G4" s="14">
        <v>26752</v>
      </c>
      <c r="H4" s="20">
        <f t="shared" si="0"/>
        <v>345.5621301775148</v>
      </c>
      <c r="K4" s="129" t="s">
        <v>578</v>
      </c>
      <c r="L4" t="s">
        <v>594</v>
      </c>
    </row>
    <row r="5" spans="1:14" x14ac:dyDescent="0.3">
      <c r="A5" s="3">
        <v>45446</v>
      </c>
      <c r="B5" s="15" t="s">
        <v>27</v>
      </c>
      <c r="C5" s="14">
        <v>1535</v>
      </c>
      <c r="D5" s="14">
        <v>445</v>
      </c>
      <c r="E5" s="14">
        <v>395536</v>
      </c>
      <c r="F5" s="124">
        <v>4.1100000000000003</v>
      </c>
      <c r="G5" s="14">
        <v>30671</v>
      </c>
      <c r="H5" s="20">
        <f t="shared" si="0"/>
        <v>344.9438202247191</v>
      </c>
      <c r="K5" s="130" t="s">
        <v>40</v>
      </c>
      <c r="L5" s="122">
        <v>5.6486000000000001</v>
      </c>
    </row>
    <row r="6" spans="1:14" x14ac:dyDescent="0.3">
      <c r="A6" s="3">
        <v>45453</v>
      </c>
      <c r="B6" s="15" t="s">
        <v>31</v>
      </c>
      <c r="C6" s="14">
        <v>656</v>
      </c>
      <c r="D6" s="14">
        <v>139</v>
      </c>
      <c r="E6" s="14">
        <v>49157</v>
      </c>
      <c r="F6" s="124">
        <v>9.0500000000000007</v>
      </c>
      <c r="G6" s="14">
        <v>9920</v>
      </c>
      <c r="H6" s="20">
        <f t="shared" si="0"/>
        <v>471.94244604316549</v>
      </c>
      <c r="K6" s="130" t="s">
        <v>31</v>
      </c>
      <c r="L6" s="122">
        <v>5.7156000000000002</v>
      </c>
    </row>
    <row r="7" spans="1:14" x14ac:dyDescent="0.3">
      <c r="A7" s="3">
        <v>45453</v>
      </c>
      <c r="B7" s="15" t="s">
        <v>40</v>
      </c>
      <c r="C7" s="14">
        <v>1697</v>
      </c>
      <c r="D7" s="14">
        <v>414</v>
      </c>
      <c r="E7" s="14">
        <v>316555</v>
      </c>
      <c r="F7" s="124">
        <v>2.37</v>
      </c>
      <c r="G7" s="14">
        <v>7924</v>
      </c>
      <c r="H7" s="20">
        <f t="shared" si="0"/>
        <v>409.9033816425121</v>
      </c>
      <c r="K7" s="130" t="s">
        <v>14</v>
      </c>
      <c r="L7" s="122">
        <v>5.6558000000000002</v>
      </c>
    </row>
    <row r="8" spans="1:14" x14ac:dyDescent="0.3">
      <c r="A8" s="3">
        <v>45453</v>
      </c>
      <c r="B8" s="15" t="s">
        <v>14</v>
      </c>
      <c r="C8" s="14">
        <v>436</v>
      </c>
      <c r="D8" s="14">
        <v>250</v>
      </c>
      <c r="E8" s="14">
        <v>254347</v>
      </c>
      <c r="F8" s="124">
        <v>4.01</v>
      </c>
      <c r="G8" s="14">
        <v>8912</v>
      </c>
      <c r="H8" s="20">
        <f t="shared" si="0"/>
        <v>174.4</v>
      </c>
      <c r="K8" s="130" t="s">
        <v>27</v>
      </c>
      <c r="L8" s="122">
        <v>5.5587999999999997</v>
      </c>
    </row>
    <row r="9" spans="1:14" x14ac:dyDescent="0.3">
      <c r="A9" s="3">
        <v>45453</v>
      </c>
      <c r="B9" s="15" t="s">
        <v>27</v>
      </c>
      <c r="C9" s="14">
        <v>1197</v>
      </c>
      <c r="D9" s="14">
        <v>203</v>
      </c>
      <c r="E9" s="14">
        <v>413878</v>
      </c>
      <c r="F9" s="124">
        <v>3.16</v>
      </c>
      <c r="G9" s="14">
        <v>21205</v>
      </c>
      <c r="H9" s="20">
        <f t="shared" si="0"/>
        <v>589.65517241379303</v>
      </c>
      <c r="K9" s="130" t="s">
        <v>579</v>
      </c>
      <c r="L9" s="122">
        <v>5.6446999999999994</v>
      </c>
    </row>
    <row r="10" spans="1:14" x14ac:dyDescent="0.3">
      <c r="A10" s="3">
        <v>45460</v>
      </c>
      <c r="B10" s="15" t="s">
        <v>31</v>
      </c>
      <c r="C10" s="14">
        <v>1048</v>
      </c>
      <c r="D10" s="14">
        <v>155</v>
      </c>
      <c r="E10" s="14">
        <v>456946</v>
      </c>
      <c r="F10" s="124">
        <v>2.46</v>
      </c>
      <c r="G10" s="14">
        <v>11329</v>
      </c>
      <c r="H10" s="20">
        <f t="shared" si="0"/>
        <v>676.12903225806451</v>
      </c>
    </row>
    <row r="11" spans="1:14" x14ac:dyDescent="0.3">
      <c r="A11" s="3">
        <v>45460</v>
      </c>
      <c r="B11" s="15" t="s">
        <v>40</v>
      </c>
      <c r="C11" s="14">
        <v>1753</v>
      </c>
      <c r="D11" s="14">
        <v>371</v>
      </c>
      <c r="E11" s="14">
        <v>169496</v>
      </c>
      <c r="F11" s="124">
        <v>8.11</v>
      </c>
      <c r="G11" s="14">
        <v>46670</v>
      </c>
      <c r="H11" s="20">
        <f t="shared" si="0"/>
        <v>472.50673854447439</v>
      </c>
    </row>
    <row r="12" spans="1:14" ht="15.6" x14ac:dyDescent="0.3">
      <c r="A12" s="3">
        <v>45460</v>
      </c>
      <c r="B12" s="15" t="s">
        <v>14</v>
      </c>
      <c r="C12" s="14">
        <v>1335</v>
      </c>
      <c r="D12" s="14">
        <v>40</v>
      </c>
      <c r="E12" s="14">
        <v>122732</v>
      </c>
      <c r="F12" s="124">
        <v>8.19</v>
      </c>
      <c r="G12" s="14">
        <v>22482</v>
      </c>
      <c r="H12" s="20">
        <f t="shared" si="0"/>
        <v>3337.5</v>
      </c>
      <c r="K12" s="154" t="s">
        <v>600</v>
      </c>
      <c r="L12" s="154"/>
      <c r="M12" s="154"/>
      <c r="N12" s="154"/>
    </row>
    <row r="13" spans="1:14" x14ac:dyDescent="0.3">
      <c r="A13" s="3">
        <v>45460</v>
      </c>
      <c r="B13" s="15" t="s">
        <v>27</v>
      </c>
      <c r="C13" s="14">
        <v>403</v>
      </c>
      <c r="D13" s="14">
        <v>66</v>
      </c>
      <c r="E13" s="14">
        <v>382851</v>
      </c>
      <c r="F13" s="124">
        <v>3.49</v>
      </c>
      <c r="G13" s="14">
        <v>24313</v>
      </c>
      <c r="H13" s="20">
        <f t="shared" si="0"/>
        <v>610.60606060606062</v>
      </c>
      <c r="K13" s="129" t="s">
        <v>578</v>
      </c>
      <c r="L13" t="s">
        <v>601</v>
      </c>
    </row>
    <row r="14" spans="1:14" x14ac:dyDescent="0.3">
      <c r="A14" s="3">
        <v>45467</v>
      </c>
      <c r="B14" s="15" t="s">
        <v>31</v>
      </c>
      <c r="C14" s="14">
        <v>911</v>
      </c>
      <c r="D14" s="14">
        <v>282</v>
      </c>
      <c r="E14" s="14">
        <v>35664</v>
      </c>
      <c r="F14" s="124">
        <v>6.92</v>
      </c>
      <c r="G14" s="14">
        <v>18050</v>
      </c>
      <c r="H14" s="20">
        <f t="shared" si="0"/>
        <v>323.04964539007091</v>
      </c>
      <c r="K14" s="130" t="s">
        <v>40</v>
      </c>
      <c r="L14" s="122">
        <v>513.93737785777751</v>
      </c>
    </row>
    <row r="15" spans="1:14" x14ac:dyDescent="0.3">
      <c r="A15" s="3">
        <v>45467</v>
      </c>
      <c r="B15" s="15" t="s">
        <v>40</v>
      </c>
      <c r="C15" s="14">
        <v>1779</v>
      </c>
      <c r="D15" s="14">
        <v>109</v>
      </c>
      <c r="E15" s="14">
        <v>26295</v>
      </c>
      <c r="F15" s="124">
        <v>9.1199999999999992</v>
      </c>
      <c r="G15" s="14">
        <v>30635</v>
      </c>
      <c r="H15" s="20">
        <f t="shared" si="0"/>
        <v>1632.1100917431193</v>
      </c>
      <c r="K15" s="130" t="s">
        <v>31</v>
      </c>
      <c r="L15" s="122">
        <v>1118.4604820083548</v>
      </c>
    </row>
    <row r="16" spans="1:14" x14ac:dyDescent="0.3">
      <c r="A16" s="3">
        <v>45467</v>
      </c>
      <c r="B16" s="15" t="s">
        <v>14</v>
      </c>
      <c r="C16" s="14">
        <v>1238</v>
      </c>
      <c r="D16" s="14">
        <v>403</v>
      </c>
      <c r="E16" s="14">
        <v>298421</v>
      </c>
      <c r="F16" s="124">
        <v>3.5</v>
      </c>
      <c r="G16" s="14">
        <v>31280</v>
      </c>
      <c r="H16" s="20">
        <f t="shared" si="0"/>
        <v>307.19602977667495</v>
      </c>
      <c r="K16" s="130" t="s">
        <v>14</v>
      </c>
      <c r="L16" s="122">
        <v>714.92043769941665</v>
      </c>
    </row>
    <row r="17" spans="1:14" x14ac:dyDescent="0.3">
      <c r="A17" s="3">
        <v>45467</v>
      </c>
      <c r="B17" s="15" t="s">
        <v>27</v>
      </c>
      <c r="C17" s="14">
        <v>308</v>
      </c>
      <c r="D17" s="14">
        <v>431</v>
      </c>
      <c r="E17" s="14">
        <v>426184</v>
      </c>
      <c r="F17" s="124">
        <v>2.62</v>
      </c>
      <c r="G17" s="14">
        <v>1783</v>
      </c>
      <c r="H17" s="20">
        <f t="shared" si="0"/>
        <v>71.461716937354993</v>
      </c>
      <c r="K17" s="130" t="s">
        <v>27</v>
      </c>
      <c r="L17" s="122">
        <v>616.84686799421195</v>
      </c>
    </row>
    <row r="18" spans="1:14" x14ac:dyDescent="0.3">
      <c r="A18" s="3">
        <v>45474</v>
      </c>
      <c r="B18" s="15" t="s">
        <v>31</v>
      </c>
      <c r="C18" s="14">
        <v>226</v>
      </c>
      <c r="D18" s="14">
        <v>445</v>
      </c>
      <c r="E18" s="14">
        <v>419447</v>
      </c>
      <c r="F18" s="124">
        <v>9.36</v>
      </c>
      <c r="G18" s="14">
        <v>9566</v>
      </c>
      <c r="H18" s="20">
        <f t="shared" si="0"/>
        <v>50.786516853932582</v>
      </c>
      <c r="K18" s="130" t="s">
        <v>579</v>
      </c>
      <c r="L18" s="122">
        <v>741.04129138993972</v>
      </c>
    </row>
    <row r="19" spans="1:14" x14ac:dyDescent="0.3">
      <c r="A19" s="3">
        <v>45474</v>
      </c>
      <c r="B19" s="15" t="s">
        <v>40</v>
      </c>
      <c r="C19" s="14">
        <v>505</v>
      </c>
      <c r="D19" s="14">
        <v>441</v>
      </c>
      <c r="E19" s="14">
        <v>220020</v>
      </c>
      <c r="F19" s="124">
        <v>4.4800000000000004</v>
      </c>
      <c r="G19" s="14">
        <v>42307</v>
      </c>
      <c r="H19" s="20">
        <f t="shared" si="0"/>
        <v>114.51247165532881</v>
      </c>
    </row>
    <row r="20" spans="1:14" x14ac:dyDescent="0.3">
      <c r="A20" s="3">
        <v>45474</v>
      </c>
      <c r="B20" s="15" t="s">
        <v>14</v>
      </c>
      <c r="C20" s="14">
        <v>1420</v>
      </c>
      <c r="D20" s="14">
        <v>63</v>
      </c>
      <c r="E20" s="14">
        <v>315305</v>
      </c>
      <c r="F20" s="124">
        <v>6.19</v>
      </c>
      <c r="G20" s="14">
        <v>5914</v>
      </c>
      <c r="H20" s="20">
        <f t="shared" si="0"/>
        <v>2253.968253968254</v>
      </c>
    </row>
    <row r="21" spans="1:14" x14ac:dyDescent="0.3">
      <c r="A21" s="3">
        <v>45474</v>
      </c>
      <c r="B21" s="15" t="s">
        <v>27</v>
      </c>
      <c r="C21" s="14">
        <v>144</v>
      </c>
      <c r="D21" s="14">
        <v>53</v>
      </c>
      <c r="E21" s="14">
        <v>113678</v>
      </c>
      <c r="F21" s="124">
        <v>8.7200000000000006</v>
      </c>
      <c r="G21" s="14">
        <v>30060</v>
      </c>
      <c r="H21" s="20">
        <f t="shared" si="0"/>
        <v>271.69811320754718</v>
      </c>
    </row>
    <row r="22" spans="1:14" x14ac:dyDescent="0.3">
      <c r="A22" s="3">
        <v>45481</v>
      </c>
      <c r="B22" s="15" t="s">
        <v>31</v>
      </c>
      <c r="C22" s="14">
        <v>1757</v>
      </c>
      <c r="D22" s="14">
        <v>85</v>
      </c>
      <c r="E22" s="14">
        <v>58223</v>
      </c>
      <c r="F22" s="124">
        <v>8.74</v>
      </c>
      <c r="G22" s="14">
        <v>22728</v>
      </c>
      <c r="H22" s="20">
        <f t="shared" si="0"/>
        <v>2067.0588235294117</v>
      </c>
    </row>
    <row r="23" spans="1:14" x14ac:dyDescent="0.3">
      <c r="A23" s="3">
        <v>45481</v>
      </c>
      <c r="B23" s="15" t="s">
        <v>40</v>
      </c>
      <c r="C23" s="14">
        <v>350</v>
      </c>
      <c r="D23" s="14">
        <v>41</v>
      </c>
      <c r="E23" s="14">
        <v>251694</v>
      </c>
      <c r="F23" s="124">
        <v>1.91</v>
      </c>
      <c r="G23" s="14">
        <v>38610</v>
      </c>
      <c r="H23" s="20">
        <f t="shared" si="0"/>
        <v>853.65853658536594</v>
      </c>
    </row>
    <row r="24" spans="1:14" ht="15.6" x14ac:dyDescent="0.3">
      <c r="A24" s="3">
        <v>45481</v>
      </c>
      <c r="B24" s="15" t="s">
        <v>14</v>
      </c>
      <c r="C24" s="14">
        <v>987</v>
      </c>
      <c r="D24" s="14">
        <v>440</v>
      </c>
      <c r="E24" s="14">
        <v>389810</v>
      </c>
      <c r="F24" s="124">
        <v>4.66</v>
      </c>
      <c r="G24" s="14">
        <v>2932</v>
      </c>
      <c r="H24" s="20">
        <f t="shared" si="0"/>
        <v>224.31818181818181</v>
      </c>
      <c r="K24" s="154" t="s">
        <v>605</v>
      </c>
      <c r="L24" s="155"/>
      <c r="M24" s="155"/>
      <c r="N24" s="155"/>
    </row>
    <row r="25" spans="1:14" x14ac:dyDescent="0.3">
      <c r="A25" s="3">
        <v>45481</v>
      </c>
      <c r="B25" s="15" t="s">
        <v>27</v>
      </c>
      <c r="C25" s="14">
        <v>883</v>
      </c>
      <c r="D25" s="14">
        <v>369</v>
      </c>
      <c r="E25" s="14">
        <v>233694</v>
      </c>
      <c r="F25" s="124">
        <v>2.88</v>
      </c>
      <c r="G25" s="14">
        <v>15071</v>
      </c>
      <c r="H25" s="20">
        <f t="shared" si="0"/>
        <v>239.29539295392951</v>
      </c>
      <c r="K25" s="132" t="s">
        <v>604</v>
      </c>
      <c r="L25" s="132" t="s">
        <v>602</v>
      </c>
      <c r="M25" s="132" t="s">
        <v>603</v>
      </c>
    </row>
    <row r="26" spans="1:14" x14ac:dyDescent="0.3">
      <c r="A26" s="3">
        <v>45488</v>
      </c>
      <c r="B26" s="15" t="s">
        <v>31</v>
      </c>
      <c r="C26" s="14">
        <v>1960</v>
      </c>
      <c r="D26" s="14">
        <v>115</v>
      </c>
      <c r="E26" s="14">
        <v>154169</v>
      </c>
      <c r="F26" s="124">
        <v>3.74</v>
      </c>
      <c r="G26" s="14">
        <v>10740</v>
      </c>
      <c r="H26" s="20">
        <f t="shared" si="0"/>
        <v>1704.3478260869567</v>
      </c>
      <c r="K26" t="s">
        <v>40</v>
      </c>
      <c r="L26" s="122">
        <v>5.6486000000000001</v>
      </c>
      <c r="M26" s="122">
        <v>27590.78</v>
      </c>
    </row>
    <row r="27" spans="1:14" x14ac:dyDescent="0.3">
      <c r="A27" s="3">
        <v>45488</v>
      </c>
      <c r="B27" s="15" t="s">
        <v>40</v>
      </c>
      <c r="C27" s="14">
        <v>170</v>
      </c>
      <c r="D27" s="14">
        <v>334</v>
      </c>
      <c r="E27" s="14">
        <v>334626</v>
      </c>
      <c r="F27" s="124">
        <v>6.44</v>
      </c>
      <c r="G27" s="14">
        <v>43420</v>
      </c>
      <c r="H27" s="20">
        <f t="shared" si="0"/>
        <v>50.898203592814376</v>
      </c>
      <c r="K27" t="s">
        <v>31</v>
      </c>
      <c r="L27" s="122">
        <v>5.7156000000000002</v>
      </c>
      <c r="M27" s="122">
        <v>23287.46</v>
      </c>
    </row>
    <row r="28" spans="1:14" x14ac:dyDescent="0.3">
      <c r="A28" s="3">
        <v>45488</v>
      </c>
      <c r="B28" s="15" t="s">
        <v>14</v>
      </c>
      <c r="C28" s="14">
        <v>704</v>
      </c>
      <c r="D28" s="14">
        <v>275</v>
      </c>
      <c r="E28" s="14">
        <v>226002</v>
      </c>
      <c r="F28" s="124">
        <v>8.56</v>
      </c>
      <c r="G28" s="14">
        <v>32393</v>
      </c>
      <c r="H28" s="20">
        <f t="shared" si="0"/>
        <v>256</v>
      </c>
      <c r="K28" t="s">
        <v>14</v>
      </c>
      <c r="L28" s="122">
        <v>5.6558000000000002</v>
      </c>
      <c r="M28" s="122">
        <v>21207.14</v>
      </c>
    </row>
    <row r="29" spans="1:14" x14ac:dyDescent="0.3">
      <c r="A29" s="3">
        <v>45488</v>
      </c>
      <c r="B29" s="15" t="s">
        <v>27</v>
      </c>
      <c r="C29" s="14">
        <v>224</v>
      </c>
      <c r="D29" s="14">
        <v>64</v>
      </c>
      <c r="E29" s="14">
        <v>156683</v>
      </c>
      <c r="F29" s="124">
        <v>4.5599999999999996</v>
      </c>
      <c r="G29" s="14">
        <v>28474</v>
      </c>
      <c r="H29" s="20">
        <f t="shared" si="0"/>
        <v>350</v>
      </c>
      <c r="K29" t="s">
        <v>27</v>
      </c>
      <c r="L29" s="122">
        <v>5.5587999999999997</v>
      </c>
      <c r="M29" s="122">
        <v>24572.94</v>
      </c>
    </row>
    <row r="30" spans="1:14" x14ac:dyDescent="0.3">
      <c r="A30" s="3">
        <v>45495</v>
      </c>
      <c r="B30" s="15" t="s">
        <v>31</v>
      </c>
      <c r="C30" s="14">
        <v>508</v>
      </c>
      <c r="D30" s="14">
        <v>349</v>
      </c>
      <c r="E30" s="14">
        <v>473812</v>
      </c>
      <c r="F30" s="124">
        <v>7.88</v>
      </c>
      <c r="G30" s="14">
        <v>17328</v>
      </c>
      <c r="H30" s="20">
        <f t="shared" si="0"/>
        <v>145.55873925501433</v>
      </c>
      <c r="K30" s="133" t="s">
        <v>579</v>
      </c>
      <c r="L30" s="134">
        <v>5.6446999999999994</v>
      </c>
      <c r="M30" s="134">
        <v>24164.58</v>
      </c>
    </row>
    <row r="31" spans="1:14" x14ac:dyDescent="0.3">
      <c r="A31" s="3">
        <v>45495</v>
      </c>
      <c r="B31" s="15" t="s">
        <v>40</v>
      </c>
      <c r="C31" s="14">
        <v>1391</v>
      </c>
      <c r="D31" s="14">
        <v>430</v>
      </c>
      <c r="E31" s="14">
        <v>295032</v>
      </c>
      <c r="F31" s="124">
        <v>7.86</v>
      </c>
      <c r="G31" s="14">
        <v>26067</v>
      </c>
      <c r="H31" s="20">
        <f t="shared" si="0"/>
        <v>323.48837209302326</v>
      </c>
    </row>
    <row r="32" spans="1:14" x14ac:dyDescent="0.3">
      <c r="A32" s="3">
        <v>45495</v>
      </c>
      <c r="B32" s="15" t="s">
        <v>14</v>
      </c>
      <c r="C32" s="14">
        <v>1701</v>
      </c>
      <c r="D32" s="14">
        <v>385</v>
      </c>
      <c r="E32" s="14">
        <v>198278</v>
      </c>
      <c r="F32" s="124">
        <v>5.34</v>
      </c>
      <c r="G32" s="14">
        <v>32763</v>
      </c>
      <c r="H32" s="20">
        <f t="shared" si="0"/>
        <v>441.81818181818181</v>
      </c>
    </row>
    <row r="33" spans="1:8" x14ac:dyDescent="0.3">
      <c r="A33" s="3">
        <v>45495</v>
      </c>
      <c r="B33" s="15" t="s">
        <v>27</v>
      </c>
      <c r="C33" s="14">
        <v>804</v>
      </c>
      <c r="D33" s="14">
        <v>487</v>
      </c>
      <c r="E33" s="14">
        <v>306564</v>
      </c>
      <c r="F33" s="124">
        <v>5.52</v>
      </c>
      <c r="G33" s="14">
        <v>26452</v>
      </c>
      <c r="H33" s="20">
        <f t="shared" si="0"/>
        <v>165.09240246406571</v>
      </c>
    </row>
    <row r="34" spans="1:8" x14ac:dyDescent="0.3">
      <c r="A34" s="3">
        <v>45502</v>
      </c>
      <c r="B34" s="15" t="s">
        <v>31</v>
      </c>
      <c r="C34" s="14">
        <v>653</v>
      </c>
      <c r="D34" s="14">
        <v>112</v>
      </c>
      <c r="E34" s="14">
        <v>23664</v>
      </c>
      <c r="F34" s="124">
        <v>4.05</v>
      </c>
      <c r="G34" s="14">
        <v>15353</v>
      </c>
      <c r="H34" s="20">
        <f t="shared" si="0"/>
        <v>583.03571428571433</v>
      </c>
    </row>
    <row r="35" spans="1:8" x14ac:dyDescent="0.3">
      <c r="A35" s="3">
        <v>45502</v>
      </c>
      <c r="B35" s="15" t="s">
        <v>40</v>
      </c>
      <c r="C35" s="14">
        <v>160</v>
      </c>
      <c r="D35" s="14">
        <v>478</v>
      </c>
      <c r="E35" s="14">
        <v>435034</v>
      </c>
      <c r="F35" s="124">
        <v>7.73</v>
      </c>
      <c r="G35" s="14">
        <v>4839</v>
      </c>
      <c r="H35" s="20">
        <f t="shared" si="0"/>
        <v>33.472803347280333</v>
      </c>
    </row>
    <row r="36" spans="1:8" x14ac:dyDescent="0.3">
      <c r="A36" s="3">
        <v>45502</v>
      </c>
      <c r="B36" s="15" t="s">
        <v>14</v>
      </c>
      <c r="C36" s="14">
        <v>1756</v>
      </c>
      <c r="D36" s="14">
        <v>261</v>
      </c>
      <c r="E36" s="14">
        <v>287574</v>
      </c>
      <c r="F36" s="124">
        <v>4.3600000000000003</v>
      </c>
      <c r="G36" s="14">
        <v>39272</v>
      </c>
      <c r="H36" s="20">
        <f t="shared" si="0"/>
        <v>672.79693486590043</v>
      </c>
    </row>
    <row r="37" spans="1:8" x14ac:dyDescent="0.3">
      <c r="A37" s="3">
        <v>45502</v>
      </c>
      <c r="B37" s="15" t="s">
        <v>27</v>
      </c>
      <c r="C37" s="14">
        <v>576</v>
      </c>
      <c r="D37" s="14">
        <v>101</v>
      </c>
      <c r="E37" s="14">
        <v>62499</v>
      </c>
      <c r="F37" s="124">
        <v>3.48</v>
      </c>
      <c r="G37" s="14">
        <v>16804</v>
      </c>
      <c r="H37" s="20">
        <f t="shared" si="0"/>
        <v>570.29702970297024</v>
      </c>
    </row>
    <row r="38" spans="1:8" x14ac:dyDescent="0.3">
      <c r="A38" s="3">
        <v>45509</v>
      </c>
      <c r="B38" s="15" t="s">
        <v>31</v>
      </c>
      <c r="C38" s="14">
        <v>645</v>
      </c>
      <c r="D38" s="14">
        <v>293</v>
      </c>
      <c r="E38" s="14">
        <v>437968</v>
      </c>
      <c r="F38" s="124">
        <v>7.83</v>
      </c>
      <c r="G38" s="14">
        <v>49303</v>
      </c>
      <c r="H38" s="20">
        <f t="shared" si="0"/>
        <v>220.13651877133105</v>
      </c>
    </row>
    <row r="39" spans="1:8" x14ac:dyDescent="0.3">
      <c r="A39" s="3">
        <v>45509</v>
      </c>
      <c r="B39" s="15" t="s">
        <v>40</v>
      </c>
      <c r="C39" s="14">
        <v>214</v>
      </c>
      <c r="D39" s="14">
        <v>411</v>
      </c>
      <c r="E39" s="14">
        <v>125034</v>
      </c>
      <c r="F39" s="124">
        <v>6.11</v>
      </c>
      <c r="G39" s="14">
        <v>26455</v>
      </c>
      <c r="H39" s="20">
        <f t="shared" si="0"/>
        <v>52.068126520681268</v>
      </c>
    </row>
    <row r="40" spans="1:8" x14ac:dyDescent="0.3">
      <c r="A40" s="3">
        <v>45509</v>
      </c>
      <c r="B40" s="15" t="s">
        <v>14</v>
      </c>
      <c r="C40" s="14">
        <v>826</v>
      </c>
      <c r="D40" s="14">
        <v>498</v>
      </c>
      <c r="E40" s="14">
        <v>449994</v>
      </c>
      <c r="F40" s="124">
        <v>9.43</v>
      </c>
      <c r="G40" s="14">
        <v>12384</v>
      </c>
      <c r="H40" s="20">
        <f t="shared" si="0"/>
        <v>165.86345381526104</v>
      </c>
    </row>
    <row r="41" spans="1:8" x14ac:dyDescent="0.3">
      <c r="A41" s="3">
        <v>45509</v>
      </c>
      <c r="B41" s="15" t="s">
        <v>27</v>
      </c>
      <c r="C41" s="14">
        <v>460</v>
      </c>
      <c r="D41" s="14">
        <v>141</v>
      </c>
      <c r="E41" s="14">
        <v>320650</v>
      </c>
      <c r="F41" s="124">
        <v>4.04</v>
      </c>
      <c r="G41" s="14">
        <v>49372</v>
      </c>
      <c r="H41" s="20">
        <f t="shared" si="0"/>
        <v>326.24113475177302</v>
      </c>
    </row>
    <row r="42" spans="1:8" x14ac:dyDescent="0.3">
      <c r="A42" s="3">
        <v>45516</v>
      </c>
      <c r="B42" s="15" t="s">
        <v>31</v>
      </c>
      <c r="C42" s="14">
        <v>1528</v>
      </c>
      <c r="D42" s="14">
        <v>203</v>
      </c>
      <c r="E42" s="14">
        <v>489188</v>
      </c>
      <c r="F42" s="124">
        <v>6.23</v>
      </c>
      <c r="G42" s="14">
        <v>47101</v>
      </c>
      <c r="H42" s="20">
        <f t="shared" si="0"/>
        <v>752.70935960591135</v>
      </c>
    </row>
    <row r="43" spans="1:8" x14ac:dyDescent="0.3">
      <c r="A43" s="3">
        <v>45516</v>
      </c>
      <c r="B43" s="15" t="s">
        <v>40</v>
      </c>
      <c r="C43" s="14">
        <v>1534</v>
      </c>
      <c r="D43" s="14">
        <v>200</v>
      </c>
      <c r="E43" s="14">
        <v>307612</v>
      </c>
      <c r="F43" s="124">
        <v>6.01</v>
      </c>
      <c r="G43" s="14">
        <v>37903</v>
      </c>
      <c r="H43" s="20">
        <f t="shared" si="0"/>
        <v>767</v>
      </c>
    </row>
    <row r="44" spans="1:8" x14ac:dyDescent="0.3">
      <c r="A44" s="3">
        <v>45516</v>
      </c>
      <c r="B44" s="15" t="s">
        <v>14</v>
      </c>
      <c r="C44" s="14">
        <v>485</v>
      </c>
      <c r="D44" s="14">
        <v>448</v>
      </c>
      <c r="E44" s="14">
        <v>434883</v>
      </c>
      <c r="F44" s="124">
        <v>8.5500000000000007</v>
      </c>
      <c r="G44" s="14">
        <v>33258</v>
      </c>
      <c r="H44" s="20">
        <f t="shared" si="0"/>
        <v>108.25892857142858</v>
      </c>
    </row>
    <row r="45" spans="1:8" x14ac:dyDescent="0.3">
      <c r="A45" s="3">
        <v>45516</v>
      </c>
      <c r="B45" s="15" t="s">
        <v>27</v>
      </c>
      <c r="C45" s="14">
        <v>1210</v>
      </c>
      <c r="D45" s="14">
        <v>178</v>
      </c>
      <c r="E45" s="14">
        <v>102042</v>
      </c>
      <c r="F45" s="124">
        <v>5.42</v>
      </c>
      <c r="G45" s="14">
        <v>6915</v>
      </c>
      <c r="H45" s="20">
        <f t="shared" si="0"/>
        <v>679.77528089887642</v>
      </c>
    </row>
    <row r="46" spans="1:8" x14ac:dyDescent="0.3">
      <c r="A46" s="3">
        <v>45523</v>
      </c>
      <c r="B46" s="15" t="s">
        <v>31</v>
      </c>
      <c r="C46" s="14">
        <v>215</v>
      </c>
      <c r="D46" s="14">
        <v>139</v>
      </c>
      <c r="E46" s="14">
        <v>325444</v>
      </c>
      <c r="F46" s="124">
        <v>3.25</v>
      </c>
      <c r="G46" s="14">
        <v>35501</v>
      </c>
      <c r="H46" s="20">
        <f t="shared" si="0"/>
        <v>154.67625899280574</v>
      </c>
    </row>
    <row r="47" spans="1:8" x14ac:dyDescent="0.3">
      <c r="A47" s="3">
        <v>45523</v>
      </c>
      <c r="B47" s="15" t="s">
        <v>40</v>
      </c>
      <c r="C47" s="14">
        <v>1078</v>
      </c>
      <c r="D47" s="14">
        <v>20</v>
      </c>
      <c r="E47" s="14">
        <v>183924</v>
      </c>
      <c r="F47" s="124">
        <v>8.84</v>
      </c>
      <c r="G47" s="14">
        <v>14203</v>
      </c>
      <c r="H47" s="20">
        <f t="shared" si="0"/>
        <v>5390</v>
      </c>
    </row>
    <row r="48" spans="1:8" x14ac:dyDescent="0.3">
      <c r="A48" s="3">
        <v>45523</v>
      </c>
      <c r="B48" s="15" t="s">
        <v>14</v>
      </c>
      <c r="C48" s="14">
        <v>1751</v>
      </c>
      <c r="D48" s="14">
        <v>86</v>
      </c>
      <c r="E48" s="14">
        <v>188655</v>
      </c>
      <c r="F48" s="124">
        <v>7.24</v>
      </c>
      <c r="G48" s="14">
        <v>22206</v>
      </c>
      <c r="H48" s="20">
        <f t="shared" si="0"/>
        <v>2036.046511627907</v>
      </c>
    </row>
    <row r="49" spans="1:8" x14ac:dyDescent="0.3">
      <c r="A49" s="3">
        <v>45523</v>
      </c>
      <c r="B49" s="15" t="s">
        <v>27</v>
      </c>
      <c r="C49" s="14">
        <v>221</v>
      </c>
      <c r="D49" s="14">
        <v>31</v>
      </c>
      <c r="E49" s="14">
        <v>87443</v>
      </c>
      <c r="F49" s="124">
        <v>6.19</v>
      </c>
      <c r="G49" s="14">
        <v>10283</v>
      </c>
      <c r="H49" s="20">
        <f t="shared" si="0"/>
        <v>712.90322580645159</v>
      </c>
    </row>
    <row r="50" spans="1:8" x14ac:dyDescent="0.3">
      <c r="A50" s="3">
        <v>45530</v>
      </c>
      <c r="B50" s="15" t="s">
        <v>31</v>
      </c>
      <c r="C50" s="14">
        <v>1685</v>
      </c>
      <c r="D50" s="14">
        <v>76</v>
      </c>
      <c r="E50" s="14">
        <v>453799</v>
      </c>
      <c r="F50" s="124">
        <v>5.71</v>
      </c>
      <c r="G50" s="14">
        <v>24913</v>
      </c>
      <c r="H50" s="20">
        <f t="shared" si="0"/>
        <v>2217.105263157895</v>
      </c>
    </row>
    <row r="51" spans="1:8" x14ac:dyDescent="0.3">
      <c r="A51" s="3">
        <v>45530</v>
      </c>
      <c r="B51" s="15" t="s">
        <v>40</v>
      </c>
      <c r="C51" s="14">
        <v>248</v>
      </c>
      <c r="D51" s="14">
        <v>211</v>
      </c>
      <c r="E51" s="14">
        <v>379380</v>
      </c>
      <c r="F51" s="124">
        <v>9.0399999999999991</v>
      </c>
      <c r="G51" s="14">
        <v>26925</v>
      </c>
      <c r="H51" s="20">
        <f t="shared" si="0"/>
        <v>117.53554502369667</v>
      </c>
    </row>
    <row r="52" spans="1:8" x14ac:dyDescent="0.3">
      <c r="A52" s="3">
        <v>45530</v>
      </c>
      <c r="B52" s="15" t="s">
        <v>14</v>
      </c>
      <c r="C52" s="14">
        <v>1300</v>
      </c>
      <c r="D52" s="14">
        <v>71</v>
      </c>
      <c r="E52" s="14">
        <v>186454</v>
      </c>
      <c r="F52" s="124">
        <v>3.91</v>
      </c>
      <c r="G52" s="14">
        <v>9942</v>
      </c>
      <c r="H52" s="20">
        <f t="shared" si="0"/>
        <v>1830.9859154929577</v>
      </c>
    </row>
    <row r="53" spans="1:8" x14ac:dyDescent="0.3">
      <c r="A53" s="3">
        <v>45530</v>
      </c>
      <c r="B53" s="15" t="s">
        <v>27</v>
      </c>
      <c r="C53" s="14">
        <v>422</v>
      </c>
      <c r="D53" s="14">
        <v>394</v>
      </c>
      <c r="E53" s="14">
        <v>239044</v>
      </c>
      <c r="F53" s="124">
        <v>7.83</v>
      </c>
      <c r="G53" s="14">
        <v>32929</v>
      </c>
      <c r="H53" s="20">
        <f t="shared" si="0"/>
        <v>107.10659898477158</v>
      </c>
    </row>
    <row r="54" spans="1:8" x14ac:dyDescent="0.3">
      <c r="A54" s="3">
        <v>45537</v>
      </c>
      <c r="B54" s="15" t="s">
        <v>31</v>
      </c>
      <c r="C54" s="14">
        <v>1429</v>
      </c>
      <c r="D54" s="14">
        <v>182</v>
      </c>
      <c r="E54" s="14">
        <v>101332</v>
      </c>
      <c r="F54" s="124">
        <v>7.16</v>
      </c>
      <c r="G54" s="14">
        <v>37829</v>
      </c>
      <c r="H54" s="20">
        <f t="shared" si="0"/>
        <v>785.16483516483515</v>
      </c>
    </row>
    <row r="55" spans="1:8" x14ac:dyDescent="0.3">
      <c r="A55" s="3">
        <v>45537</v>
      </c>
      <c r="B55" s="15" t="s">
        <v>40</v>
      </c>
      <c r="C55" s="14">
        <v>1520</v>
      </c>
      <c r="D55" s="14">
        <v>475</v>
      </c>
      <c r="E55" s="14">
        <v>496982</v>
      </c>
      <c r="F55" s="124">
        <v>6.41</v>
      </c>
      <c r="G55" s="14">
        <v>24384</v>
      </c>
      <c r="H55" s="20">
        <f t="shared" si="0"/>
        <v>320</v>
      </c>
    </row>
    <row r="56" spans="1:8" x14ac:dyDescent="0.3">
      <c r="A56" s="3">
        <v>45537</v>
      </c>
      <c r="B56" s="15" t="s">
        <v>14</v>
      </c>
      <c r="C56" s="14">
        <v>557</v>
      </c>
      <c r="D56" s="14">
        <v>360</v>
      </c>
      <c r="E56" s="14">
        <v>318779</v>
      </c>
      <c r="F56" s="124">
        <v>8.02</v>
      </c>
      <c r="G56" s="14">
        <v>25797</v>
      </c>
      <c r="H56" s="20">
        <f t="shared" si="0"/>
        <v>154.72222222222223</v>
      </c>
    </row>
    <row r="57" spans="1:8" x14ac:dyDescent="0.3">
      <c r="A57" s="3">
        <v>45537</v>
      </c>
      <c r="B57" s="15" t="s">
        <v>27</v>
      </c>
      <c r="C57" s="14">
        <v>728</v>
      </c>
      <c r="D57" s="14">
        <v>395</v>
      </c>
      <c r="E57" s="14">
        <v>370971</v>
      </c>
      <c r="F57" s="124">
        <v>3.86</v>
      </c>
      <c r="G57" s="14">
        <v>12646</v>
      </c>
      <c r="H57" s="20">
        <f t="shared" si="0"/>
        <v>184.30379746835445</v>
      </c>
    </row>
    <row r="58" spans="1:8" x14ac:dyDescent="0.3">
      <c r="A58" s="3">
        <v>45544</v>
      </c>
      <c r="B58" s="15" t="s">
        <v>31</v>
      </c>
      <c r="C58" s="14">
        <v>1592</v>
      </c>
      <c r="D58" s="14">
        <v>20</v>
      </c>
      <c r="E58" s="14">
        <v>378054</v>
      </c>
      <c r="F58" s="124">
        <v>9.09</v>
      </c>
      <c r="G58" s="14">
        <v>26663</v>
      </c>
      <c r="H58" s="20">
        <f t="shared" si="0"/>
        <v>7959.9999999999991</v>
      </c>
    </row>
    <row r="59" spans="1:8" x14ac:dyDescent="0.3">
      <c r="A59" s="3">
        <v>45544</v>
      </c>
      <c r="B59" s="15" t="s">
        <v>40</v>
      </c>
      <c r="C59" s="14">
        <v>1842</v>
      </c>
      <c r="D59" s="14">
        <v>414</v>
      </c>
      <c r="E59" s="14">
        <v>307524</v>
      </c>
      <c r="F59" s="124">
        <v>1.76</v>
      </c>
      <c r="G59" s="14">
        <v>40478</v>
      </c>
      <c r="H59" s="20">
        <f t="shared" si="0"/>
        <v>444.92753623188406</v>
      </c>
    </row>
    <row r="60" spans="1:8" x14ac:dyDescent="0.3">
      <c r="A60" s="3">
        <v>45544</v>
      </c>
      <c r="B60" s="15" t="s">
        <v>14</v>
      </c>
      <c r="C60" s="14">
        <v>751</v>
      </c>
      <c r="D60" s="14">
        <v>491</v>
      </c>
      <c r="E60" s="14">
        <v>434047</v>
      </c>
      <c r="F60" s="124">
        <v>9.24</v>
      </c>
      <c r="G60" s="14">
        <v>15476</v>
      </c>
      <c r="H60" s="20">
        <f t="shared" si="0"/>
        <v>152.9531568228106</v>
      </c>
    </row>
    <row r="61" spans="1:8" x14ac:dyDescent="0.3">
      <c r="A61" s="3">
        <v>45544</v>
      </c>
      <c r="B61" s="15" t="s">
        <v>27</v>
      </c>
      <c r="C61" s="14">
        <v>1409</v>
      </c>
      <c r="D61" s="14">
        <v>309</v>
      </c>
      <c r="E61" s="14">
        <v>64583</v>
      </c>
      <c r="F61" s="124">
        <v>8.99</v>
      </c>
      <c r="G61" s="14">
        <v>10217</v>
      </c>
      <c r="H61" s="20">
        <f t="shared" si="0"/>
        <v>455.98705501618122</v>
      </c>
    </row>
    <row r="62" spans="1:8" x14ac:dyDescent="0.3">
      <c r="A62" s="3">
        <v>45551</v>
      </c>
      <c r="B62" s="15" t="s">
        <v>31</v>
      </c>
      <c r="C62" s="14">
        <v>778</v>
      </c>
      <c r="D62" s="14">
        <v>401</v>
      </c>
      <c r="E62" s="14">
        <v>50793</v>
      </c>
      <c r="F62" s="124">
        <v>3.4</v>
      </c>
      <c r="G62" s="14">
        <v>21939</v>
      </c>
      <c r="H62" s="20">
        <f t="shared" si="0"/>
        <v>194.0149625935162</v>
      </c>
    </row>
    <row r="63" spans="1:8" x14ac:dyDescent="0.3">
      <c r="A63" s="3">
        <v>45551</v>
      </c>
      <c r="B63" s="15" t="s">
        <v>40</v>
      </c>
      <c r="C63" s="14">
        <v>443</v>
      </c>
      <c r="D63" s="14">
        <v>345</v>
      </c>
      <c r="E63" s="14">
        <v>474162</v>
      </c>
      <c r="F63" s="124">
        <v>9.1999999999999993</v>
      </c>
      <c r="G63" s="14">
        <v>47462</v>
      </c>
      <c r="H63" s="20">
        <f t="shared" si="0"/>
        <v>128.40579710144928</v>
      </c>
    </row>
    <row r="64" spans="1:8" x14ac:dyDescent="0.3">
      <c r="A64" s="3">
        <v>45551</v>
      </c>
      <c r="B64" s="15" t="s">
        <v>14</v>
      </c>
      <c r="C64" s="14">
        <v>1472</v>
      </c>
      <c r="D64" s="14">
        <v>347</v>
      </c>
      <c r="E64" s="14">
        <v>392355</v>
      </c>
      <c r="F64" s="124">
        <v>8.59</v>
      </c>
      <c r="G64" s="14">
        <v>30270</v>
      </c>
      <c r="H64" s="20">
        <f t="shared" si="0"/>
        <v>424.20749279538904</v>
      </c>
    </row>
    <row r="65" spans="1:8" x14ac:dyDescent="0.3">
      <c r="A65" s="3">
        <v>45551</v>
      </c>
      <c r="B65" s="15" t="s">
        <v>27</v>
      </c>
      <c r="C65" s="14">
        <v>123</v>
      </c>
      <c r="D65" s="14">
        <v>155</v>
      </c>
      <c r="E65" s="14">
        <v>119934</v>
      </c>
      <c r="F65" s="124">
        <v>3.5</v>
      </c>
      <c r="G65" s="14">
        <v>5442</v>
      </c>
      <c r="H65" s="20">
        <f t="shared" si="0"/>
        <v>79.354838709677423</v>
      </c>
    </row>
    <row r="66" spans="1:8" x14ac:dyDescent="0.3">
      <c r="A66" s="3">
        <v>45558</v>
      </c>
      <c r="B66" s="15" t="s">
        <v>31</v>
      </c>
      <c r="C66" s="14">
        <v>817</v>
      </c>
      <c r="D66" s="14">
        <v>151</v>
      </c>
      <c r="E66" s="14">
        <v>422625</v>
      </c>
      <c r="F66" s="124">
        <v>2.36</v>
      </c>
      <c r="G66" s="14">
        <v>1083</v>
      </c>
      <c r="H66" s="20">
        <f t="shared" si="0"/>
        <v>541.05960264900659</v>
      </c>
    </row>
    <row r="67" spans="1:8" x14ac:dyDescent="0.3">
      <c r="A67" s="3">
        <v>45558</v>
      </c>
      <c r="B67" s="15" t="s">
        <v>40</v>
      </c>
      <c r="C67" s="14">
        <v>198</v>
      </c>
      <c r="D67" s="14">
        <v>217</v>
      </c>
      <c r="E67" s="14">
        <v>239753</v>
      </c>
      <c r="F67" s="124">
        <v>7.36</v>
      </c>
      <c r="G67" s="14">
        <v>11901</v>
      </c>
      <c r="H67" s="20">
        <f t="shared" ref="H67:H130" si="1">(C67/D67)*100</f>
        <v>91.244239631336413</v>
      </c>
    </row>
    <row r="68" spans="1:8" x14ac:dyDescent="0.3">
      <c r="A68" s="3">
        <v>45558</v>
      </c>
      <c r="B68" s="15" t="s">
        <v>14</v>
      </c>
      <c r="C68" s="14">
        <v>1911</v>
      </c>
      <c r="D68" s="14">
        <v>231</v>
      </c>
      <c r="E68" s="14">
        <v>268516</v>
      </c>
      <c r="F68" s="124">
        <v>8.5500000000000007</v>
      </c>
      <c r="G68" s="14">
        <v>24018</v>
      </c>
      <c r="H68" s="20">
        <f t="shared" si="1"/>
        <v>827.27272727272737</v>
      </c>
    </row>
    <row r="69" spans="1:8" x14ac:dyDescent="0.3">
      <c r="A69" s="3">
        <v>45558</v>
      </c>
      <c r="B69" s="15" t="s">
        <v>27</v>
      </c>
      <c r="C69" s="14">
        <v>1218</v>
      </c>
      <c r="D69" s="14">
        <v>212</v>
      </c>
      <c r="E69" s="14">
        <v>63177</v>
      </c>
      <c r="F69" s="124">
        <v>8.1300000000000008</v>
      </c>
      <c r="G69" s="14">
        <v>38883</v>
      </c>
      <c r="H69" s="20">
        <f t="shared" si="1"/>
        <v>574.52830188679252</v>
      </c>
    </row>
    <row r="70" spans="1:8" x14ac:dyDescent="0.3">
      <c r="A70" s="3">
        <v>45565</v>
      </c>
      <c r="B70" s="15" t="s">
        <v>31</v>
      </c>
      <c r="C70" s="14">
        <v>1433</v>
      </c>
      <c r="D70" s="14">
        <v>408</v>
      </c>
      <c r="E70" s="14">
        <v>370269</v>
      </c>
      <c r="F70" s="124">
        <v>3.3</v>
      </c>
      <c r="G70" s="14">
        <v>30575</v>
      </c>
      <c r="H70" s="20">
        <f t="shared" si="1"/>
        <v>351.22549019607845</v>
      </c>
    </row>
    <row r="71" spans="1:8" x14ac:dyDescent="0.3">
      <c r="A71" s="3">
        <v>45565</v>
      </c>
      <c r="B71" s="15" t="s">
        <v>40</v>
      </c>
      <c r="C71" s="14">
        <v>250</v>
      </c>
      <c r="D71" s="14">
        <v>429</v>
      </c>
      <c r="E71" s="14">
        <v>453423</v>
      </c>
      <c r="F71" s="124">
        <v>1.77</v>
      </c>
      <c r="G71" s="14">
        <v>2315</v>
      </c>
      <c r="H71" s="20">
        <f t="shared" si="1"/>
        <v>58.275058275058278</v>
      </c>
    </row>
    <row r="72" spans="1:8" x14ac:dyDescent="0.3">
      <c r="A72" s="3">
        <v>45565</v>
      </c>
      <c r="B72" s="15" t="s">
        <v>14</v>
      </c>
      <c r="C72" s="14">
        <v>752</v>
      </c>
      <c r="D72" s="14">
        <v>153</v>
      </c>
      <c r="E72" s="14">
        <v>64906</v>
      </c>
      <c r="F72" s="124">
        <v>2.09</v>
      </c>
      <c r="G72" s="14">
        <v>12148</v>
      </c>
      <c r="H72" s="20">
        <f t="shared" si="1"/>
        <v>491.50326797385623</v>
      </c>
    </row>
    <row r="73" spans="1:8" x14ac:dyDescent="0.3">
      <c r="A73" s="3">
        <v>45565</v>
      </c>
      <c r="B73" s="15" t="s">
        <v>27</v>
      </c>
      <c r="C73" s="14">
        <v>1918</v>
      </c>
      <c r="D73" s="14">
        <v>212</v>
      </c>
      <c r="E73" s="14">
        <v>94360</v>
      </c>
      <c r="F73" s="124">
        <v>7.36</v>
      </c>
      <c r="G73" s="14">
        <v>36851</v>
      </c>
      <c r="H73" s="20">
        <f t="shared" si="1"/>
        <v>904.71698113207549</v>
      </c>
    </row>
    <row r="74" spans="1:8" x14ac:dyDescent="0.3">
      <c r="A74" s="3">
        <v>45572</v>
      </c>
      <c r="B74" s="15" t="s">
        <v>31</v>
      </c>
      <c r="C74" s="14">
        <v>1939</v>
      </c>
      <c r="D74" s="14">
        <v>67</v>
      </c>
      <c r="E74" s="14">
        <v>187183</v>
      </c>
      <c r="F74" s="124">
        <v>6.25</v>
      </c>
      <c r="G74" s="14">
        <v>41215</v>
      </c>
      <c r="H74" s="20">
        <f t="shared" si="1"/>
        <v>2894.0298507462685</v>
      </c>
    </row>
    <row r="75" spans="1:8" x14ac:dyDescent="0.3">
      <c r="A75" s="3">
        <v>45572</v>
      </c>
      <c r="B75" s="15" t="s">
        <v>40</v>
      </c>
      <c r="C75" s="14">
        <v>1929</v>
      </c>
      <c r="D75" s="14">
        <v>267</v>
      </c>
      <c r="E75" s="14">
        <v>379363</v>
      </c>
      <c r="F75" s="124">
        <v>1.75</v>
      </c>
      <c r="G75" s="14">
        <v>43836</v>
      </c>
      <c r="H75" s="20">
        <f t="shared" si="1"/>
        <v>722.47191011235952</v>
      </c>
    </row>
    <row r="76" spans="1:8" x14ac:dyDescent="0.3">
      <c r="A76" s="3">
        <v>45572</v>
      </c>
      <c r="B76" s="15" t="s">
        <v>14</v>
      </c>
      <c r="C76" s="14">
        <v>437</v>
      </c>
      <c r="D76" s="14">
        <v>330</v>
      </c>
      <c r="E76" s="14">
        <v>476486</v>
      </c>
      <c r="F76" s="124">
        <v>4.97</v>
      </c>
      <c r="G76" s="14">
        <v>4509</v>
      </c>
      <c r="H76" s="20">
        <f t="shared" si="1"/>
        <v>132.42424242424244</v>
      </c>
    </row>
    <row r="77" spans="1:8" x14ac:dyDescent="0.3">
      <c r="A77" s="3">
        <v>45572</v>
      </c>
      <c r="B77" s="15" t="s">
        <v>27</v>
      </c>
      <c r="C77" s="14">
        <v>307</v>
      </c>
      <c r="D77" s="14">
        <v>189</v>
      </c>
      <c r="E77" s="14">
        <v>117767</v>
      </c>
      <c r="F77" s="124">
        <v>9.3000000000000007</v>
      </c>
      <c r="G77" s="14">
        <v>27822</v>
      </c>
      <c r="H77" s="20">
        <f t="shared" si="1"/>
        <v>162.43386243386243</v>
      </c>
    </row>
    <row r="78" spans="1:8" x14ac:dyDescent="0.3">
      <c r="A78" s="3">
        <v>45579</v>
      </c>
      <c r="B78" s="15" t="s">
        <v>31</v>
      </c>
      <c r="C78" s="14">
        <v>1527</v>
      </c>
      <c r="D78" s="14">
        <v>303</v>
      </c>
      <c r="E78" s="14">
        <v>388555</v>
      </c>
      <c r="F78" s="124">
        <v>8.9</v>
      </c>
      <c r="G78" s="14">
        <v>36397</v>
      </c>
      <c r="H78" s="20">
        <f t="shared" si="1"/>
        <v>503.96039603960395</v>
      </c>
    </row>
    <row r="79" spans="1:8" x14ac:dyDescent="0.3">
      <c r="A79" s="3">
        <v>45579</v>
      </c>
      <c r="B79" s="15" t="s">
        <v>40</v>
      </c>
      <c r="C79" s="14">
        <v>643</v>
      </c>
      <c r="D79" s="14">
        <v>358</v>
      </c>
      <c r="E79" s="14">
        <v>157599</v>
      </c>
      <c r="F79" s="124">
        <v>3.88</v>
      </c>
      <c r="G79" s="14">
        <v>7285</v>
      </c>
      <c r="H79" s="20">
        <f t="shared" si="1"/>
        <v>179.60893854748602</v>
      </c>
    </row>
    <row r="80" spans="1:8" x14ac:dyDescent="0.3">
      <c r="A80" s="3">
        <v>45579</v>
      </c>
      <c r="B80" s="15" t="s">
        <v>14</v>
      </c>
      <c r="C80" s="14">
        <v>201</v>
      </c>
      <c r="D80" s="14">
        <v>221</v>
      </c>
      <c r="E80" s="14">
        <v>309772</v>
      </c>
      <c r="F80" s="124">
        <v>5.9</v>
      </c>
      <c r="G80" s="14">
        <v>33174</v>
      </c>
      <c r="H80" s="20">
        <f t="shared" si="1"/>
        <v>90.950226244343895</v>
      </c>
    </row>
    <row r="81" spans="1:8" x14ac:dyDescent="0.3">
      <c r="A81" s="3">
        <v>45579</v>
      </c>
      <c r="B81" s="15" t="s">
        <v>27</v>
      </c>
      <c r="C81" s="14">
        <v>414</v>
      </c>
      <c r="D81" s="14">
        <v>47</v>
      </c>
      <c r="E81" s="14">
        <v>199178</v>
      </c>
      <c r="F81" s="124">
        <v>1.53</v>
      </c>
      <c r="G81" s="14">
        <v>6742</v>
      </c>
      <c r="H81" s="20">
        <f t="shared" si="1"/>
        <v>880.85106382978711</v>
      </c>
    </row>
    <row r="82" spans="1:8" x14ac:dyDescent="0.3">
      <c r="A82" s="3">
        <v>45586</v>
      </c>
      <c r="B82" s="15" t="s">
        <v>31</v>
      </c>
      <c r="C82" s="14">
        <v>703</v>
      </c>
      <c r="D82" s="14">
        <v>441</v>
      </c>
      <c r="E82" s="14">
        <v>357089</v>
      </c>
      <c r="F82" s="124">
        <v>6.5</v>
      </c>
      <c r="G82" s="14">
        <v>32478</v>
      </c>
      <c r="H82" s="20">
        <f t="shared" si="1"/>
        <v>159.41043083900226</v>
      </c>
    </row>
    <row r="83" spans="1:8" x14ac:dyDescent="0.3">
      <c r="A83" s="3">
        <v>45586</v>
      </c>
      <c r="B83" s="15" t="s">
        <v>40</v>
      </c>
      <c r="C83" s="14">
        <v>508</v>
      </c>
      <c r="D83" s="14">
        <v>69</v>
      </c>
      <c r="E83" s="14">
        <v>23492</v>
      </c>
      <c r="F83" s="124">
        <v>3.16</v>
      </c>
      <c r="G83" s="14">
        <v>42824</v>
      </c>
      <c r="H83" s="20">
        <f t="shared" si="1"/>
        <v>736.231884057971</v>
      </c>
    </row>
    <row r="84" spans="1:8" x14ac:dyDescent="0.3">
      <c r="A84" s="3">
        <v>45586</v>
      </c>
      <c r="B84" s="15" t="s">
        <v>14</v>
      </c>
      <c r="C84" s="14">
        <v>697</v>
      </c>
      <c r="D84" s="14">
        <v>61</v>
      </c>
      <c r="E84" s="14">
        <v>258287</v>
      </c>
      <c r="F84" s="124">
        <v>8.25</v>
      </c>
      <c r="G84" s="14">
        <v>21208</v>
      </c>
      <c r="H84" s="20">
        <f t="shared" si="1"/>
        <v>1142.622950819672</v>
      </c>
    </row>
    <row r="85" spans="1:8" x14ac:dyDescent="0.3">
      <c r="A85" s="3">
        <v>45586</v>
      </c>
      <c r="B85" s="15" t="s">
        <v>27</v>
      </c>
      <c r="C85" s="14">
        <v>1707</v>
      </c>
      <c r="D85" s="14">
        <v>223</v>
      </c>
      <c r="E85" s="14">
        <v>256910</v>
      </c>
      <c r="F85" s="124">
        <v>5.41</v>
      </c>
      <c r="G85" s="14">
        <v>44321</v>
      </c>
      <c r="H85" s="20">
        <f t="shared" si="1"/>
        <v>765.4708520179372</v>
      </c>
    </row>
    <row r="86" spans="1:8" x14ac:dyDescent="0.3">
      <c r="A86" s="3">
        <v>45593</v>
      </c>
      <c r="B86" s="15" t="s">
        <v>31</v>
      </c>
      <c r="C86" s="14">
        <v>642</v>
      </c>
      <c r="D86" s="14">
        <v>66</v>
      </c>
      <c r="E86" s="14">
        <v>346522</v>
      </c>
      <c r="F86" s="124">
        <v>5.85</v>
      </c>
      <c r="G86" s="14">
        <v>13116</v>
      </c>
      <c r="H86" s="20">
        <f t="shared" si="1"/>
        <v>972.72727272727263</v>
      </c>
    </row>
    <row r="87" spans="1:8" x14ac:dyDescent="0.3">
      <c r="A87" s="3">
        <v>45593</v>
      </c>
      <c r="B87" s="15" t="s">
        <v>40</v>
      </c>
      <c r="C87" s="14">
        <v>859</v>
      </c>
      <c r="D87" s="14">
        <v>473</v>
      </c>
      <c r="E87" s="14">
        <v>209987</v>
      </c>
      <c r="F87" s="124">
        <v>4.46</v>
      </c>
      <c r="G87" s="14">
        <v>30214</v>
      </c>
      <c r="H87" s="20">
        <f t="shared" si="1"/>
        <v>181.60676532769554</v>
      </c>
    </row>
    <row r="88" spans="1:8" x14ac:dyDescent="0.3">
      <c r="A88" s="3">
        <v>45593</v>
      </c>
      <c r="B88" s="15" t="s">
        <v>14</v>
      </c>
      <c r="C88" s="14">
        <v>191</v>
      </c>
      <c r="D88" s="14">
        <v>154</v>
      </c>
      <c r="E88" s="14">
        <v>240550</v>
      </c>
      <c r="F88" s="124">
        <v>5.22</v>
      </c>
      <c r="G88" s="14">
        <v>15827</v>
      </c>
      <c r="H88" s="20">
        <f t="shared" si="1"/>
        <v>124.02597402597402</v>
      </c>
    </row>
    <row r="89" spans="1:8" x14ac:dyDescent="0.3">
      <c r="A89" s="3">
        <v>45593</v>
      </c>
      <c r="B89" s="15" t="s">
        <v>27</v>
      </c>
      <c r="C89" s="14">
        <v>1814</v>
      </c>
      <c r="D89" s="14">
        <v>157</v>
      </c>
      <c r="E89" s="14">
        <v>305827</v>
      </c>
      <c r="F89" s="124">
        <v>1.99</v>
      </c>
      <c r="G89" s="14">
        <v>46643</v>
      </c>
      <c r="H89" s="20">
        <f t="shared" si="1"/>
        <v>1155.4140127388537</v>
      </c>
    </row>
    <row r="90" spans="1:8" x14ac:dyDescent="0.3">
      <c r="A90" s="3">
        <v>45600</v>
      </c>
      <c r="B90" s="15" t="s">
        <v>31</v>
      </c>
      <c r="C90" s="14">
        <v>1466</v>
      </c>
      <c r="D90" s="14">
        <v>69</v>
      </c>
      <c r="E90" s="14">
        <v>54935</v>
      </c>
      <c r="F90" s="124">
        <v>6.85</v>
      </c>
      <c r="G90" s="14">
        <v>36484</v>
      </c>
      <c r="H90" s="20">
        <f t="shared" si="1"/>
        <v>2124.6376811594205</v>
      </c>
    </row>
    <row r="91" spans="1:8" x14ac:dyDescent="0.3">
      <c r="A91" s="3">
        <v>45600</v>
      </c>
      <c r="B91" s="15" t="s">
        <v>40</v>
      </c>
      <c r="C91" s="14">
        <v>947</v>
      </c>
      <c r="D91" s="14">
        <v>407</v>
      </c>
      <c r="E91" s="14">
        <v>319186</v>
      </c>
      <c r="F91" s="124">
        <v>3.32</v>
      </c>
      <c r="G91" s="14">
        <v>4996</v>
      </c>
      <c r="H91" s="20">
        <f t="shared" si="1"/>
        <v>232.6781326781327</v>
      </c>
    </row>
    <row r="92" spans="1:8" x14ac:dyDescent="0.3">
      <c r="A92" s="3">
        <v>45600</v>
      </c>
      <c r="B92" s="15" t="s">
        <v>14</v>
      </c>
      <c r="C92" s="14">
        <v>1821</v>
      </c>
      <c r="D92" s="14">
        <v>218</v>
      </c>
      <c r="E92" s="14">
        <v>439080</v>
      </c>
      <c r="F92" s="124">
        <v>5.68</v>
      </c>
      <c r="G92" s="14">
        <v>36095</v>
      </c>
      <c r="H92" s="20">
        <f t="shared" si="1"/>
        <v>835.32110091743129</v>
      </c>
    </row>
    <row r="93" spans="1:8" x14ac:dyDescent="0.3">
      <c r="A93" s="3">
        <v>45600</v>
      </c>
      <c r="B93" s="15" t="s">
        <v>27</v>
      </c>
      <c r="C93" s="14">
        <v>1507</v>
      </c>
      <c r="D93" s="14">
        <v>463</v>
      </c>
      <c r="E93" s="14">
        <v>258944</v>
      </c>
      <c r="F93" s="124">
        <v>6.08</v>
      </c>
      <c r="G93" s="14">
        <v>16443</v>
      </c>
      <c r="H93" s="20">
        <f t="shared" si="1"/>
        <v>325.48596112311014</v>
      </c>
    </row>
    <row r="94" spans="1:8" x14ac:dyDescent="0.3">
      <c r="A94" s="3">
        <v>45607</v>
      </c>
      <c r="B94" s="15" t="s">
        <v>31</v>
      </c>
      <c r="C94" s="14">
        <v>1075</v>
      </c>
      <c r="D94" s="14">
        <v>173</v>
      </c>
      <c r="E94" s="14">
        <v>51395</v>
      </c>
      <c r="F94" s="124">
        <v>4.66</v>
      </c>
      <c r="G94" s="14">
        <v>47812</v>
      </c>
      <c r="H94" s="20">
        <f t="shared" si="1"/>
        <v>621.38728323699422</v>
      </c>
    </row>
    <row r="95" spans="1:8" x14ac:dyDescent="0.3">
      <c r="A95" s="3">
        <v>45607</v>
      </c>
      <c r="B95" s="15" t="s">
        <v>40</v>
      </c>
      <c r="C95" s="14">
        <v>171</v>
      </c>
      <c r="D95" s="14">
        <v>277</v>
      </c>
      <c r="E95" s="14">
        <v>309483</v>
      </c>
      <c r="F95" s="124">
        <v>8.6999999999999993</v>
      </c>
      <c r="G95" s="14">
        <v>38452</v>
      </c>
      <c r="H95" s="20">
        <f t="shared" si="1"/>
        <v>61.73285198555957</v>
      </c>
    </row>
    <row r="96" spans="1:8" x14ac:dyDescent="0.3">
      <c r="A96" s="3">
        <v>45607</v>
      </c>
      <c r="B96" s="15" t="s">
        <v>14</v>
      </c>
      <c r="C96" s="14">
        <v>1487</v>
      </c>
      <c r="D96" s="14">
        <v>337</v>
      </c>
      <c r="E96" s="14">
        <v>87305</v>
      </c>
      <c r="F96" s="124">
        <v>2.46</v>
      </c>
      <c r="G96" s="14">
        <v>30428</v>
      </c>
      <c r="H96" s="20">
        <f t="shared" si="1"/>
        <v>441.246290801187</v>
      </c>
    </row>
    <row r="97" spans="1:8" x14ac:dyDescent="0.3">
      <c r="A97" s="3">
        <v>45607</v>
      </c>
      <c r="B97" s="15" t="s">
        <v>27</v>
      </c>
      <c r="C97" s="14">
        <v>454</v>
      </c>
      <c r="D97" s="14">
        <v>105</v>
      </c>
      <c r="E97" s="14">
        <v>121091</v>
      </c>
      <c r="F97" s="124">
        <v>7.97</v>
      </c>
      <c r="G97" s="14">
        <v>9269</v>
      </c>
      <c r="H97" s="20">
        <f t="shared" si="1"/>
        <v>432.38095238095235</v>
      </c>
    </row>
    <row r="98" spans="1:8" x14ac:dyDescent="0.3">
      <c r="A98" s="3">
        <v>45614</v>
      </c>
      <c r="B98" s="15" t="s">
        <v>31</v>
      </c>
      <c r="C98" s="14">
        <v>187</v>
      </c>
      <c r="D98" s="14">
        <v>236</v>
      </c>
      <c r="E98" s="14">
        <v>51087</v>
      </c>
      <c r="F98" s="124">
        <v>9.41</v>
      </c>
      <c r="G98" s="14">
        <v>29533</v>
      </c>
      <c r="H98" s="20">
        <f t="shared" si="1"/>
        <v>79.237288135593218</v>
      </c>
    </row>
    <row r="99" spans="1:8" x14ac:dyDescent="0.3">
      <c r="A99" s="3">
        <v>45614</v>
      </c>
      <c r="B99" s="15" t="s">
        <v>40</v>
      </c>
      <c r="C99" s="14">
        <v>513</v>
      </c>
      <c r="D99" s="14">
        <v>441</v>
      </c>
      <c r="E99" s="14">
        <v>338847</v>
      </c>
      <c r="F99" s="124">
        <v>2.68</v>
      </c>
      <c r="G99" s="14">
        <v>39997</v>
      </c>
      <c r="H99" s="20">
        <f t="shared" si="1"/>
        <v>116.32653061224489</v>
      </c>
    </row>
    <row r="100" spans="1:8" x14ac:dyDescent="0.3">
      <c r="A100" s="3">
        <v>45614</v>
      </c>
      <c r="B100" s="15" t="s">
        <v>14</v>
      </c>
      <c r="C100" s="14">
        <v>628</v>
      </c>
      <c r="D100" s="14">
        <v>183</v>
      </c>
      <c r="E100" s="14">
        <v>487523</v>
      </c>
      <c r="F100" s="124">
        <v>7.32</v>
      </c>
      <c r="G100" s="14">
        <v>5391</v>
      </c>
      <c r="H100" s="20">
        <f t="shared" si="1"/>
        <v>343.16939890710381</v>
      </c>
    </row>
    <row r="101" spans="1:8" x14ac:dyDescent="0.3">
      <c r="A101" s="3">
        <v>45614</v>
      </c>
      <c r="B101" s="15" t="s">
        <v>27</v>
      </c>
      <c r="C101" s="14">
        <v>278</v>
      </c>
      <c r="D101" s="14">
        <v>218</v>
      </c>
      <c r="E101" s="14">
        <v>301695</v>
      </c>
      <c r="F101" s="124">
        <v>4.68</v>
      </c>
      <c r="G101" s="14">
        <v>22373</v>
      </c>
      <c r="H101" s="20">
        <f t="shared" si="1"/>
        <v>127.52293577981651</v>
      </c>
    </row>
    <row r="102" spans="1:8" x14ac:dyDescent="0.3">
      <c r="A102" s="3">
        <v>45621</v>
      </c>
      <c r="B102" s="15" t="s">
        <v>31</v>
      </c>
      <c r="C102" s="14">
        <v>1854</v>
      </c>
      <c r="D102" s="14">
        <v>161</v>
      </c>
      <c r="E102" s="14">
        <v>282466</v>
      </c>
      <c r="F102" s="124">
        <v>5.17</v>
      </c>
      <c r="G102" s="14">
        <v>1810</v>
      </c>
      <c r="H102" s="20">
        <f t="shared" si="1"/>
        <v>1151.5527950310559</v>
      </c>
    </row>
    <row r="103" spans="1:8" x14ac:dyDescent="0.3">
      <c r="A103" s="3">
        <v>45621</v>
      </c>
      <c r="B103" s="15" t="s">
        <v>40</v>
      </c>
      <c r="C103" s="14">
        <v>1710</v>
      </c>
      <c r="D103" s="14">
        <v>378</v>
      </c>
      <c r="E103" s="14">
        <v>336661</v>
      </c>
      <c r="F103" s="124">
        <v>6.2</v>
      </c>
      <c r="G103" s="14">
        <v>28498</v>
      </c>
      <c r="H103" s="20">
        <f t="shared" si="1"/>
        <v>452.38095238095235</v>
      </c>
    </row>
    <row r="104" spans="1:8" x14ac:dyDescent="0.3">
      <c r="A104" s="3">
        <v>45621</v>
      </c>
      <c r="B104" s="15" t="s">
        <v>14</v>
      </c>
      <c r="C104" s="14">
        <v>330</v>
      </c>
      <c r="D104" s="14">
        <v>232</v>
      </c>
      <c r="E104" s="14">
        <v>88455</v>
      </c>
      <c r="F104" s="124">
        <v>2.69</v>
      </c>
      <c r="G104" s="14">
        <v>39530</v>
      </c>
      <c r="H104" s="20">
        <f t="shared" si="1"/>
        <v>142.24137931034483</v>
      </c>
    </row>
    <row r="105" spans="1:8" x14ac:dyDescent="0.3">
      <c r="A105" s="3">
        <v>45621</v>
      </c>
      <c r="B105" s="15" t="s">
        <v>27</v>
      </c>
      <c r="C105" s="14">
        <v>1293</v>
      </c>
      <c r="D105" s="14">
        <v>408</v>
      </c>
      <c r="E105" s="14">
        <v>62535</v>
      </c>
      <c r="F105" s="124">
        <v>8.9</v>
      </c>
      <c r="G105" s="14">
        <v>37876</v>
      </c>
      <c r="H105" s="20">
        <f t="shared" si="1"/>
        <v>316.91176470588232</v>
      </c>
    </row>
    <row r="106" spans="1:8" x14ac:dyDescent="0.3">
      <c r="A106" s="3">
        <v>45628</v>
      </c>
      <c r="B106" s="15" t="s">
        <v>31</v>
      </c>
      <c r="C106" s="14">
        <v>1696</v>
      </c>
      <c r="D106" s="14">
        <v>71</v>
      </c>
      <c r="E106" s="14">
        <v>421957</v>
      </c>
      <c r="F106" s="124">
        <v>3.79</v>
      </c>
      <c r="G106" s="14">
        <v>36103</v>
      </c>
      <c r="H106" s="20">
        <f t="shared" si="1"/>
        <v>2388.7323943661972</v>
      </c>
    </row>
    <row r="107" spans="1:8" x14ac:dyDescent="0.3">
      <c r="A107" s="3">
        <v>45628</v>
      </c>
      <c r="B107" s="15" t="s">
        <v>40</v>
      </c>
      <c r="C107" s="14">
        <v>1902</v>
      </c>
      <c r="D107" s="14">
        <v>196</v>
      </c>
      <c r="E107" s="14">
        <v>470269</v>
      </c>
      <c r="F107" s="124">
        <v>4.79</v>
      </c>
      <c r="G107" s="14">
        <v>26103</v>
      </c>
      <c r="H107" s="20">
        <f t="shared" si="1"/>
        <v>970.40816326530614</v>
      </c>
    </row>
    <row r="108" spans="1:8" x14ac:dyDescent="0.3">
      <c r="A108" s="3">
        <v>45628</v>
      </c>
      <c r="B108" s="15" t="s">
        <v>14</v>
      </c>
      <c r="C108" s="14">
        <v>1441</v>
      </c>
      <c r="D108" s="14">
        <v>268</v>
      </c>
      <c r="E108" s="14">
        <v>309904</v>
      </c>
      <c r="F108" s="124">
        <v>6.37</v>
      </c>
      <c r="G108" s="14">
        <v>3455</v>
      </c>
      <c r="H108" s="20">
        <f t="shared" si="1"/>
        <v>537.68656716417911</v>
      </c>
    </row>
    <row r="109" spans="1:8" x14ac:dyDescent="0.3">
      <c r="A109" s="3">
        <v>45628</v>
      </c>
      <c r="B109" s="15" t="s">
        <v>27</v>
      </c>
      <c r="C109" s="14">
        <v>452</v>
      </c>
      <c r="D109" s="14">
        <v>161</v>
      </c>
      <c r="E109" s="14">
        <v>221274</v>
      </c>
      <c r="F109" s="124">
        <v>2.65</v>
      </c>
      <c r="G109" s="14">
        <v>40888</v>
      </c>
      <c r="H109" s="20">
        <f t="shared" si="1"/>
        <v>280.74534161490681</v>
      </c>
    </row>
    <row r="110" spans="1:8" x14ac:dyDescent="0.3">
      <c r="A110" s="3">
        <v>45635</v>
      </c>
      <c r="B110" s="15" t="s">
        <v>31</v>
      </c>
      <c r="C110" s="14">
        <v>1494</v>
      </c>
      <c r="D110" s="14">
        <v>375</v>
      </c>
      <c r="E110" s="14">
        <v>220616</v>
      </c>
      <c r="F110" s="124">
        <v>1.81</v>
      </c>
      <c r="G110" s="14">
        <v>22724</v>
      </c>
      <c r="H110" s="20">
        <f t="shared" si="1"/>
        <v>398.4</v>
      </c>
    </row>
    <row r="111" spans="1:8" x14ac:dyDescent="0.3">
      <c r="A111" s="3">
        <v>45635</v>
      </c>
      <c r="B111" s="15" t="s">
        <v>40</v>
      </c>
      <c r="C111" s="14">
        <v>1514</v>
      </c>
      <c r="D111" s="14">
        <v>141</v>
      </c>
      <c r="E111" s="14">
        <v>35842</v>
      </c>
      <c r="F111" s="124">
        <v>7.47</v>
      </c>
      <c r="G111" s="14">
        <v>18601</v>
      </c>
      <c r="H111" s="20">
        <f t="shared" si="1"/>
        <v>1073.758865248227</v>
      </c>
    </row>
    <row r="112" spans="1:8" x14ac:dyDescent="0.3">
      <c r="A112" s="3">
        <v>45635</v>
      </c>
      <c r="B112" s="15" t="s">
        <v>14</v>
      </c>
      <c r="C112" s="14">
        <v>1937</v>
      </c>
      <c r="D112" s="14">
        <v>210</v>
      </c>
      <c r="E112" s="14">
        <v>20607</v>
      </c>
      <c r="F112" s="124">
        <v>4.2</v>
      </c>
      <c r="G112" s="14">
        <v>20861</v>
      </c>
      <c r="H112" s="20">
        <f t="shared" si="1"/>
        <v>922.38095238095229</v>
      </c>
    </row>
    <row r="113" spans="1:8" x14ac:dyDescent="0.3">
      <c r="A113" s="3">
        <v>45635</v>
      </c>
      <c r="B113" s="15" t="s">
        <v>27</v>
      </c>
      <c r="C113" s="14">
        <v>736</v>
      </c>
      <c r="D113" s="14">
        <v>163</v>
      </c>
      <c r="E113" s="14">
        <v>451894</v>
      </c>
      <c r="F113" s="124">
        <v>5.43</v>
      </c>
      <c r="G113" s="14">
        <v>46625</v>
      </c>
      <c r="H113" s="20">
        <f t="shared" si="1"/>
        <v>451.53374233128829</v>
      </c>
    </row>
    <row r="114" spans="1:8" x14ac:dyDescent="0.3">
      <c r="A114" s="3">
        <v>45642</v>
      </c>
      <c r="B114" s="15" t="s">
        <v>31</v>
      </c>
      <c r="C114" s="14">
        <v>1502</v>
      </c>
      <c r="D114" s="14">
        <v>70</v>
      </c>
      <c r="E114" s="14">
        <v>465553</v>
      </c>
      <c r="F114" s="124">
        <v>3.32</v>
      </c>
      <c r="G114" s="14">
        <v>20692</v>
      </c>
      <c r="H114" s="20">
        <f t="shared" si="1"/>
        <v>2145.7142857142853</v>
      </c>
    </row>
    <row r="115" spans="1:8" x14ac:dyDescent="0.3">
      <c r="A115" s="3">
        <v>45642</v>
      </c>
      <c r="B115" s="15" t="s">
        <v>40</v>
      </c>
      <c r="C115" s="14">
        <v>1623</v>
      </c>
      <c r="D115" s="14">
        <v>246</v>
      </c>
      <c r="E115" s="14">
        <v>415815</v>
      </c>
      <c r="F115" s="124">
        <v>8.11</v>
      </c>
      <c r="G115" s="14">
        <v>18656</v>
      </c>
      <c r="H115" s="20">
        <f t="shared" si="1"/>
        <v>659.7560975609756</v>
      </c>
    </row>
    <row r="116" spans="1:8" x14ac:dyDescent="0.3">
      <c r="A116" s="3">
        <v>45642</v>
      </c>
      <c r="B116" s="15" t="s">
        <v>14</v>
      </c>
      <c r="C116" s="14">
        <v>1592</v>
      </c>
      <c r="D116" s="14">
        <v>233</v>
      </c>
      <c r="E116" s="14">
        <v>327183</v>
      </c>
      <c r="F116" s="124">
        <v>6.66</v>
      </c>
      <c r="G116" s="14">
        <v>13316</v>
      </c>
      <c r="H116" s="20">
        <f t="shared" si="1"/>
        <v>683.26180257510737</v>
      </c>
    </row>
    <row r="117" spans="1:8" x14ac:dyDescent="0.3">
      <c r="A117" s="3">
        <v>45642</v>
      </c>
      <c r="B117" s="15" t="s">
        <v>27</v>
      </c>
      <c r="C117" s="14">
        <v>1004</v>
      </c>
      <c r="D117" s="14">
        <v>128</v>
      </c>
      <c r="E117" s="14">
        <v>488901</v>
      </c>
      <c r="F117" s="124">
        <v>8.09</v>
      </c>
      <c r="G117" s="14">
        <v>49558</v>
      </c>
      <c r="H117" s="20">
        <f t="shared" si="1"/>
        <v>784.375</v>
      </c>
    </row>
    <row r="118" spans="1:8" x14ac:dyDescent="0.3">
      <c r="A118" s="3">
        <v>45649</v>
      </c>
      <c r="B118" s="15" t="s">
        <v>31</v>
      </c>
      <c r="C118" s="14">
        <v>1092</v>
      </c>
      <c r="D118" s="14">
        <v>408</v>
      </c>
      <c r="E118" s="14">
        <v>280795</v>
      </c>
      <c r="F118" s="124">
        <v>8.44</v>
      </c>
      <c r="G118" s="14">
        <v>4683</v>
      </c>
      <c r="H118" s="20">
        <f t="shared" si="1"/>
        <v>267.64705882352939</v>
      </c>
    </row>
    <row r="119" spans="1:8" x14ac:dyDescent="0.3">
      <c r="A119" s="3">
        <v>45649</v>
      </c>
      <c r="B119" s="15" t="s">
        <v>40</v>
      </c>
      <c r="C119" s="14">
        <v>1155</v>
      </c>
      <c r="D119" s="14">
        <v>425</v>
      </c>
      <c r="E119" s="14">
        <v>93347</v>
      </c>
      <c r="F119" s="124">
        <v>2.02</v>
      </c>
      <c r="G119" s="14">
        <v>47502</v>
      </c>
      <c r="H119" s="20">
        <f t="shared" si="1"/>
        <v>271.76470588235293</v>
      </c>
    </row>
    <row r="120" spans="1:8" x14ac:dyDescent="0.3">
      <c r="A120" s="3">
        <v>45649</v>
      </c>
      <c r="B120" s="15" t="s">
        <v>14</v>
      </c>
      <c r="C120" s="14">
        <v>1137</v>
      </c>
      <c r="D120" s="14">
        <v>226</v>
      </c>
      <c r="E120" s="14">
        <v>81119</v>
      </c>
      <c r="F120" s="124">
        <v>7.74</v>
      </c>
      <c r="G120" s="14">
        <v>35359</v>
      </c>
      <c r="H120" s="20">
        <f t="shared" si="1"/>
        <v>503.09734513274338</v>
      </c>
    </row>
    <row r="121" spans="1:8" x14ac:dyDescent="0.3">
      <c r="A121" s="3">
        <v>45649</v>
      </c>
      <c r="B121" s="15" t="s">
        <v>27</v>
      </c>
      <c r="C121" s="14">
        <v>1900</v>
      </c>
      <c r="D121" s="14">
        <v>311</v>
      </c>
      <c r="E121" s="14">
        <v>25177</v>
      </c>
      <c r="F121" s="124">
        <v>2.89</v>
      </c>
      <c r="G121" s="14">
        <v>14154</v>
      </c>
      <c r="H121" s="20">
        <f t="shared" si="1"/>
        <v>610.93247588424435</v>
      </c>
    </row>
    <row r="122" spans="1:8" x14ac:dyDescent="0.3">
      <c r="A122" s="3">
        <v>45656</v>
      </c>
      <c r="B122" s="15" t="s">
        <v>31</v>
      </c>
      <c r="C122" s="14">
        <v>1814</v>
      </c>
      <c r="D122" s="14">
        <v>49</v>
      </c>
      <c r="E122" s="14">
        <v>140804</v>
      </c>
      <c r="F122" s="124">
        <v>1.76</v>
      </c>
      <c r="G122" s="14">
        <v>4313</v>
      </c>
      <c r="H122" s="20">
        <f t="shared" si="1"/>
        <v>3702.0408163265311</v>
      </c>
    </row>
    <row r="123" spans="1:8" x14ac:dyDescent="0.3">
      <c r="A123" s="3">
        <v>45656</v>
      </c>
      <c r="B123" s="15" t="s">
        <v>40</v>
      </c>
      <c r="C123" s="14">
        <v>1980</v>
      </c>
      <c r="D123" s="14">
        <v>204</v>
      </c>
      <c r="E123" s="14">
        <v>379431</v>
      </c>
      <c r="F123" s="124">
        <v>3.09</v>
      </c>
      <c r="G123" s="14">
        <v>25140</v>
      </c>
      <c r="H123" s="20">
        <f t="shared" si="1"/>
        <v>970.58823529411757</v>
      </c>
    </row>
    <row r="124" spans="1:8" x14ac:dyDescent="0.3">
      <c r="A124" s="3">
        <v>45656</v>
      </c>
      <c r="B124" s="15" t="s">
        <v>14</v>
      </c>
      <c r="C124" s="14">
        <v>1786</v>
      </c>
      <c r="D124" s="14">
        <v>257</v>
      </c>
      <c r="E124" s="14">
        <v>274831</v>
      </c>
      <c r="F124" s="124">
        <v>4.68</v>
      </c>
      <c r="G124" s="14">
        <v>9118</v>
      </c>
      <c r="H124" s="20">
        <f t="shared" si="1"/>
        <v>694.9416342412452</v>
      </c>
    </row>
    <row r="125" spans="1:8" x14ac:dyDescent="0.3">
      <c r="A125" s="3">
        <v>45656</v>
      </c>
      <c r="B125" s="15" t="s">
        <v>27</v>
      </c>
      <c r="C125" s="14">
        <v>1495</v>
      </c>
      <c r="D125" s="14">
        <v>35</v>
      </c>
      <c r="E125" s="14">
        <v>136845</v>
      </c>
      <c r="F125" s="124">
        <v>4.4800000000000004</v>
      </c>
      <c r="G125" s="14">
        <v>39931</v>
      </c>
      <c r="H125" s="20">
        <f t="shared" si="1"/>
        <v>4271.4285714285716</v>
      </c>
    </row>
    <row r="126" spans="1:8" x14ac:dyDescent="0.3">
      <c r="A126" s="3">
        <v>45663</v>
      </c>
      <c r="B126" s="15" t="s">
        <v>31</v>
      </c>
      <c r="C126" s="14">
        <v>1013</v>
      </c>
      <c r="D126" s="14">
        <v>110</v>
      </c>
      <c r="E126" s="14">
        <v>466382</v>
      </c>
      <c r="F126" s="124">
        <v>5.3</v>
      </c>
      <c r="G126" s="14">
        <v>37132</v>
      </c>
      <c r="H126" s="20">
        <f t="shared" si="1"/>
        <v>920.90909090909088</v>
      </c>
    </row>
    <row r="127" spans="1:8" x14ac:dyDescent="0.3">
      <c r="A127" s="3">
        <v>45663</v>
      </c>
      <c r="B127" s="15" t="s">
        <v>40</v>
      </c>
      <c r="C127" s="14">
        <v>816</v>
      </c>
      <c r="D127" s="14">
        <v>196</v>
      </c>
      <c r="E127" s="14">
        <v>95728</v>
      </c>
      <c r="F127" s="124">
        <v>8.1999999999999993</v>
      </c>
      <c r="G127" s="14">
        <v>17951</v>
      </c>
      <c r="H127" s="20">
        <f t="shared" si="1"/>
        <v>416.32653061224494</v>
      </c>
    </row>
    <row r="128" spans="1:8" x14ac:dyDescent="0.3">
      <c r="A128" s="3">
        <v>45663</v>
      </c>
      <c r="B128" s="15" t="s">
        <v>14</v>
      </c>
      <c r="C128" s="14">
        <v>1633</v>
      </c>
      <c r="D128" s="14">
        <v>445</v>
      </c>
      <c r="E128" s="14">
        <v>371156</v>
      </c>
      <c r="F128" s="124">
        <v>2.2200000000000002</v>
      </c>
      <c r="G128" s="14">
        <v>2798</v>
      </c>
      <c r="H128" s="20">
        <f t="shared" si="1"/>
        <v>366.96629213483146</v>
      </c>
    </row>
    <row r="129" spans="1:8" x14ac:dyDescent="0.3">
      <c r="A129" s="3">
        <v>45663</v>
      </c>
      <c r="B129" s="15" t="s">
        <v>27</v>
      </c>
      <c r="C129" s="14">
        <v>891</v>
      </c>
      <c r="D129" s="14">
        <v>45</v>
      </c>
      <c r="E129" s="14">
        <v>95410</v>
      </c>
      <c r="F129" s="124">
        <v>8.33</v>
      </c>
      <c r="G129" s="14">
        <v>15045</v>
      </c>
      <c r="H129" s="20">
        <f t="shared" si="1"/>
        <v>1980</v>
      </c>
    </row>
    <row r="130" spans="1:8" x14ac:dyDescent="0.3">
      <c r="A130" s="3">
        <v>45670</v>
      </c>
      <c r="B130" s="15" t="s">
        <v>31</v>
      </c>
      <c r="C130" s="14">
        <v>1855</v>
      </c>
      <c r="D130" s="14">
        <v>133</v>
      </c>
      <c r="E130" s="14">
        <v>349413</v>
      </c>
      <c r="F130" s="124">
        <v>3.3</v>
      </c>
      <c r="G130" s="14">
        <v>14548</v>
      </c>
      <c r="H130" s="20">
        <f t="shared" si="1"/>
        <v>1394.7368421052631</v>
      </c>
    </row>
    <row r="131" spans="1:8" x14ac:dyDescent="0.3">
      <c r="A131" s="3">
        <v>45670</v>
      </c>
      <c r="B131" s="15" t="s">
        <v>40</v>
      </c>
      <c r="C131" s="14">
        <v>651</v>
      </c>
      <c r="D131" s="14">
        <v>353</v>
      </c>
      <c r="E131" s="14">
        <v>224699</v>
      </c>
      <c r="F131" s="124">
        <v>5.61</v>
      </c>
      <c r="G131" s="14">
        <v>45708</v>
      </c>
      <c r="H131" s="20">
        <f t="shared" ref="H131:H194" si="2">(C131/D131)*100</f>
        <v>184.41926345609065</v>
      </c>
    </row>
    <row r="132" spans="1:8" x14ac:dyDescent="0.3">
      <c r="A132" s="3">
        <v>45670</v>
      </c>
      <c r="B132" s="15" t="s">
        <v>14</v>
      </c>
      <c r="C132" s="14">
        <v>118</v>
      </c>
      <c r="D132" s="14">
        <v>262</v>
      </c>
      <c r="E132" s="14">
        <v>487896</v>
      </c>
      <c r="F132" s="124">
        <v>2.56</v>
      </c>
      <c r="G132" s="14">
        <v>12350</v>
      </c>
      <c r="H132" s="20">
        <f t="shared" si="2"/>
        <v>45.038167938931295</v>
      </c>
    </row>
    <row r="133" spans="1:8" x14ac:dyDescent="0.3">
      <c r="A133" s="3">
        <v>45670</v>
      </c>
      <c r="B133" s="15" t="s">
        <v>27</v>
      </c>
      <c r="C133" s="14">
        <v>1331</v>
      </c>
      <c r="D133" s="14">
        <v>430</v>
      </c>
      <c r="E133" s="14">
        <v>14437</v>
      </c>
      <c r="F133" s="124">
        <v>3.29</v>
      </c>
      <c r="G133" s="14">
        <v>40868</v>
      </c>
      <c r="H133" s="20">
        <f t="shared" si="2"/>
        <v>309.53488372093022</v>
      </c>
    </row>
    <row r="134" spans="1:8" x14ac:dyDescent="0.3">
      <c r="A134" s="3">
        <v>45677</v>
      </c>
      <c r="B134" s="15" t="s">
        <v>31</v>
      </c>
      <c r="C134" s="14">
        <v>1748</v>
      </c>
      <c r="D134" s="14">
        <v>176</v>
      </c>
      <c r="E134" s="14">
        <v>383681</v>
      </c>
      <c r="F134" s="124">
        <v>9.24</v>
      </c>
      <c r="G134" s="14">
        <v>43122</v>
      </c>
      <c r="H134" s="20">
        <f t="shared" si="2"/>
        <v>993.18181818181813</v>
      </c>
    </row>
    <row r="135" spans="1:8" x14ac:dyDescent="0.3">
      <c r="A135" s="3">
        <v>45677</v>
      </c>
      <c r="B135" s="15" t="s">
        <v>40</v>
      </c>
      <c r="C135" s="14">
        <v>663</v>
      </c>
      <c r="D135" s="14">
        <v>236</v>
      </c>
      <c r="E135" s="14">
        <v>479490</v>
      </c>
      <c r="F135" s="124">
        <v>4.51</v>
      </c>
      <c r="G135" s="14">
        <v>23853</v>
      </c>
      <c r="H135" s="20">
        <f t="shared" si="2"/>
        <v>280.93220338983048</v>
      </c>
    </row>
    <row r="136" spans="1:8" x14ac:dyDescent="0.3">
      <c r="A136" s="3">
        <v>45677</v>
      </c>
      <c r="B136" s="15" t="s">
        <v>14</v>
      </c>
      <c r="C136" s="14">
        <v>1040</v>
      </c>
      <c r="D136" s="14">
        <v>149</v>
      </c>
      <c r="E136" s="14">
        <v>124404</v>
      </c>
      <c r="F136" s="124">
        <v>5.23</v>
      </c>
      <c r="G136" s="14">
        <v>45380</v>
      </c>
      <c r="H136" s="20">
        <f t="shared" si="2"/>
        <v>697.98657718120808</v>
      </c>
    </row>
    <row r="137" spans="1:8" x14ac:dyDescent="0.3">
      <c r="A137" s="3">
        <v>45677</v>
      </c>
      <c r="B137" s="15" t="s">
        <v>27</v>
      </c>
      <c r="C137" s="14">
        <v>1166</v>
      </c>
      <c r="D137" s="14">
        <v>442</v>
      </c>
      <c r="E137" s="14">
        <v>336949</v>
      </c>
      <c r="F137" s="124">
        <v>4.68</v>
      </c>
      <c r="G137" s="14">
        <v>7705</v>
      </c>
      <c r="H137" s="20">
        <f t="shared" si="2"/>
        <v>263.80090497737558</v>
      </c>
    </row>
    <row r="138" spans="1:8" x14ac:dyDescent="0.3">
      <c r="A138" s="3">
        <v>45684</v>
      </c>
      <c r="B138" s="15" t="s">
        <v>31</v>
      </c>
      <c r="C138" s="14">
        <v>115</v>
      </c>
      <c r="D138" s="14">
        <v>281</v>
      </c>
      <c r="E138" s="14">
        <v>357265</v>
      </c>
      <c r="F138" s="124">
        <v>9.23</v>
      </c>
      <c r="G138" s="14">
        <v>25525</v>
      </c>
      <c r="H138" s="20">
        <f t="shared" si="2"/>
        <v>40.92526690391459</v>
      </c>
    </row>
    <row r="139" spans="1:8" x14ac:dyDescent="0.3">
      <c r="A139" s="3">
        <v>45684</v>
      </c>
      <c r="B139" s="15" t="s">
        <v>40</v>
      </c>
      <c r="C139" s="14">
        <v>1249</v>
      </c>
      <c r="D139" s="14">
        <v>351</v>
      </c>
      <c r="E139" s="14">
        <v>321307</v>
      </c>
      <c r="F139" s="124">
        <v>6.37</v>
      </c>
      <c r="G139" s="14">
        <v>20560</v>
      </c>
      <c r="H139" s="20">
        <f t="shared" si="2"/>
        <v>355.84045584045583</v>
      </c>
    </row>
    <row r="140" spans="1:8" x14ac:dyDescent="0.3">
      <c r="A140" s="3">
        <v>45684</v>
      </c>
      <c r="B140" s="15" t="s">
        <v>14</v>
      </c>
      <c r="C140" s="14">
        <v>1501</v>
      </c>
      <c r="D140" s="14">
        <v>75</v>
      </c>
      <c r="E140" s="14">
        <v>262569</v>
      </c>
      <c r="F140" s="124">
        <v>2.0099999999999998</v>
      </c>
      <c r="G140" s="14">
        <v>19119</v>
      </c>
      <c r="H140" s="20">
        <f t="shared" si="2"/>
        <v>2001.3333333333333</v>
      </c>
    </row>
    <row r="141" spans="1:8" x14ac:dyDescent="0.3">
      <c r="A141" s="3">
        <v>45684</v>
      </c>
      <c r="B141" s="15" t="s">
        <v>27</v>
      </c>
      <c r="C141" s="14">
        <v>1411</v>
      </c>
      <c r="D141" s="14">
        <v>186</v>
      </c>
      <c r="E141" s="14">
        <v>461669</v>
      </c>
      <c r="F141" s="124">
        <v>3.72</v>
      </c>
      <c r="G141" s="14">
        <v>43999</v>
      </c>
      <c r="H141" s="20">
        <f t="shared" si="2"/>
        <v>758.60215053763443</v>
      </c>
    </row>
    <row r="142" spans="1:8" x14ac:dyDescent="0.3">
      <c r="A142" s="3">
        <v>45691</v>
      </c>
      <c r="B142" s="15" t="s">
        <v>31</v>
      </c>
      <c r="C142" s="14">
        <v>1556</v>
      </c>
      <c r="D142" s="14">
        <v>476</v>
      </c>
      <c r="E142" s="14">
        <v>351556</v>
      </c>
      <c r="F142" s="124">
        <v>3.89</v>
      </c>
      <c r="G142" s="14">
        <v>10825</v>
      </c>
      <c r="H142" s="20">
        <f t="shared" si="2"/>
        <v>326.89075630252103</v>
      </c>
    </row>
    <row r="143" spans="1:8" x14ac:dyDescent="0.3">
      <c r="A143" s="3">
        <v>45691</v>
      </c>
      <c r="B143" s="15" t="s">
        <v>40</v>
      </c>
      <c r="C143" s="14">
        <v>1159</v>
      </c>
      <c r="D143" s="14">
        <v>411</v>
      </c>
      <c r="E143" s="14">
        <v>135987</v>
      </c>
      <c r="F143" s="124">
        <v>8.6999999999999993</v>
      </c>
      <c r="G143" s="14">
        <v>40323</v>
      </c>
      <c r="H143" s="20">
        <f t="shared" si="2"/>
        <v>281.99513381995132</v>
      </c>
    </row>
    <row r="144" spans="1:8" x14ac:dyDescent="0.3">
      <c r="A144" s="3">
        <v>45691</v>
      </c>
      <c r="B144" s="15" t="s">
        <v>14</v>
      </c>
      <c r="C144" s="14">
        <v>927</v>
      </c>
      <c r="D144" s="14">
        <v>358</v>
      </c>
      <c r="E144" s="14">
        <v>177554</v>
      </c>
      <c r="F144" s="124">
        <v>6.95</v>
      </c>
      <c r="G144" s="14">
        <v>48270</v>
      </c>
      <c r="H144" s="20">
        <f t="shared" si="2"/>
        <v>258.93854748603349</v>
      </c>
    </row>
    <row r="145" spans="1:8" x14ac:dyDescent="0.3">
      <c r="A145" s="3">
        <v>45691</v>
      </c>
      <c r="B145" s="15" t="s">
        <v>27</v>
      </c>
      <c r="C145" s="14">
        <v>152</v>
      </c>
      <c r="D145" s="14">
        <v>355</v>
      </c>
      <c r="E145" s="14">
        <v>270766</v>
      </c>
      <c r="F145" s="124">
        <v>9.48</v>
      </c>
      <c r="G145" s="14">
        <v>18001</v>
      </c>
      <c r="H145" s="20">
        <f t="shared" si="2"/>
        <v>42.816901408450704</v>
      </c>
    </row>
    <row r="146" spans="1:8" x14ac:dyDescent="0.3">
      <c r="A146" s="3">
        <v>45698</v>
      </c>
      <c r="B146" s="15" t="s">
        <v>31</v>
      </c>
      <c r="C146" s="14">
        <v>1957</v>
      </c>
      <c r="D146" s="14">
        <v>234</v>
      </c>
      <c r="E146" s="14">
        <v>222126</v>
      </c>
      <c r="F146" s="124">
        <v>4.6100000000000003</v>
      </c>
      <c r="G146" s="14">
        <v>3314</v>
      </c>
      <c r="H146" s="20">
        <f t="shared" si="2"/>
        <v>836.32478632478637</v>
      </c>
    </row>
    <row r="147" spans="1:8" x14ac:dyDescent="0.3">
      <c r="A147" s="3">
        <v>45698</v>
      </c>
      <c r="B147" s="15" t="s">
        <v>40</v>
      </c>
      <c r="C147" s="14">
        <v>1294</v>
      </c>
      <c r="D147" s="14">
        <v>382</v>
      </c>
      <c r="E147" s="14">
        <v>309914</v>
      </c>
      <c r="F147" s="124">
        <v>8.0299999999999994</v>
      </c>
      <c r="G147" s="14">
        <v>23489</v>
      </c>
      <c r="H147" s="20">
        <f t="shared" si="2"/>
        <v>338.74345549738217</v>
      </c>
    </row>
    <row r="148" spans="1:8" x14ac:dyDescent="0.3">
      <c r="A148" s="3">
        <v>45698</v>
      </c>
      <c r="B148" s="15" t="s">
        <v>14</v>
      </c>
      <c r="C148" s="14">
        <v>1587</v>
      </c>
      <c r="D148" s="14">
        <v>385</v>
      </c>
      <c r="E148" s="14">
        <v>126582</v>
      </c>
      <c r="F148" s="124">
        <v>6.99</v>
      </c>
      <c r="G148" s="14">
        <v>42832</v>
      </c>
      <c r="H148" s="20">
        <f t="shared" si="2"/>
        <v>412.20779220779224</v>
      </c>
    </row>
    <row r="149" spans="1:8" x14ac:dyDescent="0.3">
      <c r="A149" s="3">
        <v>45698</v>
      </c>
      <c r="B149" s="15" t="s">
        <v>27</v>
      </c>
      <c r="C149" s="14">
        <v>1707</v>
      </c>
      <c r="D149" s="14">
        <v>263</v>
      </c>
      <c r="E149" s="14">
        <v>485280</v>
      </c>
      <c r="F149" s="124">
        <v>9.0299999999999994</v>
      </c>
      <c r="G149" s="14">
        <v>24494</v>
      </c>
      <c r="H149" s="20">
        <f t="shared" si="2"/>
        <v>649.04942965779469</v>
      </c>
    </row>
    <row r="150" spans="1:8" x14ac:dyDescent="0.3">
      <c r="A150" s="3">
        <v>45705</v>
      </c>
      <c r="B150" s="15" t="s">
        <v>31</v>
      </c>
      <c r="C150" s="14">
        <v>1138</v>
      </c>
      <c r="D150" s="14">
        <v>173</v>
      </c>
      <c r="E150" s="14">
        <v>453243</v>
      </c>
      <c r="F150" s="124">
        <v>2.86</v>
      </c>
      <c r="G150" s="14">
        <v>44097</v>
      </c>
      <c r="H150" s="20">
        <f t="shared" si="2"/>
        <v>657.80346820809245</v>
      </c>
    </row>
    <row r="151" spans="1:8" x14ac:dyDescent="0.3">
      <c r="A151" s="3">
        <v>45705</v>
      </c>
      <c r="B151" s="15" t="s">
        <v>40</v>
      </c>
      <c r="C151" s="14">
        <v>1895</v>
      </c>
      <c r="D151" s="14">
        <v>305</v>
      </c>
      <c r="E151" s="14">
        <v>104967</v>
      </c>
      <c r="F151" s="124">
        <v>3.85</v>
      </c>
      <c r="G151" s="14">
        <v>31853</v>
      </c>
      <c r="H151" s="20">
        <f t="shared" si="2"/>
        <v>621.31147540983602</v>
      </c>
    </row>
    <row r="152" spans="1:8" x14ac:dyDescent="0.3">
      <c r="A152" s="3">
        <v>45705</v>
      </c>
      <c r="B152" s="15" t="s">
        <v>14</v>
      </c>
      <c r="C152" s="14">
        <v>362</v>
      </c>
      <c r="D152" s="14">
        <v>399</v>
      </c>
      <c r="E152" s="14">
        <v>145608</v>
      </c>
      <c r="F152" s="124">
        <v>7.3</v>
      </c>
      <c r="G152" s="14">
        <v>37636</v>
      </c>
      <c r="H152" s="20">
        <f t="shared" si="2"/>
        <v>90.726817042606513</v>
      </c>
    </row>
    <row r="153" spans="1:8" x14ac:dyDescent="0.3">
      <c r="A153" s="3">
        <v>45705</v>
      </c>
      <c r="B153" s="15" t="s">
        <v>27</v>
      </c>
      <c r="C153" s="14">
        <v>1662</v>
      </c>
      <c r="D153" s="14">
        <v>487</v>
      </c>
      <c r="E153" s="14">
        <v>105980</v>
      </c>
      <c r="F153" s="124">
        <v>9.08</v>
      </c>
      <c r="G153" s="14">
        <v>22996</v>
      </c>
      <c r="H153" s="20">
        <f t="shared" si="2"/>
        <v>341.27310061601645</v>
      </c>
    </row>
    <row r="154" spans="1:8" x14ac:dyDescent="0.3">
      <c r="A154" s="3">
        <v>45712</v>
      </c>
      <c r="B154" s="15" t="s">
        <v>31</v>
      </c>
      <c r="C154" s="14">
        <v>1440</v>
      </c>
      <c r="D154" s="14">
        <v>65</v>
      </c>
      <c r="E154" s="14">
        <v>126524</v>
      </c>
      <c r="F154" s="124">
        <v>4.34</v>
      </c>
      <c r="G154" s="14">
        <v>49772</v>
      </c>
      <c r="H154" s="20">
        <f t="shared" si="2"/>
        <v>2215.3846153846152</v>
      </c>
    </row>
    <row r="155" spans="1:8" x14ac:dyDescent="0.3">
      <c r="A155" s="3">
        <v>45712</v>
      </c>
      <c r="B155" s="15" t="s">
        <v>40</v>
      </c>
      <c r="C155" s="14">
        <v>1884</v>
      </c>
      <c r="D155" s="14">
        <v>177</v>
      </c>
      <c r="E155" s="14">
        <v>230448</v>
      </c>
      <c r="F155" s="124">
        <v>7.8</v>
      </c>
      <c r="G155" s="14">
        <v>22713</v>
      </c>
      <c r="H155" s="20">
        <f t="shared" si="2"/>
        <v>1064.406779661017</v>
      </c>
    </row>
    <row r="156" spans="1:8" x14ac:dyDescent="0.3">
      <c r="A156" s="3">
        <v>45712</v>
      </c>
      <c r="B156" s="15" t="s">
        <v>14</v>
      </c>
      <c r="C156" s="14">
        <v>861</v>
      </c>
      <c r="D156" s="14">
        <v>153</v>
      </c>
      <c r="E156" s="14">
        <v>317007</v>
      </c>
      <c r="F156" s="124">
        <v>3.85</v>
      </c>
      <c r="G156" s="14">
        <v>8718</v>
      </c>
      <c r="H156" s="20">
        <f t="shared" si="2"/>
        <v>562.74509803921569</v>
      </c>
    </row>
    <row r="157" spans="1:8" x14ac:dyDescent="0.3">
      <c r="A157" s="3">
        <v>45712</v>
      </c>
      <c r="B157" s="15" t="s">
        <v>27</v>
      </c>
      <c r="C157" s="14">
        <v>1063</v>
      </c>
      <c r="D157" s="14">
        <v>47</v>
      </c>
      <c r="E157" s="14">
        <v>464239</v>
      </c>
      <c r="F157" s="124">
        <v>6.58</v>
      </c>
      <c r="G157" s="14">
        <v>39031</v>
      </c>
      <c r="H157" s="20">
        <f t="shared" si="2"/>
        <v>2261.7021276595742</v>
      </c>
    </row>
    <row r="158" spans="1:8" x14ac:dyDescent="0.3">
      <c r="A158" s="3">
        <v>45719</v>
      </c>
      <c r="B158" s="15" t="s">
        <v>31</v>
      </c>
      <c r="C158" s="14">
        <v>1371</v>
      </c>
      <c r="D158" s="14">
        <v>56</v>
      </c>
      <c r="E158" s="14">
        <v>257579</v>
      </c>
      <c r="F158" s="124">
        <v>8.6199999999999992</v>
      </c>
      <c r="G158" s="14">
        <v>33799</v>
      </c>
      <c r="H158" s="20">
        <f t="shared" si="2"/>
        <v>2448.2142857142858</v>
      </c>
    </row>
    <row r="159" spans="1:8" x14ac:dyDescent="0.3">
      <c r="A159" s="3">
        <v>45719</v>
      </c>
      <c r="B159" s="15" t="s">
        <v>40</v>
      </c>
      <c r="C159" s="14">
        <v>345</v>
      </c>
      <c r="D159" s="14">
        <v>464</v>
      </c>
      <c r="E159" s="14">
        <v>366881</v>
      </c>
      <c r="F159" s="124">
        <v>4.55</v>
      </c>
      <c r="G159" s="14">
        <v>20553</v>
      </c>
      <c r="H159" s="20">
        <f t="shared" si="2"/>
        <v>74.353448275862064</v>
      </c>
    </row>
    <row r="160" spans="1:8" x14ac:dyDescent="0.3">
      <c r="A160" s="3">
        <v>45719</v>
      </c>
      <c r="B160" s="15" t="s">
        <v>14</v>
      </c>
      <c r="C160" s="14">
        <v>946</v>
      </c>
      <c r="D160" s="14">
        <v>47</v>
      </c>
      <c r="E160" s="14">
        <v>466575</v>
      </c>
      <c r="F160" s="124">
        <v>8.33</v>
      </c>
      <c r="G160" s="14">
        <v>10002</v>
      </c>
      <c r="H160" s="20">
        <f t="shared" si="2"/>
        <v>2012.7659574468087</v>
      </c>
    </row>
    <row r="161" spans="1:8" x14ac:dyDescent="0.3">
      <c r="A161" s="3">
        <v>45719</v>
      </c>
      <c r="B161" s="15" t="s">
        <v>27</v>
      </c>
      <c r="C161" s="14">
        <v>510</v>
      </c>
      <c r="D161" s="14">
        <v>195</v>
      </c>
      <c r="E161" s="14">
        <v>224534</v>
      </c>
      <c r="F161" s="124">
        <v>9.4</v>
      </c>
      <c r="G161" s="14">
        <v>30987</v>
      </c>
      <c r="H161" s="20">
        <f t="shared" si="2"/>
        <v>261.53846153846155</v>
      </c>
    </row>
    <row r="162" spans="1:8" x14ac:dyDescent="0.3">
      <c r="A162" s="3">
        <v>45726</v>
      </c>
      <c r="B162" s="15" t="s">
        <v>31</v>
      </c>
      <c r="C162" s="14">
        <v>393</v>
      </c>
      <c r="D162" s="14">
        <v>181</v>
      </c>
      <c r="E162" s="14">
        <v>462142</v>
      </c>
      <c r="F162" s="124">
        <v>7.23</v>
      </c>
      <c r="G162" s="14">
        <v>6296</v>
      </c>
      <c r="H162" s="20">
        <f t="shared" si="2"/>
        <v>217.12707182320443</v>
      </c>
    </row>
    <row r="163" spans="1:8" x14ac:dyDescent="0.3">
      <c r="A163" s="3">
        <v>45726</v>
      </c>
      <c r="B163" s="15" t="s">
        <v>40</v>
      </c>
      <c r="C163" s="14">
        <v>1098</v>
      </c>
      <c r="D163" s="14">
        <v>190</v>
      </c>
      <c r="E163" s="14">
        <v>340842</v>
      </c>
      <c r="F163" s="124">
        <v>9.39</v>
      </c>
      <c r="G163" s="14">
        <v>21539</v>
      </c>
      <c r="H163" s="20">
        <f t="shared" si="2"/>
        <v>577.8947368421052</v>
      </c>
    </row>
    <row r="164" spans="1:8" x14ac:dyDescent="0.3">
      <c r="A164" s="3">
        <v>45726</v>
      </c>
      <c r="B164" s="15" t="s">
        <v>14</v>
      </c>
      <c r="C164" s="14">
        <v>1399</v>
      </c>
      <c r="D164" s="14">
        <v>49</v>
      </c>
      <c r="E164" s="14">
        <v>12471</v>
      </c>
      <c r="F164" s="124">
        <v>5.12</v>
      </c>
      <c r="G164" s="14">
        <v>14722</v>
      </c>
      <c r="H164" s="20">
        <f t="shared" si="2"/>
        <v>2855.1020408163263</v>
      </c>
    </row>
    <row r="165" spans="1:8" x14ac:dyDescent="0.3">
      <c r="A165" s="3">
        <v>45726</v>
      </c>
      <c r="B165" s="15" t="s">
        <v>27</v>
      </c>
      <c r="C165" s="14">
        <v>1658</v>
      </c>
      <c r="D165" s="14">
        <v>416</v>
      </c>
      <c r="E165" s="14">
        <v>98397</v>
      </c>
      <c r="F165" s="124">
        <v>6.11</v>
      </c>
      <c r="G165" s="14">
        <v>11383</v>
      </c>
      <c r="H165" s="20">
        <f t="shared" si="2"/>
        <v>398.55769230769226</v>
      </c>
    </row>
    <row r="166" spans="1:8" x14ac:dyDescent="0.3">
      <c r="A166" s="3">
        <v>45733</v>
      </c>
      <c r="B166" s="15" t="s">
        <v>31</v>
      </c>
      <c r="C166" s="14">
        <v>1102</v>
      </c>
      <c r="D166" s="14">
        <v>422</v>
      </c>
      <c r="E166" s="14">
        <v>410330</v>
      </c>
      <c r="F166" s="124">
        <v>7.74</v>
      </c>
      <c r="G166" s="14">
        <v>9480</v>
      </c>
      <c r="H166" s="20">
        <f t="shared" si="2"/>
        <v>261.13744075829385</v>
      </c>
    </row>
    <row r="167" spans="1:8" x14ac:dyDescent="0.3">
      <c r="A167" s="3">
        <v>45733</v>
      </c>
      <c r="B167" s="15" t="s">
        <v>40</v>
      </c>
      <c r="C167" s="14">
        <v>1358</v>
      </c>
      <c r="D167" s="14">
        <v>242</v>
      </c>
      <c r="E167" s="14">
        <v>342129</v>
      </c>
      <c r="F167" s="124">
        <v>4.9400000000000004</v>
      </c>
      <c r="G167" s="14">
        <v>29116</v>
      </c>
      <c r="H167" s="20">
        <f t="shared" si="2"/>
        <v>561.15702479338847</v>
      </c>
    </row>
    <row r="168" spans="1:8" x14ac:dyDescent="0.3">
      <c r="A168" s="3">
        <v>45733</v>
      </c>
      <c r="B168" s="15" t="s">
        <v>14</v>
      </c>
      <c r="C168" s="14">
        <v>1077</v>
      </c>
      <c r="D168" s="14">
        <v>216</v>
      </c>
      <c r="E168" s="14">
        <v>12447</v>
      </c>
      <c r="F168" s="124">
        <v>1.8</v>
      </c>
      <c r="G168" s="14">
        <v>14068</v>
      </c>
      <c r="H168" s="20">
        <f t="shared" si="2"/>
        <v>498.61111111111109</v>
      </c>
    </row>
    <row r="169" spans="1:8" x14ac:dyDescent="0.3">
      <c r="A169" s="3">
        <v>45733</v>
      </c>
      <c r="B169" s="15" t="s">
        <v>27</v>
      </c>
      <c r="C169" s="14">
        <v>1596</v>
      </c>
      <c r="D169" s="14">
        <v>211</v>
      </c>
      <c r="E169" s="14">
        <v>17380</v>
      </c>
      <c r="F169" s="124">
        <v>8.64</v>
      </c>
      <c r="G169" s="14">
        <v>35801</v>
      </c>
      <c r="H169" s="20">
        <f t="shared" si="2"/>
        <v>756.39810426540294</v>
      </c>
    </row>
    <row r="170" spans="1:8" x14ac:dyDescent="0.3">
      <c r="A170" s="3">
        <v>45740</v>
      </c>
      <c r="B170" s="15" t="s">
        <v>31</v>
      </c>
      <c r="C170" s="14">
        <v>490</v>
      </c>
      <c r="D170" s="14">
        <v>29</v>
      </c>
      <c r="E170" s="14">
        <v>364810</v>
      </c>
      <c r="F170" s="124">
        <v>1.53</v>
      </c>
      <c r="G170" s="14">
        <v>49077</v>
      </c>
      <c r="H170" s="20">
        <f t="shared" si="2"/>
        <v>1689.6551724137933</v>
      </c>
    </row>
    <row r="171" spans="1:8" x14ac:dyDescent="0.3">
      <c r="A171" s="3">
        <v>45740</v>
      </c>
      <c r="B171" s="15" t="s">
        <v>40</v>
      </c>
      <c r="C171" s="14">
        <v>609</v>
      </c>
      <c r="D171" s="14">
        <v>135</v>
      </c>
      <c r="E171" s="14">
        <v>373606</v>
      </c>
      <c r="F171" s="124">
        <v>8.52</v>
      </c>
      <c r="G171" s="14">
        <v>21453</v>
      </c>
      <c r="H171" s="20">
        <f t="shared" si="2"/>
        <v>451.11111111111109</v>
      </c>
    </row>
    <row r="172" spans="1:8" x14ac:dyDescent="0.3">
      <c r="A172" s="3">
        <v>45740</v>
      </c>
      <c r="B172" s="15" t="s">
        <v>14</v>
      </c>
      <c r="C172" s="14">
        <v>364</v>
      </c>
      <c r="D172" s="14">
        <v>72</v>
      </c>
      <c r="E172" s="14">
        <v>211090</v>
      </c>
      <c r="F172" s="124">
        <v>5.53</v>
      </c>
      <c r="G172" s="14">
        <v>21061</v>
      </c>
      <c r="H172" s="20">
        <f t="shared" si="2"/>
        <v>505.55555555555554</v>
      </c>
    </row>
    <row r="173" spans="1:8" x14ac:dyDescent="0.3">
      <c r="A173" s="3">
        <v>45740</v>
      </c>
      <c r="B173" s="15" t="s">
        <v>27</v>
      </c>
      <c r="C173" s="14">
        <v>442</v>
      </c>
      <c r="D173" s="14">
        <v>53</v>
      </c>
      <c r="E173" s="14">
        <v>441931</v>
      </c>
      <c r="F173" s="124">
        <v>1.87</v>
      </c>
      <c r="G173" s="14">
        <v>20059</v>
      </c>
      <c r="H173" s="20">
        <f t="shared" si="2"/>
        <v>833.96226415094338</v>
      </c>
    </row>
    <row r="174" spans="1:8" x14ac:dyDescent="0.3">
      <c r="A174" s="3">
        <v>45747</v>
      </c>
      <c r="B174" s="15" t="s">
        <v>31</v>
      </c>
      <c r="C174" s="14">
        <v>1033</v>
      </c>
      <c r="D174" s="14">
        <v>392</v>
      </c>
      <c r="E174" s="14">
        <v>282780</v>
      </c>
      <c r="F174" s="124">
        <v>6.27</v>
      </c>
      <c r="G174" s="14">
        <v>23140</v>
      </c>
      <c r="H174" s="20">
        <f t="shared" si="2"/>
        <v>263.5204081632653</v>
      </c>
    </row>
    <row r="175" spans="1:8" x14ac:dyDescent="0.3">
      <c r="A175" s="3">
        <v>45747</v>
      </c>
      <c r="B175" s="15" t="s">
        <v>40</v>
      </c>
      <c r="C175" s="14">
        <v>988</v>
      </c>
      <c r="D175" s="14">
        <v>474</v>
      </c>
      <c r="E175" s="14">
        <v>370070</v>
      </c>
      <c r="F175" s="124">
        <v>9.4600000000000009</v>
      </c>
      <c r="G175" s="14">
        <v>23461</v>
      </c>
      <c r="H175" s="20">
        <f t="shared" si="2"/>
        <v>208.43881856540082</v>
      </c>
    </row>
    <row r="176" spans="1:8" x14ac:dyDescent="0.3">
      <c r="A176" s="3">
        <v>45747</v>
      </c>
      <c r="B176" s="15" t="s">
        <v>14</v>
      </c>
      <c r="C176" s="14">
        <v>1946</v>
      </c>
      <c r="D176" s="14">
        <v>270</v>
      </c>
      <c r="E176" s="14">
        <v>198350</v>
      </c>
      <c r="F176" s="124">
        <v>7.5</v>
      </c>
      <c r="G176" s="14">
        <v>11805</v>
      </c>
      <c r="H176" s="20">
        <f t="shared" si="2"/>
        <v>720.74074074074076</v>
      </c>
    </row>
    <row r="177" spans="1:8" x14ac:dyDescent="0.3">
      <c r="A177" s="3">
        <v>45747</v>
      </c>
      <c r="B177" s="15" t="s">
        <v>27</v>
      </c>
      <c r="C177" s="14">
        <v>1957</v>
      </c>
      <c r="D177" s="14">
        <v>490</v>
      </c>
      <c r="E177" s="14">
        <v>435726</v>
      </c>
      <c r="F177" s="124">
        <v>4.7300000000000004</v>
      </c>
      <c r="G177" s="14">
        <v>15969</v>
      </c>
      <c r="H177" s="20">
        <f t="shared" si="2"/>
        <v>399.38775510204084</v>
      </c>
    </row>
    <row r="178" spans="1:8" x14ac:dyDescent="0.3">
      <c r="A178" s="3">
        <v>45754</v>
      </c>
      <c r="B178" s="15" t="s">
        <v>31</v>
      </c>
      <c r="C178" s="14">
        <v>559</v>
      </c>
      <c r="D178" s="14">
        <v>392</v>
      </c>
      <c r="E178" s="14">
        <v>78789</v>
      </c>
      <c r="F178" s="124">
        <v>3.19</v>
      </c>
      <c r="G178" s="14">
        <v>2436</v>
      </c>
      <c r="H178" s="20">
        <f t="shared" si="2"/>
        <v>142.60204081632654</v>
      </c>
    </row>
    <row r="179" spans="1:8" x14ac:dyDescent="0.3">
      <c r="A179" s="3">
        <v>45754</v>
      </c>
      <c r="B179" s="15" t="s">
        <v>40</v>
      </c>
      <c r="C179" s="14">
        <v>1307</v>
      </c>
      <c r="D179" s="14">
        <v>278</v>
      </c>
      <c r="E179" s="14">
        <v>98596</v>
      </c>
      <c r="F179" s="124">
        <v>2.4900000000000002</v>
      </c>
      <c r="G179" s="14">
        <v>47603</v>
      </c>
      <c r="H179" s="20">
        <f t="shared" si="2"/>
        <v>470.14388489208631</v>
      </c>
    </row>
    <row r="180" spans="1:8" x14ac:dyDescent="0.3">
      <c r="A180" s="3">
        <v>45754</v>
      </c>
      <c r="B180" s="15" t="s">
        <v>14</v>
      </c>
      <c r="C180" s="14">
        <v>1432</v>
      </c>
      <c r="D180" s="14">
        <v>425</v>
      </c>
      <c r="E180" s="14">
        <v>29589</v>
      </c>
      <c r="F180" s="124">
        <v>4.5</v>
      </c>
      <c r="G180" s="14">
        <v>42964</v>
      </c>
      <c r="H180" s="20">
        <f t="shared" si="2"/>
        <v>336.94117647058823</v>
      </c>
    </row>
    <row r="181" spans="1:8" x14ac:dyDescent="0.3">
      <c r="A181" s="3">
        <v>45754</v>
      </c>
      <c r="B181" s="15" t="s">
        <v>27</v>
      </c>
      <c r="C181" s="14">
        <v>623</v>
      </c>
      <c r="D181" s="14">
        <v>414</v>
      </c>
      <c r="E181" s="14">
        <v>290354</v>
      </c>
      <c r="F181" s="124">
        <v>6.49</v>
      </c>
      <c r="G181" s="14">
        <v>39923</v>
      </c>
      <c r="H181" s="20">
        <f t="shared" si="2"/>
        <v>150.48309178743961</v>
      </c>
    </row>
    <row r="182" spans="1:8" x14ac:dyDescent="0.3">
      <c r="A182" s="3">
        <v>45761</v>
      </c>
      <c r="B182" s="15" t="s">
        <v>31</v>
      </c>
      <c r="C182" s="14">
        <v>198</v>
      </c>
      <c r="D182" s="14">
        <v>358</v>
      </c>
      <c r="E182" s="14">
        <v>66682</v>
      </c>
      <c r="F182" s="124">
        <v>6.73</v>
      </c>
      <c r="G182" s="14">
        <v>2293</v>
      </c>
      <c r="H182" s="20">
        <f t="shared" si="2"/>
        <v>55.307262569832403</v>
      </c>
    </row>
    <row r="183" spans="1:8" x14ac:dyDescent="0.3">
      <c r="A183" s="3">
        <v>45761</v>
      </c>
      <c r="B183" s="15" t="s">
        <v>40</v>
      </c>
      <c r="C183" s="14">
        <v>198</v>
      </c>
      <c r="D183" s="14">
        <v>373</v>
      </c>
      <c r="E183" s="14">
        <v>70707</v>
      </c>
      <c r="F183" s="124">
        <v>4.83</v>
      </c>
      <c r="G183" s="14">
        <v>25920</v>
      </c>
      <c r="H183" s="20">
        <f t="shared" si="2"/>
        <v>53.083109919571051</v>
      </c>
    </row>
    <row r="184" spans="1:8" x14ac:dyDescent="0.3">
      <c r="A184" s="3">
        <v>45761</v>
      </c>
      <c r="B184" s="15" t="s">
        <v>14</v>
      </c>
      <c r="C184" s="14">
        <v>353</v>
      </c>
      <c r="D184" s="14">
        <v>300</v>
      </c>
      <c r="E184" s="14">
        <v>142507</v>
      </c>
      <c r="F184" s="124">
        <v>5.3</v>
      </c>
      <c r="G184" s="14">
        <v>11035</v>
      </c>
      <c r="H184" s="20">
        <f t="shared" si="2"/>
        <v>117.66666666666667</v>
      </c>
    </row>
    <row r="185" spans="1:8" x14ac:dyDescent="0.3">
      <c r="A185" s="3">
        <v>45761</v>
      </c>
      <c r="B185" s="15" t="s">
        <v>27</v>
      </c>
      <c r="C185" s="14">
        <v>520</v>
      </c>
      <c r="D185" s="14">
        <v>375</v>
      </c>
      <c r="E185" s="14">
        <v>369525</v>
      </c>
      <c r="F185" s="124">
        <v>6.54</v>
      </c>
      <c r="G185" s="14">
        <v>20733</v>
      </c>
      <c r="H185" s="20">
        <f t="shared" si="2"/>
        <v>138.66666666666669</v>
      </c>
    </row>
    <row r="186" spans="1:8" x14ac:dyDescent="0.3">
      <c r="A186" s="3">
        <v>45768</v>
      </c>
      <c r="B186" s="15" t="s">
        <v>31</v>
      </c>
      <c r="C186" s="14">
        <v>961</v>
      </c>
      <c r="D186" s="14">
        <v>358</v>
      </c>
      <c r="E186" s="14">
        <v>62942</v>
      </c>
      <c r="F186" s="124">
        <v>6.8</v>
      </c>
      <c r="G186" s="14">
        <v>18693</v>
      </c>
      <c r="H186" s="20">
        <f t="shared" si="2"/>
        <v>268.43575418994413</v>
      </c>
    </row>
    <row r="187" spans="1:8" x14ac:dyDescent="0.3">
      <c r="A187" s="3">
        <v>45768</v>
      </c>
      <c r="B187" s="15" t="s">
        <v>40</v>
      </c>
      <c r="C187" s="14">
        <v>1375</v>
      </c>
      <c r="D187" s="14">
        <v>330</v>
      </c>
      <c r="E187" s="14">
        <v>377382</v>
      </c>
      <c r="F187" s="124">
        <v>2.6</v>
      </c>
      <c r="G187" s="14">
        <v>7875</v>
      </c>
      <c r="H187" s="20">
        <f t="shared" si="2"/>
        <v>416.66666666666669</v>
      </c>
    </row>
    <row r="188" spans="1:8" x14ac:dyDescent="0.3">
      <c r="A188" s="3">
        <v>45768</v>
      </c>
      <c r="B188" s="15" t="s">
        <v>14</v>
      </c>
      <c r="C188" s="14">
        <v>1147</v>
      </c>
      <c r="D188" s="14">
        <v>388</v>
      </c>
      <c r="E188" s="14">
        <v>333851</v>
      </c>
      <c r="F188" s="124">
        <v>2.44</v>
      </c>
      <c r="G188" s="14">
        <v>8471</v>
      </c>
      <c r="H188" s="20">
        <f t="shared" si="2"/>
        <v>295.61855670103097</v>
      </c>
    </row>
    <row r="189" spans="1:8" x14ac:dyDescent="0.3">
      <c r="A189" s="3">
        <v>45768</v>
      </c>
      <c r="B189" s="15" t="s">
        <v>27</v>
      </c>
      <c r="C189" s="14">
        <v>1707</v>
      </c>
      <c r="D189" s="14">
        <v>74</v>
      </c>
      <c r="E189" s="14">
        <v>270958</v>
      </c>
      <c r="F189" s="124">
        <v>3.09</v>
      </c>
      <c r="G189" s="14">
        <v>14090</v>
      </c>
      <c r="H189" s="20">
        <f t="shared" si="2"/>
        <v>2306.7567567567567</v>
      </c>
    </row>
    <row r="190" spans="1:8" x14ac:dyDescent="0.3">
      <c r="A190" s="3">
        <v>45775</v>
      </c>
      <c r="B190" s="15" t="s">
        <v>31</v>
      </c>
      <c r="C190" s="14">
        <v>1693</v>
      </c>
      <c r="D190" s="14">
        <v>154</v>
      </c>
      <c r="E190" s="14">
        <v>445944</v>
      </c>
      <c r="F190" s="124">
        <v>5.69</v>
      </c>
      <c r="G190" s="14">
        <v>14216</v>
      </c>
      <c r="H190" s="20">
        <f t="shared" si="2"/>
        <v>1099.3506493506495</v>
      </c>
    </row>
    <row r="191" spans="1:8" x14ac:dyDescent="0.3">
      <c r="A191" s="3">
        <v>45775</v>
      </c>
      <c r="B191" s="15" t="s">
        <v>40</v>
      </c>
      <c r="C191" s="14">
        <v>833</v>
      </c>
      <c r="D191" s="14">
        <v>380</v>
      </c>
      <c r="E191" s="14">
        <v>224830</v>
      </c>
      <c r="F191" s="124">
        <v>3.86</v>
      </c>
      <c r="G191" s="14">
        <v>3582</v>
      </c>
      <c r="H191" s="20">
        <f t="shared" si="2"/>
        <v>219.21052631578948</v>
      </c>
    </row>
    <row r="192" spans="1:8" x14ac:dyDescent="0.3">
      <c r="A192" s="3">
        <v>45775</v>
      </c>
      <c r="B192" s="15" t="s">
        <v>14</v>
      </c>
      <c r="C192" s="14">
        <v>1222</v>
      </c>
      <c r="D192" s="14">
        <v>274</v>
      </c>
      <c r="E192" s="14">
        <v>487289</v>
      </c>
      <c r="F192" s="124">
        <v>3.16</v>
      </c>
      <c r="G192" s="14">
        <v>32500</v>
      </c>
      <c r="H192" s="20">
        <f t="shared" si="2"/>
        <v>445.98540145985402</v>
      </c>
    </row>
    <row r="193" spans="1:8" x14ac:dyDescent="0.3">
      <c r="A193" s="3">
        <v>45775</v>
      </c>
      <c r="B193" s="15" t="s">
        <v>27</v>
      </c>
      <c r="C193" s="14">
        <v>777</v>
      </c>
      <c r="D193" s="14">
        <v>140</v>
      </c>
      <c r="E193" s="14">
        <v>11435</v>
      </c>
      <c r="F193" s="124">
        <v>1.6</v>
      </c>
      <c r="G193" s="14">
        <v>6832</v>
      </c>
      <c r="H193" s="20">
        <f t="shared" si="2"/>
        <v>555</v>
      </c>
    </row>
    <row r="194" spans="1:8" x14ac:dyDescent="0.3">
      <c r="A194" s="3">
        <v>45782</v>
      </c>
      <c r="B194" s="15" t="s">
        <v>31</v>
      </c>
      <c r="C194" s="14">
        <v>1957</v>
      </c>
      <c r="D194" s="14">
        <v>76</v>
      </c>
      <c r="E194" s="14">
        <v>447902</v>
      </c>
      <c r="F194" s="124">
        <v>6.09</v>
      </c>
      <c r="G194" s="14">
        <v>33381</v>
      </c>
      <c r="H194" s="20">
        <f t="shared" si="2"/>
        <v>2575</v>
      </c>
    </row>
    <row r="195" spans="1:8" x14ac:dyDescent="0.3">
      <c r="A195" s="3">
        <v>45782</v>
      </c>
      <c r="B195" s="15" t="s">
        <v>40</v>
      </c>
      <c r="C195" s="14">
        <v>405</v>
      </c>
      <c r="D195" s="14">
        <v>66</v>
      </c>
      <c r="E195" s="14">
        <v>418696</v>
      </c>
      <c r="F195" s="124">
        <v>5.59</v>
      </c>
      <c r="G195" s="14">
        <v>48419</v>
      </c>
      <c r="H195" s="20">
        <f t="shared" ref="H195:H201" si="3">(C195/D195)*100</f>
        <v>613.63636363636363</v>
      </c>
    </row>
    <row r="196" spans="1:8" x14ac:dyDescent="0.3">
      <c r="A196" s="3">
        <v>45782</v>
      </c>
      <c r="B196" s="15" t="s">
        <v>14</v>
      </c>
      <c r="C196" s="14">
        <v>1581</v>
      </c>
      <c r="D196" s="14">
        <v>71</v>
      </c>
      <c r="E196" s="14">
        <v>484364</v>
      </c>
      <c r="F196" s="124">
        <v>3.55</v>
      </c>
      <c r="G196" s="14">
        <v>16149</v>
      </c>
      <c r="H196" s="20">
        <f t="shared" si="3"/>
        <v>2226.7605633802814</v>
      </c>
    </row>
    <row r="197" spans="1:8" x14ac:dyDescent="0.3">
      <c r="A197" s="3">
        <v>45782</v>
      </c>
      <c r="B197" s="15" t="s">
        <v>27</v>
      </c>
      <c r="C197" s="14">
        <v>1035</v>
      </c>
      <c r="D197" s="14">
        <v>171</v>
      </c>
      <c r="E197" s="14">
        <v>148477</v>
      </c>
      <c r="F197" s="124">
        <v>5.21</v>
      </c>
      <c r="G197" s="14">
        <v>7541</v>
      </c>
      <c r="H197" s="20">
        <f t="shared" si="3"/>
        <v>605.26315789473676</v>
      </c>
    </row>
    <row r="198" spans="1:8" x14ac:dyDescent="0.3">
      <c r="A198" s="3">
        <v>45789</v>
      </c>
      <c r="B198" s="15" t="s">
        <v>31</v>
      </c>
      <c r="C198" s="14">
        <v>1765</v>
      </c>
      <c r="D198" s="14">
        <v>109</v>
      </c>
      <c r="E198" s="14">
        <v>468301</v>
      </c>
      <c r="F198" s="124">
        <v>1.82</v>
      </c>
      <c r="G198" s="14">
        <v>20042</v>
      </c>
      <c r="H198" s="20">
        <f t="shared" si="3"/>
        <v>1619.2660550458716</v>
      </c>
    </row>
    <row r="199" spans="1:8" x14ac:dyDescent="0.3">
      <c r="A199" s="3">
        <v>45789</v>
      </c>
      <c r="B199" s="15" t="s">
        <v>40</v>
      </c>
      <c r="C199" s="14">
        <v>837</v>
      </c>
      <c r="D199" s="14">
        <v>430</v>
      </c>
      <c r="E199" s="14">
        <v>364820</v>
      </c>
      <c r="F199" s="124">
        <v>4</v>
      </c>
      <c r="G199" s="14">
        <v>49400</v>
      </c>
      <c r="H199" s="20">
        <f t="shared" si="3"/>
        <v>194.65116279069767</v>
      </c>
    </row>
    <row r="200" spans="1:8" x14ac:dyDescent="0.3">
      <c r="A200" s="3">
        <v>45789</v>
      </c>
      <c r="B200" s="15" t="s">
        <v>14</v>
      </c>
      <c r="C200" s="14">
        <v>337</v>
      </c>
      <c r="D200" s="14">
        <v>68</v>
      </c>
      <c r="E200" s="14">
        <v>456298</v>
      </c>
      <c r="F200" s="124">
        <v>7.57</v>
      </c>
      <c r="G200" s="14">
        <v>4007</v>
      </c>
      <c r="H200" s="20">
        <f t="shared" si="3"/>
        <v>495.58823529411768</v>
      </c>
    </row>
    <row r="201" spans="1:8" x14ac:dyDescent="0.3">
      <c r="A201" s="3">
        <v>45789</v>
      </c>
      <c r="B201" s="15" t="s">
        <v>27</v>
      </c>
      <c r="C201" s="14">
        <v>119</v>
      </c>
      <c r="D201" s="14">
        <v>456</v>
      </c>
      <c r="E201" s="14">
        <v>82558</v>
      </c>
      <c r="F201" s="124">
        <v>6.81</v>
      </c>
      <c r="G201" s="14">
        <v>12174</v>
      </c>
      <c r="H201" s="20">
        <f t="shared" si="3"/>
        <v>26.096491228070175</v>
      </c>
    </row>
  </sheetData>
  <mergeCells count="3">
    <mergeCell ref="K12:N12"/>
    <mergeCell ref="K3:N3"/>
    <mergeCell ref="K24:N24"/>
  </mergeCell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373A-0586-404B-ABEB-131A1AE62263}">
  <dimension ref="A1:W457"/>
  <sheetViews>
    <sheetView topLeftCell="H14" workbookViewId="0">
      <selection activeCell="N19" sqref="N19"/>
    </sheetView>
  </sheetViews>
  <sheetFormatPr defaultRowHeight="14.4" x14ac:dyDescent="0.3"/>
  <cols>
    <col min="3" max="3" width="11" customWidth="1"/>
    <col min="5" max="5" width="12.6640625" customWidth="1"/>
    <col min="12" max="12" width="14.77734375" customWidth="1"/>
    <col min="13" max="13" width="15.6640625" customWidth="1"/>
    <col min="14" max="14" width="19.109375" customWidth="1"/>
    <col min="17" max="17" width="12.5546875" bestFit="1" customWidth="1"/>
    <col min="18" max="18" width="16.21875" bestFit="1" customWidth="1"/>
    <col min="19" max="19" width="19.88671875" bestFit="1" customWidth="1"/>
    <col min="20" max="20" width="16.21875" bestFit="1" customWidth="1"/>
    <col min="21" max="21" width="15.33203125" bestFit="1" customWidth="1"/>
    <col min="22" max="22" width="15.77734375" bestFit="1" customWidth="1"/>
    <col min="23" max="23" width="20.77734375" bestFit="1" customWidth="1"/>
  </cols>
  <sheetData>
    <row r="1" spans="1:20" x14ac:dyDescent="0.3">
      <c r="A1" s="85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93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96" t="s">
        <v>11</v>
      </c>
      <c r="M1" s="96" t="s">
        <v>12</v>
      </c>
      <c r="N1" s="135" t="s">
        <v>609</v>
      </c>
    </row>
    <row r="2" spans="1:20" x14ac:dyDescent="0.3">
      <c r="A2" s="87" t="s">
        <v>13</v>
      </c>
      <c r="B2" s="88" t="s">
        <v>14</v>
      </c>
      <c r="C2" s="89">
        <v>45649</v>
      </c>
      <c r="D2" s="88" t="s">
        <v>16</v>
      </c>
      <c r="E2" s="88" t="s">
        <v>17</v>
      </c>
      <c r="F2" s="94">
        <v>1461</v>
      </c>
      <c r="G2" s="94">
        <v>184</v>
      </c>
      <c r="H2" s="94">
        <v>344</v>
      </c>
      <c r="I2" s="94">
        <v>21915</v>
      </c>
      <c r="J2" s="94">
        <v>21675</v>
      </c>
      <c r="K2" s="94">
        <v>15</v>
      </c>
      <c r="L2" s="92" t="s">
        <v>18</v>
      </c>
      <c r="M2" s="92" t="s">
        <v>19</v>
      </c>
      <c r="N2" s="136">
        <f>SUM(F2,G2,H2)/J2</f>
        <v>9.1764705882352943E-2</v>
      </c>
    </row>
    <row r="3" spans="1:20" ht="15.6" x14ac:dyDescent="0.3">
      <c r="A3" s="87" t="s">
        <v>20</v>
      </c>
      <c r="B3" s="88" t="s">
        <v>14</v>
      </c>
      <c r="C3" s="89">
        <v>45750</v>
      </c>
      <c r="D3" s="88" t="s">
        <v>22</v>
      </c>
      <c r="E3" s="88" t="s">
        <v>23</v>
      </c>
      <c r="F3" s="94">
        <v>4054</v>
      </c>
      <c r="G3" s="94">
        <v>389</v>
      </c>
      <c r="H3" s="94">
        <v>493</v>
      </c>
      <c r="I3" s="94">
        <v>64864</v>
      </c>
      <c r="J3" s="94">
        <v>64383</v>
      </c>
      <c r="K3" s="94">
        <v>117</v>
      </c>
      <c r="L3" s="92" t="s">
        <v>24</v>
      </c>
      <c r="M3" s="92" t="s">
        <v>25</v>
      </c>
      <c r="N3" s="136">
        <f t="shared" ref="N3:N66" si="0">SUM(F3,G3,H3)/J3</f>
        <v>7.6666200705155091E-2</v>
      </c>
      <c r="Q3" s="156" t="s">
        <v>606</v>
      </c>
      <c r="R3" s="156"/>
      <c r="S3" s="156"/>
      <c r="T3" s="156"/>
    </row>
    <row r="4" spans="1:20" x14ac:dyDescent="0.3">
      <c r="A4" s="87" t="s">
        <v>26</v>
      </c>
      <c r="B4" s="88" t="s">
        <v>577</v>
      </c>
      <c r="C4" s="89">
        <v>45789</v>
      </c>
      <c r="D4" s="88" t="s">
        <v>16</v>
      </c>
      <c r="E4" s="88" t="s">
        <v>17</v>
      </c>
      <c r="F4" s="94">
        <v>2795</v>
      </c>
      <c r="G4" s="94">
        <v>105</v>
      </c>
      <c r="H4" s="94">
        <v>49</v>
      </c>
      <c r="I4" s="94">
        <v>53105</v>
      </c>
      <c r="J4" s="94">
        <v>52307</v>
      </c>
      <c r="K4" s="94">
        <v>204</v>
      </c>
      <c r="L4" s="92" t="s">
        <v>24</v>
      </c>
      <c r="M4" s="92" t="s">
        <v>19</v>
      </c>
      <c r="N4" s="136">
        <f t="shared" si="0"/>
        <v>5.6378687364979828E-2</v>
      </c>
      <c r="Q4" s="129" t="s">
        <v>608</v>
      </c>
      <c r="R4" t="s">
        <v>607</v>
      </c>
    </row>
    <row r="5" spans="1:20" x14ac:dyDescent="0.3">
      <c r="A5" s="87" t="s">
        <v>26</v>
      </c>
      <c r="B5" s="88" t="s">
        <v>577</v>
      </c>
      <c r="C5" s="89">
        <v>45789</v>
      </c>
      <c r="D5" s="88" t="s">
        <v>16</v>
      </c>
      <c r="E5" s="88" t="s">
        <v>17</v>
      </c>
      <c r="F5" s="94">
        <v>2795</v>
      </c>
      <c r="G5" s="94">
        <v>105</v>
      </c>
      <c r="H5" s="94">
        <v>49</v>
      </c>
      <c r="I5" s="94">
        <v>53105</v>
      </c>
      <c r="J5" s="94">
        <v>52307</v>
      </c>
      <c r="K5" s="94">
        <v>204</v>
      </c>
      <c r="L5" s="92" t="s">
        <v>18</v>
      </c>
      <c r="M5" s="92" t="s">
        <v>19</v>
      </c>
      <c r="N5" s="136">
        <f t="shared" si="0"/>
        <v>5.6378687364979828E-2</v>
      </c>
      <c r="Q5" s="130" t="s">
        <v>77</v>
      </c>
      <c r="R5">
        <v>80</v>
      </c>
    </row>
    <row r="6" spans="1:20" x14ac:dyDescent="0.3">
      <c r="A6" s="87" t="s">
        <v>30</v>
      </c>
      <c r="B6" s="92" t="s">
        <v>31</v>
      </c>
      <c r="C6" s="89">
        <v>45516</v>
      </c>
      <c r="D6" s="88" t="s">
        <v>33</v>
      </c>
      <c r="E6" s="88" t="s">
        <v>34</v>
      </c>
      <c r="F6" s="94">
        <v>2404</v>
      </c>
      <c r="G6" s="94">
        <v>363</v>
      </c>
      <c r="H6" s="94">
        <v>138</v>
      </c>
      <c r="I6" s="94">
        <v>19232</v>
      </c>
      <c r="J6" s="94">
        <v>18636</v>
      </c>
      <c r="K6" s="94">
        <v>128</v>
      </c>
      <c r="L6" s="92" t="s">
        <v>18</v>
      </c>
      <c r="M6" s="92" t="s">
        <v>19</v>
      </c>
      <c r="N6" s="136">
        <f t="shared" si="0"/>
        <v>0.15588109036273878</v>
      </c>
      <c r="Q6" s="130" t="s">
        <v>24</v>
      </c>
      <c r="R6">
        <v>83</v>
      </c>
    </row>
    <row r="7" spans="1:20" x14ac:dyDescent="0.3">
      <c r="A7" s="87" t="s">
        <v>35</v>
      </c>
      <c r="B7" s="88" t="s">
        <v>577</v>
      </c>
      <c r="C7" s="89">
        <v>45469</v>
      </c>
      <c r="D7" s="88" t="s">
        <v>16</v>
      </c>
      <c r="E7" s="88" t="s">
        <v>17</v>
      </c>
      <c r="F7" s="94">
        <v>3557</v>
      </c>
      <c r="G7" s="94">
        <v>687</v>
      </c>
      <c r="H7" s="94">
        <v>424</v>
      </c>
      <c r="I7" s="94">
        <v>71140</v>
      </c>
      <c r="J7" s="94">
        <v>70701</v>
      </c>
      <c r="K7" s="94">
        <v>224</v>
      </c>
      <c r="L7" s="92" t="s">
        <v>58</v>
      </c>
      <c r="M7" s="92" t="s">
        <v>38</v>
      </c>
      <c r="N7" s="136">
        <f t="shared" si="0"/>
        <v>6.6024525820002553E-2</v>
      </c>
      <c r="Q7" s="130" t="s">
        <v>18</v>
      </c>
      <c r="R7">
        <v>97</v>
      </c>
    </row>
    <row r="8" spans="1:20" x14ac:dyDescent="0.3">
      <c r="A8" s="87" t="s">
        <v>35</v>
      </c>
      <c r="B8" s="88" t="s">
        <v>577</v>
      </c>
      <c r="C8" s="89">
        <v>45469</v>
      </c>
      <c r="D8" s="88" t="s">
        <v>16</v>
      </c>
      <c r="E8" s="88" t="s">
        <v>17</v>
      </c>
      <c r="F8" s="94">
        <v>3557</v>
      </c>
      <c r="G8" s="94">
        <v>687</v>
      </c>
      <c r="H8" s="94">
        <v>424</v>
      </c>
      <c r="I8" s="94">
        <v>71140</v>
      </c>
      <c r="J8" s="94">
        <v>70701</v>
      </c>
      <c r="K8" s="94">
        <v>224</v>
      </c>
      <c r="L8" s="92" t="s">
        <v>24</v>
      </c>
      <c r="M8" s="92" t="s">
        <v>38</v>
      </c>
      <c r="N8" s="136">
        <f t="shared" si="0"/>
        <v>6.6024525820002553E-2</v>
      </c>
      <c r="Q8" s="130" t="s">
        <v>44</v>
      </c>
      <c r="R8">
        <v>92</v>
      </c>
    </row>
    <row r="9" spans="1:20" x14ac:dyDescent="0.3">
      <c r="A9" s="87" t="s">
        <v>39</v>
      </c>
      <c r="B9" s="88" t="s">
        <v>40</v>
      </c>
      <c r="C9" s="89">
        <v>45596</v>
      </c>
      <c r="D9" s="88" t="s">
        <v>42</v>
      </c>
      <c r="E9" s="88" t="s">
        <v>43</v>
      </c>
      <c r="F9" s="94">
        <v>2945</v>
      </c>
      <c r="G9" s="94">
        <v>930</v>
      </c>
      <c r="H9" s="94">
        <v>355</v>
      </c>
      <c r="I9" s="94">
        <v>23560</v>
      </c>
      <c r="J9" s="94">
        <v>23275</v>
      </c>
      <c r="K9" s="94">
        <v>256</v>
      </c>
      <c r="L9" s="92" t="s">
        <v>44</v>
      </c>
      <c r="M9" s="92" t="s">
        <v>25</v>
      </c>
      <c r="N9" s="136">
        <f t="shared" si="0"/>
        <v>0.18174006444683136</v>
      </c>
      <c r="Q9" s="130" t="s">
        <v>58</v>
      </c>
      <c r="R9">
        <v>104</v>
      </c>
    </row>
    <row r="10" spans="1:20" x14ac:dyDescent="0.3">
      <c r="A10" s="87" t="s">
        <v>45</v>
      </c>
      <c r="B10" s="88" t="s">
        <v>14</v>
      </c>
      <c r="C10" s="89">
        <v>45467</v>
      </c>
      <c r="D10" s="88" t="s">
        <v>42</v>
      </c>
      <c r="E10" s="88" t="s">
        <v>43</v>
      </c>
      <c r="F10" s="94">
        <v>3860</v>
      </c>
      <c r="G10" s="94">
        <v>201</v>
      </c>
      <c r="H10" s="94">
        <v>279</v>
      </c>
      <c r="I10" s="94">
        <v>61760</v>
      </c>
      <c r="J10" s="94">
        <v>61660</v>
      </c>
      <c r="K10" s="94">
        <v>235</v>
      </c>
      <c r="L10" s="92" t="s">
        <v>44</v>
      </c>
      <c r="M10" s="92" t="s">
        <v>38</v>
      </c>
      <c r="N10" s="136">
        <f t="shared" si="0"/>
        <v>7.0385987674343176E-2</v>
      </c>
      <c r="Q10" s="130" t="s">
        <v>579</v>
      </c>
      <c r="R10">
        <v>456</v>
      </c>
    </row>
    <row r="11" spans="1:20" x14ac:dyDescent="0.3">
      <c r="A11" s="87" t="s">
        <v>47</v>
      </c>
      <c r="B11" s="88" t="s">
        <v>577</v>
      </c>
      <c r="C11" s="89">
        <v>45486</v>
      </c>
      <c r="D11" s="88" t="s">
        <v>49</v>
      </c>
      <c r="E11" s="88" t="s">
        <v>50</v>
      </c>
      <c r="F11" s="94">
        <v>3929</v>
      </c>
      <c r="G11" s="94">
        <v>262</v>
      </c>
      <c r="H11" s="94">
        <v>278</v>
      </c>
      <c r="I11" s="94">
        <v>43219</v>
      </c>
      <c r="J11" s="94">
        <v>42841</v>
      </c>
      <c r="K11" s="94">
        <v>39</v>
      </c>
      <c r="L11" s="92" t="s">
        <v>24</v>
      </c>
      <c r="M11" s="92" t="s">
        <v>38</v>
      </c>
      <c r="N11" s="136">
        <f t="shared" si="0"/>
        <v>0.10431595901122756</v>
      </c>
    </row>
    <row r="12" spans="1:20" x14ac:dyDescent="0.3">
      <c r="A12" s="87" t="s">
        <v>47</v>
      </c>
      <c r="B12" s="88" t="s">
        <v>577</v>
      </c>
      <c r="C12" s="89">
        <v>45486</v>
      </c>
      <c r="D12" s="88" t="s">
        <v>49</v>
      </c>
      <c r="E12" s="88" t="s">
        <v>50</v>
      </c>
      <c r="F12" s="94">
        <v>3929</v>
      </c>
      <c r="G12" s="94">
        <v>262</v>
      </c>
      <c r="H12" s="94">
        <v>278</v>
      </c>
      <c r="I12" s="94">
        <v>43219</v>
      </c>
      <c r="J12" s="94">
        <v>42841</v>
      </c>
      <c r="K12" s="94">
        <v>39</v>
      </c>
      <c r="L12" s="92" t="s">
        <v>18</v>
      </c>
      <c r="M12" s="92" t="s">
        <v>38</v>
      </c>
      <c r="N12" s="136">
        <f t="shared" si="0"/>
        <v>0.10431595901122756</v>
      </c>
    </row>
    <row r="13" spans="1:20" x14ac:dyDescent="0.3">
      <c r="A13" s="87" t="s">
        <v>51</v>
      </c>
      <c r="B13" s="88" t="s">
        <v>40</v>
      </c>
      <c r="C13" s="89">
        <v>45534</v>
      </c>
      <c r="D13" s="88" t="s">
        <v>22</v>
      </c>
      <c r="E13" s="88" t="s">
        <v>23</v>
      </c>
      <c r="F13" s="94">
        <v>3784</v>
      </c>
      <c r="G13" s="94">
        <v>808</v>
      </c>
      <c r="H13" s="94">
        <v>404</v>
      </c>
      <c r="I13" s="94">
        <v>56760</v>
      </c>
      <c r="J13" s="94">
        <v>56343</v>
      </c>
      <c r="K13" s="94">
        <v>131</v>
      </c>
      <c r="L13" s="92" t="s">
        <v>24</v>
      </c>
      <c r="M13" s="92" t="s">
        <v>38</v>
      </c>
      <c r="N13" s="136">
        <f t="shared" si="0"/>
        <v>8.8671174768826647E-2</v>
      </c>
    </row>
    <row r="14" spans="1:20" ht="15.6" x14ac:dyDescent="0.3">
      <c r="A14" s="87" t="s">
        <v>51</v>
      </c>
      <c r="B14" s="88" t="s">
        <v>40</v>
      </c>
      <c r="C14" s="89">
        <v>45534</v>
      </c>
      <c r="D14" s="88" t="s">
        <v>22</v>
      </c>
      <c r="E14" s="88" t="s">
        <v>23</v>
      </c>
      <c r="F14" s="94">
        <v>3784</v>
      </c>
      <c r="G14" s="94">
        <v>808</v>
      </c>
      <c r="H14" s="94">
        <v>404</v>
      </c>
      <c r="I14" s="94">
        <v>56760</v>
      </c>
      <c r="J14" s="94">
        <v>56343</v>
      </c>
      <c r="K14" s="94">
        <v>131</v>
      </c>
      <c r="L14" s="92" t="s">
        <v>18</v>
      </c>
      <c r="M14" s="92" t="s">
        <v>38</v>
      </c>
      <c r="N14" s="136">
        <f t="shared" si="0"/>
        <v>8.8671174768826647E-2</v>
      </c>
      <c r="Q14" s="156" t="s">
        <v>616</v>
      </c>
      <c r="R14" s="156"/>
      <c r="S14" s="156"/>
      <c r="T14" s="156"/>
    </row>
    <row r="15" spans="1:20" x14ac:dyDescent="0.3">
      <c r="A15" s="87" t="s">
        <v>53</v>
      </c>
      <c r="B15" s="88" t="s">
        <v>40</v>
      </c>
      <c r="C15" s="89">
        <v>45727</v>
      </c>
      <c r="D15" s="88" t="s">
        <v>49</v>
      </c>
      <c r="E15" s="88" t="s">
        <v>50</v>
      </c>
      <c r="F15" s="94">
        <v>4241</v>
      </c>
      <c r="G15" s="94">
        <v>902</v>
      </c>
      <c r="H15" s="94">
        <v>47</v>
      </c>
      <c r="I15" s="94">
        <v>72097</v>
      </c>
      <c r="J15" s="94">
        <v>71598</v>
      </c>
      <c r="K15" s="94">
        <v>167</v>
      </c>
      <c r="L15" s="92" t="s">
        <v>44</v>
      </c>
      <c r="M15" s="92" t="s">
        <v>55</v>
      </c>
      <c r="N15" s="136">
        <f t="shared" si="0"/>
        <v>7.2488058325651555E-2</v>
      </c>
      <c r="Q15" s="129" t="s">
        <v>578</v>
      </c>
      <c r="R15" t="s">
        <v>610</v>
      </c>
      <c r="S15" t="s">
        <v>597</v>
      </c>
    </row>
    <row r="16" spans="1:20" x14ac:dyDescent="0.3">
      <c r="A16" s="87" t="s">
        <v>56</v>
      </c>
      <c r="B16" s="88" t="s">
        <v>31</v>
      </c>
      <c r="C16" s="89">
        <v>45690</v>
      </c>
      <c r="D16" s="88" t="s">
        <v>33</v>
      </c>
      <c r="E16" s="88" t="s">
        <v>34</v>
      </c>
      <c r="F16" s="94">
        <v>1792</v>
      </c>
      <c r="G16" s="94">
        <v>614</v>
      </c>
      <c r="H16" s="94">
        <v>497</v>
      </c>
      <c r="I16" s="94">
        <v>25088</v>
      </c>
      <c r="J16" s="94">
        <v>24675</v>
      </c>
      <c r="K16" s="94">
        <v>65</v>
      </c>
      <c r="L16" s="92" t="s">
        <v>58</v>
      </c>
      <c r="M16" s="92" t="s">
        <v>19</v>
      </c>
      <c r="N16" s="136">
        <f t="shared" si="0"/>
        <v>0.11764944275582573</v>
      </c>
      <c r="Q16" s="130" t="s">
        <v>77</v>
      </c>
      <c r="R16" s="138">
        <v>1.0555074926507788</v>
      </c>
      <c r="S16" s="39">
        <v>152.57499999999999</v>
      </c>
    </row>
    <row r="17" spans="1:23" x14ac:dyDescent="0.3">
      <c r="A17" s="87" t="s">
        <v>59</v>
      </c>
      <c r="B17" s="88" t="s">
        <v>40</v>
      </c>
      <c r="C17" s="89">
        <v>45494</v>
      </c>
      <c r="D17" s="88" t="s">
        <v>16</v>
      </c>
      <c r="E17" s="88" t="s">
        <v>17</v>
      </c>
      <c r="F17" s="94">
        <v>1946</v>
      </c>
      <c r="G17" s="94">
        <v>686</v>
      </c>
      <c r="H17" s="94">
        <v>377</v>
      </c>
      <c r="I17" s="94">
        <v>23352</v>
      </c>
      <c r="J17" s="94">
        <v>22982</v>
      </c>
      <c r="K17" s="94">
        <v>213</v>
      </c>
      <c r="L17" s="92" t="s">
        <v>58</v>
      </c>
      <c r="M17" s="92" t="s">
        <v>38</v>
      </c>
      <c r="N17" s="136">
        <f t="shared" si="0"/>
        <v>0.13092855278043686</v>
      </c>
      <c r="Q17" s="130" t="s">
        <v>24</v>
      </c>
      <c r="R17" s="138">
        <v>0.1673142926614104</v>
      </c>
      <c r="S17" s="39">
        <v>140.96385542168676</v>
      </c>
    </row>
    <row r="18" spans="1:23" x14ac:dyDescent="0.3">
      <c r="A18" s="87" t="s">
        <v>59</v>
      </c>
      <c r="B18" s="88" t="s">
        <v>40</v>
      </c>
      <c r="C18" s="89">
        <v>45494</v>
      </c>
      <c r="D18" s="88" t="s">
        <v>16</v>
      </c>
      <c r="E18" s="88" t="s">
        <v>17</v>
      </c>
      <c r="F18" s="94">
        <v>1946</v>
      </c>
      <c r="G18" s="94">
        <v>686</v>
      </c>
      <c r="H18" s="94">
        <v>377</v>
      </c>
      <c r="I18" s="94">
        <v>23352</v>
      </c>
      <c r="J18" s="94">
        <v>22982</v>
      </c>
      <c r="K18" s="94">
        <v>213</v>
      </c>
      <c r="L18" s="92" t="s">
        <v>18</v>
      </c>
      <c r="M18" s="92" t="s">
        <v>38</v>
      </c>
      <c r="N18" s="136">
        <f t="shared" si="0"/>
        <v>0.13092855278043686</v>
      </c>
      <c r="Q18" s="130" t="s">
        <v>18</v>
      </c>
      <c r="R18" s="138">
        <v>0.17470142881937181</v>
      </c>
      <c r="S18" s="39">
        <v>149.70103092783506</v>
      </c>
    </row>
    <row r="19" spans="1:23" x14ac:dyDescent="0.3">
      <c r="A19" s="87" t="s">
        <v>62</v>
      </c>
      <c r="B19" s="88" t="s">
        <v>577</v>
      </c>
      <c r="C19" s="89">
        <v>45614</v>
      </c>
      <c r="D19" s="88" t="s">
        <v>42</v>
      </c>
      <c r="E19" s="88" t="s">
        <v>43</v>
      </c>
      <c r="F19" s="94">
        <v>1171</v>
      </c>
      <c r="G19" s="94">
        <v>286</v>
      </c>
      <c r="H19" s="94">
        <v>231</v>
      </c>
      <c r="I19" s="94">
        <v>22249</v>
      </c>
      <c r="J19" s="94">
        <v>21282</v>
      </c>
      <c r="K19" s="94">
        <v>114</v>
      </c>
      <c r="L19" s="92" t="s">
        <v>24</v>
      </c>
      <c r="M19" s="92" t="s">
        <v>55</v>
      </c>
      <c r="N19" s="136">
        <f t="shared" si="0"/>
        <v>7.9315853773141626E-2</v>
      </c>
      <c r="Q19" s="130" t="s">
        <v>44</v>
      </c>
      <c r="R19" s="138">
        <v>0.15656649759766211</v>
      </c>
      <c r="S19" s="39">
        <v>165.27173913043478</v>
      </c>
    </row>
    <row r="20" spans="1:23" x14ac:dyDescent="0.3">
      <c r="A20" s="87" t="s">
        <v>64</v>
      </c>
      <c r="B20" s="88" t="s">
        <v>40</v>
      </c>
      <c r="C20" s="89">
        <v>45704</v>
      </c>
      <c r="D20" s="88" t="s">
        <v>33</v>
      </c>
      <c r="E20" s="88" t="s">
        <v>34</v>
      </c>
      <c r="F20" s="94">
        <v>4242</v>
      </c>
      <c r="G20" s="94">
        <v>555</v>
      </c>
      <c r="H20" s="94">
        <v>131</v>
      </c>
      <c r="I20" s="94">
        <v>33936</v>
      </c>
      <c r="J20" s="94">
        <v>33802</v>
      </c>
      <c r="K20" s="94">
        <v>265</v>
      </c>
      <c r="L20" s="92" t="s">
        <v>18</v>
      </c>
      <c r="M20" s="92" t="s">
        <v>38</v>
      </c>
      <c r="N20" s="136">
        <f t="shared" si="0"/>
        <v>0.14579018992958998</v>
      </c>
      <c r="Q20" s="130" t="s">
        <v>58</v>
      </c>
      <c r="R20" s="138">
        <v>1.4385457745906978</v>
      </c>
      <c r="S20" s="39">
        <v>146.16346153846155</v>
      </c>
    </row>
    <row r="21" spans="1:23" x14ac:dyDescent="0.3">
      <c r="A21" s="87" t="s">
        <v>64</v>
      </c>
      <c r="B21" s="88" t="s">
        <v>40</v>
      </c>
      <c r="C21" s="89">
        <v>45704</v>
      </c>
      <c r="D21" s="88" t="s">
        <v>33</v>
      </c>
      <c r="E21" s="88" t="s">
        <v>34</v>
      </c>
      <c r="F21" s="94">
        <v>4242</v>
      </c>
      <c r="G21" s="94">
        <v>555</v>
      </c>
      <c r="H21" s="94">
        <v>131</v>
      </c>
      <c r="I21" s="94">
        <v>33936</v>
      </c>
      <c r="J21" s="94">
        <v>33802</v>
      </c>
      <c r="K21" s="94">
        <v>265</v>
      </c>
      <c r="L21" s="92" t="s">
        <v>24</v>
      </c>
      <c r="M21" s="92" t="s">
        <v>38</v>
      </c>
      <c r="N21" s="136">
        <f t="shared" si="0"/>
        <v>0.14579018992958998</v>
      </c>
      <c r="Q21" s="130" t="s">
        <v>579</v>
      </c>
      <c r="R21" s="137">
        <v>0.61247061981328021</v>
      </c>
      <c r="S21" s="39">
        <v>150.94956140350877</v>
      </c>
    </row>
    <row r="22" spans="1:23" x14ac:dyDescent="0.3">
      <c r="A22" s="87" t="s">
        <v>67</v>
      </c>
      <c r="B22" s="88" t="s">
        <v>40</v>
      </c>
      <c r="C22" s="89">
        <v>45589</v>
      </c>
      <c r="D22" s="88" t="s">
        <v>69</v>
      </c>
      <c r="E22" s="88" t="s">
        <v>70</v>
      </c>
      <c r="F22" s="94">
        <v>3888</v>
      </c>
      <c r="G22" s="94">
        <v>604</v>
      </c>
      <c r="H22" s="94">
        <v>128</v>
      </c>
      <c r="I22" s="94">
        <v>77760</v>
      </c>
      <c r="J22" s="94">
        <v>77167</v>
      </c>
      <c r="K22" s="94">
        <v>20</v>
      </c>
      <c r="L22" s="92" t="s">
        <v>24</v>
      </c>
      <c r="M22" s="92" t="s">
        <v>19</v>
      </c>
      <c r="N22" s="136">
        <f t="shared" si="0"/>
        <v>5.9870151748804543E-2</v>
      </c>
    </row>
    <row r="23" spans="1:23" x14ac:dyDescent="0.3">
      <c r="A23" s="87" t="s">
        <v>67</v>
      </c>
      <c r="B23" s="88" t="s">
        <v>40</v>
      </c>
      <c r="C23" s="89">
        <v>45589</v>
      </c>
      <c r="D23" s="88" t="s">
        <v>69</v>
      </c>
      <c r="E23" s="88" t="s">
        <v>70</v>
      </c>
      <c r="F23" s="94">
        <v>3888</v>
      </c>
      <c r="G23" s="94">
        <v>604</v>
      </c>
      <c r="H23" s="94">
        <v>128</v>
      </c>
      <c r="I23" s="94">
        <v>77760</v>
      </c>
      <c r="J23" s="94">
        <v>77167</v>
      </c>
      <c r="K23" s="94">
        <v>20</v>
      </c>
      <c r="L23" s="92" t="s">
        <v>77</v>
      </c>
      <c r="M23" s="92" t="s">
        <v>19</v>
      </c>
      <c r="N23" s="136">
        <f t="shared" si="0"/>
        <v>5.9870151748804543E-2</v>
      </c>
    </row>
    <row r="24" spans="1:23" x14ac:dyDescent="0.3">
      <c r="A24" s="87" t="s">
        <v>72</v>
      </c>
      <c r="B24" s="88" t="s">
        <v>40</v>
      </c>
      <c r="C24" s="89">
        <v>45530</v>
      </c>
      <c r="D24" s="88" t="s">
        <v>22</v>
      </c>
      <c r="E24" s="88" t="s">
        <v>23</v>
      </c>
      <c r="F24" s="94">
        <v>3452</v>
      </c>
      <c r="G24" s="94">
        <v>377</v>
      </c>
      <c r="H24" s="94">
        <v>360</v>
      </c>
      <c r="I24" s="94">
        <v>55232</v>
      </c>
      <c r="J24" s="94">
        <v>55075</v>
      </c>
      <c r="K24" s="94">
        <v>87</v>
      </c>
      <c r="L24" s="92" t="s">
        <v>18</v>
      </c>
      <c r="M24" s="92" t="s">
        <v>38</v>
      </c>
      <c r="N24" s="136">
        <f t="shared" si="0"/>
        <v>7.6059918293236495E-2</v>
      </c>
    </row>
    <row r="25" spans="1:23" ht="15.6" x14ac:dyDescent="0.3">
      <c r="A25" s="87" t="s">
        <v>72</v>
      </c>
      <c r="B25" s="88" t="s">
        <v>40</v>
      </c>
      <c r="C25" s="89">
        <v>45530</v>
      </c>
      <c r="D25" s="88" t="s">
        <v>22</v>
      </c>
      <c r="E25" s="88" t="s">
        <v>23</v>
      </c>
      <c r="F25" s="94">
        <v>3452</v>
      </c>
      <c r="G25" s="94">
        <v>377</v>
      </c>
      <c r="H25" s="94">
        <v>360</v>
      </c>
      <c r="I25" s="94">
        <v>55232</v>
      </c>
      <c r="J25" s="94">
        <v>55075</v>
      </c>
      <c r="K25" s="94">
        <v>87</v>
      </c>
      <c r="L25" s="92" t="s">
        <v>77</v>
      </c>
      <c r="M25" s="92" t="s">
        <v>38</v>
      </c>
      <c r="N25" s="136">
        <f t="shared" si="0"/>
        <v>7.6059918293236495E-2</v>
      </c>
      <c r="Q25" s="156" t="s">
        <v>617</v>
      </c>
      <c r="R25" s="156"/>
      <c r="S25" s="156"/>
      <c r="T25" s="156"/>
    </row>
    <row r="26" spans="1:23" x14ac:dyDescent="0.3">
      <c r="A26" s="87" t="s">
        <v>75</v>
      </c>
      <c r="B26" s="88" t="s">
        <v>40</v>
      </c>
      <c r="C26" s="89">
        <v>45782</v>
      </c>
      <c r="D26" s="88" t="s">
        <v>22</v>
      </c>
      <c r="E26" s="88" t="s">
        <v>23</v>
      </c>
      <c r="F26" s="94">
        <v>4441</v>
      </c>
      <c r="G26" s="94">
        <v>511</v>
      </c>
      <c r="H26" s="94">
        <v>70</v>
      </c>
      <c r="I26" s="94">
        <v>53292</v>
      </c>
      <c r="J26" s="94">
        <v>53082</v>
      </c>
      <c r="K26" s="94">
        <v>159</v>
      </c>
      <c r="L26" s="92" t="s">
        <v>77</v>
      </c>
      <c r="M26" s="92" t="s">
        <v>38</v>
      </c>
      <c r="N26" s="136">
        <f t="shared" si="0"/>
        <v>9.4608341810783314E-2</v>
      </c>
      <c r="Q26" s="129" t="s">
        <v>3</v>
      </c>
      <c r="R26" t="s">
        <v>612</v>
      </c>
      <c r="S26" t="s">
        <v>611</v>
      </c>
      <c r="T26" t="s">
        <v>614</v>
      </c>
      <c r="U26" t="s">
        <v>597</v>
      </c>
      <c r="V26" t="s">
        <v>615</v>
      </c>
      <c r="W26" t="s">
        <v>613</v>
      </c>
    </row>
    <row r="27" spans="1:23" x14ac:dyDescent="0.3">
      <c r="A27" s="87" t="s">
        <v>78</v>
      </c>
      <c r="B27" s="88" t="s">
        <v>31</v>
      </c>
      <c r="C27" s="89">
        <v>45523</v>
      </c>
      <c r="D27" s="88" t="s">
        <v>16</v>
      </c>
      <c r="E27" s="88" t="s">
        <v>17</v>
      </c>
      <c r="F27" s="94">
        <v>3000</v>
      </c>
      <c r="G27" s="94">
        <v>382</v>
      </c>
      <c r="H27" s="94">
        <v>325</v>
      </c>
      <c r="I27" s="94">
        <v>36000</v>
      </c>
      <c r="J27" s="94">
        <v>35819</v>
      </c>
      <c r="K27" s="94">
        <v>19</v>
      </c>
      <c r="L27" s="92" t="s">
        <v>58</v>
      </c>
      <c r="M27" s="92" t="s">
        <v>25</v>
      </c>
      <c r="N27" s="136">
        <f t="shared" si="0"/>
        <v>0.10349255981462352</v>
      </c>
      <c r="Q27" s="130" t="s">
        <v>42</v>
      </c>
      <c r="R27" s="39">
        <v>2705.9565217391305</v>
      </c>
      <c r="S27" s="39">
        <v>244.2608695652174</v>
      </c>
      <c r="T27" s="39">
        <v>439.19565217391306</v>
      </c>
      <c r="U27" s="39">
        <v>154.41304347826087</v>
      </c>
      <c r="V27" s="39">
        <v>34317.67391304348</v>
      </c>
      <c r="W27" s="39">
        <v>34830.739130434784</v>
      </c>
    </row>
    <row r="28" spans="1:23" x14ac:dyDescent="0.3">
      <c r="A28" s="87" t="s">
        <v>80</v>
      </c>
      <c r="B28" s="88" t="s">
        <v>31</v>
      </c>
      <c r="C28" s="89">
        <v>45466</v>
      </c>
      <c r="D28" s="88" t="s">
        <v>69</v>
      </c>
      <c r="E28" s="88" t="s">
        <v>70</v>
      </c>
      <c r="F28" s="94">
        <v>1071</v>
      </c>
      <c r="G28" s="94">
        <v>519</v>
      </c>
      <c r="H28" s="94">
        <v>22</v>
      </c>
      <c r="I28" s="94">
        <v>16065</v>
      </c>
      <c r="J28" s="94">
        <v>15865</v>
      </c>
      <c r="K28" s="94">
        <v>103</v>
      </c>
      <c r="L28" s="92" t="s">
        <v>18</v>
      </c>
      <c r="M28" s="92" t="s">
        <v>38</v>
      </c>
      <c r="N28" s="136">
        <f t="shared" si="0"/>
        <v>0.10160731169240467</v>
      </c>
      <c r="Q28" s="130" t="s">
        <v>49</v>
      </c>
      <c r="R28" s="39">
        <v>2752.6041666666665</v>
      </c>
      <c r="S28" s="39">
        <v>254.96875</v>
      </c>
      <c r="T28" s="39">
        <v>463.47916666666669</v>
      </c>
      <c r="U28" s="39">
        <v>160.875</v>
      </c>
      <c r="V28" s="39">
        <v>35097.645833333336</v>
      </c>
      <c r="W28" s="39">
        <v>35680.416666666664</v>
      </c>
    </row>
    <row r="29" spans="1:23" x14ac:dyDescent="0.3">
      <c r="A29" s="87" t="s">
        <v>80</v>
      </c>
      <c r="B29" s="88" t="s">
        <v>31</v>
      </c>
      <c r="C29" s="89">
        <v>45466</v>
      </c>
      <c r="D29" s="88" t="s">
        <v>69</v>
      </c>
      <c r="E29" s="88" t="s">
        <v>70</v>
      </c>
      <c r="F29" s="94">
        <v>1071</v>
      </c>
      <c r="G29" s="94">
        <v>519</v>
      </c>
      <c r="H29" s="94">
        <v>22</v>
      </c>
      <c r="I29" s="94">
        <v>16065</v>
      </c>
      <c r="J29" s="94">
        <v>15865</v>
      </c>
      <c r="K29" s="94">
        <v>103</v>
      </c>
      <c r="L29" s="92" t="s">
        <v>58</v>
      </c>
      <c r="M29" s="92" t="s">
        <v>38</v>
      </c>
      <c r="N29" s="136">
        <f t="shared" si="0"/>
        <v>0.10160731169240467</v>
      </c>
      <c r="Q29" s="130" t="s">
        <v>16</v>
      </c>
      <c r="R29" s="39">
        <v>2734.6521739130435</v>
      </c>
      <c r="S29" s="39">
        <v>245.36231884057972</v>
      </c>
      <c r="T29" s="39">
        <v>519.536231884058</v>
      </c>
      <c r="U29" s="39">
        <v>163.05797101449275</v>
      </c>
      <c r="V29" s="39">
        <v>35721.695652173912</v>
      </c>
      <c r="W29" s="39">
        <v>36247.913043478264</v>
      </c>
    </row>
    <row r="30" spans="1:23" x14ac:dyDescent="0.3">
      <c r="A30" s="87" t="s">
        <v>83</v>
      </c>
      <c r="B30" s="88" t="s">
        <v>31</v>
      </c>
      <c r="C30" s="89">
        <v>45544</v>
      </c>
      <c r="D30" s="88" t="s">
        <v>42</v>
      </c>
      <c r="E30" s="88" t="s">
        <v>43</v>
      </c>
      <c r="F30" s="94">
        <v>4054</v>
      </c>
      <c r="G30" s="94">
        <v>488</v>
      </c>
      <c r="H30" s="94">
        <v>373</v>
      </c>
      <c r="I30" s="94">
        <v>77026</v>
      </c>
      <c r="J30" s="94">
        <v>76881</v>
      </c>
      <c r="K30" s="94">
        <v>25</v>
      </c>
      <c r="L30" s="92" t="s">
        <v>24</v>
      </c>
      <c r="M30" s="92" t="s">
        <v>38</v>
      </c>
      <c r="N30" s="136">
        <f t="shared" si="0"/>
        <v>6.3929969693422309E-2</v>
      </c>
      <c r="Q30" s="130" t="s">
        <v>33</v>
      </c>
      <c r="R30" s="39">
        <v>2738.5070422535209</v>
      </c>
      <c r="S30" s="39">
        <v>267.19718309859155</v>
      </c>
      <c r="T30" s="39">
        <v>531.25352112676057</v>
      </c>
      <c r="U30" s="39">
        <v>132.88732394366198</v>
      </c>
      <c r="V30" s="39">
        <v>31832.859154929578</v>
      </c>
      <c r="W30" s="39">
        <v>32380.732394366198</v>
      </c>
    </row>
    <row r="31" spans="1:23" x14ac:dyDescent="0.3">
      <c r="A31" s="87" t="s">
        <v>83</v>
      </c>
      <c r="B31" s="88" t="s">
        <v>31</v>
      </c>
      <c r="C31" s="89">
        <v>45544</v>
      </c>
      <c r="D31" s="88" t="s">
        <v>42</v>
      </c>
      <c r="E31" s="88" t="s">
        <v>43</v>
      </c>
      <c r="F31" s="94">
        <v>4054</v>
      </c>
      <c r="G31" s="94">
        <v>488</v>
      </c>
      <c r="H31" s="94">
        <v>373</v>
      </c>
      <c r="I31" s="94">
        <v>77026</v>
      </c>
      <c r="J31" s="94">
        <v>76881</v>
      </c>
      <c r="K31" s="94">
        <v>25</v>
      </c>
      <c r="L31" s="92" t="s">
        <v>18</v>
      </c>
      <c r="M31" s="92" t="s">
        <v>38</v>
      </c>
      <c r="N31" s="136">
        <f t="shared" si="0"/>
        <v>6.3929969693422309E-2</v>
      </c>
      <c r="Q31" s="130" t="s">
        <v>22</v>
      </c>
      <c r="R31" s="39">
        <v>2770.0153846153844</v>
      </c>
      <c r="S31" s="39">
        <v>243.66153846153847</v>
      </c>
      <c r="T31" s="39">
        <v>450.73846153846154</v>
      </c>
      <c r="U31" s="39">
        <v>154.4</v>
      </c>
      <c r="V31" s="39">
        <v>35051.953846153847</v>
      </c>
      <c r="W31" s="39">
        <v>35611.846153846156</v>
      </c>
    </row>
    <row r="32" spans="1:23" x14ac:dyDescent="0.3">
      <c r="A32" s="87" t="s">
        <v>85</v>
      </c>
      <c r="B32" s="88" t="s">
        <v>31</v>
      </c>
      <c r="C32" s="89">
        <v>45661</v>
      </c>
      <c r="D32" s="88" t="s">
        <v>16</v>
      </c>
      <c r="E32" s="88" t="s">
        <v>17</v>
      </c>
      <c r="F32" s="94">
        <v>4838</v>
      </c>
      <c r="G32" s="94">
        <v>640</v>
      </c>
      <c r="H32" s="94">
        <v>128</v>
      </c>
      <c r="I32" s="94">
        <v>72570</v>
      </c>
      <c r="J32" s="94">
        <v>72396</v>
      </c>
      <c r="K32" s="94">
        <v>83</v>
      </c>
      <c r="L32" s="92" t="s">
        <v>58</v>
      </c>
      <c r="M32" s="92" t="s">
        <v>38</v>
      </c>
      <c r="N32" s="136">
        <f t="shared" si="0"/>
        <v>7.7435217415326815E-2</v>
      </c>
      <c r="Q32" s="130" t="s">
        <v>69</v>
      </c>
      <c r="R32" s="39">
        <v>2640.0793650793653</v>
      </c>
      <c r="S32" s="39">
        <v>232.60317460317461</v>
      </c>
      <c r="T32" s="39">
        <v>504.63492063492066</v>
      </c>
      <c r="U32" s="39">
        <v>134.30158730158729</v>
      </c>
      <c r="V32" s="39">
        <v>31337.746031746032</v>
      </c>
      <c r="W32" s="39">
        <v>31850.952380952382</v>
      </c>
    </row>
    <row r="33" spans="1:23" x14ac:dyDescent="0.3">
      <c r="A33" s="87" t="s">
        <v>85</v>
      </c>
      <c r="B33" s="88" t="s">
        <v>31</v>
      </c>
      <c r="C33" s="89">
        <v>45661</v>
      </c>
      <c r="D33" s="88" t="s">
        <v>16</v>
      </c>
      <c r="E33" s="88" t="s">
        <v>17</v>
      </c>
      <c r="F33" s="94">
        <v>4838</v>
      </c>
      <c r="G33" s="94">
        <v>640</v>
      </c>
      <c r="H33" s="94">
        <v>128</v>
      </c>
      <c r="I33" s="94">
        <v>72570</v>
      </c>
      <c r="J33" s="94">
        <v>72396</v>
      </c>
      <c r="K33" s="94">
        <v>83</v>
      </c>
      <c r="L33" s="92" t="s">
        <v>44</v>
      </c>
      <c r="M33" s="92" t="s">
        <v>38</v>
      </c>
      <c r="N33" s="136">
        <f t="shared" si="0"/>
        <v>7.7435217415326815E-2</v>
      </c>
      <c r="Q33" s="130" t="s">
        <v>579</v>
      </c>
      <c r="R33" s="39">
        <v>2725.2171052631579</v>
      </c>
      <c r="S33" s="39">
        <v>248.55701754385964</v>
      </c>
      <c r="T33" s="39">
        <v>481.48464912280701</v>
      </c>
      <c r="U33" s="39">
        <v>150.94956140350877</v>
      </c>
      <c r="V33" s="39">
        <v>34000.405701754389</v>
      </c>
      <c r="W33" s="39">
        <v>34542.25</v>
      </c>
    </row>
    <row r="34" spans="1:23" x14ac:dyDescent="0.3">
      <c r="A34" s="87" t="s">
        <v>88</v>
      </c>
      <c r="B34" s="88" t="s">
        <v>40</v>
      </c>
      <c r="C34" s="89">
        <v>45715</v>
      </c>
      <c r="D34" s="88" t="s">
        <v>22</v>
      </c>
      <c r="E34" s="88" t="s">
        <v>23</v>
      </c>
      <c r="F34" s="94">
        <v>1570</v>
      </c>
      <c r="G34" s="94">
        <v>187</v>
      </c>
      <c r="H34" s="94">
        <v>260</v>
      </c>
      <c r="I34" s="94">
        <v>25120</v>
      </c>
      <c r="J34" s="94">
        <v>24613</v>
      </c>
      <c r="K34" s="94">
        <v>133</v>
      </c>
      <c r="L34" s="92" t="s">
        <v>18</v>
      </c>
      <c r="M34" s="92" t="s">
        <v>55</v>
      </c>
      <c r="N34" s="136">
        <f t="shared" si="0"/>
        <v>8.1948563767114943E-2</v>
      </c>
    </row>
    <row r="35" spans="1:23" x14ac:dyDescent="0.3">
      <c r="A35" s="87" t="s">
        <v>90</v>
      </c>
      <c r="B35" s="88" t="s">
        <v>40</v>
      </c>
      <c r="C35" s="89">
        <v>45602</v>
      </c>
      <c r="D35" s="88" t="s">
        <v>69</v>
      </c>
      <c r="E35" s="88" t="s">
        <v>70</v>
      </c>
      <c r="F35" s="94">
        <v>1606</v>
      </c>
      <c r="G35" s="94">
        <v>547</v>
      </c>
      <c r="H35" s="94">
        <v>316</v>
      </c>
      <c r="I35" s="94">
        <v>32120</v>
      </c>
      <c r="J35" s="94">
        <v>31736</v>
      </c>
      <c r="K35" s="94">
        <v>225</v>
      </c>
      <c r="L35" s="92" t="s">
        <v>18</v>
      </c>
      <c r="M35" s="92" t="s">
        <v>38</v>
      </c>
      <c r="N35" s="136">
        <f t="shared" si="0"/>
        <v>7.7798084194605502E-2</v>
      </c>
    </row>
    <row r="36" spans="1:23" x14ac:dyDescent="0.3">
      <c r="A36" s="87" t="s">
        <v>92</v>
      </c>
      <c r="B36" s="88" t="s">
        <v>40</v>
      </c>
      <c r="C36" s="89">
        <v>45680</v>
      </c>
      <c r="D36" s="88" t="s">
        <v>69</v>
      </c>
      <c r="E36" s="88" t="s">
        <v>70</v>
      </c>
      <c r="F36" s="94">
        <v>3961</v>
      </c>
      <c r="G36" s="94">
        <v>761</v>
      </c>
      <c r="H36" s="94">
        <v>131</v>
      </c>
      <c r="I36" s="94">
        <v>67337</v>
      </c>
      <c r="J36" s="94">
        <v>66615</v>
      </c>
      <c r="K36" s="94">
        <v>161</v>
      </c>
      <c r="L36" s="92" t="s">
        <v>44</v>
      </c>
      <c r="M36" s="92" t="s">
        <v>25</v>
      </c>
      <c r="N36" s="136">
        <f t="shared" si="0"/>
        <v>7.2851459881408093E-2</v>
      </c>
    </row>
    <row r="37" spans="1:23" x14ac:dyDescent="0.3">
      <c r="A37" s="87" t="s">
        <v>94</v>
      </c>
      <c r="B37" s="88" t="s">
        <v>14</v>
      </c>
      <c r="C37" s="89">
        <v>45757</v>
      </c>
      <c r="D37" s="88" t="s">
        <v>42</v>
      </c>
      <c r="E37" s="88" t="s">
        <v>43</v>
      </c>
      <c r="F37" s="94">
        <v>3128</v>
      </c>
      <c r="G37" s="94">
        <v>211</v>
      </c>
      <c r="H37" s="94">
        <v>197</v>
      </c>
      <c r="I37" s="94">
        <v>59432</v>
      </c>
      <c r="J37" s="94">
        <v>59182</v>
      </c>
      <c r="K37" s="94">
        <v>238</v>
      </c>
      <c r="L37" s="92" t="s">
        <v>58</v>
      </c>
      <c r="M37" s="92" t="s">
        <v>19</v>
      </c>
      <c r="N37" s="136">
        <f t="shared" si="0"/>
        <v>5.9747896319826972E-2</v>
      </c>
    </row>
    <row r="38" spans="1:23" x14ac:dyDescent="0.3">
      <c r="A38" s="87" t="s">
        <v>94</v>
      </c>
      <c r="B38" s="88" t="s">
        <v>14</v>
      </c>
      <c r="C38" s="89">
        <v>45757</v>
      </c>
      <c r="D38" s="88" t="s">
        <v>42</v>
      </c>
      <c r="E38" s="88" t="s">
        <v>43</v>
      </c>
      <c r="F38" s="94">
        <v>3128</v>
      </c>
      <c r="G38" s="94">
        <v>211</v>
      </c>
      <c r="H38" s="94">
        <v>197</v>
      </c>
      <c r="I38" s="94">
        <v>59432</v>
      </c>
      <c r="J38" s="94">
        <v>59182</v>
      </c>
      <c r="K38" s="94">
        <v>238</v>
      </c>
      <c r="L38" s="92" t="s">
        <v>18</v>
      </c>
      <c r="M38" s="92" t="s">
        <v>19</v>
      </c>
      <c r="N38" s="136">
        <f t="shared" si="0"/>
        <v>5.9747896319826972E-2</v>
      </c>
    </row>
    <row r="39" spans="1:23" x14ac:dyDescent="0.3">
      <c r="A39" s="87" t="s">
        <v>96</v>
      </c>
      <c r="B39" s="88" t="s">
        <v>577</v>
      </c>
      <c r="C39" s="89">
        <v>45752</v>
      </c>
      <c r="D39" s="88" t="s">
        <v>16</v>
      </c>
      <c r="E39" s="88" t="s">
        <v>17</v>
      </c>
      <c r="F39" s="94">
        <v>3009</v>
      </c>
      <c r="G39" s="94">
        <v>413</v>
      </c>
      <c r="H39" s="94">
        <v>358</v>
      </c>
      <c r="I39" s="94">
        <v>42126</v>
      </c>
      <c r="J39" s="94">
        <v>41309</v>
      </c>
      <c r="K39" s="94">
        <v>211</v>
      </c>
      <c r="L39" s="92" t="s">
        <v>18</v>
      </c>
      <c r="M39" s="92" t="s">
        <v>25</v>
      </c>
      <c r="N39" s="136">
        <f t="shared" si="0"/>
        <v>9.1505483066644078E-2</v>
      </c>
    </row>
    <row r="40" spans="1:23" x14ac:dyDescent="0.3">
      <c r="A40" s="87" t="s">
        <v>98</v>
      </c>
      <c r="B40" s="88" t="s">
        <v>577</v>
      </c>
      <c r="C40" s="89">
        <v>45552</v>
      </c>
      <c r="D40" s="88" t="s">
        <v>22</v>
      </c>
      <c r="E40" s="88" t="s">
        <v>23</v>
      </c>
      <c r="F40" s="94">
        <v>2076</v>
      </c>
      <c r="G40" s="94">
        <v>195</v>
      </c>
      <c r="H40" s="94">
        <v>104</v>
      </c>
      <c r="I40" s="94">
        <v>33216</v>
      </c>
      <c r="J40" s="94">
        <v>32244</v>
      </c>
      <c r="K40" s="94">
        <v>51</v>
      </c>
      <c r="L40" s="92" t="s">
        <v>44</v>
      </c>
      <c r="M40" s="92" t="s">
        <v>55</v>
      </c>
      <c r="N40" s="136">
        <f t="shared" si="0"/>
        <v>7.3657114501922832E-2</v>
      </c>
    </row>
    <row r="41" spans="1:23" x14ac:dyDescent="0.3">
      <c r="A41" s="87" t="s">
        <v>100</v>
      </c>
      <c r="B41" s="88" t="s">
        <v>31</v>
      </c>
      <c r="C41" s="89">
        <v>45720</v>
      </c>
      <c r="D41" s="88" t="s">
        <v>69</v>
      </c>
      <c r="E41" s="88" t="s">
        <v>70</v>
      </c>
      <c r="F41" s="94">
        <v>432</v>
      </c>
      <c r="G41" s="94">
        <v>624</v>
      </c>
      <c r="H41" s="94">
        <v>123</v>
      </c>
      <c r="I41" s="94">
        <v>6912</v>
      </c>
      <c r="J41" s="94">
        <v>6259</v>
      </c>
      <c r="K41" s="94">
        <v>79</v>
      </c>
      <c r="L41" s="92" t="s">
        <v>18</v>
      </c>
      <c r="M41" s="92" t="s">
        <v>25</v>
      </c>
      <c r="N41" s="136">
        <f t="shared" si="0"/>
        <v>0.18836874900143794</v>
      </c>
    </row>
    <row r="42" spans="1:23" x14ac:dyDescent="0.3">
      <c r="A42" s="87" t="s">
        <v>100</v>
      </c>
      <c r="B42" s="88" t="s">
        <v>31</v>
      </c>
      <c r="C42" s="89">
        <v>45720</v>
      </c>
      <c r="D42" s="88" t="s">
        <v>69</v>
      </c>
      <c r="E42" s="88" t="s">
        <v>70</v>
      </c>
      <c r="F42" s="94">
        <v>432</v>
      </c>
      <c r="G42" s="94">
        <v>624</v>
      </c>
      <c r="H42" s="94">
        <v>123</v>
      </c>
      <c r="I42" s="94">
        <v>6912</v>
      </c>
      <c r="J42" s="94">
        <v>6259</v>
      </c>
      <c r="K42" s="94">
        <v>79</v>
      </c>
      <c r="L42" s="92" t="s">
        <v>44</v>
      </c>
      <c r="M42" s="92" t="s">
        <v>25</v>
      </c>
      <c r="N42" s="136">
        <f t="shared" si="0"/>
        <v>0.18836874900143794</v>
      </c>
    </row>
    <row r="43" spans="1:23" x14ac:dyDescent="0.3">
      <c r="A43" s="87" t="s">
        <v>103</v>
      </c>
      <c r="B43" s="88" t="s">
        <v>31</v>
      </c>
      <c r="C43" s="89">
        <v>45688</v>
      </c>
      <c r="D43" s="88" t="s">
        <v>42</v>
      </c>
      <c r="E43" s="88" t="s">
        <v>43</v>
      </c>
      <c r="F43" s="94">
        <v>2566</v>
      </c>
      <c r="G43" s="94">
        <v>118</v>
      </c>
      <c r="H43" s="94">
        <v>37</v>
      </c>
      <c r="I43" s="94">
        <v>12830</v>
      </c>
      <c r="J43" s="94">
        <v>12264</v>
      </c>
      <c r="K43" s="94">
        <v>221</v>
      </c>
      <c r="L43" s="92" t="s">
        <v>44</v>
      </c>
      <c r="M43" s="92" t="s">
        <v>38</v>
      </c>
      <c r="N43" s="136">
        <f t="shared" si="0"/>
        <v>0.22186888454011741</v>
      </c>
    </row>
    <row r="44" spans="1:23" x14ac:dyDescent="0.3">
      <c r="A44" s="87" t="s">
        <v>103</v>
      </c>
      <c r="B44" s="88" t="s">
        <v>31</v>
      </c>
      <c r="C44" s="89">
        <v>45688</v>
      </c>
      <c r="D44" s="88" t="s">
        <v>42</v>
      </c>
      <c r="E44" s="88" t="s">
        <v>43</v>
      </c>
      <c r="F44" s="94">
        <v>2566</v>
      </c>
      <c r="G44" s="94">
        <v>118</v>
      </c>
      <c r="H44" s="94">
        <v>37</v>
      </c>
      <c r="I44" s="94">
        <v>12830</v>
      </c>
      <c r="J44" s="94">
        <v>12264</v>
      </c>
      <c r="K44" s="94">
        <v>221</v>
      </c>
      <c r="L44" s="92" t="s">
        <v>24</v>
      </c>
      <c r="M44" s="92" t="s">
        <v>38</v>
      </c>
      <c r="N44" s="136">
        <f t="shared" si="0"/>
        <v>0.22186888454011741</v>
      </c>
    </row>
    <row r="45" spans="1:23" x14ac:dyDescent="0.3">
      <c r="A45" s="87" t="s">
        <v>106</v>
      </c>
      <c r="B45" s="88" t="s">
        <v>31</v>
      </c>
      <c r="C45" s="89">
        <v>45713</v>
      </c>
      <c r="D45" s="88" t="s">
        <v>69</v>
      </c>
      <c r="E45" s="88" t="s">
        <v>70</v>
      </c>
      <c r="F45" s="94">
        <v>3095</v>
      </c>
      <c r="G45" s="94">
        <v>39</v>
      </c>
      <c r="H45" s="94">
        <v>78</v>
      </c>
      <c r="I45" s="94">
        <v>55710</v>
      </c>
      <c r="J45" s="94">
        <v>54808</v>
      </c>
      <c r="K45" s="94">
        <v>93</v>
      </c>
      <c r="L45" s="92" t="s">
        <v>18</v>
      </c>
      <c r="M45" s="92" t="s">
        <v>55</v>
      </c>
      <c r="N45" s="136">
        <f t="shared" si="0"/>
        <v>5.8604583272514964E-2</v>
      </c>
    </row>
    <row r="46" spans="1:23" x14ac:dyDescent="0.3">
      <c r="A46" s="87" t="s">
        <v>108</v>
      </c>
      <c r="B46" s="88" t="s">
        <v>31</v>
      </c>
      <c r="C46" s="89">
        <v>45642</v>
      </c>
      <c r="D46" s="88" t="s">
        <v>22</v>
      </c>
      <c r="E46" s="88" t="s">
        <v>23</v>
      </c>
      <c r="F46" s="94">
        <v>438</v>
      </c>
      <c r="G46" s="94">
        <v>153</v>
      </c>
      <c r="H46" s="94">
        <v>275</v>
      </c>
      <c r="I46" s="94">
        <v>3066</v>
      </c>
      <c r="J46" s="94">
        <v>2701</v>
      </c>
      <c r="K46" s="94">
        <v>282</v>
      </c>
      <c r="L46" s="92" t="s">
        <v>44</v>
      </c>
      <c r="M46" s="92" t="s">
        <v>55</v>
      </c>
      <c r="N46" s="136">
        <f t="shared" si="0"/>
        <v>0.32062199185486856</v>
      </c>
    </row>
    <row r="47" spans="1:23" x14ac:dyDescent="0.3">
      <c r="A47" s="87" t="s">
        <v>110</v>
      </c>
      <c r="B47" s="88" t="s">
        <v>14</v>
      </c>
      <c r="C47" s="89">
        <v>45504</v>
      </c>
      <c r="D47" s="88" t="s">
        <v>42</v>
      </c>
      <c r="E47" s="88" t="s">
        <v>43</v>
      </c>
      <c r="F47" s="94">
        <v>2278</v>
      </c>
      <c r="G47" s="94">
        <v>10</v>
      </c>
      <c r="H47" s="94">
        <v>321</v>
      </c>
      <c r="I47" s="94">
        <v>13668</v>
      </c>
      <c r="J47" s="94">
        <v>12676</v>
      </c>
      <c r="K47" s="94">
        <v>275</v>
      </c>
      <c r="L47" s="92" t="s">
        <v>44</v>
      </c>
      <c r="M47" s="92" t="s">
        <v>55</v>
      </c>
      <c r="N47" s="136">
        <f t="shared" si="0"/>
        <v>0.20582202587567056</v>
      </c>
    </row>
    <row r="48" spans="1:23" x14ac:dyDescent="0.3">
      <c r="A48" s="87" t="s">
        <v>110</v>
      </c>
      <c r="B48" s="88" t="s">
        <v>14</v>
      </c>
      <c r="C48" s="89">
        <v>45504</v>
      </c>
      <c r="D48" s="88" t="s">
        <v>42</v>
      </c>
      <c r="E48" s="88" t="s">
        <v>43</v>
      </c>
      <c r="F48" s="94">
        <v>2278</v>
      </c>
      <c r="G48" s="94">
        <v>10</v>
      </c>
      <c r="H48" s="94">
        <v>321</v>
      </c>
      <c r="I48" s="94">
        <v>13668</v>
      </c>
      <c r="J48" s="94">
        <v>12676</v>
      </c>
      <c r="K48" s="94">
        <v>275</v>
      </c>
      <c r="L48" s="92" t="s">
        <v>24</v>
      </c>
      <c r="M48" s="92" t="s">
        <v>55</v>
      </c>
      <c r="N48" s="136">
        <f t="shared" si="0"/>
        <v>0.20582202587567056</v>
      </c>
    </row>
    <row r="49" spans="1:14" x14ac:dyDescent="0.3">
      <c r="A49" s="87" t="s">
        <v>112</v>
      </c>
      <c r="B49" s="88" t="s">
        <v>40</v>
      </c>
      <c r="C49" s="89">
        <v>45525</v>
      </c>
      <c r="D49" s="88" t="s">
        <v>49</v>
      </c>
      <c r="E49" s="88" t="s">
        <v>50</v>
      </c>
      <c r="F49" s="94">
        <v>1407</v>
      </c>
      <c r="G49" s="94">
        <v>400</v>
      </c>
      <c r="H49" s="94">
        <v>351</v>
      </c>
      <c r="I49" s="94">
        <v>16884</v>
      </c>
      <c r="J49" s="94">
        <v>15954</v>
      </c>
      <c r="K49" s="94">
        <v>113</v>
      </c>
      <c r="L49" s="92" t="s">
        <v>24</v>
      </c>
      <c r="M49" s="92" t="s">
        <v>38</v>
      </c>
      <c r="N49" s="136">
        <f t="shared" si="0"/>
        <v>0.13526388366553843</v>
      </c>
    </row>
    <row r="50" spans="1:14" x14ac:dyDescent="0.3">
      <c r="A50" s="87" t="s">
        <v>112</v>
      </c>
      <c r="B50" s="88" t="s">
        <v>40</v>
      </c>
      <c r="C50" s="89">
        <v>45525</v>
      </c>
      <c r="D50" s="88" t="s">
        <v>49</v>
      </c>
      <c r="E50" s="88" t="s">
        <v>50</v>
      </c>
      <c r="F50" s="94">
        <v>1407</v>
      </c>
      <c r="G50" s="94">
        <v>400</v>
      </c>
      <c r="H50" s="94">
        <v>351</v>
      </c>
      <c r="I50" s="94">
        <v>16884</v>
      </c>
      <c r="J50" s="94">
        <v>15954</v>
      </c>
      <c r="K50" s="94">
        <v>113</v>
      </c>
      <c r="L50" s="92" t="s">
        <v>77</v>
      </c>
      <c r="M50" s="92" t="s">
        <v>38</v>
      </c>
      <c r="N50" s="136">
        <f t="shared" si="0"/>
        <v>0.13526388366553843</v>
      </c>
    </row>
    <row r="51" spans="1:14" x14ac:dyDescent="0.3">
      <c r="A51" s="87" t="s">
        <v>114</v>
      </c>
      <c r="B51" s="88" t="s">
        <v>40</v>
      </c>
      <c r="C51" s="89">
        <v>45742</v>
      </c>
      <c r="D51" s="88" t="s">
        <v>22</v>
      </c>
      <c r="E51" s="88" t="s">
        <v>23</v>
      </c>
      <c r="F51" s="94">
        <v>1652</v>
      </c>
      <c r="G51" s="94">
        <v>89</v>
      </c>
      <c r="H51" s="94">
        <v>357</v>
      </c>
      <c r="I51" s="94">
        <v>29736</v>
      </c>
      <c r="J51" s="94">
        <v>28771</v>
      </c>
      <c r="K51" s="94">
        <v>215</v>
      </c>
      <c r="L51" s="92" t="s">
        <v>44</v>
      </c>
      <c r="M51" s="92" t="s">
        <v>25</v>
      </c>
      <c r="N51" s="136">
        <f t="shared" si="0"/>
        <v>7.2920649264884785E-2</v>
      </c>
    </row>
    <row r="52" spans="1:14" x14ac:dyDescent="0.3">
      <c r="A52" s="87" t="s">
        <v>114</v>
      </c>
      <c r="B52" s="88" t="s">
        <v>40</v>
      </c>
      <c r="C52" s="89">
        <v>45742</v>
      </c>
      <c r="D52" s="88" t="s">
        <v>22</v>
      </c>
      <c r="E52" s="88" t="s">
        <v>23</v>
      </c>
      <c r="F52" s="94">
        <v>1652</v>
      </c>
      <c r="G52" s="94">
        <v>89</v>
      </c>
      <c r="H52" s="94">
        <v>357</v>
      </c>
      <c r="I52" s="94">
        <v>29736</v>
      </c>
      <c r="J52" s="94">
        <v>28771</v>
      </c>
      <c r="K52" s="94">
        <v>215</v>
      </c>
      <c r="L52" s="92" t="s">
        <v>77</v>
      </c>
      <c r="M52" s="92" t="s">
        <v>25</v>
      </c>
      <c r="N52" s="136">
        <f t="shared" si="0"/>
        <v>7.2920649264884785E-2</v>
      </c>
    </row>
    <row r="53" spans="1:14" x14ac:dyDescent="0.3">
      <c r="A53" s="87" t="s">
        <v>117</v>
      </c>
      <c r="B53" s="88" t="s">
        <v>31</v>
      </c>
      <c r="C53" s="89">
        <v>45626</v>
      </c>
      <c r="D53" s="88" t="s">
        <v>69</v>
      </c>
      <c r="E53" s="88" t="s">
        <v>70</v>
      </c>
      <c r="F53" s="94">
        <v>3775</v>
      </c>
      <c r="G53" s="94">
        <v>16</v>
      </c>
      <c r="H53" s="94">
        <v>239</v>
      </c>
      <c r="I53" s="94">
        <v>33975</v>
      </c>
      <c r="J53" s="94">
        <v>33310</v>
      </c>
      <c r="K53" s="94">
        <v>271</v>
      </c>
      <c r="L53" s="92" t="s">
        <v>58</v>
      </c>
      <c r="M53" s="92" t="s">
        <v>38</v>
      </c>
      <c r="N53" s="136">
        <f t="shared" si="0"/>
        <v>0.12098468928249775</v>
      </c>
    </row>
    <row r="54" spans="1:14" x14ac:dyDescent="0.3">
      <c r="A54" s="87" t="s">
        <v>117</v>
      </c>
      <c r="B54" s="88" t="s">
        <v>31</v>
      </c>
      <c r="C54" s="89">
        <v>45626</v>
      </c>
      <c r="D54" s="88" t="s">
        <v>69</v>
      </c>
      <c r="E54" s="88" t="s">
        <v>70</v>
      </c>
      <c r="F54" s="94">
        <v>3775</v>
      </c>
      <c r="G54" s="94">
        <v>16</v>
      </c>
      <c r="H54" s="94">
        <v>239</v>
      </c>
      <c r="I54" s="94">
        <v>33975</v>
      </c>
      <c r="J54" s="94">
        <v>33310</v>
      </c>
      <c r="K54" s="94">
        <v>271</v>
      </c>
      <c r="L54" s="92" t="s">
        <v>18</v>
      </c>
      <c r="M54" s="92" t="s">
        <v>38</v>
      </c>
      <c r="N54" s="136">
        <f t="shared" si="0"/>
        <v>0.12098468928249775</v>
      </c>
    </row>
    <row r="55" spans="1:14" x14ac:dyDescent="0.3">
      <c r="A55" s="87" t="s">
        <v>119</v>
      </c>
      <c r="B55" s="88" t="s">
        <v>31</v>
      </c>
      <c r="C55" s="89">
        <v>45766</v>
      </c>
      <c r="D55" s="88" t="s">
        <v>33</v>
      </c>
      <c r="E55" s="88" t="s">
        <v>34</v>
      </c>
      <c r="F55" s="94">
        <v>4518</v>
      </c>
      <c r="G55" s="94">
        <v>285</v>
      </c>
      <c r="H55" s="94">
        <v>383</v>
      </c>
      <c r="I55" s="94">
        <v>67770</v>
      </c>
      <c r="J55" s="94">
        <v>67621</v>
      </c>
      <c r="K55" s="94">
        <v>31</v>
      </c>
      <c r="L55" s="92" t="s">
        <v>77</v>
      </c>
      <c r="M55" s="92" t="s">
        <v>25</v>
      </c>
      <c r="N55" s="136">
        <f t="shared" si="0"/>
        <v>7.6692151846319931E-2</v>
      </c>
    </row>
    <row r="56" spans="1:14" x14ac:dyDescent="0.3">
      <c r="A56" s="87" t="s">
        <v>121</v>
      </c>
      <c r="B56" s="88" t="s">
        <v>40</v>
      </c>
      <c r="C56" s="89">
        <v>45663</v>
      </c>
      <c r="D56" s="88" t="s">
        <v>42</v>
      </c>
      <c r="E56" s="88" t="s">
        <v>43</v>
      </c>
      <c r="F56" s="94">
        <v>3024</v>
      </c>
      <c r="G56" s="94">
        <v>925</v>
      </c>
      <c r="H56" s="94">
        <v>350</v>
      </c>
      <c r="I56" s="94">
        <v>24192</v>
      </c>
      <c r="J56" s="94">
        <v>23518</v>
      </c>
      <c r="K56" s="94">
        <v>36</v>
      </c>
      <c r="L56" s="92" t="s">
        <v>18</v>
      </c>
      <c r="M56" s="92" t="s">
        <v>38</v>
      </c>
      <c r="N56" s="136">
        <f t="shared" si="0"/>
        <v>0.18279615613572583</v>
      </c>
    </row>
    <row r="57" spans="1:14" x14ac:dyDescent="0.3">
      <c r="A57" s="87" t="s">
        <v>123</v>
      </c>
      <c r="B57" s="88" t="s">
        <v>577</v>
      </c>
      <c r="C57" s="89">
        <v>45705</v>
      </c>
      <c r="D57" s="88" t="s">
        <v>16</v>
      </c>
      <c r="E57" s="88" t="s">
        <v>17</v>
      </c>
      <c r="F57" s="94">
        <v>3138</v>
      </c>
      <c r="G57" s="94">
        <v>123</v>
      </c>
      <c r="H57" s="94">
        <v>291</v>
      </c>
      <c r="I57" s="94">
        <v>28242</v>
      </c>
      <c r="J57" s="94">
        <v>27550</v>
      </c>
      <c r="K57" s="94">
        <v>87</v>
      </c>
      <c r="L57" s="92" t="s">
        <v>77</v>
      </c>
      <c r="M57" s="92" t="s">
        <v>55</v>
      </c>
      <c r="N57" s="136">
        <f t="shared" si="0"/>
        <v>0.12892921960072595</v>
      </c>
    </row>
    <row r="58" spans="1:14" x14ac:dyDescent="0.3">
      <c r="A58" s="87" t="s">
        <v>125</v>
      </c>
      <c r="B58" s="88" t="s">
        <v>40</v>
      </c>
      <c r="C58" s="89">
        <v>45621</v>
      </c>
      <c r="D58" s="88" t="s">
        <v>49</v>
      </c>
      <c r="E58" s="88" t="s">
        <v>50</v>
      </c>
      <c r="F58" s="94">
        <v>3564</v>
      </c>
      <c r="G58" s="94">
        <v>629</v>
      </c>
      <c r="H58" s="94">
        <v>177</v>
      </c>
      <c r="I58" s="94">
        <v>60588</v>
      </c>
      <c r="J58" s="94">
        <v>59627</v>
      </c>
      <c r="K58" s="94">
        <v>92</v>
      </c>
      <c r="L58" s="92" t="s">
        <v>77</v>
      </c>
      <c r="M58" s="92" t="s">
        <v>38</v>
      </c>
      <c r="N58" s="136">
        <f t="shared" si="0"/>
        <v>7.3288946282724268E-2</v>
      </c>
    </row>
    <row r="59" spans="1:14" x14ac:dyDescent="0.3">
      <c r="A59" s="87" t="s">
        <v>125</v>
      </c>
      <c r="B59" s="88" t="s">
        <v>40</v>
      </c>
      <c r="C59" s="89">
        <v>45621</v>
      </c>
      <c r="D59" s="88" t="s">
        <v>49</v>
      </c>
      <c r="E59" s="88" t="s">
        <v>50</v>
      </c>
      <c r="F59" s="94">
        <v>3564</v>
      </c>
      <c r="G59" s="94">
        <v>629</v>
      </c>
      <c r="H59" s="94">
        <v>177</v>
      </c>
      <c r="I59" s="94">
        <v>60588</v>
      </c>
      <c r="J59" s="94">
        <v>59627</v>
      </c>
      <c r="K59" s="94">
        <v>92</v>
      </c>
      <c r="L59" s="92" t="s">
        <v>18</v>
      </c>
      <c r="M59" s="92" t="s">
        <v>38</v>
      </c>
      <c r="N59" s="136">
        <f t="shared" si="0"/>
        <v>7.3288946282724268E-2</v>
      </c>
    </row>
    <row r="60" spans="1:14" x14ac:dyDescent="0.3">
      <c r="A60" s="87" t="s">
        <v>128</v>
      </c>
      <c r="B60" s="88" t="s">
        <v>14</v>
      </c>
      <c r="C60" s="89">
        <v>45723</v>
      </c>
      <c r="D60" s="88" t="s">
        <v>49</v>
      </c>
      <c r="E60" s="88" t="s">
        <v>50</v>
      </c>
      <c r="F60" s="94">
        <v>4750</v>
      </c>
      <c r="G60" s="94">
        <v>151</v>
      </c>
      <c r="H60" s="94">
        <v>415</v>
      </c>
      <c r="I60" s="94">
        <v>38000</v>
      </c>
      <c r="J60" s="94">
        <v>37792</v>
      </c>
      <c r="K60" s="94">
        <v>299</v>
      </c>
      <c r="L60" s="92" t="s">
        <v>58</v>
      </c>
      <c r="M60" s="92" t="s">
        <v>25</v>
      </c>
      <c r="N60" s="136">
        <f t="shared" si="0"/>
        <v>0.14066469093988146</v>
      </c>
    </row>
    <row r="61" spans="1:14" x14ac:dyDescent="0.3">
      <c r="A61" s="87" t="s">
        <v>128</v>
      </c>
      <c r="B61" s="88" t="s">
        <v>14</v>
      </c>
      <c r="C61" s="89">
        <v>45723</v>
      </c>
      <c r="D61" s="88" t="s">
        <v>49</v>
      </c>
      <c r="E61" s="88" t="s">
        <v>50</v>
      </c>
      <c r="F61" s="94">
        <v>4750</v>
      </c>
      <c r="G61" s="94">
        <v>151</v>
      </c>
      <c r="H61" s="94">
        <v>415</v>
      </c>
      <c r="I61" s="94">
        <v>38000</v>
      </c>
      <c r="J61" s="94">
        <v>37792</v>
      </c>
      <c r="K61" s="94">
        <v>299</v>
      </c>
      <c r="L61" s="92" t="s">
        <v>18</v>
      </c>
      <c r="M61" s="92" t="s">
        <v>25</v>
      </c>
      <c r="N61" s="136">
        <f t="shared" si="0"/>
        <v>0.14066469093988146</v>
      </c>
    </row>
    <row r="62" spans="1:14" x14ac:dyDescent="0.3">
      <c r="A62" s="87" t="s">
        <v>130</v>
      </c>
      <c r="B62" s="88" t="s">
        <v>31</v>
      </c>
      <c r="C62" s="89">
        <v>45724</v>
      </c>
      <c r="D62" s="88" t="s">
        <v>16</v>
      </c>
      <c r="E62" s="88" t="s">
        <v>17</v>
      </c>
      <c r="F62" s="94">
        <v>456</v>
      </c>
      <c r="G62" s="94">
        <v>629</v>
      </c>
      <c r="H62" s="94">
        <v>428</v>
      </c>
      <c r="I62" s="94">
        <v>8208</v>
      </c>
      <c r="J62" s="94">
        <v>7377</v>
      </c>
      <c r="K62" s="94">
        <v>205</v>
      </c>
      <c r="L62" s="92" t="s">
        <v>18</v>
      </c>
      <c r="M62" s="92" t="s">
        <v>38</v>
      </c>
      <c r="N62" s="136">
        <f t="shared" si="0"/>
        <v>0.20509692286837466</v>
      </c>
    </row>
    <row r="63" spans="1:14" x14ac:dyDescent="0.3">
      <c r="A63" s="87" t="s">
        <v>130</v>
      </c>
      <c r="B63" s="88" t="s">
        <v>31</v>
      </c>
      <c r="C63" s="89">
        <v>45724</v>
      </c>
      <c r="D63" s="88" t="s">
        <v>16</v>
      </c>
      <c r="E63" s="88" t="s">
        <v>17</v>
      </c>
      <c r="F63" s="94">
        <v>456</v>
      </c>
      <c r="G63" s="94">
        <v>629</v>
      </c>
      <c r="H63" s="94">
        <v>428</v>
      </c>
      <c r="I63" s="94">
        <v>8208</v>
      </c>
      <c r="J63" s="94">
        <v>7377</v>
      </c>
      <c r="K63" s="94">
        <v>205</v>
      </c>
      <c r="L63" s="92" t="s">
        <v>77</v>
      </c>
      <c r="M63" s="92" t="s">
        <v>38</v>
      </c>
      <c r="N63" s="136">
        <f t="shared" si="0"/>
        <v>0.20509692286837466</v>
      </c>
    </row>
    <row r="64" spans="1:14" x14ac:dyDescent="0.3">
      <c r="A64" s="87" t="s">
        <v>132</v>
      </c>
      <c r="B64" s="88" t="s">
        <v>577</v>
      </c>
      <c r="C64" s="89">
        <v>45721</v>
      </c>
      <c r="D64" s="88" t="s">
        <v>16</v>
      </c>
      <c r="E64" s="88" t="s">
        <v>17</v>
      </c>
      <c r="F64" s="94">
        <v>1543</v>
      </c>
      <c r="G64" s="94">
        <v>820</v>
      </c>
      <c r="H64" s="94">
        <v>333</v>
      </c>
      <c r="I64" s="94">
        <v>12344</v>
      </c>
      <c r="J64" s="94">
        <v>11496</v>
      </c>
      <c r="K64" s="94">
        <v>241</v>
      </c>
      <c r="L64" s="92" t="s">
        <v>58</v>
      </c>
      <c r="M64" s="92" t="s">
        <v>38</v>
      </c>
      <c r="N64" s="136">
        <f t="shared" si="0"/>
        <v>0.23451635351426584</v>
      </c>
    </row>
    <row r="65" spans="1:14" x14ac:dyDescent="0.3">
      <c r="A65" s="87" t="s">
        <v>134</v>
      </c>
      <c r="B65" s="88" t="s">
        <v>31</v>
      </c>
      <c r="C65" s="89">
        <v>45640</v>
      </c>
      <c r="D65" s="88" t="s">
        <v>42</v>
      </c>
      <c r="E65" s="88" t="s">
        <v>43</v>
      </c>
      <c r="F65" s="94">
        <v>2174</v>
      </c>
      <c r="G65" s="94">
        <v>658</v>
      </c>
      <c r="H65" s="94">
        <v>15</v>
      </c>
      <c r="I65" s="94">
        <v>13044</v>
      </c>
      <c r="J65" s="94">
        <v>12206</v>
      </c>
      <c r="K65" s="94">
        <v>137</v>
      </c>
      <c r="L65" s="92" t="s">
        <v>18</v>
      </c>
      <c r="M65" s="92" t="s">
        <v>55</v>
      </c>
      <c r="N65" s="136">
        <f t="shared" si="0"/>
        <v>0.23324594461740128</v>
      </c>
    </row>
    <row r="66" spans="1:14" x14ac:dyDescent="0.3">
      <c r="A66" s="87" t="s">
        <v>134</v>
      </c>
      <c r="B66" s="88" t="s">
        <v>31</v>
      </c>
      <c r="C66" s="89">
        <v>45640</v>
      </c>
      <c r="D66" s="88" t="s">
        <v>42</v>
      </c>
      <c r="E66" s="88" t="s">
        <v>43</v>
      </c>
      <c r="F66" s="94">
        <v>2174</v>
      </c>
      <c r="G66" s="94">
        <v>658</v>
      </c>
      <c r="H66" s="94">
        <v>15</v>
      </c>
      <c r="I66" s="94">
        <v>13044</v>
      </c>
      <c r="J66" s="94">
        <v>12206</v>
      </c>
      <c r="K66" s="94">
        <v>137</v>
      </c>
      <c r="L66" s="92" t="s">
        <v>24</v>
      </c>
      <c r="M66" s="92" t="s">
        <v>55</v>
      </c>
      <c r="N66" s="136">
        <f t="shared" si="0"/>
        <v>0.23324594461740128</v>
      </c>
    </row>
    <row r="67" spans="1:14" x14ac:dyDescent="0.3">
      <c r="A67" s="87" t="s">
        <v>136</v>
      </c>
      <c r="B67" s="88" t="s">
        <v>14</v>
      </c>
      <c r="C67" s="89">
        <v>45718</v>
      </c>
      <c r="D67" s="88" t="s">
        <v>49</v>
      </c>
      <c r="E67" s="88" t="s">
        <v>50</v>
      </c>
      <c r="F67" s="94">
        <v>2358</v>
      </c>
      <c r="G67" s="94">
        <v>784</v>
      </c>
      <c r="H67" s="94">
        <v>344</v>
      </c>
      <c r="I67" s="94">
        <v>35370</v>
      </c>
      <c r="J67" s="94">
        <v>34475</v>
      </c>
      <c r="K67" s="94">
        <v>216</v>
      </c>
      <c r="L67" s="92" t="s">
        <v>18</v>
      </c>
      <c r="M67" s="92" t="s">
        <v>19</v>
      </c>
      <c r="N67" s="136">
        <f t="shared" ref="N67:N130" si="1">SUM(F67,G67,H67)/J67</f>
        <v>0.10111675126903553</v>
      </c>
    </row>
    <row r="68" spans="1:14" x14ac:dyDescent="0.3">
      <c r="A68" s="87" t="s">
        <v>136</v>
      </c>
      <c r="B68" s="88" t="s">
        <v>14</v>
      </c>
      <c r="C68" s="89">
        <v>45718</v>
      </c>
      <c r="D68" s="88" t="s">
        <v>49</v>
      </c>
      <c r="E68" s="88" t="s">
        <v>50</v>
      </c>
      <c r="F68" s="94">
        <v>2358</v>
      </c>
      <c r="G68" s="94">
        <v>784</v>
      </c>
      <c r="H68" s="94">
        <v>344</v>
      </c>
      <c r="I68" s="94">
        <v>35370</v>
      </c>
      <c r="J68" s="94">
        <v>34475</v>
      </c>
      <c r="K68" s="94">
        <v>216</v>
      </c>
      <c r="L68" s="92" t="s">
        <v>58</v>
      </c>
      <c r="M68" s="92" t="s">
        <v>19</v>
      </c>
      <c r="N68" s="136">
        <f t="shared" si="1"/>
        <v>0.10111675126903553</v>
      </c>
    </row>
    <row r="69" spans="1:14" x14ac:dyDescent="0.3">
      <c r="A69" s="87" t="s">
        <v>138</v>
      </c>
      <c r="B69" s="88" t="s">
        <v>40</v>
      </c>
      <c r="C69" s="89">
        <v>45597</v>
      </c>
      <c r="D69" s="88" t="s">
        <v>69</v>
      </c>
      <c r="E69" s="88" t="s">
        <v>70</v>
      </c>
      <c r="F69" s="94">
        <v>3371</v>
      </c>
      <c r="G69" s="94">
        <v>106</v>
      </c>
      <c r="H69" s="94">
        <v>327</v>
      </c>
      <c r="I69" s="94">
        <v>50565</v>
      </c>
      <c r="J69" s="94">
        <v>49816</v>
      </c>
      <c r="K69" s="94">
        <v>176</v>
      </c>
      <c r="L69" s="92" t="s">
        <v>77</v>
      </c>
      <c r="M69" s="92" t="s">
        <v>55</v>
      </c>
      <c r="N69" s="136">
        <f t="shared" si="1"/>
        <v>7.636100851132166E-2</v>
      </c>
    </row>
    <row r="70" spans="1:14" x14ac:dyDescent="0.3">
      <c r="A70" s="87" t="s">
        <v>140</v>
      </c>
      <c r="B70" s="88" t="s">
        <v>14</v>
      </c>
      <c r="C70" s="89">
        <v>45779</v>
      </c>
      <c r="D70" s="88" t="s">
        <v>69</v>
      </c>
      <c r="E70" s="88" t="s">
        <v>70</v>
      </c>
      <c r="F70" s="94">
        <v>1108</v>
      </c>
      <c r="G70" s="94">
        <v>177</v>
      </c>
      <c r="H70" s="94">
        <v>212</v>
      </c>
      <c r="I70" s="94">
        <v>8864</v>
      </c>
      <c r="J70" s="94">
        <v>8710</v>
      </c>
      <c r="K70" s="94">
        <v>97</v>
      </c>
      <c r="L70" s="92" t="s">
        <v>24</v>
      </c>
      <c r="M70" s="92" t="s">
        <v>55</v>
      </c>
      <c r="N70" s="136">
        <f t="shared" si="1"/>
        <v>0.17187141216991964</v>
      </c>
    </row>
    <row r="71" spans="1:14" x14ac:dyDescent="0.3">
      <c r="A71" s="87" t="s">
        <v>142</v>
      </c>
      <c r="B71" s="88" t="s">
        <v>14</v>
      </c>
      <c r="C71" s="89">
        <v>45712</v>
      </c>
      <c r="D71" s="88" t="s">
        <v>42</v>
      </c>
      <c r="E71" s="88" t="s">
        <v>43</v>
      </c>
      <c r="F71" s="94">
        <v>2704</v>
      </c>
      <c r="G71" s="94">
        <v>752</v>
      </c>
      <c r="H71" s="94">
        <v>153</v>
      </c>
      <c r="I71" s="94">
        <v>21632</v>
      </c>
      <c r="J71" s="94">
        <v>20792</v>
      </c>
      <c r="K71" s="94">
        <v>127</v>
      </c>
      <c r="L71" s="92" t="s">
        <v>77</v>
      </c>
      <c r="M71" s="92" t="s">
        <v>19</v>
      </c>
      <c r="N71" s="136">
        <f t="shared" si="1"/>
        <v>0.17357637552904964</v>
      </c>
    </row>
    <row r="72" spans="1:14" x14ac:dyDescent="0.3">
      <c r="A72" s="87" t="s">
        <v>142</v>
      </c>
      <c r="B72" s="88" t="s">
        <v>14</v>
      </c>
      <c r="C72" s="89">
        <v>45712</v>
      </c>
      <c r="D72" s="88" t="s">
        <v>42</v>
      </c>
      <c r="E72" s="88" t="s">
        <v>43</v>
      </c>
      <c r="F72" s="94">
        <v>2704</v>
      </c>
      <c r="G72" s="94">
        <v>752</v>
      </c>
      <c r="H72" s="94">
        <v>153</v>
      </c>
      <c r="I72" s="94">
        <v>21632</v>
      </c>
      <c r="J72" s="94">
        <v>20792</v>
      </c>
      <c r="K72" s="94">
        <v>127</v>
      </c>
      <c r="L72" s="92" t="s">
        <v>24</v>
      </c>
      <c r="M72" s="92" t="s">
        <v>19</v>
      </c>
      <c r="N72" s="136">
        <f t="shared" si="1"/>
        <v>0.17357637552904964</v>
      </c>
    </row>
    <row r="73" spans="1:14" x14ac:dyDescent="0.3">
      <c r="A73" s="87" t="s">
        <v>145</v>
      </c>
      <c r="B73" s="88" t="s">
        <v>14</v>
      </c>
      <c r="C73" s="89">
        <v>45727</v>
      </c>
      <c r="D73" s="88" t="s">
        <v>33</v>
      </c>
      <c r="E73" s="88" t="s">
        <v>34</v>
      </c>
      <c r="F73" s="94">
        <v>1950</v>
      </c>
      <c r="G73" s="94">
        <v>295</v>
      </c>
      <c r="H73" s="94">
        <v>478</v>
      </c>
      <c r="I73" s="94">
        <v>37050</v>
      </c>
      <c r="J73" s="94">
        <v>36272</v>
      </c>
      <c r="K73" s="94">
        <v>119</v>
      </c>
      <c r="L73" s="92" t="s">
        <v>24</v>
      </c>
      <c r="M73" s="92" t="s">
        <v>55</v>
      </c>
      <c r="N73" s="136">
        <f t="shared" si="1"/>
        <v>7.5071680635200699E-2</v>
      </c>
    </row>
    <row r="74" spans="1:14" x14ac:dyDescent="0.3">
      <c r="A74" s="87" t="s">
        <v>145</v>
      </c>
      <c r="B74" s="88" t="s">
        <v>14</v>
      </c>
      <c r="C74" s="89">
        <v>45727</v>
      </c>
      <c r="D74" s="88" t="s">
        <v>33</v>
      </c>
      <c r="E74" s="88" t="s">
        <v>34</v>
      </c>
      <c r="F74" s="94">
        <v>1950</v>
      </c>
      <c r="G74" s="94">
        <v>295</v>
      </c>
      <c r="H74" s="94">
        <v>478</v>
      </c>
      <c r="I74" s="94">
        <v>37050</v>
      </c>
      <c r="J74" s="94">
        <v>36272</v>
      </c>
      <c r="K74" s="94">
        <v>119</v>
      </c>
      <c r="L74" s="92" t="s">
        <v>58</v>
      </c>
      <c r="M74" s="92" t="s">
        <v>55</v>
      </c>
      <c r="N74" s="136">
        <f t="shared" si="1"/>
        <v>7.5071680635200699E-2</v>
      </c>
    </row>
    <row r="75" spans="1:14" x14ac:dyDescent="0.3">
      <c r="A75" s="87" t="s">
        <v>147</v>
      </c>
      <c r="B75" s="88" t="s">
        <v>14</v>
      </c>
      <c r="C75" s="89">
        <v>45453</v>
      </c>
      <c r="D75" s="88" t="s">
        <v>33</v>
      </c>
      <c r="E75" s="88" t="s">
        <v>34</v>
      </c>
      <c r="F75" s="94">
        <v>2164</v>
      </c>
      <c r="G75" s="94">
        <v>549</v>
      </c>
      <c r="H75" s="94">
        <v>274</v>
      </c>
      <c r="I75" s="94">
        <v>28132</v>
      </c>
      <c r="J75" s="94">
        <v>27361</v>
      </c>
      <c r="K75" s="94">
        <v>177</v>
      </c>
      <c r="L75" s="92" t="s">
        <v>58</v>
      </c>
      <c r="M75" s="92" t="s">
        <v>19</v>
      </c>
      <c r="N75" s="136">
        <f t="shared" si="1"/>
        <v>0.10916998647710245</v>
      </c>
    </row>
    <row r="76" spans="1:14" x14ac:dyDescent="0.3">
      <c r="A76" s="87" t="s">
        <v>149</v>
      </c>
      <c r="B76" s="88" t="s">
        <v>577</v>
      </c>
      <c r="C76" s="89">
        <v>45476</v>
      </c>
      <c r="D76" s="88" t="s">
        <v>33</v>
      </c>
      <c r="E76" s="88" t="s">
        <v>34</v>
      </c>
      <c r="F76" s="94">
        <v>2754</v>
      </c>
      <c r="G76" s="94">
        <v>130</v>
      </c>
      <c r="H76" s="94">
        <v>90</v>
      </c>
      <c r="I76" s="94">
        <v>22032</v>
      </c>
      <c r="J76" s="94">
        <v>21288</v>
      </c>
      <c r="K76" s="94">
        <v>112</v>
      </c>
      <c r="L76" s="92" t="s">
        <v>24</v>
      </c>
      <c r="M76" s="92" t="s">
        <v>19</v>
      </c>
      <c r="N76" s="136">
        <f t="shared" si="1"/>
        <v>0.13970311912814731</v>
      </c>
    </row>
    <row r="77" spans="1:14" x14ac:dyDescent="0.3">
      <c r="A77" s="87" t="s">
        <v>151</v>
      </c>
      <c r="B77" s="88" t="s">
        <v>40</v>
      </c>
      <c r="C77" s="89">
        <v>45456</v>
      </c>
      <c r="D77" s="88" t="s">
        <v>42</v>
      </c>
      <c r="E77" s="88" t="s">
        <v>43</v>
      </c>
      <c r="F77" s="94">
        <v>2200</v>
      </c>
      <c r="G77" s="94">
        <v>504</v>
      </c>
      <c r="H77" s="94">
        <v>239</v>
      </c>
      <c r="I77" s="94">
        <v>37400</v>
      </c>
      <c r="J77" s="94">
        <v>36938</v>
      </c>
      <c r="K77" s="94">
        <v>225</v>
      </c>
      <c r="L77" s="92" t="s">
        <v>18</v>
      </c>
      <c r="M77" s="92" t="s">
        <v>38</v>
      </c>
      <c r="N77" s="136">
        <f t="shared" si="1"/>
        <v>7.967404840543614E-2</v>
      </c>
    </row>
    <row r="78" spans="1:14" x14ac:dyDescent="0.3">
      <c r="A78" s="87" t="s">
        <v>153</v>
      </c>
      <c r="B78" s="88" t="s">
        <v>40</v>
      </c>
      <c r="C78" s="89">
        <v>45660</v>
      </c>
      <c r="D78" s="88" t="s">
        <v>49</v>
      </c>
      <c r="E78" s="88" t="s">
        <v>50</v>
      </c>
      <c r="F78" s="94">
        <v>947</v>
      </c>
      <c r="G78" s="94">
        <v>338</v>
      </c>
      <c r="H78" s="94">
        <v>350</v>
      </c>
      <c r="I78" s="94">
        <v>10417</v>
      </c>
      <c r="J78" s="94">
        <v>9730</v>
      </c>
      <c r="K78" s="94">
        <v>34</v>
      </c>
      <c r="L78" s="92" t="s">
        <v>24</v>
      </c>
      <c r="M78" s="92" t="s">
        <v>38</v>
      </c>
      <c r="N78" s="136">
        <f t="shared" si="1"/>
        <v>0.16803699897225077</v>
      </c>
    </row>
    <row r="79" spans="1:14" x14ac:dyDescent="0.3">
      <c r="A79" s="87" t="s">
        <v>153</v>
      </c>
      <c r="B79" s="88" t="s">
        <v>40</v>
      </c>
      <c r="C79" s="89">
        <v>45660</v>
      </c>
      <c r="D79" s="88" t="s">
        <v>49</v>
      </c>
      <c r="E79" s="88" t="s">
        <v>50</v>
      </c>
      <c r="F79" s="94">
        <v>947</v>
      </c>
      <c r="G79" s="94">
        <v>338</v>
      </c>
      <c r="H79" s="94">
        <v>350</v>
      </c>
      <c r="I79" s="94">
        <v>10417</v>
      </c>
      <c r="J79" s="94">
        <v>9730</v>
      </c>
      <c r="K79" s="94">
        <v>34</v>
      </c>
      <c r="L79" s="92" t="s">
        <v>18</v>
      </c>
      <c r="M79" s="92" t="s">
        <v>38</v>
      </c>
      <c r="N79" s="136">
        <f t="shared" si="1"/>
        <v>0.16803699897225077</v>
      </c>
    </row>
    <row r="80" spans="1:14" x14ac:dyDescent="0.3">
      <c r="A80" s="87" t="s">
        <v>155</v>
      </c>
      <c r="B80" s="88" t="s">
        <v>577</v>
      </c>
      <c r="C80" s="89">
        <v>45712</v>
      </c>
      <c r="D80" s="88" t="s">
        <v>42</v>
      </c>
      <c r="E80" s="88" t="s">
        <v>43</v>
      </c>
      <c r="F80" s="94">
        <v>804</v>
      </c>
      <c r="G80" s="94">
        <v>639</v>
      </c>
      <c r="H80" s="94">
        <v>43</v>
      </c>
      <c r="I80" s="94">
        <v>4020</v>
      </c>
      <c r="J80" s="94">
        <v>3144</v>
      </c>
      <c r="K80" s="94">
        <v>11</v>
      </c>
      <c r="L80" s="92" t="s">
        <v>58</v>
      </c>
      <c r="M80" s="92" t="s">
        <v>55</v>
      </c>
      <c r="N80" s="136">
        <f t="shared" si="1"/>
        <v>0.47264631043256999</v>
      </c>
    </row>
    <row r="81" spans="1:14" x14ac:dyDescent="0.3">
      <c r="A81" s="87" t="s">
        <v>155</v>
      </c>
      <c r="B81" s="88" t="s">
        <v>577</v>
      </c>
      <c r="C81" s="89">
        <v>45712</v>
      </c>
      <c r="D81" s="88" t="s">
        <v>42</v>
      </c>
      <c r="E81" s="88" t="s">
        <v>43</v>
      </c>
      <c r="F81" s="94">
        <v>804</v>
      </c>
      <c r="G81" s="94">
        <v>639</v>
      </c>
      <c r="H81" s="94">
        <v>43</v>
      </c>
      <c r="I81" s="94">
        <v>4020</v>
      </c>
      <c r="J81" s="94">
        <v>3144</v>
      </c>
      <c r="K81" s="94">
        <v>11</v>
      </c>
      <c r="L81" s="92" t="s">
        <v>44</v>
      </c>
      <c r="M81" s="92" t="s">
        <v>55</v>
      </c>
      <c r="N81" s="136">
        <f t="shared" si="1"/>
        <v>0.47264631043256999</v>
      </c>
    </row>
    <row r="82" spans="1:14" x14ac:dyDescent="0.3">
      <c r="A82" s="87" t="s">
        <v>156</v>
      </c>
      <c r="B82" s="88" t="s">
        <v>577</v>
      </c>
      <c r="C82" s="89">
        <v>45729</v>
      </c>
      <c r="D82" s="88" t="s">
        <v>42</v>
      </c>
      <c r="E82" s="88" t="s">
        <v>43</v>
      </c>
      <c r="F82" s="94">
        <v>1686</v>
      </c>
      <c r="G82" s="94">
        <v>904</v>
      </c>
      <c r="H82" s="94">
        <v>472</v>
      </c>
      <c r="I82" s="94">
        <v>18546</v>
      </c>
      <c r="J82" s="94">
        <v>18171</v>
      </c>
      <c r="K82" s="94">
        <v>52</v>
      </c>
      <c r="L82" s="92" t="s">
        <v>24</v>
      </c>
      <c r="M82" s="92" t="s">
        <v>25</v>
      </c>
      <c r="N82" s="136">
        <f t="shared" si="1"/>
        <v>0.16851026360684607</v>
      </c>
    </row>
    <row r="83" spans="1:14" x14ac:dyDescent="0.3">
      <c r="A83" s="87" t="s">
        <v>156</v>
      </c>
      <c r="B83" s="88" t="s">
        <v>577</v>
      </c>
      <c r="C83" s="89">
        <v>45729</v>
      </c>
      <c r="D83" s="88" t="s">
        <v>42</v>
      </c>
      <c r="E83" s="88" t="s">
        <v>43</v>
      </c>
      <c r="F83" s="94">
        <v>1686</v>
      </c>
      <c r="G83" s="94">
        <v>904</v>
      </c>
      <c r="H83" s="94">
        <v>472</v>
      </c>
      <c r="I83" s="94">
        <v>18546</v>
      </c>
      <c r="J83" s="94">
        <v>18171</v>
      </c>
      <c r="K83" s="94">
        <v>52</v>
      </c>
      <c r="L83" s="92" t="s">
        <v>77</v>
      </c>
      <c r="M83" s="92" t="s">
        <v>25</v>
      </c>
      <c r="N83" s="136">
        <f t="shared" si="1"/>
        <v>0.16851026360684607</v>
      </c>
    </row>
    <row r="84" spans="1:14" x14ac:dyDescent="0.3">
      <c r="A84" s="87" t="s">
        <v>158</v>
      </c>
      <c r="B84" s="88" t="s">
        <v>40</v>
      </c>
      <c r="C84" s="89">
        <v>45460</v>
      </c>
      <c r="D84" s="88" t="s">
        <v>49</v>
      </c>
      <c r="E84" s="88" t="s">
        <v>50</v>
      </c>
      <c r="F84" s="94">
        <v>1226</v>
      </c>
      <c r="G84" s="94">
        <v>119</v>
      </c>
      <c r="H84" s="94">
        <v>7</v>
      </c>
      <c r="I84" s="94">
        <v>14712</v>
      </c>
      <c r="J84" s="94">
        <v>14049</v>
      </c>
      <c r="K84" s="94">
        <v>123</v>
      </c>
      <c r="L84" s="92" t="s">
        <v>18</v>
      </c>
      <c r="M84" s="92" t="s">
        <v>55</v>
      </c>
      <c r="N84" s="136">
        <f t="shared" si="1"/>
        <v>9.6234607445369783E-2</v>
      </c>
    </row>
    <row r="85" spans="1:14" x14ac:dyDescent="0.3">
      <c r="A85" s="87" t="s">
        <v>158</v>
      </c>
      <c r="B85" s="88" t="s">
        <v>40</v>
      </c>
      <c r="C85" s="89">
        <v>45460</v>
      </c>
      <c r="D85" s="88" t="s">
        <v>49</v>
      </c>
      <c r="E85" s="88" t="s">
        <v>50</v>
      </c>
      <c r="F85" s="94">
        <v>1226</v>
      </c>
      <c r="G85" s="94">
        <v>119</v>
      </c>
      <c r="H85" s="94">
        <v>7</v>
      </c>
      <c r="I85" s="94">
        <v>14712</v>
      </c>
      <c r="J85" s="94">
        <v>14049</v>
      </c>
      <c r="K85" s="94">
        <v>123</v>
      </c>
      <c r="L85" s="92" t="s">
        <v>44</v>
      </c>
      <c r="M85" s="92" t="s">
        <v>55</v>
      </c>
      <c r="N85" s="136">
        <f t="shared" si="1"/>
        <v>9.6234607445369783E-2</v>
      </c>
    </row>
    <row r="86" spans="1:14" x14ac:dyDescent="0.3">
      <c r="A86" s="87" t="s">
        <v>160</v>
      </c>
      <c r="B86" s="88" t="s">
        <v>40</v>
      </c>
      <c r="C86" s="89">
        <v>45644</v>
      </c>
      <c r="D86" s="88" t="s">
        <v>42</v>
      </c>
      <c r="E86" s="88" t="s">
        <v>43</v>
      </c>
      <c r="F86" s="94">
        <v>2946</v>
      </c>
      <c r="G86" s="94">
        <v>498</v>
      </c>
      <c r="H86" s="94">
        <v>367</v>
      </c>
      <c r="I86" s="94">
        <v>29460</v>
      </c>
      <c r="J86" s="94">
        <v>28527</v>
      </c>
      <c r="K86" s="94">
        <v>60</v>
      </c>
      <c r="L86" s="92" t="s">
        <v>58</v>
      </c>
      <c r="M86" s="92" t="s">
        <v>25</v>
      </c>
      <c r="N86" s="136">
        <f t="shared" si="1"/>
        <v>0.13359273670557717</v>
      </c>
    </row>
    <row r="87" spans="1:14" x14ac:dyDescent="0.3">
      <c r="A87" s="87" t="s">
        <v>160</v>
      </c>
      <c r="B87" s="88" t="s">
        <v>40</v>
      </c>
      <c r="C87" s="89">
        <v>45644</v>
      </c>
      <c r="D87" s="88" t="s">
        <v>42</v>
      </c>
      <c r="E87" s="88" t="s">
        <v>43</v>
      </c>
      <c r="F87" s="94">
        <v>2946</v>
      </c>
      <c r="G87" s="94">
        <v>498</v>
      </c>
      <c r="H87" s="94">
        <v>367</v>
      </c>
      <c r="I87" s="94">
        <v>29460</v>
      </c>
      <c r="J87" s="94">
        <v>28527</v>
      </c>
      <c r="K87" s="94">
        <v>60</v>
      </c>
      <c r="L87" s="92" t="s">
        <v>77</v>
      </c>
      <c r="M87" s="92" t="s">
        <v>25</v>
      </c>
      <c r="N87" s="136">
        <f t="shared" si="1"/>
        <v>0.13359273670557717</v>
      </c>
    </row>
    <row r="88" spans="1:14" x14ac:dyDescent="0.3">
      <c r="A88" s="87" t="s">
        <v>163</v>
      </c>
      <c r="B88" s="88" t="s">
        <v>14</v>
      </c>
      <c r="C88" s="89">
        <v>45586</v>
      </c>
      <c r="D88" s="88" t="s">
        <v>69</v>
      </c>
      <c r="E88" s="88" t="s">
        <v>70</v>
      </c>
      <c r="F88" s="94">
        <v>2825</v>
      </c>
      <c r="G88" s="94">
        <v>535</v>
      </c>
      <c r="H88" s="94">
        <v>295</v>
      </c>
      <c r="I88" s="94">
        <v>45200</v>
      </c>
      <c r="J88" s="94">
        <v>44739</v>
      </c>
      <c r="K88" s="94">
        <v>169</v>
      </c>
      <c r="L88" s="92" t="s">
        <v>58</v>
      </c>
      <c r="M88" s="92" t="s">
        <v>25</v>
      </c>
      <c r="N88" s="136">
        <f t="shared" si="1"/>
        <v>8.1696059366548196E-2</v>
      </c>
    </row>
    <row r="89" spans="1:14" x14ac:dyDescent="0.3">
      <c r="A89" s="87" t="s">
        <v>165</v>
      </c>
      <c r="B89" s="88" t="s">
        <v>31</v>
      </c>
      <c r="C89" s="89">
        <v>45762</v>
      </c>
      <c r="D89" s="88" t="s">
        <v>16</v>
      </c>
      <c r="E89" s="88" t="s">
        <v>17</v>
      </c>
      <c r="F89" s="94">
        <v>103</v>
      </c>
      <c r="G89" s="94">
        <v>770</v>
      </c>
      <c r="H89" s="94">
        <v>19</v>
      </c>
      <c r="I89" s="94">
        <v>1030</v>
      </c>
      <c r="J89" s="94">
        <v>410</v>
      </c>
      <c r="K89" s="94">
        <v>262</v>
      </c>
      <c r="L89" s="92" t="s">
        <v>18</v>
      </c>
      <c r="M89" s="92" t="s">
        <v>38</v>
      </c>
      <c r="N89" s="136">
        <f t="shared" si="1"/>
        <v>2.1756097560975611</v>
      </c>
    </row>
    <row r="90" spans="1:14" x14ac:dyDescent="0.3">
      <c r="A90" s="87" t="s">
        <v>167</v>
      </c>
      <c r="B90" s="88" t="s">
        <v>31</v>
      </c>
      <c r="C90" s="89">
        <v>45465</v>
      </c>
      <c r="D90" s="88" t="s">
        <v>22</v>
      </c>
      <c r="E90" s="88" t="s">
        <v>23</v>
      </c>
      <c r="F90" s="94">
        <v>2180</v>
      </c>
      <c r="G90" s="94">
        <v>263</v>
      </c>
      <c r="H90" s="94">
        <v>387</v>
      </c>
      <c r="I90" s="94">
        <v>30520</v>
      </c>
      <c r="J90" s="94">
        <v>30059</v>
      </c>
      <c r="K90" s="94">
        <v>174</v>
      </c>
      <c r="L90" s="92" t="s">
        <v>77</v>
      </c>
      <c r="M90" s="92" t="s">
        <v>19</v>
      </c>
      <c r="N90" s="136">
        <f t="shared" si="1"/>
        <v>9.4148175255331187E-2</v>
      </c>
    </row>
    <row r="91" spans="1:14" x14ac:dyDescent="0.3">
      <c r="A91" s="87" t="s">
        <v>169</v>
      </c>
      <c r="B91" s="88" t="s">
        <v>31</v>
      </c>
      <c r="C91" s="89">
        <v>45685</v>
      </c>
      <c r="D91" s="88" t="s">
        <v>69</v>
      </c>
      <c r="E91" s="88" t="s">
        <v>70</v>
      </c>
      <c r="F91" s="94">
        <v>904</v>
      </c>
      <c r="G91" s="94">
        <v>973</v>
      </c>
      <c r="H91" s="94">
        <v>63</v>
      </c>
      <c r="I91" s="94">
        <v>11752</v>
      </c>
      <c r="J91" s="94">
        <v>11580</v>
      </c>
      <c r="K91" s="94">
        <v>84</v>
      </c>
      <c r="L91" s="92" t="s">
        <v>58</v>
      </c>
      <c r="M91" s="92" t="s">
        <v>19</v>
      </c>
      <c r="N91" s="136">
        <f t="shared" si="1"/>
        <v>0.16753022452504318</v>
      </c>
    </row>
    <row r="92" spans="1:14" x14ac:dyDescent="0.3">
      <c r="A92" s="87" t="s">
        <v>171</v>
      </c>
      <c r="B92" s="88" t="s">
        <v>14</v>
      </c>
      <c r="C92" s="89">
        <v>45540</v>
      </c>
      <c r="D92" s="88" t="s">
        <v>69</v>
      </c>
      <c r="E92" s="88" t="s">
        <v>70</v>
      </c>
      <c r="F92" s="94">
        <v>4886</v>
      </c>
      <c r="G92" s="94">
        <v>983</v>
      </c>
      <c r="H92" s="94">
        <v>409</v>
      </c>
      <c r="I92" s="94">
        <v>43974</v>
      </c>
      <c r="J92" s="94">
        <v>43239</v>
      </c>
      <c r="K92" s="94">
        <v>65</v>
      </c>
      <c r="L92" s="92" t="s">
        <v>24</v>
      </c>
      <c r="M92" s="92" t="s">
        <v>19</v>
      </c>
      <c r="N92" s="136">
        <f t="shared" si="1"/>
        <v>0.14519299706283678</v>
      </c>
    </row>
    <row r="93" spans="1:14" x14ac:dyDescent="0.3">
      <c r="A93" s="87" t="s">
        <v>173</v>
      </c>
      <c r="B93" s="88" t="s">
        <v>14</v>
      </c>
      <c r="C93" s="89">
        <v>45618</v>
      </c>
      <c r="D93" s="88" t="s">
        <v>42</v>
      </c>
      <c r="E93" s="88" t="s">
        <v>43</v>
      </c>
      <c r="F93" s="94">
        <v>53</v>
      </c>
      <c r="G93" s="94">
        <v>81</v>
      </c>
      <c r="H93" s="94">
        <v>379</v>
      </c>
      <c r="I93" s="94">
        <v>954</v>
      </c>
      <c r="J93" s="94">
        <v>7</v>
      </c>
      <c r="K93" s="94">
        <v>148</v>
      </c>
      <c r="L93" s="92" t="s">
        <v>77</v>
      </c>
      <c r="M93" s="92" t="s">
        <v>38</v>
      </c>
      <c r="N93" s="136">
        <f t="shared" si="1"/>
        <v>73.285714285714292</v>
      </c>
    </row>
    <row r="94" spans="1:14" x14ac:dyDescent="0.3">
      <c r="A94" s="87" t="s">
        <v>175</v>
      </c>
      <c r="B94" s="88" t="s">
        <v>14</v>
      </c>
      <c r="C94" s="89">
        <v>45504</v>
      </c>
      <c r="D94" s="88" t="s">
        <v>42</v>
      </c>
      <c r="E94" s="88" t="s">
        <v>43</v>
      </c>
      <c r="F94" s="94">
        <v>4507</v>
      </c>
      <c r="G94" s="94">
        <v>217</v>
      </c>
      <c r="H94" s="94">
        <v>13</v>
      </c>
      <c r="I94" s="94">
        <v>90140</v>
      </c>
      <c r="J94" s="94">
        <v>89591</v>
      </c>
      <c r="K94" s="94">
        <v>125</v>
      </c>
      <c r="L94" s="92" t="s">
        <v>18</v>
      </c>
      <c r="M94" s="92" t="s">
        <v>19</v>
      </c>
      <c r="N94" s="136">
        <f t="shared" si="1"/>
        <v>5.2873614537174492E-2</v>
      </c>
    </row>
    <row r="95" spans="1:14" x14ac:dyDescent="0.3">
      <c r="A95" s="87" t="s">
        <v>176</v>
      </c>
      <c r="B95" s="88" t="s">
        <v>40</v>
      </c>
      <c r="C95" s="89">
        <v>45521</v>
      </c>
      <c r="D95" s="88" t="s">
        <v>49</v>
      </c>
      <c r="E95" s="88" t="s">
        <v>50</v>
      </c>
      <c r="F95" s="94">
        <v>2878</v>
      </c>
      <c r="G95" s="94">
        <v>248</v>
      </c>
      <c r="H95" s="94">
        <v>416</v>
      </c>
      <c r="I95" s="94">
        <v>43170</v>
      </c>
      <c r="J95" s="94">
        <v>42667</v>
      </c>
      <c r="K95" s="94">
        <v>75</v>
      </c>
      <c r="L95" s="92" t="s">
        <v>77</v>
      </c>
      <c r="M95" s="92" t="s">
        <v>25</v>
      </c>
      <c r="N95" s="136">
        <f t="shared" si="1"/>
        <v>8.3014976445496519E-2</v>
      </c>
    </row>
    <row r="96" spans="1:14" x14ac:dyDescent="0.3">
      <c r="A96" s="87" t="s">
        <v>176</v>
      </c>
      <c r="B96" s="88" t="s">
        <v>40</v>
      </c>
      <c r="C96" s="89">
        <v>45521</v>
      </c>
      <c r="D96" s="88" t="s">
        <v>49</v>
      </c>
      <c r="E96" s="88" t="s">
        <v>50</v>
      </c>
      <c r="F96" s="94">
        <v>2878</v>
      </c>
      <c r="G96" s="94">
        <v>248</v>
      </c>
      <c r="H96" s="94">
        <v>416</v>
      </c>
      <c r="I96" s="94">
        <v>43170</v>
      </c>
      <c r="J96" s="94">
        <v>42667</v>
      </c>
      <c r="K96" s="94">
        <v>75</v>
      </c>
      <c r="L96" s="92" t="s">
        <v>44</v>
      </c>
      <c r="M96" s="92" t="s">
        <v>25</v>
      </c>
      <c r="N96" s="136">
        <f t="shared" si="1"/>
        <v>8.3014976445496519E-2</v>
      </c>
    </row>
    <row r="97" spans="1:14" x14ac:dyDescent="0.3">
      <c r="A97" s="87" t="s">
        <v>179</v>
      </c>
      <c r="B97" s="88" t="s">
        <v>31</v>
      </c>
      <c r="C97" s="89">
        <v>45744</v>
      </c>
      <c r="D97" s="88" t="s">
        <v>33</v>
      </c>
      <c r="E97" s="88" t="s">
        <v>34</v>
      </c>
      <c r="F97" s="94">
        <v>1881</v>
      </c>
      <c r="G97" s="94">
        <v>501</v>
      </c>
      <c r="H97" s="94">
        <v>99</v>
      </c>
      <c r="I97" s="94">
        <v>20691</v>
      </c>
      <c r="J97" s="94">
        <v>19987</v>
      </c>
      <c r="K97" s="94">
        <v>289</v>
      </c>
      <c r="L97" s="92" t="s">
        <v>77</v>
      </c>
      <c r="M97" s="92" t="s">
        <v>25</v>
      </c>
      <c r="N97" s="136">
        <f t="shared" si="1"/>
        <v>0.12413068494521438</v>
      </c>
    </row>
    <row r="98" spans="1:14" x14ac:dyDescent="0.3">
      <c r="A98" s="87" t="s">
        <v>181</v>
      </c>
      <c r="B98" s="88" t="s">
        <v>14</v>
      </c>
      <c r="C98" s="89">
        <v>45499</v>
      </c>
      <c r="D98" s="88" t="s">
        <v>42</v>
      </c>
      <c r="E98" s="88" t="s">
        <v>43</v>
      </c>
      <c r="F98" s="94">
        <v>432</v>
      </c>
      <c r="G98" s="94">
        <v>171</v>
      </c>
      <c r="H98" s="94">
        <v>280</v>
      </c>
      <c r="I98" s="94">
        <v>3024</v>
      </c>
      <c r="J98" s="94">
        <v>2285</v>
      </c>
      <c r="K98" s="94">
        <v>184</v>
      </c>
      <c r="L98" s="92" t="s">
        <v>24</v>
      </c>
      <c r="M98" s="92" t="s">
        <v>38</v>
      </c>
      <c r="N98" s="136">
        <f t="shared" si="1"/>
        <v>0.3864332603938731</v>
      </c>
    </row>
    <row r="99" spans="1:14" x14ac:dyDescent="0.3">
      <c r="A99" s="87" t="s">
        <v>183</v>
      </c>
      <c r="B99" s="88" t="s">
        <v>40</v>
      </c>
      <c r="C99" s="89">
        <v>45745</v>
      </c>
      <c r="D99" s="88" t="s">
        <v>42</v>
      </c>
      <c r="E99" s="88" t="s">
        <v>43</v>
      </c>
      <c r="F99" s="94">
        <v>4712</v>
      </c>
      <c r="G99" s="94">
        <v>568</v>
      </c>
      <c r="H99" s="94">
        <v>127</v>
      </c>
      <c r="I99" s="94">
        <v>84816</v>
      </c>
      <c r="J99" s="94">
        <v>84691</v>
      </c>
      <c r="K99" s="94">
        <v>100</v>
      </c>
      <c r="L99" s="92" t="s">
        <v>77</v>
      </c>
      <c r="M99" s="92" t="s">
        <v>19</v>
      </c>
      <c r="N99" s="136">
        <f t="shared" si="1"/>
        <v>6.3843855899682375E-2</v>
      </c>
    </row>
    <row r="100" spans="1:14" x14ac:dyDescent="0.3">
      <c r="A100" s="87" t="s">
        <v>185</v>
      </c>
      <c r="B100" s="88" t="s">
        <v>31</v>
      </c>
      <c r="C100" s="89">
        <v>45634</v>
      </c>
      <c r="D100" s="88" t="s">
        <v>33</v>
      </c>
      <c r="E100" s="88" t="s">
        <v>34</v>
      </c>
      <c r="F100" s="94">
        <v>2610</v>
      </c>
      <c r="G100" s="94">
        <v>126</v>
      </c>
      <c r="H100" s="94">
        <v>288</v>
      </c>
      <c r="I100" s="94">
        <v>15660</v>
      </c>
      <c r="J100" s="94">
        <v>15145</v>
      </c>
      <c r="K100" s="94">
        <v>73</v>
      </c>
      <c r="L100" s="92" t="s">
        <v>24</v>
      </c>
      <c r="M100" s="92" t="s">
        <v>19</v>
      </c>
      <c r="N100" s="136">
        <f t="shared" si="1"/>
        <v>0.19966985803895676</v>
      </c>
    </row>
    <row r="101" spans="1:14" x14ac:dyDescent="0.3">
      <c r="A101" s="87" t="s">
        <v>187</v>
      </c>
      <c r="B101" s="88" t="s">
        <v>14</v>
      </c>
      <c r="C101" s="89">
        <v>45724</v>
      </c>
      <c r="D101" s="88" t="s">
        <v>22</v>
      </c>
      <c r="E101" s="88" t="s">
        <v>23</v>
      </c>
      <c r="F101" s="94">
        <v>1292</v>
      </c>
      <c r="G101" s="94">
        <v>626</v>
      </c>
      <c r="H101" s="94">
        <v>496</v>
      </c>
      <c r="I101" s="94">
        <v>25840</v>
      </c>
      <c r="J101" s="94">
        <v>24916</v>
      </c>
      <c r="K101" s="94">
        <v>149</v>
      </c>
      <c r="L101" s="92" t="s">
        <v>58</v>
      </c>
      <c r="M101" s="92" t="s">
        <v>55</v>
      </c>
      <c r="N101" s="136">
        <f t="shared" si="1"/>
        <v>9.6885535398940445E-2</v>
      </c>
    </row>
    <row r="102" spans="1:14" x14ac:dyDescent="0.3">
      <c r="A102" s="87" t="s">
        <v>187</v>
      </c>
      <c r="B102" s="88" t="s">
        <v>14</v>
      </c>
      <c r="C102" s="89">
        <v>45724</v>
      </c>
      <c r="D102" s="88" t="s">
        <v>22</v>
      </c>
      <c r="E102" s="88" t="s">
        <v>23</v>
      </c>
      <c r="F102" s="94">
        <v>1292</v>
      </c>
      <c r="G102" s="94">
        <v>626</v>
      </c>
      <c r="H102" s="94">
        <v>496</v>
      </c>
      <c r="I102" s="94">
        <v>25840</v>
      </c>
      <c r="J102" s="94">
        <v>24916</v>
      </c>
      <c r="K102" s="94">
        <v>149</v>
      </c>
      <c r="L102" s="92" t="s">
        <v>44</v>
      </c>
      <c r="M102" s="92" t="s">
        <v>55</v>
      </c>
      <c r="N102" s="136">
        <f t="shared" si="1"/>
        <v>9.6885535398940445E-2</v>
      </c>
    </row>
    <row r="103" spans="1:14" x14ac:dyDescent="0.3">
      <c r="A103" s="87" t="s">
        <v>188</v>
      </c>
      <c r="B103" s="88" t="s">
        <v>40</v>
      </c>
      <c r="C103" s="89">
        <v>45749</v>
      </c>
      <c r="D103" s="88" t="s">
        <v>69</v>
      </c>
      <c r="E103" s="88" t="s">
        <v>70</v>
      </c>
      <c r="F103" s="94">
        <v>199</v>
      </c>
      <c r="G103" s="94">
        <v>772</v>
      </c>
      <c r="H103" s="94">
        <v>400</v>
      </c>
      <c r="I103" s="94">
        <v>3582</v>
      </c>
      <c r="J103" s="94">
        <v>2988</v>
      </c>
      <c r="K103" s="94">
        <v>43</v>
      </c>
      <c r="L103" s="92" t="s">
        <v>44</v>
      </c>
      <c r="M103" s="92" t="s">
        <v>19</v>
      </c>
      <c r="N103" s="136">
        <f t="shared" si="1"/>
        <v>0.45883534136546184</v>
      </c>
    </row>
    <row r="104" spans="1:14" x14ac:dyDescent="0.3">
      <c r="A104" s="87" t="s">
        <v>190</v>
      </c>
      <c r="B104" s="88" t="s">
        <v>577</v>
      </c>
      <c r="C104" s="89">
        <v>45537</v>
      </c>
      <c r="D104" s="88" t="s">
        <v>42</v>
      </c>
      <c r="E104" s="88" t="s">
        <v>43</v>
      </c>
      <c r="F104" s="94">
        <v>2551</v>
      </c>
      <c r="G104" s="94">
        <v>915</v>
      </c>
      <c r="H104" s="94">
        <v>205</v>
      </c>
      <c r="I104" s="94">
        <v>30612</v>
      </c>
      <c r="J104" s="94">
        <v>30360</v>
      </c>
      <c r="K104" s="94">
        <v>227</v>
      </c>
      <c r="L104" s="92" t="s">
        <v>18</v>
      </c>
      <c r="M104" s="92" t="s">
        <v>25</v>
      </c>
      <c r="N104" s="136">
        <f t="shared" si="1"/>
        <v>0.12091567852437418</v>
      </c>
    </row>
    <row r="105" spans="1:14" x14ac:dyDescent="0.3">
      <c r="A105" s="87" t="s">
        <v>190</v>
      </c>
      <c r="B105" s="88" t="s">
        <v>577</v>
      </c>
      <c r="C105" s="89">
        <v>45537</v>
      </c>
      <c r="D105" s="88" t="s">
        <v>42</v>
      </c>
      <c r="E105" s="88" t="s">
        <v>43</v>
      </c>
      <c r="F105" s="94">
        <v>2551</v>
      </c>
      <c r="G105" s="94">
        <v>915</v>
      </c>
      <c r="H105" s="94">
        <v>205</v>
      </c>
      <c r="I105" s="94">
        <v>30612</v>
      </c>
      <c r="J105" s="94">
        <v>30360</v>
      </c>
      <c r="K105" s="94">
        <v>227</v>
      </c>
      <c r="L105" s="92" t="s">
        <v>77</v>
      </c>
      <c r="M105" s="92" t="s">
        <v>25</v>
      </c>
      <c r="N105" s="136">
        <f t="shared" si="1"/>
        <v>0.12091567852437418</v>
      </c>
    </row>
    <row r="106" spans="1:14" x14ac:dyDescent="0.3">
      <c r="A106" s="87" t="s">
        <v>192</v>
      </c>
      <c r="B106" s="88" t="s">
        <v>577</v>
      </c>
      <c r="C106" s="89">
        <v>45719</v>
      </c>
      <c r="D106" s="88" t="s">
        <v>16</v>
      </c>
      <c r="E106" s="88" t="s">
        <v>17</v>
      </c>
      <c r="F106" s="94">
        <v>296</v>
      </c>
      <c r="G106" s="94">
        <v>60</v>
      </c>
      <c r="H106" s="94">
        <v>141</v>
      </c>
      <c r="I106" s="94">
        <v>5624</v>
      </c>
      <c r="J106" s="94">
        <v>5239</v>
      </c>
      <c r="K106" s="94">
        <v>88</v>
      </c>
      <c r="L106" s="92" t="s">
        <v>44</v>
      </c>
      <c r="M106" s="92" t="s">
        <v>55</v>
      </c>
      <c r="N106" s="136">
        <f t="shared" si="1"/>
        <v>9.4865432334414967E-2</v>
      </c>
    </row>
    <row r="107" spans="1:14" x14ac:dyDescent="0.3">
      <c r="A107" s="87" t="s">
        <v>194</v>
      </c>
      <c r="B107" s="88" t="s">
        <v>40</v>
      </c>
      <c r="C107" s="89">
        <v>45583</v>
      </c>
      <c r="D107" s="88" t="s">
        <v>33</v>
      </c>
      <c r="E107" s="88" t="s">
        <v>34</v>
      </c>
      <c r="F107" s="94">
        <v>4126</v>
      </c>
      <c r="G107" s="94">
        <v>426</v>
      </c>
      <c r="H107" s="94">
        <v>486</v>
      </c>
      <c r="I107" s="94">
        <v>78394</v>
      </c>
      <c r="J107" s="94">
        <v>77798</v>
      </c>
      <c r="K107" s="94">
        <v>88</v>
      </c>
      <c r="L107" s="92" t="s">
        <v>24</v>
      </c>
      <c r="M107" s="92" t="s">
        <v>19</v>
      </c>
      <c r="N107" s="136">
        <f t="shared" si="1"/>
        <v>6.4757448777603532E-2</v>
      </c>
    </row>
    <row r="108" spans="1:14" x14ac:dyDescent="0.3">
      <c r="A108" s="87" t="s">
        <v>196</v>
      </c>
      <c r="B108" s="88" t="s">
        <v>577</v>
      </c>
      <c r="C108" s="89">
        <v>45593</v>
      </c>
      <c r="D108" s="88" t="s">
        <v>16</v>
      </c>
      <c r="E108" s="88" t="s">
        <v>17</v>
      </c>
      <c r="F108" s="94">
        <v>1855</v>
      </c>
      <c r="G108" s="94">
        <v>200</v>
      </c>
      <c r="H108" s="94">
        <v>174</v>
      </c>
      <c r="I108" s="94">
        <v>16695</v>
      </c>
      <c r="J108" s="94">
        <v>16330</v>
      </c>
      <c r="K108" s="94">
        <v>123</v>
      </c>
      <c r="L108" s="92" t="s">
        <v>24</v>
      </c>
      <c r="M108" s="92" t="s">
        <v>38</v>
      </c>
      <c r="N108" s="136">
        <f t="shared" si="1"/>
        <v>0.13649724433557869</v>
      </c>
    </row>
    <row r="109" spans="1:14" x14ac:dyDescent="0.3">
      <c r="A109" s="87" t="s">
        <v>198</v>
      </c>
      <c r="B109" s="88" t="s">
        <v>31</v>
      </c>
      <c r="C109" s="89">
        <v>45505</v>
      </c>
      <c r="D109" s="88" t="s">
        <v>16</v>
      </c>
      <c r="E109" s="88" t="s">
        <v>17</v>
      </c>
      <c r="F109" s="94">
        <v>1674</v>
      </c>
      <c r="G109" s="94">
        <v>929</v>
      </c>
      <c r="H109" s="94">
        <v>37</v>
      </c>
      <c r="I109" s="94">
        <v>21762</v>
      </c>
      <c r="J109" s="94">
        <v>20998</v>
      </c>
      <c r="K109" s="94">
        <v>255</v>
      </c>
      <c r="L109" s="92" t="s">
        <v>58</v>
      </c>
      <c r="M109" s="92" t="s">
        <v>38</v>
      </c>
      <c r="N109" s="136">
        <f t="shared" si="1"/>
        <v>0.1257262596437756</v>
      </c>
    </row>
    <row r="110" spans="1:14" x14ac:dyDescent="0.3">
      <c r="A110" s="87" t="s">
        <v>198</v>
      </c>
      <c r="B110" s="88" t="s">
        <v>31</v>
      </c>
      <c r="C110" s="89">
        <v>45505</v>
      </c>
      <c r="D110" s="88" t="s">
        <v>16</v>
      </c>
      <c r="E110" s="88" t="s">
        <v>17</v>
      </c>
      <c r="F110" s="94">
        <v>1674</v>
      </c>
      <c r="G110" s="94">
        <v>929</v>
      </c>
      <c r="H110" s="94">
        <v>37</v>
      </c>
      <c r="I110" s="94">
        <v>21762</v>
      </c>
      <c r="J110" s="94">
        <v>20998</v>
      </c>
      <c r="K110" s="94">
        <v>255</v>
      </c>
      <c r="L110" s="92" t="s">
        <v>77</v>
      </c>
      <c r="M110" s="92" t="s">
        <v>38</v>
      </c>
      <c r="N110" s="136">
        <f t="shared" si="1"/>
        <v>0.1257262596437756</v>
      </c>
    </row>
    <row r="111" spans="1:14" x14ac:dyDescent="0.3">
      <c r="A111" s="87" t="s">
        <v>200</v>
      </c>
      <c r="B111" s="88" t="s">
        <v>14</v>
      </c>
      <c r="C111" s="89">
        <v>45603</v>
      </c>
      <c r="D111" s="88" t="s">
        <v>33</v>
      </c>
      <c r="E111" s="88" t="s">
        <v>34</v>
      </c>
      <c r="F111" s="94">
        <v>1121</v>
      </c>
      <c r="G111" s="94">
        <v>135</v>
      </c>
      <c r="H111" s="94">
        <v>18</v>
      </c>
      <c r="I111" s="94">
        <v>15694</v>
      </c>
      <c r="J111" s="94">
        <v>14957</v>
      </c>
      <c r="K111" s="94">
        <v>99</v>
      </c>
      <c r="L111" s="92" t="s">
        <v>18</v>
      </c>
      <c r="M111" s="92" t="s">
        <v>55</v>
      </c>
      <c r="N111" s="136">
        <f t="shared" si="1"/>
        <v>8.5177508858728351E-2</v>
      </c>
    </row>
    <row r="112" spans="1:14" x14ac:dyDescent="0.3">
      <c r="A112" s="87" t="s">
        <v>200</v>
      </c>
      <c r="B112" s="88" t="s">
        <v>14</v>
      </c>
      <c r="C112" s="89">
        <v>45603</v>
      </c>
      <c r="D112" s="88" t="s">
        <v>33</v>
      </c>
      <c r="E112" s="88" t="s">
        <v>34</v>
      </c>
      <c r="F112" s="94">
        <v>1121</v>
      </c>
      <c r="G112" s="94">
        <v>135</v>
      </c>
      <c r="H112" s="94">
        <v>18</v>
      </c>
      <c r="I112" s="94">
        <v>15694</v>
      </c>
      <c r="J112" s="94">
        <v>14957</v>
      </c>
      <c r="K112" s="94">
        <v>99</v>
      </c>
      <c r="L112" s="92" t="s">
        <v>24</v>
      </c>
      <c r="M112" s="92" t="s">
        <v>55</v>
      </c>
      <c r="N112" s="136">
        <f t="shared" si="1"/>
        <v>8.5177508858728351E-2</v>
      </c>
    </row>
    <row r="113" spans="1:14" x14ac:dyDescent="0.3">
      <c r="A113" s="87" t="s">
        <v>202</v>
      </c>
      <c r="B113" s="88" t="s">
        <v>40</v>
      </c>
      <c r="C113" s="89">
        <v>45720</v>
      </c>
      <c r="D113" s="88" t="s">
        <v>33</v>
      </c>
      <c r="E113" s="88" t="s">
        <v>34</v>
      </c>
      <c r="F113" s="94">
        <v>1249</v>
      </c>
      <c r="G113" s="94">
        <v>116</v>
      </c>
      <c r="H113" s="94">
        <v>420</v>
      </c>
      <c r="I113" s="94">
        <v>8743</v>
      </c>
      <c r="J113" s="94">
        <v>8538</v>
      </c>
      <c r="K113" s="94">
        <v>63</v>
      </c>
      <c r="L113" s="92" t="s">
        <v>24</v>
      </c>
      <c r="M113" s="92" t="s">
        <v>38</v>
      </c>
      <c r="N113" s="136">
        <f t="shared" si="1"/>
        <v>0.20906535488404779</v>
      </c>
    </row>
    <row r="114" spans="1:14" x14ac:dyDescent="0.3">
      <c r="A114" s="87" t="s">
        <v>202</v>
      </c>
      <c r="B114" s="88" t="s">
        <v>40</v>
      </c>
      <c r="C114" s="89">
        <v>45720</v>
      </c>
      <c r="D114" s="88" t="s">
        <v>33</v>
      </c>
      <c r="E114" s="88" t="s">
        <v>34</v>
      </c>
      <c r="F114" s="94">
        <v>1249</v>
      </c>
      <c r="G114" s="94">
        <v>116</v>
      </c>
      <c r="H114" s="94">
        <v>420</v>
      </c>
      <c r="I114" s="94">
        <v>8743</v>
      </c>
      <c r="J114" s="94">
        <v>8538</v>
      </c>
      <c r="K114" s="94">
        <v>63</v>
      </c>
      <c r="L114" s="92" t="s">
        <v>77</v>
      </c>
      <c r="M114" s="92" t="s">
        <v>38</v>
      </c>
      <c r="N114" s="136">
        <f t="shared" si="1"/>
        <v>0.20906535488404779</v>
      </c>
    </row>
    <row r="115" spans="1:14" x14ac:dyDescent="0.3">
      <c r="A115" s="87" t="s">
        <v>203</v>
      </c>
      <c r="B115" s="88" t="s">
        <v>14</v>
      </c>
      <c r="C115" s="89">
        <v>45460</v>
      </c>
      <c r="D115" s="88" t="s">
        <v>49</v>
      </c>
      <c r="E115" s="88" t="s">
        <v>50</v>
      </c>
      <c r="F115" s="94">
        <v>954</v>
      </c>
      <c r="G115" s="94">
        <v>324</v>
      </c>
      <c r="H115" s="94">
        <v>288</v>
      </c>
      <c r="I115" s="94">
        <v>19080</v>
      </c>
      <c r="J115" s="94">
        <v>18859</v>
      </c>
      <c r="K115" s="94">
        <v>21</v>
      </c>
      <c r="L115" s="92" t="s">
        <v>44</v>
      </c>
      <c r="M115" s="92" t="s">
        <v>38</v>
      </c>
      <c r="N115" s="136">
        <f t="shared" si="1"/>
        <v>8.303727663184686E-2</v>
      </c>
    </row>
    <row r="116" spans="1:14" x14ac:dyDescent="0.3">
      <c r="A116" s="87" t="s">
        <v>204</v>
      </c>
      <c r="B116" s="88" t="s">
        <v>31</v>
      </c>
      <c r="C116" s="89">
        <v>45574</v>
      </c>
      <c r="D116" s="88" t="s">
        <v>42</v>
      </c>
      <c r="E116" s="88" t="s">
        <v>43</v>
      </c>
      <c r="F116" s="94">
        <v>3068</v>
      </c>
      <c r="G116" s="94">
        <v>137</v>
      </c>
      <c r="H116" s="94">
        <v>329</v>
      </c>
      <c r="I116" s="94">
        <v>39884</v>
      </c>
      <c r="J116" s="94">
        <v>39404</v>
      </c>
      <c r="K116" s="94">
        <v>266</v>
      </c>
      <c r="L116" s="92" t="s">
        <v>18</v>
      </c>
      <c r="M116" s="92" t="s">
        <v>38</v>
      </c>
      <c r="N116" s="136">
        <f t="shared" si="1"/>
        <v>8.9686326261293275E-2</v>
      </c>
    </row>
    <row r="117" spans="1:14" x14ac:dyDescent="0.3">
      <c r="A117" s="87" t="s">
        <v>204</v>
      </c>
      <c r="B117" s="88" t="s">
        <v>31</v>
      </c>
      <c r="C117" s="89">
        <v>45574</v>
      </c>
      <c r="D117" s="88" t="s">
        <v>42</v>
      </c>
      <c r="E117" s="88" t="s">
        <v>43</v>
      </c>
      <c r="F117" s="94">
        <v>3068</v>
      </c>
      <c r="G117" s="94">
        <v>137</v>
      </c>
      <c r="H117" s="94">
        <v>329</v>
      </c>
      <c r="I117" s="94">
        <v>39884</v>
      </c>
      <c r="J117" s="94">
        <v>39404</v>
      </c>
      <c r="K117" s="94">
        <v>266</v>
      </c>
      <c r="L117" s="92" t="s">
        <v>44</v>
      </c>
      <c r="M117" s="92" t="s">
        <v>38</v>
      </c>
      <c r="N117" s="136">
        <f t="shared" si="1"/>
        <v>8.9686326261293275E-2</v>
      </c>
    </row>
    <row r="118" spans="1:14" x14ac:dyDescent="0.3">
      <c r="A118" s="87" t="s">
        <v>206</v>
      </c>
      <c r="B118" s="88" t="s">
        <v>31</v>
      </c>
      <c r="C118" s="89">
        <v>45456</v>
      </c>
      <c r="D118" s="88" t="s">
        <v>33</v>
      </c>
      <c r="E118" s="88" t="s">
        <v>34</v>
      </c>
      <c r="F118" s="94">
        <v>2103</v>
      </c>
      <c r="G118" s="94">
        <v>892</v>
      </c>
      <c r="H118" s="94">
        <v>103</v>
      </c>
      <c r="I118" s="94">
        <v>39957</v>
      </c>
      <c r="J118" s="94">
        <v>39466</v>
      </c>
      <c r="K118" s="94">
        <v>28</v>
      </c>
      <c r="L118" s="92" t="s">
        <v>77</v>
      </c>
      <c r="M118" s="92" t="s">
        <v>25</v>
      </c>
      <c r="N118" s="136">
        <f t="shared" si="1"/>
        <v>7.8497947600466231E-2</v>
      </c>
    </row>
    <row r="119" spans="1:14" x14ac:dyDescent="0.3">
      <c r="A119" s="87" t="s">
        <v>206</v>
      </c>
      <c r="B119" s="88" t="s">
        <v>31</v>
      </c>
      <c r="C119" s="89">
        <v>45456</v>
      </c>
      <c r="D119" s="88" t="s">
        <v>33</v>
      </c>
      <c r="E119" s="88" t="s">
        <v>34</v>
      </c>
      <c r="F119" s="94">
        <v>2103</v>
      </c>
      <c r="G119" s="94">
        <v>892</v>
      </c>
      <c r="H119" s="94">
        <v>103</v>
      </c>
      <c r="I119" s="94">
        <v>39957</v>
      </c>
      <c r="J119" s="94">
        <v>39466</v>
      </c>
      <c r="K119" s="94">
        <v>28</v>
      </c>
      <c r="L119" s="92" t="s">
        <v>24</v>
      </c>
      <c r="M119" s="92" t="s">
        <v>25</v>
      </c>
      <c r="N119" s="136">
        <f t="shared" si="1"/>
        <v>7.8497947600466231E-2</v>
      </c>
    </row>
    <row r="120" spans="1:14" x14ac:dyDescent="0.3">
      <c r="A120" s="87" t="s">
        <v>207</v>
      </c>
      <c r="B120" s="88" t="s">
        <v>31</v>
      </c>
      <c r="C120" s="89">
        <v>45584</v>
      </c>
      <c r="D120" s="88" t="s">
        <v>33</v>
      </c>
      <c r="E120" s="88" t="s">
        <v>34</v>
      </c>
      <c r="F120" s="94">
        <v>1816</v>
      </c>
      <c r="G120" s="94">
        <v>29</v>
      </c>
      <c r="H120" s="94">
        <v>41</v>
      </c>
      <c r="I120" s="94">
        <v>19976</v>
      </c>
      <c r="J120" s="94">
        <v>19262</v>
      </c>
      <c r="K120" s="94">
        <v>283</v>
      </c>
      <c r="L120" s="92" t="s">
        <v>44</v>
      </c>
      <c r="M120" s="92" t="s">
        <v>38</v>
      </c>
      <c r="N120" s="136">
        <f t="shared" si="1"/>
        <v>9.7912989305368084E-2</v>
      </c>
    </row>
    <row r="121" spans="1:14" x14ac:dyDescent="0.3">
      <c r="A121" s="87" t="s">
        <v>207</v>
      </c>
      <c r="B121" s="88" t="s">
        <v>31</v>
      </c>
      <c r="C121" s="89">
        <v>45584</v>
      </c>
      <c r="D121" s="88" t="s">
        <v>33</v>
      </c>
      <c r="E121" s="88" t="s">
        <v>34</v>
      </c>
      <c r="F121" s="94">
        <v>1816</v>
      </c>
      <c r="G121" s="94">
        <v>29</v>
      </c>
      <c r="H121" s="94">
        <v>41</v>
      </c>
      <c r="I121" s="94">
        <v>19976</v>
      </c>
      <c r="J121" s="94">
        <v>19262</v>
      </c>
      <c r="K121" s="94">
        <v>283</v>
      </c>
      <c r="L121" s="92" t="s">
        <v>18</v>
      </c>
      <c r="M121" s="92" t="s">
        <v>38</v>
      </c>
      <c r="N121" s="136">
        <f t="shared" si="1"/>
        <v>9.7912989305368084E-2</v>
      </c>
    </row>
    <row r="122" spans="1:14" x14ac:dyDescent="0.3">
      <c r="A122" s="87" t="s">
        <v>210</v>
      </c>
      <c r="B122" s="88" t="s">
        <v>31</v>
      </c>
      <c r="C122" s="89">
        <v>45497</v>
      </c>
      <c r="D122" s="88" t="s">
        <v>49</v>
      </c>
      <c r="E122" s="88" t="s">
        <v>50</v>
      </c>
      <c r="F122" s="94">
        <v>725</v>
      </c>
      <c r="G122" s="94">
        <v>88</v>
      </c>
      <c r="H122" s="94">
        <v>428</v>
      </c>
      <c r="I122" s="94">
        <v>14500</v>
      </c>
      <c r="J122" s="94">
        <v>13637</v>
      </c>
      <c r="K122" s="94">
        <v>200</v>
      </c>
      <c r="L122" s="92" t="s">
        <v>44</v>
      </c>
      <c r="M122" s="92" t="s">
        <v>38</v>
      </c>
      <c r="N122" s="136">
        <f t="shared" si="1"/>
        <v>9.1002419887071931E-2</v>
      </c>
    </row>
    <row r="123" spans="1:14" x14ac:dyDescent="0.3">
      <c r="A123" s="87" t="s">
        <v>212</v>
      </c>
      <c r="B123" s="88" t="s">
        <v>577</v>
      </c>
      <c r="C123" s="89">
        <v>45580</v>
      </c>
      <c r="D123" s="88" t="s">
        <v>69</v>
      </c>
      <c r="E123" s="88" t="s">
        <v>70</v>
      </c>
      <c r="F123" s="94">
        <v>1094</v>
      </c>
      <c r="G123" s="94">
        <v>472</v>
      </c>
      <c r="H123" s="94">
        <v>21</v>
      </c>
      <c r="I123" s="94">
        <v>9846</v>
      </c>
      <c r="J123" s="94">
        <v>9609</v>
      </c>
      <c r="K123" s="94">
        <v>112</v>
      </c>
      <c r="L123" s="92" t="s">
        <v>44</v>
      </c>
      <c r="M123" s="92" t="s">
        <v>38</v>
      </c>
      <c r="N123" s="136">
        <f t="shared" si="1"/>
        <v>0.16515766468935372</v>
      </c>
    </row>
    <row r="124" spans="1:14" x14ac:dyDescent="0.3">
      <c r="A124" s="87" t="s">
        <v>212</v>
      </c>
      <c r="B124" s="88" t="s">
        <v>577</v>
      </c>
      <c r="C124" s="89">
        <v>45580</v>
      </c>
      <c r="D124" s="88" t="s">
        <v>69</v>
      </c>
      <c r="E124" s="88" t="s">
        <v>70</v>
      </c>
      <c r="F124" s="94">
        <v>1094</v>
      </c>
      <c r="G124" s="94">
        <v>472</v>
      </c>
      <c r="H124" s="94">
        <v>21</v>
      </c>
      <c r="I124" s="94">
        <v>9846</v>
      </c>
      <c r="J124" s="94">
        <v>9609</v>
      </c>
      <c r="K124" s="94">
        <v>112</v>
      </c>
      <c r="L124" s="92" t="s">
        <v>58</v>
      </c>
      <c r="M124" s="92" t="s">
        <v>38</v>
      </c>
      <c r="N124" s="136">
        <f t="shared" si="1"/>
        <v>0.16515766468935372</v>
      </c>
    </row>
    <row r="125" spans="1:14" x14ac:dyDescent="0.3">
      <c r="A125" s="87" t="s">
        <v>215</v>
      </c>
      <c r="B125" s="88" t="s">
        <v>40</v>
      </c>
      <c r="C125" s="89">
        <v>45635</v>
      </c>
      <c r="D125" s="88" t="s">
        <v>49</v>
      </c>
      <c r="E125" s="88" t="s">
        <v>50</v>
      </c>
      <c r="F125" s="94">
        <v>1841</v>
      </c>
      <c r="G125" s="94">
        <v>851</v>
      </c>
      <c r="H125" s="94">
        <v>342</v>
      </c>
      <c r="I125" s="94">
        <v>34979</v>
      </c>
      <c r="J125" s="94">
        <v>34154</v>
      </c>
      <c r="K125" s="94">
        <v>255</v>
      </c>
      <c r="L125" s="92" t="s">
        <v>24</v>
      </c>
      <c r="M125" s="92" t="s">
        <v>19</v>
      </c>
      <c r="N125" s="136">
        <f t="shared" si="1"/>
        <v>8.8832933184985655E-2</v>
      </c>
    </row>
    <row r="126" spans="1:14" x14ac:dyDescent="0.3">
      <c r="A126" s="87" t="s">
        <v>215</v>
      </c>
      <c r="B126" s="88" t="s">
        <v>40</v>
      </c>
      <c r="C126" s="89">
        <v>45635</v>
      </c>
      <c r="D126" s="88" t="s">
        <v>49</v>
      </c>
      <c r="E126" s="88" t="s">
        <v>50</v>
      </c>
      <c r="F126" s="94">
        <v>1841</v>
      </c>
      <c r="G126" s="94">
        <v>851</v>
      </c>
      <c r="H126" s="94">
        <v>342</v>
      </c>
      <c r="I126" s="94">
        <v>34979</v>
      </c>
      <c r="J126" s="94">
        <v>34154</v>
      </c>
      <c r="K126" s="94">
        <v>255</v>
      </c>
      <c r="L126" s="92" t="s">
        <v>77</v>
      </c>
      <c r="M126" s="92" t="s">
        <v>19</v>
      </c>
      <c r="N126" s="136">
        <f t="shared" si="1"/>
        <v>8.8832933184985655E-2</v>
      </c>
    </row>
    <row r="127" spans="1:14" x14ac:dyDescent="0.3">
      <c r="A127" s="87" t="s">
        <v>217</v>
      </c>
      <c r="B127" s="88" t="s">
        <v>31</v>
      </c>
      <c r="C127" s="89">
        <v>45766</v>
      </c>
      <c r="D127" s="88" t="s">
        <v>49</v>
      </c>
      <c r="E127" s="88" t="s">
        <v>50</v>
      </c>
      <c r="F127" s="94">
        <v>4177</v>
      </c>
      <c r="G127" s="94">
        <v>569</v>
      </c>
      <c r="H127" s="94">
        <v>55</v>
      </c>
      <c r="I127" s="94">
        <v>25062</v>
      </c>
      <c r="J127" s="94">
        <v>24847</v>
      </c>
      <c r="K127" s="94">
        <v>230</v>
      </c>
      <c r="L127" s="92" t="s">
        <v>24</v>
      </c>
      <c r="M127" s="92" t="s">
        <v>19</v>
      </c>
      <c r="N127" s="136">
        <f t="shared" si="1"/>
        <v>0.19322252183362176</v>
      </c>
    </row>
    <row r="128" spans="1:14" x14ac:dyDescent="0.3">
      <c r="A128" s="87" t="s">
        <v>218</v>
      </c>
      <c r="B128" s="88" t="s">
        <v>577</v>
      </c>
      <c r="C128" s="89">
        <v>45684</v>
      </c>
      <c r="D128" s="88" t="s">
        <v>22</v>
      </c>
      <c r="E128" s="88" t="s">
        <v>23</v>
      </c>
      <c r="F128" s="94">
        <v>3428</v>
      </c>
      <c r="G128" s="94">
        <v>305</v>
      </c>
      <c r="H128" s="94">
        <v>85</v>
      </c>
      <c r="I128" s="94">
        <v>58276</v>
      </c>
      <c r="J128" s="94">
        <v>58052</v>
      </c>
      <c r="K128" s="94">
        <v>242</v>
      </c>
      <c r="L128" s="92" t="s">
        <v>44</v>
      </c>
      <c r="M128" s="92" t="s">
        <v>38</v>
      </c>
      <c r="N128" s="136">
        <f t="shared" si="1"/>
        <v>6.5768621236133126E-2</v>
      </c>
    </row>
    <row r="129" spans="1:14" x14ac:dyDescent="0.3">
      <c r="A129" s="87" t="s">
        <v>218</v>
      </c>
      <c r="B129" s="88" t="s">
        <v>577</v>
      </c>
      <c r="C129" s="89">
        <v>45684</v>
      </c>
      <c r="D129" s="88" t="s">
        <v>22</v>
      </c>
      <c r="E129" s="88" t="s">
        <v>23</v>
      </c>
      <c r="F129" s="94">
        <v>3428</v>
      </c>
      <c r="G129" s="94">
        <v>305</v>
      </c>
      <c r="H129" s="94">
        <v>85</v>
      </c>
      <c r="I129" s="94">
        <v>58276</v>
      </c>
      <c r="J129" s="94">
        <v>58052</v>
      </c>
      <c r="K129" s="94">
        <v>242</v>
      </c>
      <c r="L129" s="92" t="s">
        <v>58</v>
      </c>
      <c r="M129" s="92" t="s">
        <v>38</v>
      </c>
      <c r="N129" s="136">
        <f t="shared" si="1"/>
        <v>6.5768621236133126E-2</v>
      </c>
    </row>
    <row r="130" spans="1:14" x14ac:dyDescent="0.3">
      <c r="A130" s="87" t="s">
        <v>220</v>
      </c>
      <c r="B130" s="88" t="s">
        <v>14</v>
      </c>
      <c r="C130" s="89">
        <v>45449</v>
      </c>
      <c r="D130" s="88" t="s">
        <v>69</v>
      </c>
      <c r="E130" s="88" t="s">
        <v>70</v>
      </c>
      <c r="F130" s="94">
        <v>1436</v>
      </c>
      <c r="G130" s="94">
        <v>765</v>
      </c>
      <c r="H130" s="94">
        <v>496</v>
      </c>
      <c r="I130" s="94">
        <v>12924</v>
      </c>
      <c r="J130" s="94">
        <v>12701</v>
      </c>
      <c r="K130" s="94">
        <v>197</v>
      </c>
      <c r="L130" s="92" t="s">
        <v>44</v>
      </c>
      <c r="M130" s="92" t="s">
        <v>25</v>
      </c>
      <c r="N130" s="136">
        <f t="shared" si="1"/>
        <v>0.21234548460751121</v>
      </c>
    </row>
    <row r="131" spans="1:14" x14ac:dyDescent="0.3">
      <c r="A131" s="87" t="s">
        <v>220</v>
      </c>
      <c r="B131" s="88" t="s">
        <v>14</v>
      </c>
      <c r="C131" s="89">
        <v>45449</v>
      </c>
      <c r="D131" s="88" t="s">
        <v>69</v>
      </c>
      <c r="E131" s="88" t="s">
        <v>70</v>
      </c>
      <c r="F131" s="94">
        <v>1436</v>
      </c>
      <c r="G131" s="94">
        <v>765</v>
      </c>
      <c r="H131" s="94">
        <v>496</v>
      </c>
      <c r="I131" s="94">
        <v>12924</v>
      </c>
      <c r="J131" s="94">
        <v>12701</v>
      </c>
      <c r="K131" s="94">
        <v>197</v>
      </c>
      <c r="L131" s="92" t="s">
        <v>18</v>
      </c>
      <c r="M131" s="92" t="s">
        <v>25</v>
      </c>
      <c r="N131" s="136">
        <f t="shared" ref="N131:N194" si="2">SUM(F131,G131,H131)/J131</f>
        <v>0.21234548460751121</v>
      </c>
    </row>
    <row r="132" spans="1:14" x14ac:dyDescent="0.3">
      <c r="A132" s="87" t="s">
        <v>222</v>
      </c>
      <c r="B132" s="88" t="s">
        <v>40</v>
      </c>
      <c r="C132" s="89">
        <v>45480</v>
      </c>
      <c r="D132" s="88" t="s">
        <v>33</v>
      </c>
      <c r="E132" s="88" t="s">
        <v>34</v>
      </c>
      <c r="F132" s="94">
        <v>302</v>
      </c>
      <c r="G132" s="94">
        <v>47</v>
      </c>
      <c r="H132" s="94">
        <v>430</v>
      </c>
      <c r="I132" s="94">
        <v>5738</v>
      </c>
      <c r="J132" s="94">
        <v>4890</v>
      </c>
      <c r="K132" s="94">
        <v>25</v>
      </c>
      <c r="L132" s="92" t="s">
        <v>24</v>
      </c>
      <c r="M132" s="92" t="s">
        <v>25</v>
      </c>
      <c r="N132" s="136">
        <f t="shared" si="2"/>
        <v>0.15930470347648262</v>
      </c>
    </row>
    <row r="133" spans="1:14" x14ac:dyDescent="0.3">
      <c r="A133" s="87" t="s">
        <v>222</v>
      </c>
      <c r="B133" s="88" t="s">
        <v>40</v>
      </c>
      <c r="C133" s="89">
        <v>45480</v>
      </c>
      <c r="D133" s="88" t="s">
        <v>33</v>
      </c>
      <c r="E133" s="88" t="s">
        <v>34</v>
      </c>
      <c r="F133" s="94">
        <v>302</v>
      </c>
      <c r="G133" s="94">
        <v>47</v>
      </c>
      <c r="H133" s="94">
        <v>430</v>
      </c>
      <c r="I133" s="94">
        <v>5738</v>
      </c>
      <c r="J133" s="94">
        <v>4890</v>
      </c>
      <c r="K133" s="94">
        <v>25</v>
      </c>
      <c r="L133" s="92" t="s">
        <v>18</v>
      </c>
      <c r="M133" s="92" t="s">
        <v>25</v>
      </c>
      <c r="N133" s="136">
        <f t="shared" si="2"/>
        <v>0.15930470347648262</v>
      </c>
    </row>
    <row r="134" spans="1:14" x14ac:dyDescent="0.3">
      <c r="A134" s="87" t="s">
        <v>224</v>
      </c>
      <c r="B134" s="88" t="s">
        <v>14</v>
      </c>
      <c r="C134" s="89">
        <v>45667</v>
      </c>
      <c r="D134" s="88" t="s">
        <v>49</v>
      </c>
      <c r="E134" s="88" t="s">
        <v>50</v>
      </c>
      <c r="F134" s="94">
        <v>2214</v>
      </c>
      <c r="G134" s="94">
        <v>249</v>
      </c>
      <c r="H134" s="94">
        <v>152</v>
      </c>
      <c r="I134" s="94">
        <v>15498</v>
      </c>
      <c r="J134" s="94">
        <v>14800</v>
      </c>
      <c r="K134" s="94">
        <v>180</v>
      </c>
      <c r="L134" s="92" t="s">
        <v>18</v>
      </c>
      <c r="M134" s="92" t="s">
        <v>25</v>
      </c>
      <c r="N134" s="136">
        <f t="shared" si="2"/>
        <v>0.17668918918918919</v>
      </c>
    </row>
    <row r="135" spans="1:14" x14ac:dyDescent="0.3">
      <c r="A135" s="87" t="s">
        <v>226</v>
      </c>
      <c r="B135" s="88" t="s">
        <v>31</v>
      </c>
      <c r="C135" s="89">
        <v>45446</v>
      </c>
      <c r="D135" s="88" t="s">
        <v>49</v>
      </c>
      <c r="E135" s="88" t="s">
        <v>50</v>
      </c>
      <c r="F135" s="94">
        <v>3861</v>
      </c>
      <c r="G135" s="94">
        <v>960</v>
      </c>
      <c r="H135" s="94">
        <v>101</v>
      </c>
      <c r="I135" s="94">
        <v>69498</v>
      </c>
      <c r="J135" s="94">
        <v>68817</v>
      </c>
      <c r="K135" s="94">
        <v>297</v>
      </c>
      <c r="L135" s="92" t="s">
        <v>24</v>
      </c>
      <c r="M135" s="92" t="s">
        <v>25</v>
      </c>
      <c r="N135" s="136">
        <f t="shared" si="2"/>
        <v>7.1523024833979973E-2</v>
      </c>
    </row>
    <row r="136" spans="1:14" x14ac:dyDescent="0.3">
      <c r="A136" s="87" t="s">
        <v>228</v>
      </c>
      <c r="B136" s="88" t="s">
        <v>40</v>
      </c>
      <c r="C136" s="89">
        <v>45740</v>
      </c>
      <c r="D136" s="88" t="s">
        <v>49</v>
      </c>
      <c r="E136" s="88" t="s">
        <v>50</v>
      </c>
      <c r="F136" s="94">
        <v>1263</v>
      </c>
      <c r="G136" s="94">
        <v>397</v>
      </c>
      <c r="H136" s="94">
        <v>357</v>
      </c>
      <c r="I136" s="94">
        <v>25260</v>
      </c>
      <c r="J136" s="94">
        <v>24615</v>
      </c>
      <c r="K136" s="94">
        <v>137</v>
      </c>
      <c r="L136" s="92" t="s">
        <v>18</v>
      </c>
      <c r="M136" s="92" t="s">
        <v>25</v>
      </c>
      <c r="N136" s="136">
        <f t="shared" si="2"/>
        <v>8.1941905342270971E-2</v>
      </c>
    </row>
    <row r="137" spans="1:14" x14ac:dyDescent="0.3">
      <c r="A137" s="87" t="s">
        <v>230</v>
      </c>
      <c r="B137" s="88" t="s">
        <v>14</v>
      </c>
      <c r="C137" s="89">
        <v>45586</v>
      </c>
      <c r="D137" s="88" t="s">
        <v>33</v>
      </c>
      <c r="E137" s="88" t="s">
        <v>34</v>
      </c>
      <c r="F137" s="94">
        <v>3801</v>
      </c>
      <c r="G137" s="94">
        <v>967</v>
      </c>
      <c r="H137" s="94">
        <v>401</v>
      </c>
      <c r="I137" s="94">
        <v>38010</v>
      </c>
      <c r="J137" s="94">
        <v>37625</v>
      </c>
      <c r="K137" s="94">
        <v>236</v>
      </c>
      <c r="L137" s="92" t="s">
        <v>58</v>
      </c>
      <c r="M137" s="92" t="s">
        <v>55</v>
      </c>
      <c r="N137" s="136">
        <f t="shared" si="2"/>
        <v>0.13738205980066445</v>
      </c>
    </row>
    <row r="138" spans="1:14" x14ac:dyDescent="0.3">
      <c r="A138" s="87" t="s">
        <v>231</v>
      </c>
      <c r="B138" s="88" t="s">
        <v>31</v>
      </c>
      <c r="C138" s="89">
        <v>45637</v>
      </c>
      <c r="D138" s="88" t="s">
        <v>69</v>
      </c>
      <c r="E138" s="88" t="s">
        <v>70</v>
      </c>
      <c r="F138" s="94">
        <v>1431</v>
      </c>
      <c r="G138" s="94">
        <v>951</v>
      </c>
      <c r="H138" s="94">
        <v>26</v>
      </c>
      <c r="I138" s="94">
        <v>8586</v>
      </c>
      <c r="J138" s="94">
        <v>8396</v>
      </c>
      <c r="K138" s="94">
        <v>150</v>
      </c>
      <c r="L138" s="92" t="s">
        <v>44</v>
      </c>
      <c r="M138" s="92" t="s">
        <v>19</v>
      </c>
      <c r="N138" s="136">
        <f t="shared" si="2"/>
        <v>0.28680323963792281</v>
      </c>
    </row>
    <row r="139" spans="1:14" x14ac:dyDescent="0.3">
      <c r="A139" s="87" t="s">
        <v>231</v>
      </c>
      <c r="B139" s="88" t="s">
        <v>31</v>
      </c>
      <c r="C139" s="89">
        <v>45637</v>
      </c>
      <c r="D139" s="88" t="s">
        <v>69</v>
      </c>
      <c r="E139" s="88" t="s">
        <v>70</v>
      </c>
      <c r="F139" s="94">
        <v>1431</v>
      </c>
      <c r="G139" s="94">
        <v>951</v>
      </c>
      <c r="H139" s="94">
        <v>26</v>
      </c>
      <c r="I139" s="94">
        <v>8586</v>
      </c>
      <c r="J139" s="94">
        <v>8396</v>
      </c>
      <c r="K139" s="94">
        <v>150</v>
      </c>
      <c r="L139" s="92" t="s">
        <v>77</v>
      </c>
      <c r="M139" s="92" t="s">
        <v>19</v>
      </c>
      <c r="N139" s="136">
        <f t="shared" si="2"/>
        <v>0.28680323963792281</v>
      </c>
    </row>
    <row r="140" spans="1:14" x14ac:dyDescent="0.3">
      <c r="A140" s="87" t="s">
        <v>233</v>
      </c>
      <c r="B140" s="88" t="s">
        <v>31</v>
      </c>
      <c r="C140" s="89">
        <v>45603</v>
      </c>
      <c r="D140" s="88" t="s">
        <v>49</v>
      </c>
      <c r="E140" s="88" t="s">
        <v>50</v>
      </c>
      <c r="F140" s="94">
        <v>2647</v>
      </c>
      <c r="G140" s="94">
        <v>304</v>
      </c>
      <c r="H140" s="94">
        <v>170</v>
      </c>
      <c r="I140" s="94">
        <v>18529</v>
      </c>
      <c r="J140" s="94">
        <v>17841</v>
      </c>
      <c r="K140" s="94">
        <v>46</v>
      </c>
      <c r="L140" s="92" t="s">
        <v>58</v>
      </c>
      <c r="M140" s="92" t="s">
        <v>25</v>
      </c>
      <c r="N140" s="136">
        <f t="shared" si="2"/>
        <v>0.17493414046297853</v>
      </c>
    </row>
    <row r="141" spans="1:14" x14ac:dyDescent="0.3">
      <c r="A141" s="87" t="s">
        <v>234</v>
      </c>
      <c r="B141" s="88" t="s">
        <v>31</v>
      </c>
      <c r="C141" s="89">
        <v>45604</v>
      </c>
      <c r="D141" s="88" t="s">
        <v>22</v>
      </c>
      <c r="E141" s="88" t="s">
        <v>23</v>
      </c>
      <c r="F141" s="94">
        <v>3182</v>
      </c>
      <c r="G141" s="94">
        <v>559</v>
      </c>
      <c r="H141" s="94">
        <v>160</v>
      </c>
      <c r="I141" s="94">
        <v>57276</v>
      </c>
      <c r="J141" s="94">
        <v>56890</v>
      </c>
      <c r="K141" s="94">
        <v>163</v>
      </c>
      <c r="L141" s="92" t="s">
        <v>58</v>
      </c>
      <c r="M141" s="92" t="s">
        <v>25</v>
      </c>
      <c r="N141" s="136">
        <f t="shared" si="2"/>
        <v>6.8570926349094743E-2</v>
      </c>
    </row>
    <row r="142" spans="1:14" x14ac:dyDescent="0.3">
      <c r="A142" s="87" t="s">
        <v>234</v>
      </c>
      <c r="B142" s="88" t="s">
        <v>31</v>
      </c>
      <c r="C142" s="89">
        <v>45604</v>
      </c>
      <c r="D142" s="88" t="s">
        <v>22</v>
      </c>
      <c r="E142" s="88" t="s">
        <v>23</v>
      </c>
      <c r="F142" s="94">
        <v>3182</v>
      </c>
      <c r="G142" s="94">
        <v>559</v>
      </c>
      <c r="H142" s="94">
        <v>160</v>
      </c>
      <c r="I142" s="94">
        <v>57276</v>
      </c>
      <c r="J142" s="94">
        <v>56890</v>
      </c>
      <c r="K142" s="94">
        <v>163</v>
      </c>
      <c r="L142" s="92" t="s">
        <v>44</v>
      </c>
      <c r="M142" s="92" t="s">
        <v>25</v>
      </c>
      <c r="N142" s="136">
        <f t="shared" si="2"/>
        <v>6.8570926349094743E-2</v>
      </c>
    </row>
    <row r="143" spans="1:14" x14ac:dyDescent="0.3">
      <c r="A143" s="87" t="s">
        <v>236</v>
      </c>
      <c r="B143" s="88" t="s">
        <v>14</v>
      </c>
      <c r="C143" s="89">
        <v>45545</v>
      </c>
      <c r="D143" s="88" t="s">
        <v>49</v>
      </c>
      <c r="E143" s="88" t="s">
        <v>50</v>
      </c>
      <c r="F143" s="94">
        <v>1238</v>
      </c>
      <c r="G143" s="94">
        <v>366</v>
      </c>
      <c r="H143" s="94">
        <v>444</v>
      </c>
      <c r="I143" s="94">
        <v>19808</v>
      </c>
      <c r="J143" s="94">
        <v>19334</v>
      </c>
      <c r="K143" s="94">
        <v>123</v>
      </c>
      <c r="L143" s="92" t="s">
        <v>77</v>
      </c>
      <c r="M143" s="92" t="s">
        <v>38</v>
      </c>
      <c r="N143" s="136">
        <f t="shared" si="2"/>
        <v>0.1059273818144202</v>
      </c>
    </row>
    <row r="144" spans="1:14" x14ac:dyDescent="0.3">
      <c r="A144" s="87" t="s">
        <v>238</v>
      </c>
      <c r="B144" s="88" t="s">
        <v>31</v>
      </c>
      <c r="C144" s="89">
        <v>45517</v>
      </c>
      <c r="D144" s="88" t="s">
        <v>49</v>
      </c>
      <c r="E144" s="88" t="s">
        <v>50</v>
      </c>
      <c r="F144" s="94">
        <v>4739</v>
      </c>
      <c r="G144" s="94">
        <v>527</v>
      </c>
      <c r="H144" s="94">
        <v>135</v>
      </c>
      <c r="I144" s="94">
        <v>61607</v>
      </c>
      <c r="J144" s="94">
        <v>61333</v>
      </c>
      <c r="K144" s="94">
        <v>36</v>
      </c>
      <c r="L144" s="92" t="s">
        <v>58</v>
      </c>
      <c r="M144" s="92" t="s">
        <v>25</v>
      </c>
      <c r="N144" s="136">
        <f t="shared" si="2"/>
        <v>8.8060261197071721E-2</v>
      </c>
    </row>
    <row r="145" spans="1:14" x14ac:dyDescent="0.3">
      <c r="A145" s="87" t="s">
        <v>238</v>
      </c>
      <c r="B145" s="88" t="s">
        <v>31</v>
      </c>
      <c r="C145" s="89">
        <v>45517</v>
      </c>
      <c r="D145" s="88" t="s">
        <v>49</v>
      </c>
      <c r="E145" s="88" t="s">
        <v>50</v>
      </c>
      <c r="F145" s="94">
        <v>4739</v>
      </c>
      <c r="G145" s="94">
        <v>527</v>
      </c>
      <c r="H145" s="94">
        <v>135</v>
      </c>
      <c r="I145" s="94">
        <v>61607</v>
      </c>
      <c r="J145" s="94">
        <v>61333</v>
      </c>
      <c r="K145" s="94">
        <v>36</v>
      </c>
      <c r="L145" s="92" t="s">
        <v>18</v>
      </c>
      <c r="M145" s="92" t="s">
        <v>25</v>
      </c>
      <c r="N145" s="136">
        <f t="shared" si="2"/>
        <v>8.8060261197071721E-2</v>
      </c>
    </row>
    <row r="146" spans="1:14" x14ac:dyDescent="0.3">
      <c r="A146" s="87" t="s">
        <v>240</v>
      </c>
      <c r="B146" s="88" t="s">
        <v>14</v>
      </c>
      <c r="C146" s="89">
        <v>45453</v>
      </c>
      <c r="D146" s="88" t="s">
        <v>33</v>
      </c>
      <c r="E146" s="88" t="s">
        <v>34</v>
      </c>
      <c r="F146" s="94">
        <v>1575</v>
      </c>
      <c r="G146" s="94">
        <v>771</v>
      </c>
      <c r="H146" s="94">
        <v>486</v>
      </c>
      <c r="I146" s="94">
        <v>25200</v>
      </c>
      <c r="J146" s="94">
        <v>24826</v>
      </c>
      <c r="K146" s="94">
        <v>17</v>
      </c>
      <c r="L146" s="92" t="s">
        <v>58</v>
      </c>
      <c r="M146" s="92" t="s">
        <v>38</v>
      </c>
      <c r="N146" s="136">
        <f t="shared" si="2"/>
        <v>0.1140739547248852</v>
      </c>
    </row>
    <row r="147" spans="1:14" x14ac:dyDescent="0.3">
      <c r="A147" s="87" t="s">
        <v>241</v>
      </c>
      <c r="B147" s="88" t="s">
        <v>577</v>
      </c>
      <c r="C147" s="89">
        <v>45475</v>
      </c>
      <c r="D147" s="88" t="s">
        <v>42</v>
      </c>
      <c r="E147" s="88" t="s">
        <v>43</v>
      </c>
      <c r="F147" s="94">
        <v>4171</v>
      </c>
      <c r="G147" s="94">
        <v>548</v>
      </c>
      <c r="H147" s="94">
        <v>86</v>
      </c>
      <c r="I147" s="94">
        <v>66736</v>
      </c>
      <c r="J147" s="94">
        <v>66634</v>
      </c>
      <c r="K147" s="94">
        <v>173</v>
      </c>
      <c r="L147" s="92" t="s">
        <v>58</v>
      </c>
      <c r="M147" s="92" t="s">
        <v>38</v>
      </c>
      <c r="N147" s="136">
        <f t="shared" si="2"/>
        <v>7.2110334063691203E-2</v>
      </c>
    </row>
    <row r="148" spans="1:14" x14ac:dyDescent="0.3">
      <c r="A148" s="87" t="s">
        <v>243</v>
      </c>
      <c r="B148" s="88" t="s">
        <v>577</v>
      </c>
      <c r="C148" s="89">
        <v>45698</v>
      </c>
      <c r="D148" s="88" t="s">
        <v>69</v>
      </c>
      <c r="E148" s="88" t="s">
        <v>70</v>
      </c>
      <c r="F148" s="94">
        <v>1766</v>
      </c>
      <c r="G148" s="94">
        <v>92</v>
      </c>
      <c r="H148" s="94">
        <v>424</v>
      </c>
      <c r="I148" s="94">
        <v>24724</v>
      </c>
      <c r="J148" s="94">
        <v>24333</v>
      </c>
      <c r="K148" s="94">
        <v>52</v>
      </c>
      <c r="L148" s="92" t="s">
        <v>58</v>
      </c>
      <c r="M148" s="92" t="s">
        <v>19</v>
      </c>
      <c r="N148" s="136">
        <f t="shared" si="2"/>
        <v>9.3782106604200055E-2</v>
      </c>
    </row>
    <row r="149" spans="1:14" x14ac:dyDescent="0.3">
      <c r="A149" s="87" t="s">
        <v>245</v>
      </c>
      <c r="B149" s="88" t="s">
        <v>577</v>
      </c>
      <c r="C149" s="89">
        <v>45583</v>
      </c>
      <c r="D149" s="88" t="s">
        <v>69</v>
      </c>
      <c r="E149" s="88" t="s">
        <v>70</v>
      </c>
      <c r="F149" s="94">
        <v>4450</v>
      </c>
      <c r="G149" s="94">
        <v>983</v>
      </c>
      <c r="H149" s="94">
        <v>143</v>
      </c>
      <c r="I149" s="94">
        <v>75650</v>
      </c>
      <c r="J149" s="94">
        <v>75008</v>
      </c>
      <c r="K149" s="94">
        <v>12</v>
      </c>
      <c r="L149" s="92" t="s">
        <v>18</v>
      </c>
      <c r="M149" s="92" t="s">
        <v>25</v>
      </c>
      <c r="N149" s="136">
        <f t="shared" si="2"/>
        <v>7.433873720136519E-2</v>
      </c>
    </row>
    <row r="150" spans="1:14" x14ac:dyDescent="0.3">
      <c r="A150" s="87" t="s">
        <v>245</v>
      </c>
      <c r="B150" s="88" t="s">
        <v>577</v>
      </c>
      <c r="C150" s="89">
        <v>45583</v>
      </c>
      <c r="D150" s="88" t="s">
        <v>69</v>
      </c>
      <c r="E150" s="88" t="s">
        <v>70</v>
      </c>
      <c r="F150" s="94">
        <v>4450</v>
      </c>
      <c r="G150" s="94">
        <v>983</v>
      </c>
      <c r="H150" s="94">
        <v>143</v>
      </c>
      <c r="I150" s="94">
        <v>75650</v>
      </c>
      <c r="J150" s="94">
        <v>75008</v>
      </c>
      <c r="K150" s="94">
        <v>12</v>
      </c>
      <c r="L150" s="92" t="s">
        <v>58</v>
      </c>
      <c r="M150" s="92" t="s">
        <v>25</v>
      </c>
      <c r="N150" s="136">
        <f t="shared" si="2"/>
        <v>7.433873720136519E-2</v>
      </c>
    </row>
    <row r="151" spans="1:14" x14ac:dyDescent="0.3">
      <c r="A151" s="87" t="s">
        <v>246</v>
      </c>
      <c r="B151" s="88" t="s">
        <v>14</v>
      </c>
      <c r="C151" s="89">
        <v>45553</v>
      </c>
      <c r="D151" s="88" t="s">
        <v>16</v>
      </c>
      <c r="E151" s="88" t="s">
        <v>17</v>
      </c>
      <c r="F151" s="94">
        <v>1000</v>
      </c>
      <c r="G151" s="94">
        <v>978</v>
      </c>
      <c r="H151" s="94">
        <v>162</v>
      </c>
      <c r="I151" s="94">
        <v>6000</v>
      </c>
      <c r="J151" s="94">
        <v>5221</v>
      </c>
      <c r="K151" s="94">
        <v>223</v>
      </c>
      <c r="L151" s="92" t="s">
        <v>44</v>
      </c>
      <c r="M151" s="92" t="s">
        <v>38</v>
      </c>
      <c r="N151" s="136">
        <f t="shared" si="2"/>
        <v>0.40988316414479986</v>
      </c>
    </row>
    <row r="152" spans="1:14" x14ac:dyDescent="0.3">
      <c r="A152" s="87" t="s">
        <v>246</v>
      </c>
      <c r="B152" s="88" t="s">
        <v>14</v>
      </c>
      <c r="C152" s="89">
        <v>45553</v>
      </c>
      <c r="D152" s="88" t="s">
        <v>16</v>
      </c>
      <c r="E152" s="88" t="s">
        <v>17</v>
      </c>
      <c r="F152" s="94">
        <v>1000</v>
      </c>
      <c r="G152" s="94">
        <v>978</v>
      </c>
      <c r="H152" s="94">
        <v>162</v>
      </c>
      <c r="I152" s="94">
        <v>6000</v>
      </c>
      <c r="J152" s="94">
        <v>5221</v>
      </c>
      <c r="K152" s="94">
        <v>223</v>
      </c>
      <c r="L152" s="92" t="s">
        <v>24</v>
      </c>
      <c r="M152" s="92" t="s">
        <v>38</v>
      </c>
      <c r="N152" s="136">
        <f t="shared" si="2"/>
        <v>0.40988316414479986</v>
      </c>
    </row>
    <row r="153" spans="1:14" x14ac:dyDescent="0.3">
      <c r="A153" s="87" t="s">
        <v>248</v>
      </c>
      <c r="B153" s="88" t="s">
        <v>40</v>
      </c>
      <c r="C153" s="89">
        <v>45454</v>
      </c>
      <c r="D153" s="88" t="s">
        <v>49</v>
      </c>
      <c r="E153" s="88" t="s">
        <v>50</v>
      </c>
      <c r="F153" s="94">
        <v>3689</v>
      </c>
      <c r="G153" s="94">
        <v>48</v>
      </c>
      <c r="H153" s="94">
        <v>306</v>
      </c>
      <c r="I153" s="94">
        <v>40579</v>
      </c>
      <c r="J153" s="94">
        <v>39588</v>
      </c>
      <c r="K153" s="94">
        <v>212</v>
      </c>
      <c r="L153" s="92" t="s">
        <v>44</v>
      </c>
      <c r="M153" s="92" t="s">
        <v>19</v>
      </c>
      <c r="N153" s="136">
        <f t="shared" si="2"/>
        <v>0.10212690714357886</v>
      </c>
    </row>
    <row r="154" spans="1:14" x14ac:dyDescent="0.3">
      <c r="A154" s="87" t="s">
        <v>250</v>
      </c>
      <c r="B154" s="88" t="s">
        <v>577</v>
      </c>
      <c r="C154" s="89">
        <v>45739</v>
      </c>
      <c r="D154" s="88" t="s">
        <v>33</v>
      </c>
      <c r="E154" s="88" t="s">
        <v>34</v>
      </c>
      <c r="F154" s="94">
        <v>3655</v>
      </c>
      <c r="G154" s="94">
        <v>568</v>
      </c>
      <c r="H154" s="94">
        <v>286</v>
      </c>
      <c r="I154" s="94">
        <v>32895</v>
      </c>
      <c r="J154" s="94">
        <v>32015</v>
      </c>
      <c r="K154" s="94">
        <v>199</v>
      </c>
      <c r="L154" s="92" t="s">
        <v>44</v>
      </c>
      <c r="M154" s="92" t="s">
        <v>55</v>
      </c>
      <c r="N154" s="136">
        <f t="shared" si="2"/>
        <v>0.14084023114165234</v>
      </c>
    </row>
    <row r="155" spans="1:14" x14ac:dyDescent="0.3">
      <c r="A155" s="87" t="s">
        <v>252</v>
      </c>
      <c r="B155" s="88" t="s">
        <v>31</v>
      </c>
      <c r="C155" s="89">
        <v>45457</v>
      </c>
      <c r="D155" s="88" t="s">
        <v>42</v>
      </c>
      <c r="E155" s="88" t="s">
        <v>43</v>
      </c>
      <c r="F155" s="94">
        <v>498</v>
      </c>
      <c r="G155" s="94">
        <v>38</v>
      </c>
      <c r="H155" s="94">
        <v>42</v>
      </c>
      <c r="I155" s="94">
        <v>4482</v>
      </c>
      <c r="J155" s="94">
        <v>3647</v>
      </c>
      <c r="K155" s="94">
        <v>32</v>
      </c>
      <c r="L155" s="92" t="s">
        <v>58</v>
      </c>
      <c r="M155" s="92" t="s">
        <v>55</v>
      </c>
      <c r="N155" s="136">
        <f t="shared" si="2"/>
        <v>0.15848642720043871</v>
      </c>
    </row>
    <row r="156" spans="1:14" x14ac:dyDescent="0.3">
      <c r="A156" s="87" t="s">
        <v>252</v>
      </c>
      <c r="B156" s="88" t="s">
        <v>31</v>
      </c>
      <c r="C156" s="89">
        <v>45457</v>
      </c>
      <c r="D156" s="88" t="s">
        <v>42</v>
      </c>
      <c r="E156" s="88" t="s">
        <v>43</v>
      </c>
      <c r="F156" s="94">
        <v>498</v>
      </c>
      <c r="G156" s="94">
        <v>38</v>
      </c>
      <c r="H156" s="94">
        <v>42</v>
      </c>
      <c r="I156" s="94">
        <v>4482</v>
      </c>
      <c r="J156" s="94">
        <v>3647</v>
      </c>
      <c r="K156" s="94">
        <v>32</v>
      </c>
      <c r="L156" s="92" t="s">
        <v>77</v>
      </c>
      <c r="M156" s="92" t="s">
        <v>55</v>
      </c>
      <c r="N156" s="136">
        <f t="shared" si="2"/>
        <v>0.15848642720043871</v>
      </c>
    </row>
    <row r="157" spans="1:14" x14ac:dyDescent="0.3">
      <c r="A157" s="87" t="s">
        <v>254</v>
      </c>
      <c r="B157" s="88" t="s">
        <v>31</v>
      </c>
      <c r="C157" s="89">
        <v>45692</v>
      </c>
      <c r="D157" s="88" t="s">
        <v>49</v>
      </c>
      <c r="E157" s="88" t="s">
        <v>50</v>
      </c>
      <c r="F157" s="94">
        <v>4619</v>
      </c>
      <c r="G157" s="94">
        <v>821</v>
      </c>
      <c r="H157" s="94">
        <v>499</v>
      </c>
      <c r="I157" s="94">
        <v>69285</v>
      </c>
      <c r="J157" s="94">
        <v>69141</v>
      </c>
      <c r="K157" s="94">
        <v>298</v>
      </c>
      <c r="L157" s="92" t="s">
        <v>24</v>
      </c>
      <c r="M157" s="92" t="s">
        <v>19</v>
      </c>
      <c r="N157" s="136">
        <f t="shared" si="2"/>
        <v>8.5896935248260795E-2</v>
      </c>
    </row>
    <row r="158" spans="1:14" x14ac:dyDescent="0.3">
      <c r="A158" s="87" t="s">
        <v>256</v>
      </c>
      <c r="B158" s="88" t="s">
        <v>577</v>
      </c>
      <c r="C158" s="89">
        <v>45464</v>
      </c>
      <c r="D158" s="88" t="s">
        <v>49</v>
      </c>
      <c r="E158" s="88" t="s">
        <v>50</v>
      </c>
      <c r="F158" s="94">
        <v>4832</v>
      </c>
      <c r="G158" s="94">
        <v>893</v>
      </c>
      <c r="H158" s="94">
        <v>10</v>
      </c>
      <c r="I158" s="94">
        <v>91808</v>
      </c>
      <c r="J158" s="94">
        <v>91296</v>
      </c>
      <c r="K158" s="94">
        <v>182</v>
      </c>
      <c r="L158" s="92" t="s">
        <v>18</v>
      </c>
      <c r="M158" s="92" t="s">
        <v>38</v>
      </c>
      <c r="N158" s="136">
        <f t="shared" si="2"/>
        <v>6.2817648089730102E-2</v>
      </c>
    </row>
    <row r="159" spans="1:14" x14ac:dyDescent="0.3">
      <c r="A159" s="87" t="s">
        <v>256</v>
      </c>
      <c r="B159" s="88" t="s">
        <v>577</v>
      </c>
      <c r="C159" s="89">
        <v>45464</v>
      </c>
      <c r="D159" s="88" t="s">
        <v>49</v>
      </c>
      <c r="E159" s="88" t="s">
        <v>50</v>
      </c>
      <c r="F159" s="94">
        <v>4832</v>
      </c>
      <c r="G159" s="94">
        <v>893</v>
      </c>
      <c r="H159" s="94">
        <v>10</v>
      </c>
      <c r="I159" s="94">
        <v>91808</v>
      </c>
      <c r="J159" s="94">
        <v>91296</v>
      </c>
      <c r="K159" s="94">
        <v>182</v>
      </c>
      <c r="L159" s="92" t="s">
        <v>58</v>
      </c>
      <c r="M159" s="92" t="s">
        <v>38</v>
      </c>
      <c r="N159" s="136">
        <f t="shared" si="2"/>
        <v>6.2817648089730102E-2</v>
      </c>
    </row>
    <row r="160" spans="1:14" x14ac:dyDescent="0.3">
      <c r="A160" s="87" t="s">
        <v>258</v>
      </c>
      <c r="B160" s="88" t="s">
        <v>14</v>
      </c>
      <c r="C160" s="89">
        <v>45741</v>
      </c>
      <c r="D160" s="88" t="s">
        <v>69</v>
      </c>
      <c r="E160" s="88" t="s">
        <v>70</v>
      </c>
      <c r="F160" s="94">
        <v>4050</v>
      </c>
      <c r="G160" s="94">
        <v>871</v>
      </c>
      <c r="H160" s="94">
        <v>347</v>
      </c>
      <c r="I160" s="94">
        <v>52650</v>
      </c>
      <c r="J160" s="94">
        <v>51755</v>
      </c>
      <c r="K160" s="94">
        <v>209</v>
      </c>
      <c r="L160" s="92" t="s">
        <v>58</v>
      </c>
      <c r="M160" s="92" t="s">
        <v>19</v>
      </c>
      <c r="N160" s="136">
        <f t="shared" si="2"/>
        <v>0.10178726693073133</v>
      </c>
    </row>
    <row r="161" spans="1:14" x14ac:dyDescent="0.3">
      <c r="A161" s="87" t="s">
        <v>258</v>
      </c>
      <c r="B161" s="88" t="s">
        <v>14</v>
      </c>
      <c r="C161" s="89">
        <v>45741</v>
      </c>
      <c r="D161" s="88" t="s">
        <v>69</v>
      </c>
      <c r="E161" s="88" t="s">
        <v>70</v>
      </c>
      <c r="F161" s="94">
        <v>4050</v>
      </c>
      <c r="G161" s="94">
        <v>871</v>
      </c>
      <c r="H161" s="94">
        <v>347</v>
      </c>
      <c r="I161" s="94">
        <v>52650</v>
      </c>
      <c r="J161" s="94">
        <v>51755</v>
      </c>
      <c r="K161" s="94">
        <v>209</v>
      </c>
      <c r="L161" s="92" t="s">
        <v>77</v>
      </c>
      <c r="M161" s="92" t="s">
        <v>19</v>
      </c>
      <c r="N161" s="136">
        <f t="shared" si="2"/>
        <v>0.10178726693073133</v>
      </c>
    </row>
    <row r="162" spans="1:14" x14ac:dyDescent="0.3">
      <c r="A162" s="87" t="s">
        <v>260</v>
      </c>
      <c r="B162" s="88" t="s">
        <v>14</v>
      </c>
      <c r="C162" s="89">
        <v>45512</v>
      </c>
      <c r="D162" s="88" t="s">
        <v>33</v>
      </c>
      <c r="E162" s="88" t="s">
        <v>34</v>
      </c>
      <c r="F162" s="94">
        <v>3649</v>
      </c>
      <c r="G162" s="94">
        <v>215</v>
      </c>
      <c r="H162" s="94">
        <v>413</v>
      </c>
      <c r="I162" s="94">
        <v>25543</v>
      </c>
      <c r="J162" s="94">
        <v>24963</v>
      </c>
      <c r="K162" s="94">
        <v>167</v>
      </c>
      <c r="L162" s="92" t="s">
        <v>24</v>
      </c>
      <c r="M162" s="92" t="s">
        <v>19</v>
      </c>
      <c r="N162" s="136">
        <f t="shared" si="2"/>
        <v>0.1713335736890598</v>
      </c>
    </row>
    <row r="163" spans="1:14" x14ac:dyDescent="0.3">
      <c r="A163" s="87" t="s">
        <v>260</v>
      </c>
      <c r="B163" s="88" t="s">
        <v>14</v>
      </c>
      <c r="C163" s="89">
        <v>45512</v>
      </c>
      <c r="D163" s="88" t="s">
        <v>33</v>
      </c>
      <c r="E163" s="88" t="s">
        <v>34</v>
      </c>
      <c r="F163" s="94">
        <v>3649</v>
      </c>
      <c r="G163" s="94">
        <v>215</v>
      </c>
      <c r="H163" s="94">
        <v>413</v>
      </c>
      <c r="I163" s="94">
        <v>25543</v>
      </c>
      <c r="J163" s="94">
        <v>24963</v>
      </c>
      <c r="K163" s="94">
        <v>167</v>
      </c>
      <c r="L163" s="92" t="s">
        <v>58</v>
      </c>
      <c r="M163" s="92" t="s">
        <v>19</v>
      </c>
      <c r="N163" s="136">
        <f t="shared" si="2"/>
        <v>0.1713335736890598</v>
      </c>
    </row>
    <row r="164" spans="1:14" x14ac:dyDescent="0.3">
      <c r="A164" s="87" t="s">
        <v>262</v>
      </c>
      <c r="B164" s="88" t="s">
        <v>31</v>
      </c>
      <c r="C164" s="89">
        <v>45502</v>
      </c>
      <c r="D164" s="88" t="s">
        <v>16</v>
      </c>
      <c r="E164" s="88" t="s">
        <v>17</v>
      </c>
      <c r="F164" s="94">
        <v>3523</v>
      </c>
      <c r="G164" s="94">
        <v>753</v>
      </c>
      <c r="H164" s="94">
        <v>482</v>
      </c>
      <c r="I164" s="94">
        <v>38753</v>
      </c>
      <c r="J164" s="94">
        <v>38579</v>
      </c>
      <c r="K164" s="94">
        <v>270</v>
      </c>
      <c r="L164" s="92" t="s">
        <v>77</v>
      </c>
      <c r="M164" s="92" t="s">
        <v>25</v>
      </c>
      <c r="N164" s="136">
        <f t="shared" si="2"/>
        <v>0.12333134606910495</v>
      </c>
    </row>
    <row r="165" spans="1:14" x14ac:dyDescent="0.3">
      <c r="A165" s="87" t="s">
        <v>262</v>
      </c>
      <c r="B165" s="88" t="s">
        <v>31</v>
      </c>
      <c r="C165" s="89">
        <v>45502</v>
      </c>
      <c r="D165" s="88" t="s">
        <v>16</v>
      </c>
      <c r="E165" s="88" t="s">
        <v>17</v>
      </c>
      <c r="F165" s="94">
        <v>3523</v>
      </c>
      <c r="G165" s="94">
        <v>753</v>
      </c>
      <c r="H165" s="94">
        <v>482</v>
      </c>
      <c r="I165" s="94">
        <v>38753</v>
      </c>
      <c r="J165" s="94">
        <v>38579</v>
      </c>
      <c r="K165" s="94">
        <v>270</v>
      </c>
      <c r="L165" s="92" t="s">
        <v>58</v>
      </c>
      <c r="M165" s="92" t="s">
        <v>25</v>
      </c>
      <c r="N165" s="136">
        <f t="shared" si="2"/>
        <v>0.12333134606910495</v>
      </c>
    </row>
    <row r="166" spans="1:14" x14ac:dyDescent="0.3">
      <c r="A166" s="87" t="s">
        <v>265</v>
      </c>
      <c r="B166" s="88" t="s">
        <v>577</v>
      </c>
      <c r="C166" s="89">
        <v>45619</v>
      </c>
      <c r="D166" s="88" t="s">
        <v>49</v>
      </c>
      <c r="E166" s="88" t="s">
        <v>50</v>
      </c>
      <c r="F166" s="94">
        <v>2719</v>
      </c>
      <c r="G166" s="94">
        <v>17</v>
      </c>
      <c r="H166" s="94">
        <v>285</v>
      </c>
      <c r="I166" s="94">
        <v>40785</v>
      </c>
      <c r="J166" s="94">
        <v>40281</v>
      </c>
      <c r="K166" s="94">
        <v>40</v>
      </c>
      <c r="L166" s="92" t="s">
        <v>24</v>
      </c>
      <c r="M166" s="92" t="s">
        <v>38</v>
      </c>
      <c r="N166" s="136">
        <f t="shared" si="2"/>
        <v>7.4998138079988078E-2</v>
      </c>
    </row>
    <row r="167" spans="1:14" x14ac:dyDescent="0.3">
      <c r="A167" s="87" t="s">
        <v>265</v>
      </c>
      <c r="B167" s="88" t="s">
        <v>577</v>
      </c>
      <c r="C167" s="89">
        <v>45619</v>
      </c>
      <c r="D167" s="88" t="s">
        <v>49</v>
      </c>
      <c r="E167" s="88" t="s">
        <v>50</v>
      </c>
      <c r="F167" s="94">
        <v>2719</v>
      </c>
      <c r="G167" s="94">
        <v>17</v>
      </c>
      <c r="H167" s="94">
        <v>285</v>
      </c>
      <c r="I167" s="94">
        <v>40785</v>
      </c>
      <c r="J167" s="94">
        <v>40281</v>
      </c>
      <c r="K167" s="94">
        <v>40</v>
      </c>
      <c r="L167" s="92" t="s">
        <v>58</v>
      </c>
      <c r="M167" s="92" t="s">
        <v>38</v>
      </c>
      <c r="N167" s="136">
        <f t="shared" si="2"/>
        <v>7.4998138079988078E-2</v>
      </c>
    </row>
    <row r="168" spans="1:14" x14ac:dyDescent="0.3">
      <c r="A168" s="87" t="s">
        <v>267</v>
      </c>
      <c r="B168" s="88" t="s">
        <v>14</v>
      </c>
      <c r="C168" s="89">
        <v>45570</v>
      </c>
      <c r="D168" s="88" t="s">
        <v>33</v>
      </c>
      <c r="E168" s="88" t="s">
        <v>34</v>
      </c>
      <c r="F168" s="94">
        <v>1957</v>
      </c>
      <c r="G168" s="94">
        <v>877</v>
      </c>
      <c r="H168" s="94">
        <v>238</v>
      </c>
      <c r="I168" s="94">
        <v>17613</v>
      </c>
      <c r="J168" s="94">
        <v>16865</v>
      </c>
      <c r="K168" s="94">
        <v>297</v>
      </c>
      <c r="L168" s="92" t="s">
        <v>24</v>
      </c>
      <c r="M168" s="92" t="s">
        <v>38</v>
      </c>
      <c r="N168" s="136">
        <f t="shared" si="2"/>
        <v>0.18215238659946634</v>
      </c>
    </row>
    <row r="169" spans="1:14" x14ac:dyDescent="0.3">
      <c r="A169" s="87" t="s">
        <v>267</v>
      </c>
      <c r="B169" s="88" t="s">
        <v>14</v>
      </c>
      <c r="C169" s="89">
        <v>45570</v>
      </c>
      <c r="D169" s="88" t="s">
        <v>33</v>
      </c>
      <c r="E169" s="88" t="s">
        <v>34</v>
      </c>
      <c r="F169" s="94">
        <v>1957</v>
      </c>
      <c r="G169" s="94">
        <v>877</v>
      </c>
      <c r="H169" s="94">
        <v>238</v>
      </c>
      <c r="I169" s="94">
        <v>17613</v>
      </c>
      <c r="J169" s="94">
        <v>16865</v>
      </c>
      <c r="K169" s="94">
        <v>297</v>
      </c>
      <c r="L169" s="92" t="s">
        <v>18</v>
      </c>
      <c r="M169" s="92" t="s">
        <v>38</v>
      </c>
      <c r="N169" s="136">
        <f t="shared" si="2"/>
        <v>0.18215238659946634</v>
      </c>
    </row>
    <row r="170" spans="1:14" x14ac:dyDescent="0.3">
      <c r="A170" s="87" t="s">
        <v>269</v>
      </c>
      <c r="B170" s="88" t="s">
        <v>14</v>
      </c>
      <c r="C170" s="89">
        <v>45567</v>
      </c>
      <c r="D170" s="88" t="s">
        <v>42</v>
      </c>
      <c r="E170" s="88" t="s">
        <v>43</v>
      </c>
      <c r="F170" s="94">
        <v>4419</v>
      </c>
      <c r="G170" s="94">
        <v>236</v>
      </c>
      <c r="H170" s="94">
        <v>369</v>
      </c>
      <c r="I170" s="94">
        <v>44190</v>
      </c>
      <c r="J170" s="94">
        <v>43582</v>
      </c>
      <c r="K170" s="94">
        <v>10</v>
      </c>
      <c r="L170" s="92" t="s">
        <v>44</v>
      </c>
      <c r="M170" s="92" t="s">
        <v>55</v>
      </c>
      <c r="N170" s="136">
        <f t="shared" si="2"/>
        <v>0.11527694919921068</v>
      </c>
    </row>
    <row r="171" spans="1:14" x14ac:dyDescent="0.3">
      <c r="A171" s="87" t="s">
        <v>271</v>
      </c>
      <c r="B171" s="88" t="s">
        <v>14</v>
      </c>
      <c r="C171" s="89">
        <v>45610</v>
      </c>
      <c r="D171" s="88" t="s">
        <v>33</v>
      </c>
      <c r="E171" s="88" t="s">
        <v>34</v>
      </c>
      <c r="F171" s="94">
        <v>4000</v>
      </c>
      <c r="G171" s="94">
        <v>689</v>
      </c>
      <c r="H171" s="94">
        <v>488</v>
      </c>
      <c r="I171" s="94">
        <v>40000</v>
      </c>
      <c r="J171" s="94">
        <v>39569</v>
      </c>
      <c r="K171" s="94">
        <v>44</v>
      </c>
      <c r="L171" s="92" t="s">
        <v>77</v>
      </c>
      <c r="M171" s="92" t="s">
        <v>38</v>
      </c>
      <c r="N171" s="136">
        <f t="shared" si="2"/>
        <v>0.13083474437059314</v>
      </c>
    </row>
    <row r="172" spans="1:14" x14ac:dyDescent="0.3">
      <c r="A172" s="87" t="s">
        <v>271</v>
      </c>
      <c r="B172" s="88" t="s">
        <v>14</v>
      </c>
      <c r="C172" s="89">
        <v>45610</v>
      </c>
      <c r="D172" s="88" t="s">
        <v>33</v>
      </c>
      <c r="E172" s="88" t="s">
        <v>34</v>
      </c>
      <c r="F172" s="94">
        <v>4000</v>
      </c>
      <c r="G172" s="94">
        <v>689</v>
      </c>
      <c r="H172" s="94">
        <v>488</v>
      </c>
      <c r="I172" s="94">
        <v>40000</v>
      </c>
      <c r="J172" s="94">
        <v>39569</v>
      </c>
      <c r="K172" s="94">
        <v>44</v>
      </c>
      <c r="L172" s="92" t="s">
        <v>24</v>
      </c>
      <c r="M172" s="92" t="s">
        <v>38</v>
      </c>
      <c r="N172" s="136">
        <f t="shared" si="2"/>
        <v>0.13083474437059314</v>
      </c>
    </row>
    <row r="173" spans="1:14" x14ac:dyDescent="0.3">
      <c r="A173" s="87" t="s">
        <v>273</v>
      </c>
      <c r="B173" s="88" t="s">
        <v>14</v>
      </c>
      <c r="C173" s="89">
        <v>45788</v>
      </c>
      <c r="D173" s="88" t="s">
        <v>49</v>
      </c>
      <c r="E173" s="88" t="s">
        <v>50</v>
      </c>
      <c r="F173" s="94">
        <v>2493</v>
      </c>
      <c r="G173" s="94">
        <v>97</v>
      </c>
      <c r="H173" s="94">
        <v>44</v>
      </c>
      <c r="I173" s="94">
        <v>42381</v>
      </c>
      <c r="J173" s="94">
        <v>41991</v>
      </c>
      <c r="K173" s="94">
        <v>242</v>
      </c>
      <c r="L173" s="92" t="s">
        <v>18</v>
      </c>
      <c r="M173" s="92" t="s">
        <v>19</v>
      </c>
      <c r="N173" s="136">
        <f t="shared" si="2"/>
        <v>6.272772737015074E-2</v>
      </c>
    </row>
    <row r="174" spans="1:14" x14ac:dyDescent="0.3">
      <c r="A174" s="87" t="s">
        <v>273</v>
      </c>
      <c r="B174" s="88" t="s">
        <v>14</v>
      </c>
      <c r="C174" s="89">
        <v>45788</v>
      </c>
      <c r="D174" s="88" t="s">
        <v>49</v>
      </c>
      <c r="E174" s="88" t="s">
        <v>50</v>
      </c>
      <c r="F174" s="94">
        <v>2493</v>
      </c>
      <c r="G174" s="94">
        <v>97</v>
      </c>
      <c r="H174" s="94">
        <v>44</v>
      </c>
      <c r="I174" s="94">
        <v>42381</v>
      </c>
      <c r="J174" s="94">
        <v>41991</v>
      </c>
      <c r="K174" s="94">
        <v>242</v>
      </c>
      <c r="L174" s="92" t="s">
        <v>58</v>
      </c>
      <c r="M174" s="92" t="s">
        <v>19</v>
      </c>
      <c r="N174" s="136">
        <f t="shared" si="2"/>
        <v>6.272772737015074E-2</v>
      </c>
    </row>
    <row r="175" spans="1:14" x14ac:dyDescent="0.3">
      <c r="A175" s="87" t="s">
        <v>275</v>
      </c>
      <c r="B175" s="88" t="s">
        <v>577</v>
      </c>
      <c r="C175" s="89">
        <v>45734</v>
      </c>
      <c r="D175" s="88" t="s">
        <v>16</v>
      </c>
      <c r="E175" s="88" t="s">
        <v>17</v>
      </c>
      <c r="F175" s="94">
        <v>3704</v>
      </c>
      <c r="G175" s="94">
        <v>186</v>
      </c>
      <c r="H175" s="94">
        <v>458</v>
      </c>
      <c r="I175" s="94">
        <v>25928</v>
      </c>
      <c r="J175" s="94">
        <v>25081</v>
      </c>
      <c r="K175" s="94">
        <v>131</v>
      </c>
      <c r="L175" s="92" t="s">
        <v>58</v>
      </c>
      <c r="M175" s="92" t="s">
        <v>19</v>
      </c>
      <c r="N175" s="136">
        <f t="shared" si="2"/>
        <v>0.17335831904629001</v>
      </c>
    </row>
    <row r="176" spans="1:14" x14ac:dyDescent="0.3">
      <c r="A176" s="87" t="s">
        <v>277</v>
      </c>
      <c r="B176" s="88" t="s">
        <v>14</v>
      </c>
      <c r="C176" s="89">
        <v>45600</v>
      </c>
      <c r="D176" s="88" t="s">
        <v>49</v>
      </c>
      <c r="E176" s="88" t="s">
        <v>50</v>
      </c>
      <c r="F176" s="94">
        <v>1606</v>
      </c>
      <c r="G176" s="94">
        <v>451</v>
      </c>
      <c r="H176" s="94">
        <v>405</v>
      </c>
      <c r="I176" s="94">
        <v>20878</v>
      </c>
      <c r="J176" s="94">
        <v>20190</v>
      </c>
      <c r="K176" s="94">
        <v>219</v>
      </c>
      <c r="L176" s="92" t="s">
        <v>18</v>
      </c>
      <c r="M176" s="92" t="s">
        <v>25</v>
      </c>
      <c r="N176" s="136">
        <f t="shared" si="2"/>
        <v>0.12194155522535909</v>
      </c>
    </row>
    <row r="177" spans="1:14" x14ac:dyDescent="0.3">
      <c r="A177" s="87" t="s">
        <v>277</v>
      </c>
      <c r="B177" s="88" t="s">
        <v>14</v>
      </c>
      <c r="C177" s="89">
        <v>45600</v>
      </c>
      <c r="D177" s="88" t="s">
        <v>49</v>
      </c>
      <c r="E177" s="88" t="s">
        <v>50</v>
      </c>
      <c r="F177" s="94">
        <v>1606</v>
      </c>
      <c r="G177" s="94">
        <v>451</v>
      </c>
      <c r="H177" s="94">
        <v>405</v>
      </c>
      <c r="I177" s="94">
        <v>20878</v>
      </c>
      <c r="J177" s="94">
        <v>20190</v>
      </c>
      <c r="K177" s="94">
        <v>219</v>
      </c>
      <c r="L177" s="92" t="s">
        <v>58</v>
      </c>
      <c r="M177" s="92" t="s">
        <v>25</v>
      </c>
      <c r="N177" s="136">
        <f t="shared" si="2"/>
        <v>0.12194155522535909</v>
      </c>
    </row>
    <row r="178" spans="1:14" x14ac:dyDescent="0.3">
      <c r="A178" s="87" t="s">
        <v>279</v>
      </c>
      <c r="B178" s="88" t="s">
        <v>40</v>
      </c>
      <c r="C178" s="89">
        <v>45600</v>
      </c>
      <c r="D178" s="88" t="s">
        <v>49</v>
      </c>
      <c r="E178" s="88" t="s">
        <v>50</v>
      </c>
      <c r="F178" s="94">
        <v>4551</v>
      </c>
      <c r="G178" s="94">
        <v>714</v>
      </c>
      <c r="H178" s="94">
        <v>207</v>
      </c>
      <c r="I178" s="94">
        <v>68265</v>
      </c>
      <c r="J178" s="94">
        <v>67754</v>
      </c>
      <c r="K178" s="94">
        <v>57</v>
      </c>
      <c r="L178" s="92" t="s">
        <v>44</v>
      </c>
      <c r="M178" s="92" t="s">
        <v>25</v>
      </c>
      <c r="N178" s="136">
        <f t="shared" si="2"/>
        <v>8.0762759394279307E-2</v>
      </c>
    </row>
    <row r="179" spans="1:14" x14ac:dyDescent="0.3">
      <c r="A179" s="87" t="s">
        <v>280</v>
      </c>
      <c r="B179" s="88" t="s">
        <v>31</v>
      </c>
      <c r="C179" s="89">
        <v>45695</v>
      </c>
      <c r="D179" s="88" t="s">
        <v>16</v>
      </c>
      <c r="E179" s="88" t="s">
        <v>17</v>
      </c>
      <c r="F179" s="94">
        <v>1970</v>
      </c>
      <c r="G179" s="94">
        <v>675</v>
      </c>
      <c r="H179" s="94">
        <v>478</v>
      </c>
      <c r="I179" s="94">
        <v>9850</v>
      </c>
      <c r="J179" s="94">
        <v>8924</v>
      </c>
      <c r="K179" s="94">
        <v>117</v>
      </c>
      <c r="L179" s="92" t="s">
        <v>44</v>
      </c>
      <c r="M179" s="92" t="s">
        <v>55</v>
      </c>
      <c r="N179" s="136">
        <f t="shared" si="2"/>
        <v>0.34995517705064993</v>
      </c>
    </row>
    <row r="180" spans="1:14" x14ac:dyDescent="0.3">
      <c r="A180" s="87" t="s">
        <v>282</v>
      </c>
      <c r="B180" s="88" t="s">
        <v>40</v>
      </c>
      <c r="C180" s="89">
        <v>45586</v>
      </c>
      <c r="D180" s="88" t="s">
        <v>33</v>
      </c>
      <c r="E180" s="88" t="s">
        <v>34</v>
      </c>
      <c r="F180" s="94">
        <v>780</v>
      </c>
      <c r="G180" s="94">
        <v>928</v>
      </c>
      <c r="H180" s="94">
        <v>301</v>
      </c>
      <c r="I180" s="94">
        <v>8580</v>
      </c>
      <c r="J180" s="94">
        <v>8081</v>
      </c>
      <c r="K180" s="94">
        <v>91</v>
      </c>
      <c r="L180" s="92" t="s">
        <v>18</v>
      </c>
      <c r="M180" s="92" t="s">
        <v>55</v>
      </c>
      <c r="N180" s="136">
        <f t="shared" si="2"/>
        <v>0.24860784556366786</v>
      </c>
    </row>
    <row r="181" spans="1:14" x14ac:dyDescent="0.3">
      <c r="A181" s="87" t="s">
        <v>282</v>
      </c>
      <c r="B181" s="88" t="s">
        <v>40</v>
      </c>
      <c r="C181" s="89">
        <v>45586</v>
      </c>
      <c r="D181" s="88" t="s">
        <v>33</v>
      </c>
      <c r="E181" s="88" t="s">
        <v>34</v>
      </c>
      <c r="F181" s="94">
        <v>780</v>
      </c>
      <c r="G181" s="94">
        <v>928</v>
      </c>
      <c r="H181" s="94">
        <v>301</v>
      </c>
      <c r="I181" s="94">
        <v>8580</v>
      </c>
      <c r="J181" s="94">
        <v>8081</v>
      </c>
      <c r="K181" s="94">
        <v>91</v>
      </c>
      <c r="L181" s="92" t="s">
        <v>24</v>
      </c>
      <c r="M181" s="92" t="s">
        <v>55</v>
      </c>
      <c r="N181" s="136">
        <f t="shared" si="2"/>
        <v>0.24860784556366786</v>
      </c>
    </row>
    <row r="182" spans="1:14" x14ac:dyDescent="0.3">
      <c r="A182" s="87" t="s">
        <v>283</v>
      </c>
      <c r="B182" s="88" t="s">
        <v>31</v>
      </c>
      <c r="C182" s="89">
        <v>45502</v>
      </c>
      <c r="D182" s="88" t="s">
        <v>33</v>
      </c>
      <c r="E182" s="88" t="s">
        <v>34</v>
      </c>
      <c r="F182" s="94">
        <v>498</v>
      </c>
      <c r="G182" s="94">
        <v>701</v>
      </c>
      <c r="H182" s="94">
        <v>412</v>
      </c>
      <c r="I182" s="94">
        <v>4980</v>
      </c>
      <c r="J182" s="94">
        <v>4185</v>
      </c>
      <c r="K182" s="94">
        <v>185</v>
      </c>
      <c r="L182" s="92" t="s">
        <v>77</v>
      </c>
      <c r="M182" s="92" t="s">
        <v>55</v>
      </c>
      <c r="N182" s="136">
        <f t="shared" si="2"/>
        <v>0.38494623655913979</v>
      </c>
    </row>
    <row r="183" spans="1:14" x14ac:dyDescent="0.3">
      <c r="A183" s="87" t="s">
        <v>283</v>
      </c>
      <c r="B183" s="88" t="s">
        <v>31</v>
      </c>
      <c r="C183" s="89">
        <v>45502</v>
      </c>
      <c r="D183" s="88" t="s">
        <v>33</v>
      </c>
      <c r="E183" s="88" t="s">
        <v>34</v>
      </c>
      <c r="F183" s="94">
        <v>498</v>
      </c>
      <c r="G183" s="94">
        <v>701</v>
      </c>
      <c r="H183" s="94">
        <v>412</v>
      </c>
      <c r="I183" s="94">
        <v>4980</v>
      </c>
      <c r="J183" s="94">
        <v>4185</v>
      </c>
      <c r="K183" s="94">
        <v>185</v>
      </c>
      <c r="L183" s="92" t="s">
        <v>58</v>
      </c>
      <c r="M183" s="92" t="s">
        <v>55</v>
      </c>
      <c r="N183" s="136">
        <f t="shared" si="2"/>
        <v>0.38494623655913979</v>
      </c>
    </row>
    <row r="184" spans="1:14" x14ac:dyDescent="0.3">
      <c r="A184" s="87" t="s">
        <v>284</v>
      </c>
      <c r="B184" s="88" t="s">
        <v>31</v>
      </c>
      <c r="C184" s="89">
        <v>45567</v>
      </c>
      <c r="D184" s="88" t="s">
        <v>22</v>
      </c>
      <c r="E184" s="88" t="s">
        <v>23</v>
      </c>
      <c r="F184" s="94">
        <v>3432</v>
      </c>
      <c r="G184" s="94">
        <v>869</v>
      </c>
      <c r="H184" s="94">
        <v>123</v>
      </c>
      <c r="I184" s="94">
        <v>54912</v>
      </c>
      <c r="J184" s="94">
        <v>53916</v>
      </c>
      <c r="K184" s="94">
        <v>264</v>
      </c>
      <c r="L184" s="92" t="s">
        <v>24</v>
      </c>
      <c r="M184" s="92" t="s">
        <v>25</v>
      </c>
      <c r="N184" s="136">
        <f t="shared" si="2"/>
        <v>8.2053564804510717E-2</v>
      </c>
    </row>
    <row r="185" spans="1:14" x14ac:dyDescent="0.3">
      <c r="A185" s="87" t="s">
        <v>284</v>
      </c>
      <c r="B185" s="88" t="s">
        <v>31</v>
      </c>
      <c r="C185" s="89">
        <v>45567</v>
      </c>
      <c r="D185" s="88" t="s">
        <v>22</v>
      </c>
      <c r="E185" s="88" t="s">
        <v>23</v>
      </c>
      <c r="F185" s="94">
        <v>3432</v>
      </c>
      <c r="G185" s="94">
        <v>869</v>
      </c>
      <c r="H185" s="94">
        <v>123</v>
      </c>
      <c r="I185" s="94">
        <v>54912</v>
      </c>
      <c r="J185" s="94">
        <v>53916</v>
      </c>
      <c r="K185" s="94">
        <v>264</v>
      </c>
      <c r="L185" s="92" t="s">
        <v>44</v>
      </c>
      <c r="M185" s="92" t="s">
        <v>25</v>
      </c>
      <c r="N185" s="136">
        <f t="shared" si="2"/>
        <v>8.2053564804510717E-2</v>
      </c>
    </row>
    <row r="186" spans="1:14" x14ac:dyDescent="0.3">
      <c r="A186" s="87" t="s">
        <v>286</v>
      </c>
      <c r="B186" s="88" t="s">
        <v>31</v>
      </c>
      <c r="C186" s="89">
        <v>45457</v>
      </c>
      <c r="D186" s="88" t="s">
        <v>33</v>
      </c>
      <c r="E186" s="88" t="s">
        <v>34</v>
      </c>
      <c r="F186" s="94">
        <v>4363</v>
      </c>
      <c r="G186" s="94">
        <v>649</v>
      </c>
      <c r="H186" s="94">
        <v>140</v>
      </c>
      <c r="I186" s="94">
        <v>21815</v>
      </c>
      <c r="J186" s="94">
        <v>21481</v>
      </c>
      <c r="K186" s="94">
        <v>157</v>
      </c>
      <c r="L186" s="92" t="s">
        <v>18</v>
      </c>
      <c r="M186" s="92" t="s">
        <v>25</v>
      </c>
      <c r="N186" s="136">
        <f t="shared" si="2"/>
        <v>0.23983985847958661</v>
      </c>
    </row>
    <row r="187" spans="1:14" x14ac:dyDescent="0.3">
      <c r="A187" s="87" t="s">
        <v>286</v>
      </c>
      <c r="B187" s="88" t="s">
        <v>31</v>
      </c>
      <c r="C187" s="89">
        <v>45457</v>
      </c>
      <c r="D187" s="88" t="s">
        <v>33</v>
      </c>
      <c r="E187" s="88" t="s">
        <v>34</v>
      </c>
      <c r="F187" s="94">
        <v>4363</v>
      </c>
      <c r="G187" s="94">
        <v>649</v>
      </c>
      <c r="H187" s="94">
        <v>140</v>
      </c>
      <c r="I187" s="94">
        <v>21815</v>
      </c>
      <c r="J187" s="94">
        <v>21481</v>
      </c>
      <c r="K187" s="94">
        <v>157</v>
      </c>
      <c r="L187" s="92" t="s">
        <v>24</v>
      </c>
      <c r="M187" s="92" t="s">
        <v>25</v>
      </c>
      <c r="N187" s="136">
        <f t="shared" si="2"/>
        <v>0.23983985847958661</v>
      </c>
    </row>
    <row r="188" spans="1:14" x14ac:dyDescent="0.3">
      <c r="A188" s="87" t="s">
        <v>287</v>
      </c>
      <c r="B188" s="88" t="s">
        <v>577</v>
      </c>
      <c r="C188" s="89">
        <v>45753</v>
      </c>
      <c r="D188" s="88" t="s">
        <v>42</v>
      </c>
      <c r="E188" s="88" t="s">
        <v>43</v>
      </c>
      <c r="F188" s="94">
        <v>736</v>
      </c>
      <c r="G188" s="94">
        <v>771</v>
      </c>
      <c r="H188" s="94">
        <v>225</v>
      </c>
      <c r="I188" s="94">
        <v>5152</v>
      </c>
      <c r="J188" s="94">
        <v>4706</v>
      </c>
      <c r="K188" s="94">
        <v>19</v>
      </c>
      <c r="L188" s="92" t="s">
        <v>58</v>
      </c>
      <c r="M188" s="92" t="s">
        <v>38</v>
      </c>
      <c r="N188" s="136">
        <f t="shared" si="2"/>
        <v>0.36804079898002551</v>
      </c>
    </row>
    <row r="189" spans="1:14" x14ac:dyDescent="0.3">
      <c r="A189" s="87" t="s">
        <v>289</v>
      </c>
      <c r="B189" s="88" t="s">
        <v>14</v>
      </c>
      <c r="C189" s="89">
        <v>45543</v>
      </c>
      <c r="D189" s="88" t="s">
        <v>42</v>
      </c>
      <c r="E189" s="88" t="s">
        <v>43</v>
      </c>
      <c r="F189" s="94">
        <v>3811</v>
      </c>
      <c r="G189" s="94">
        <v>866</v>
      </c>
      <c r="H189" s="94">
        <v>216</v>
      </c>
      <c r="I189" s="94">
        <v>34299</v>
      </c>
      <c r="J189" s="94">
        <v>34088</v>
      </c>
      <c r="K189" s="94">
        <v>233</v>
      </c>
      <c r="L189" s="92" t="s">
        <v>58</v>
      </c>
      <c r="M189" s="92" t="s">
        <v>38</v>
      </c>
      <c r="N189" s="136">
        <f t="shared" si="2"/>
        <v>0.14354024876789487</v>
      </c>
    </row>
    <row r="190" spans="1:14" x14ac:dyDescent="0.3">
      <c r="A190" s="87" t="s">
        <v>291</v>
      </c>
      <c r="B190" s="88" t="s">
        <v>31</v>
      </c>
      <c r="C190" s="89">
        <v>45744</v>
      </c>
      <c r="D190" s="88" t="s">
        <v>42</v>
      </c>
      <c r="E190" s="88" t="s">
        <v>43</v>
      </c>
      <c r="F190" s="94">
        <v>4158</v>
      </c>
      <c r="G190" s="94">
        <v>167</v>
      </c>
      <c r="H190" s="94">
        <v>241</v>
      </c>
      <c r="I190" s="94">
        <v>45738</v>
      </c>
      <c r="J190" s="94">
        <v>45183</v>
      </c>
      <c r="K190" s="94">
        <v>142</v>
      </c>
      <c r="L190" s="92" t="s">
        <v>24</v>
      </c>
      <c r="M190" s="92" t="s">
        <v>25</v>
      </c>
      <c r="N190" s="136">
        <f t="shared" si="2"/>
        <v>0.10105570679237766</v>
      </c>
    </row>
    <row r="191" spans="1:14" x14ac:dyDescent="0.3">
      <c r="A191" s="87" t="s">
        <v>292</v>
      </c>
      <c r="B191" s="88" t="s">
        <v>40</v>
      </c>
      <c r="C191" s="89">
        <v>45684</v>
      </c>
      <c r="D191" s="88" t="s">
        <v>16</v>
      </c>
      <c r="E191" s="88" t="s">
        <v>17</v>
      </c>
      <c r="F191" s="94">
        <v>3452</v>
      </c>
      <c r="G191" s="94">
        <v>652</v>
      </c>
      <c r="H191" s="94">
        <v>442</v>
      </c>
      <c r="I191" s="94">
        <v>65588</v>
      </c>
      <c r="J191" s="94">
        <v>65049</v>
      </c>
      <c r="K191" s="94">
        <v>158</v>
      </c>
      <c r="L191" s="92" t="s">
        <v>18</v>
      </c>
      <c r="M191" s="92" t="s">
        <v>19</v>
      </c>
      <c r="N191" s="136">
        <f t="shared" si="2"/>
        <v>6.9885778413196209E-2</v>
      </c>
    </row>
    <row r="192" spans="1:14" x14ac:dyDescent="0.3">
      <c r="A192" s="87" t="s">
        <v>292</v>
      </c>
      <c r="B192" s="88" t="s">
        <v>40</v>
      </c>
      <c r="C192" s="89">
        <v>45684</v>
      </c>
      <c r="D192" s="88" t="s">
        <v>16</v>
      </c>
      <c r="E192" s="88" t="s">
        <v>17</v>
      </c>
      <c r="F192" s="94">
        <v>3452</v>
      </c>
      <c r="G192" s="94">
        <v>652</v>
      </c>
      <c r="H192" s="94">
        <v>442</v>
      </c>
      <c r="I192" s="94">
        <v>65588</v>
      </c>
      <c r="J192" s="94">
        <v>65049</v>
      </c>
      <c r="K192" s="94">
        <v>158</v>
      </c>
      <c r="L192" s="92" t="s">
        <v>58</v>
      </c>
      <c r="M192" s="92" t="s">
        <v>19</v>
      </c>
      <c r="N192" s="136">
        <f t="shared" si="2"/>
        <v>6.9885778413196209E-2</v>
      </c>
    </row>
    <row r="193" spans="1:14" x14ac:dyDescent="0.3">
      <c r="A193" s="87" t="s">
        <v>293</v>
      </c>
      <c r="B193" s="88" t="s">
        <v>14</v>
      </c>
      <c r="C193" s="89">
        <v>45667</v>
      </c>
      <c r="D193" s="88" t="s">
        <v>49</v>
      </c>
      <c r="E193" s="88" t="s">
        <v>50</v>
      </c>
      <c r="F193" s="94">
        <v>3092</v>
      </c>
      <c r="G193" s="94">
        <v>106</v>
      </c>
      <c r="H193" s="94">
        <v>291</v>
      </c>
      <c r="I193" s="94">
        <v>27828</v>
      </c>
      <c r="J193" s="94">
        <v>27217</v>
      </c>
      <c r="K193" s="94">
        <v>102</v>
      </c>
      <c r="L193" s="92" t="s">
        <v>58</v>
      </c>
      <c r="M193" s="92" t="s">
        <v>55</v>
      </c>
      <c r="N193" s="136">
        <f t="shared" si="2"/>
        <v>0.12819193886174082</v>
      </c>
    </row>
    <row r="194" spans="1:14" x14ac:dyDescent="0.3">
      <c r="A194" s="87" t="s">
        <v>294</v>
      </c>
      <c r="B194" s="88" t="s">
        <v>14</v>
      </c>
      <c r="C194" s="89">
        <v>45494</v>
      </c>
      <c r="D194" s="88" t="s">
        <v>22</v>
      </c>
      <c r="E194" s="88" t="s">
        <v>23</v>
      </c>
      <c r="F194" s="94">
        <v>2147</v>
      </c>
      <c r="G194" s="94">
        <v>430</v>
      </c>
      <c r="H194" s="94">
        <v>393</v>
      </c>
      <c r="I194" s="94">
        <v>17176</v>
      </c>
      <c r="J194" s="94">
        <v>16483</v>
      </c>
      <c r="K194" s="94">
        <v>170</v>
      </c>
      <c r="L194" s="92" t="s">
        <v>77</v>
      </c>
      <c r="M194" s="92" t="s">
        <v>55</v>
      </c>
      <c r="N194" s="136">
        <f t="shared" si="2"/>
        <v>0.18018564581690227</v>
      </c>
    </row>
    <row r="195" spans="1:14" x14ac:dyDescent="0.3">
      <c r="A195" s="87" t="s">
        <v>295</v>
      </c>
      <c r="B195" s="88" t="s">
        <v>577</v>
      </c>
      <c r="C195" s="89">
        <v>45564</v>
      </c>
      <c r="D195" s="88" t="s">
        <v>16</v>
      </c>
      <c r="E195" s="88" t="s">
        <v>17</v>
      </c>
      <c r="F195" s="94">
        <v>2936</v>
      </c>
      <c r="G195" s="94">
        <v>439</v>
      </c>
      <c r="H195" s="94">
        <v>44</v>
      </c>
      <c r="I195" s="94">
        <v>38168</v>
      </c>
      <c r="J195" s="94">
        <v>37571</v>
      </c>
      <c r="K195" s="94">
        <v>22</v>
      </c>
      <c r="L195" s="92" t="s">
        <v>18</v>
      </c>
      <c r="M195" s="92" t="s">
        <v>38</v>
      </c>
      <c r="N195" s="136">
        <f t="shared" ref="N195:N258" si="3">SUM(F195,G195,H195)/J195</f>
        <v>9.1001038034654383E-2</v>
      </c>
    </row>
    <row r="196" spans="1:14" x14ac:dyDescent="0.3">
      <c r="A196" s="87" t="s">
        <v>297</v>
      </c>
      <c r="B196" s="88" t="s">
        <v>31</v>
      </c>
      <c r="C196" s="89">
        <v>45586</v>
      </c>
      <c r="D196" s="88" t="s">
        <v>16</v>
      </c>
      <c r="E196" s="88" t="s">
        <v>17</v>
      </c>
      <c r="F196" s="94">
        <v>4840</v>
      </c>
      <c r="G196" s="94">
        <v>658</v>
      </c>
      <c r="H196" s="94">
        <v>211</v>
      </c>
      <c r="I196" s="94">
        <v>43560</v>
      </c>
      <c r="J196" s="94">
        <v>43225</v>
      </c>
      <c r="K196" s="94">
        <v>57</v>
      </c>
      <c r="L196" s="92" t="s">
        <v>18</v>
      </c>
      <c r="M196" s="92" t="s">
        <v>25</v>
      </c>
      <c r="N196" s="136">
        <f t="shared" si="3"/>
        <v>0.13207634470792365</v>
      </c>
    </row>
    <row r="197" spans="1:14" x14ac:dyDescent="0.3">
      <c r="A197" s="87" t="s">
        <v>297</v>
      </c>
      <c r="B197" s="88" t="s">
        <v>31</v>
      </c>
      <c r="C197" s="89">
        <v>45586</v>
      </c>
      <c r="D197" s="88" t="s">
        <v>16</v>
      </c>
      <c r="E197" s="88" t="s">
        <v>17</v>
      </c>
      <c r="F197" s="94">
        <v>4840</v>
      </c>
      <c r="G197" s="94">
        <v>658</v>
      </c>
      <c r="H197" s="94">
        <v>211</v>
      </c>
      <c r="I197" s="94">
        <v>43560</v>
      </c>
      <c r="J197" s="94">
        <v>43225</v>
      </c>
      <c r="K197" s="94">
        <v>57</v>
      </c>
      <c r="L197" s="92" t="s">
        <v>24</v>
      </c>
      <c r="M197" s="92" t="s">
        <v>25</v>
      </c>
      <c r="N197" s="136">
        <f t="shared" si="3"/>
        <v>0.13207634470792365</v>
      </c>
    </row>
    <row r="198" spans="1:14" x14ac:dyDescent="0.3">
      <c r="A198" s="87" t="s">
        <v>298</v>
      </c>
      <c r="B198" s="88" t="s">
        <v>31</v>
      </c>
      <c r="C198" s="89">
        <v>45720</v>
      </c>
      <c r="D198" s="88" t="s">
        <v>33</v>
      </c>
      <c r="E198" s="88" t="s">
        <v>34</v>
      </c>
      <c r="F198" s="94">
        <v>1947</v>
      </c>
      <c r="G198" s="94">
        <v>842</v>
      </c>
      <c r="H198" s="94">
        <v>101</v>
      </c>
      <c r="I198" s="94">
        <v>21417</v>
      </c>
      <c r="J198" s="94">
        <v>20967</v>
      </c>
      <c r="K198" s="94">
        <v>186</v>
      </c>
      <c r="L198" s="92" t="s">
        <v>24</v>
      </c>
      <c r="M198" s="92" t="s">
        <v>25</v>
      </c>
      <c r="N198" s="136">
        <f t="shared" si="3"/>
        <v>0.13783564649210664</v>
      </c>
    </row>
    <row r="199" spans="1:14" x14ac:dyDescent="0.3">
      <c r="A199" s="87" t="s">
        <v>299</v>
      </c>
      <c r="B199" s="88" t="s">
        <v>40</v>
      </c>
      <c r="C199" s="89">
        <v>45694</v>
      </c>
      <c r="D199" s="88" t="s">
        <v>49</v>
      </c>
      <c r="E199" s="88" t="s">
        <v>50</v>
      </c>
      <c r="F199" s="94">
        <v>2072</v>
      </c>
      <c r="G199" s="94">
        <v>532</v>
      </c>
      <c r="H199" s="94">
        <v>71</v>
      </c>
      <c r="I199" s="94">
        <v>37296</v>
      </c>
      <c r="J199" s="94">
        <v>36467</v>
      </c>
      <c r="K199" s="94">
        <v>25</v>
      </c>
      <c r="L199" s="92" t="s">
        <v>18</v>
      </c>
      <c r="M199" s="92" t="s">
        <v>38</v>
      </c>
      <c r="N199" s="136">
        <f t="shared" si="3"/>
        <v>7.3353991279787201E-2</v>
      </c>
    </row>
    <row r="200" spans="1:14" x14ac:dyDescent="0.3">
      <c r="A200" s="87" t="s">
        <v>301</v>
      </c>
      <c r="B200" s="88" t="s">
        <v>14</v>
      </c>
      <c r="C200" s="89">
        <v>45771</v>
      </c>
      <c r="D200" s="88" t="s">
        <v>16</v>
      </c>
      <c r="E200" s="88" t="s">
        <v>17</v>
      </c>
      <c r="F200" s="94">
        <v>3731</v>
      </c>
      <c r="G200" s="94">
        <v>115</v>
      </c>
      <c r="H200" s="94">
        <v>135</v>
      </c>
      <c r="I200" s="94">
        <v>55965</v>
      </c>
      <c r="J200" s="94">
        <v>55436</v>
      </c>
      <c r="K200" s="94">
        <v>103</v>
      </c>
      <c r="L200" s="92" t="s">
        <v>77</v>
      </c>
      <c r="M200" s="92" t="s">
        <v>55</v>
      </c>
      <c r="N200" s="136">
        <f t="shared" si="3"/>
        <v>7.1812540587343959E-2</v>
      </c>
    </row>
    <row r="201" spans="1:14" x14ac:dyDescent="0.3">
      <c r="A201" s="87" t="s">
        <v>303</v>
      </c>
      <c r="B201" s="88" t="s">
        <v>40</v>
      </c>
      <c r="C201" s="89">
        <v>45624</v>
      </c>
      <c r="D201" s="88" t="s">
        <v>22</v>
      </c>
      <c r="E201" s="88" t="s">
        <v>23</v>
      </c>
      <c r="F201" s="94">
        <v>4213</v>
      </c>
      <c r="G201" s="94">
        <v>253</v>
      </c>
      <c r="H201" s="94">
        <v>434</v>
      </c>
      <c r="I201" s="94">
        <v>75834</v>
      </c>
      <c r="J201" s="94">
        <v>75437</v>
      </c>
      <c r="K201" s="94">
        <v>272</v>
      </c>
      <c r="L201" s="92" t="s">
        <v>44</v>
      </c>
      <c r="M201" s="92" t="s">
        <v>38</v>
      </c>
      <c r="N201" s="136">
        <f t="shared" si="3"/>
        <v>6.4954862998263446E-2</v>
      </c>
    </row>
    <row r="202" spans="1:14" x14ac:dyDescent="0.3">
      <c r="A202" s="87" t="s">
        <v>305</v>
      </c>
      <c r="B202" s="88" t="s">
        <v>31</v>
      </c>
      <c r="C202" s="89">
        <v>45484</v>
      </c>
      <c r="D202" s="88" t="s">
        <v>22</v>
      </c>
      <c r="E202" s="88" t="s">
        <v>23</v>
      </c>
      <c r="F202" s="94">
        <v>3134</v>
      </c>
      <c r="G202" s="94">
        <v>888</v>
      </c>
      <c r="H202" s="94">
        <v>444</v>
      </c>
      <c r="I202" s="94">
        <v>21938</v>
      </c>
      <c r="J202" s="94">
        <v>21337</v>
      </c>
      <c r="K202" s="94">
        <v>130</v>
      </c>
      <c r="L202" s="92" t="s">
        <v>18</v>
      </c>
      <c r="M202" s="92" t="s">
        <v>55</v>
      </c>
      <c r="N202" s="136">
        <f t="shared" si="3"/>
        <v>0.209307775226133</v>
      </c>
    </row>
    <row r="203" spans="1:14" x14ac:dyDescent="0.3">
      <c r="A203" s="87" t="s">
        <v>305</v>
      </c>
      <c r="B203" s="88" t="s">
        <v>31</v>
      </c>
      <c r="C203" s="89">
        <v>45484</v>
      </c>
      <c r="D203" s="88" t="s">
        <v>22</v>
      </c>
      <c r="E203" s="88" t="s">
        <v>23</v>
      </c>
      <c r="F203" s="94">
        <v>3134</v>
      </c>
      <c r="G203" s="94">
        <v>888</v>
      </c>
      <c r="H203" s="94">
        <v>444</v>
      </c>
      <c r="I203" s="94">
        <v>21938</v>
      </c>
      <c r="J203" s="94">
        <v>21337</v>
      </c>
      <c r="K203" s="94">
        <v>130</v>
      </c>
      <c r="L203" s="92" t="s">
        <v>24</v>
      </c>
      <c r="M203" s="92" t="s">
        <v>55</v>
      </c>
      <c r="N203" s="136">
        <f t="shared" si="3"/>
        <v>0.209307775226133</v>
      </c>
    </row>
    <row r="204" spans="1:14" x14ac:dyDescent="0.3">
      <c r="A204" s="87" t="s">
        <v>307</v>
      </c>
      <c r="B204" s="88" t="s">
        <v>40</v>
      </c>
      <c r="C204" s="89">
        <v>45504</v>
      </c>
      <c r="D204" s="88" t="s">
        <v>69</v>
      </c>
      <c r="E204" s="88" t="s">
        <v>70</v>
      </c>
      <c r="F204" s="94">
        <v>3008</v>
      </c>
      <c r="G204" s="94">
        <v>94</v>
      </c>
      <c r="H204" s="94">
        <v>37</v>
      </c>
      <c r="I204" s="94">
        <v>15040</v>
      </c>
      <c r="J204" s="94">
        <v>14639</v>
      </c>
      <c r="K204" s="94">
        <v>277</v>
      </c>
      <c r="L204" s="92" t="s">
        <v>77</v>
      </c>
      <c r="M204" s="92" t="s">
        <v>19</v>
      </c>
      <c r="N204" s="136">
        <f t="shared" si="3"/>
        <v>0.2144272149737004</v>
      </c>
    </row>
    <row r="205" spans="1:14" x14ac:dyDescent="0.3">
      <c r="A205" s="87" t="s">
        <v>308</v>
      </c>
      <c r="B205" s="88" t="s">
        <v>14</v>
      </c>
      <c r="C205" s="89">
        <v>45745</v>
      </c>
      <c r="D205" s="88" t="s">
        <v>49</v>
      </c>
      <c r="E205" s="88" t="s">
        <v>50</v>
      </c>
      <c r="F205" s="94">
        <v>305</v>
      </c>
      <c r="G205" s="94">
        <v>187</v>
      </c>
      <c r="H205" s="94">
        <v>243</v>
      </c>
      <c r="I205" s="94">
        <v>4575</v>
      </c>
      <c r="J205" s="94">
        <v>3704</v>
      </c>
      <c r="K205" s="94">
        <v>234</v>
      </c>
      <c r="L205" s="92" t="s">
        <v>24</v>
      </c>
      <c r="M205" s="92" t="s">
        <v>55</v>
      </c>
      <c r="N205" s="136">
        <f t="shared" si="3"/>
        <v>0.19843412526997839</v>
      </c>
    </row>
    <row r="206" spans="1:14" x14ac:dyDescent="0.3">
      <c r="A206" s="87" t="s">
        <v>308</v>
      </c>
      <c r="B206" s="88" t="s">
        <v>14</v>
      </c>
      <c r="C206" s="89">
        <v>45745</v>
      </c>
      <c r="D206" s="88" t="s">
        <v>49</v>
      </c>
      <c r="E206" s="88" t="s">
        <v>50</v>
      </c>
      <c r="F206" s="94">
        <v>305</v>
      </c>
      <c r="G206" s="94">
        <v>187</v>
      </c>
      <c r="H206" s="94">
        <v>243</v>
      </c>
      <c r="I206" s="94">
        <v>4575</v>
      </c>
      <c r="J206" s="94">
        <v>3704</v>
      </c>
      <c r="K206" s="94">
        <v>234</v>
      </c>
      <c r="L206" s="92" t="s">
        <v>44</v>
      </c>
      <c r="M206" s="92" t="s">
        <v>55</v>
      </c>
      <c r="N206" s="136">
        <f t="shared" si="3"/>
        <v>0.19843412526997839</v>
      </c>
    </row>
    <row r="207" spans="1:14" x14ac:dyDescent="0.3">
      <c r="A207" s="87" t="s">
        <v>309</v>
      </c>
      <c r="B207" s="88" t="s">
        <v>577</v>
      </c>
      <c r="C207" s="89">
        <v>45594</v>
      </c>
      <c r="D207" s="88" t="s">
        <v>22</v>
      </c>
      <c r="E207" s="88" t="s">
        <v>23</v>
      </c>
      <c r="F207" s="94">
        <v>2746</v>
      </c>
      <c r="G207" s="94">
        <v>156</v>
      </c>
      <c r="H207" s="94">
        <v>203</v>
      </c>
      <c r="I207" s="94">
        <v>32952</v>
      </c>
      <c r="J207" s="94">
        <v>32147</v>
      </c>
      <c r="K207" s="94">
        <v>147</v>
      </c>
      <c r="L207" s="92" t="s">
        <v>24</v>
      </c>
      <c r="M207" s="92" t="s">
        <v>25</v>
      </c>
      <c r="N207" s="136">
        <f t="shared" si="3"/>
        <v>9.6587550937879116E-2</v>
      </c>
    </row>
    <row r="208" spans="1:14" x14ac:dyDescent="0.3">
      <c r="A208" s="87" t="s">
        <v>309</v>
      </c>
      <c r="B208" s="88" t="s">
        <v>577</v>
      </c>
      <c r="C208" s="89">
        <v>45594</v>
      </c>
      <c r="D208" s="88" t="s">
        <v>22</v>
      </c>
      <c r="E208" s="88" t="s">
        <v>23</v>
      </c>
      <c r="F208" s="94">
        <v>2746</v>
      </c>
      <c r="G208" s="94">
        <v>156</v>
      </c>
      <c r="H208" s="94">
        <v>203</v>
      </c>
      <c r="I208" s="94">
        <v>32952</v>
      </c>
      <c r="J208" s="94">
        <v>32147</v>
      </c>
      <c r="K208" s="94">
        <v>147</v>
      </c>
      <c r="L208" s="92" t="s">
        <v>58</v>
      </c>
      <c r="M208" s="92" t="s">
        <v>25</v>
      </c>
      <c r="N208" s="136">
        <f t="shared" si="3"/>
        <v>9.6587550937879116E-2</v>
      </c>
    </row>
    <row r="209" spans="1:14" x14ac:dyDescent="0.3">
      <c r="A209" s="87" t="s">
        <v>311</v>
      </c>
      <c r="B209" s="88" t="s">
        <v>40</v>
      </c>
      <c r="C209" s="89">
        <v>45488</v>
      </c>
      <c r="D209" s="88" t="s">
        <v>49</v>
      </c>
      <c r="E209" s="88" t="s">
        <v>50</v>
      </c>
      <c r="F209" s="94">
        <v>2291</v>
      </c>
      <c r="G209" s="94">
        <v>78</v>
      </c>
      <c r="H209" s="94">
        <v>485</v>
      </c>
      <c r="I209" s="94">
        <v>18328</v>
      </c>
      <c r="J209" s="94">
        <v>18101</v>
      </c>
      <c r="K209" s="94">
        <v>10</v>
      </c>
      <c r="L209" s="92" t="s">
        <v>77</v>
      </c>
      <c r="M209" s="92" t="s">
        <v>19</v>
      </c>
      <c r="N209" s="136">
        <f t="shared" si="3"/>
        <v>0.15767084691453512</v>
      </c>
    </row>
    <row r="210" spans="1:14" x14ac:dyDescent="0.3">
      <c r="A210" s="87" t="s">
        <v>313</v>
      </c>
      <c r="B210" s="88" t="s">
        <v>14</v>
      </c>
      <c r="C210" s="89">
        <v>45535</v>
      </c>
      <c r="D210" s="88" t="s">
        <v>49</v>
      </c>
      <c r="E210" s="88" t="s">
        <v>50</v>
      </c>
      <c r="F210" s="94">
        <v>3170</v>
      </c>
      <c r="G210" s="94">
        <v>857</v>
      </c>
      <c r="H210" s="94">
        <v>379</v>
      </c>
      <c r="I210" s="94">
        <v>19020</v>
      </c>
      <c r="J210" s="94">
        <v>18559</v>
      </c>
      <c r="K210" s="94">
        <v>240</v>
      </c>
      <c r="L210" s="92" t="s">
        <v>18</v>
      </c>
      <c r="M210" s="92" t="s">
        <v>38</v>
      </c>
      <c r="N210" s="136">
        <f t="shared" si="3"/>
        <v>0.23740503259873916</v>
      </c>
    </row>
    <row r="211" spans="1:14" x14ac:dyDescent="0.3">
      <c r="A211" s="87" t="s">
        <v>315</v>
      </c>
      <c r="B211" s="88" t="s">
        <v>577</v>
      </c>
      <c r="C211" s="89">
        <v>45741</v>
      </c>
      <c r="D211" s="88" t="s">
        <v>33</v>
      </c>
      <c r="E211" s="88" t="s">
        <v>34</v>
      </c>
      <c r="F211" s="94">
        <v>2070</v>
      </c>
      <c r="G211" s="94">
        <v>275</v>
      </c>
      <c r="H211" s="94">
        <v>386</v>
      </c>
      <c r="I211" s="94">
        <v>39330</v>
      </c>
      <c r="J211" s="94">
        <v>38627</v>
      </c>
      <c r="K211" s="94">
        <v>114</v>
      </c>
      <c r="L211" s="92" t="s">
        <v>18</v>
      </c>
      <c r="M211" s="92" t="s">
        <v>55</v>
      </c>
      <c r="N211" s="136">
        <f t="shared" si="3"/>
        <v>7.070184068138867E-2</v>
      </c>
    </row>
    <row r="212" spans="1:14" x14ac:dyDescent="0.3">
      <c r="A212" s="87" t="s">
        <v>316</v>
      </c>
      <c r="B212" s="88" t="s">
        <v>577</v>
      </c>
      <c r="C212" s="89">
        <v>45567</v>
      </c>
      <c r="D212" s="88" t="s">
        <v>42</v>
      </c>
      <c r="E212" s="88" t="s">
        <v>43</v>
      </c>
      <c r="F212" s="94">
        <v>80</v>
      </c>
      <c r="G212" s="94">
        <v>362</v>
      </c>
      <c r="H212" s="94">
        <v>80</v>
      </c>
      <c r="I212" s="94">
        <v>1040</v>
      </c>
      <c r="J212" s="94">
        <v>349</v>
      </c>
      <c r="K212" s="94">
        <v>117</v>
      </c>
      <c r="L212" s="92" t="s">
        <v>24</v>
      </c>
      <c r="M212" s="92" t="s">
        <v>25</v>
      </c>
      <c r="N212" s="136">
        <f t="shared" si="3"/>
        <v>1.4957020057306589</v>
      </c>
    </row>
    <row r="213" spans="1:14" x14ac:dyDescent="0.3">
      <c r="A213" s="87" t="s">
        <v>316</v>
      </c>
      <c r="B213" s="88" t="s">
        <v>577</v>
      </c>
      <c r="C213" s="89">
        <v>45567</v>
      </c>
      <c r="D213" s="88" t="s">
        <v>42</v>
      </c>
      <c r="E213" s="88" t="s">
        <v>43</v>
      </c>
      <c r="F213" s="94">
        <v>80</v>
      </c>
      <c r="G213" s="94">
        <v>362</v>
      </c>
      <c r="H213" s="94">
        <v>80</v>
      </c>
      <c r="I213" s="94">
        <v>1040</v>
      </c>
      <c r="J213" s="94">
        <v>349</v>
      </c>
      <c r="K213" s="94">
        <v>117</v>
      </c>
      <c r="L213" s="92" t="s">
        <v>58</v>
      </c>
      <c r="M213" s="92" t="s">
        <v>25</v>
      </c>
      <c r="N213" s="136">
        <f t="shared" si="3"/>
        <v>1.4957020057306589</v>
      </c>
    </row>
    <row r="214" spans="1:14" x14ac:dyDescent="0.3">
      <c r="A214" s="87" t="s">
        <v>317</v>
      </c>
      <c r="B214" s="88" t="s">
        <v>577</v>
      </c>
      <c r="C214" s="89">
        <v>45593</v>
      </c>
      <c r="D214" s="88" t="s">
        <v>33</v>
      </c>
      <c r="E214" s="88" t="s">
        <v>34</v>
      </c>
      <c r="F214" s="94">
        <v>4929</v>
      </c>
      <c r="G214" s="94">
        <v>749</v>
      </c>
      <c r="H214" s="94">
        <v>452</v>
      </c>
      <c r="I214" s="94">
        <v>93651</v>
      </c>
      <c r="J214" s="94">
        <v>92810</v>
      </c>
      <c r="K214" s="94">
        <v>66</v>
      </c>
      <c r="L214" s="92" t="s">
        <v>44</v>
      </c>
      <c r="M214" s="92" t="s">
        <v>19</v>
      </c>
      <c r="N214" s="136">
        <f t="shared" si="3"/>
        <v>6.604891714254929E-2</v>
      </c>
    </row>
    <row r="215" spans="1:14" x14ac:dyDescent="0.3">
      <c r="A215" s="87" t="s">
        <v>317</v>
      </c>
      <c r="B215" s="88" t="s">
        <v>577</v>
      </c>
      <c r="C215" s="89">
        <v>45593</v>
      </c>
      <c r="D215" s="88" t="s">
        <v>33</v>
      </c>
      <c r="E215" s="88" t="s">
        <v>34</v>
      </c>
      <c r="F215" s="94">
        <v>4929</v>
      </c>
      <c r="G215" s="94">
        <v>749</v>
      </c>
      <c r="H215" s="94">
        <v>452</v>
      </c>
      <c r="I215" s="94">
        <v>93651</v>
      </c>
      <c r="J215" s="94">
        <v>92810</v>
      </c>
      <c r="K215" s="94">
        <v>66</v>
      </c>
      <c r="L215" s="92" t="s">
        <v>58</v>
      </c>
      <c r="M215" s="92" t="s">
        <v>19</v>
      </c>
      <c r="N215" s="136">
        <f t="shared" si="3"/>
        <v>6.604891714254929E-2</v>
      </c>
    </row>
    <row r="216" spans="1:14" x14ac:dyDescent="0.3">
      <c r="A216" s="87" t="s">
        <v>318</v>
      </c>
      <c r="B216" s="88" t="s">
        <v>31</v>
      </c>
      <c r="C216" s="89">
        <v>45516</v>
      </c>
      <c r="D216" s="88" t="s">
        <v>42</v>
      </c>
      <c r="E216" s="88" t="s">
        <v>43</v>
      </c>
      <c r="F216" s="94">
        <v>1878</v>
      </c>
      <c r="G216" s="94">
        <v>62</v>
      </c>
      <c r="H216" s="94">
        <v>179</v>
      </c>
      <c r="I216" s="94">
        <v>37560</v>
      </c>
      <c r="J216" s="94">
        <v>36874</v>
      </c>
      <c r="K216" s="94">
        <v>142</v>
      </c>
      <c r="L216" s="92" t="s">
        <v>77</v>
      </c>
      <c r="M216" s="92" t="s">
        <v>19</v>
      </c>
      <c r="N216" s="136">
        <f t="shared" si="3"/>
        <v>5.7465965178716709E-2</v>
      </c>
    </row>
    <row r="217" spans="1:14" x14ac:dyDescent="0.3">
      <c r="A217" s="87" t="s">
        <v>318</v>
      </c>
      <c r="B217" s="88" t="s">
        <v>31</v>
      </c>
      <c r="C217" s="89">
        <v>45516</v>
      </c>
      <c r="D217" s="88" t="s">
        <v>42</v>
      </c>
      <c r="E217" s="88" t="s">
        <v>43</v>
      </c>
      <c r="F217" s="94">
        <v>1878</v>
      </c>
      <c r="G217" s="94">
        <v>62</v>
      </c>
      <c r="H217" s="94">
        <v>179</v>
      </c>
      <c r="I217" s="94">
        <v>37560</v>
      </c>
      <c r="J217" s="94">
        <v>36874</v>
      </c>
      <c r="K217" s="94">
        <v>142</v>
      </c>
      <c r="L217" s="92" t="s">
        <v>44</v>
      </c>
      <c r="M217" s="92" t="s">
        <v>19</v>
      </c>
      <c r="N217" s="136">
        <f t="shared" si="3"/>
        <v>5.7465965178716709E-2</v>
      </c>
    </row>
    <row r="218" spans="1:14" x14ac:dyDescent="0.3">
      <c r="A218" s="87" t="s">
        <v>319</v>
      </c>
      <c r="B218" s="88" t="s">
        <v>577</v>
      </c>
      <c r="C218" s="89">
        <v>45448</v>
      </c>
      <c r="D218" s="88" t="s">
        <v>16</v>
      </c>
      <c r="E218" s="88" t="s">
        <v>17</v>
      </c>
      <c r="F218" s="94">
        <v>3065</v>
      </c>
      <c r="G218" s="94">
        <v>772</v>
      </c>
      <c r="H218" s="94">
        <v>142</v>
      </c>
      <c r="I218" s="94">
        <v>18390</v>
      </c>
      <c r="J218" s="94">
        <v>17875</v>
      </c>
      <c r="K218" s="94">
        <v>200</v>
      </c>
      <c r="L218" s="92" t="s">
        <v>58</v>
      </c>
      <c r="M218" s="92" t="s">
        <v>19</v>
      </c>
      <c r="N218" s="136">
        <f t="shared" si="3"/>
        <v>0.2226013986013986</v>
      </c>
    </row>
    <row r="219" spans="1:14" x14ac:dyDescent="0.3">
      <c r="A219" s="87" t="s">
        <v>321</v>
      </c>
      <c r="B219" s="88" t="s">
        <v>31</v>
      </c>
      <c r="C219" s="89">
        <v>45586</v>
      </c>
      <c r="D219" s="88" t="s">
        <v>16</v>
      </c>
      <c r="E219" s="88" t="s">
        <v>17</v>
      </c>
      <c r="F219" s="94">
        <v>3256</v>
      </c>
      <c r="G219" s="94">
        <v>459</v>
      </c>
      <c r="H219" s="94">
        <v>266</v>
      </c>
      <c r="I219" s="94">
        <v>26048</v>
      </c>
      <c r="J219" s="94">
        <v>25529</v>
      </c>
      <c r="K219" s="94">
        <v>143</v>
      </c>
      <c r="L219" s="92" t="s">
        <v>18</v>
      </c>
      <c r="M219" s="92" t="s">
        <v>38</v>
      </c>
      <c r="N219" s="136">
        <f t="shared" si="3"/>
        <v>0.15594030318461358</v>
      </c>
    </row>
    <row r="220" spans="1:14" x14ac:dyDescent="0.3">
      <c r="A220" s="87" t="s">
        <v>321</v>
      </c>
      <c r="B220" s="88" t="s">
        <v>31</v>
      </c>
      <c r="C220" s="89">
        <v>45586</v>
      </c>
      <c r="D220" s="88" t="s">
        <v>16</v>
      </c>
      <c r="E220" s="88" t="s">
        <v>17</v>
      </c>
      <c r="F220" s="94">
        <v>3256</v>
      </c>
      <c r="G220" s="94">
        <v>459</v>
      </c>
      <c r="H220" s="94">
        <v>266</v>
      </c>
      <c r="I220" s="94">
        <v>26048</v>
      </c>
      <c r="J220" s="94">
        <v>25529</v>
      </c>
      <c r="K220" s="94">
        <v>143</v>
      </c>
      <c r="L220" s="92" t="s">
        <v>58</v>
      </c>
      <c r="M220" s="92" t="s">
        <v>38</v>
      </c>
      <c r="N220" s="136">
        <f t="shared" si="3"/>
        <v>0.15594030318461358</v>
      </c>
    </row>
    <row r="221" spans="1:14" x14ac:dyDescent="0.3">
      <c r="A221" s="87" t="s">
        <v>322</v>
      </c>
      <c r="B221" s="88" t="s">
        <v>31</v>
      </c>
      <c r="C221" s="89">
        <v>45762</v>
      </c>
      <c r="D221" s="88" t="s">
        <v>69</v>
      </c>
      <c r="E221" s="88" t="s">
        <v>70</v>
      </c>
      <c r="F221" s="94">
        <v>4133</v>
      </c>
      <c r="G221" s="94">
        <v>466</v>
      </c>
      <c r="H221" s="94">
        <v>327</v>
      </c>
      <c r="I221" s="94">
        <v>24798</v>
      </c>
      <c r="J221" s="94">
        <v>24620</v>
      </c>
      <c r="K221" s="94">
        <v>176</v>
      </c>
      <c r="L221" s="92" t="s">
        <v>58</v>
      </c>
      <c r="M221" s="92" t="s">
        <v>25</v>
      </c>
      <c r="N221" s="136">
        <f t="shared" si="3"/>
        <v>0.20008123476848091</v>
      </c>
    </row>
    <row r="222" spans="1:14" x14ac:dyDescent="0.3">
      <c r="A222" s="87" t="s">
        <v>323</v>
      </c>
      <c r="B222" s="88" t="s">
        <v>14</v>
      </c>
      <c r="C222" s="89">
        <v>45459</v>
      </c>
      <c r="D222" s="88" t="s">
        <v>69</v>
      </c>
      <c r="E222" s="88" t="s">
        <v>70</v>
      </c>
      <c r="F222" s="94">
        <v>1702</v>
      </c>
      <c r="G222" s="94">
        <v>750</v>
      </c>
      <c r="H222" s="94">
        <v>179</v>
      </c>
      <c r="I222" s="94">
        <v>34040</v>
      </c>
      <c r="J222" s="94">
        <v>33174</v>
      </c>
      <c r="K222" s="94">
        <v>76</v>
      </c>
      <c r="L222" s="92" t="s">
        <v>44</v>
      </c>
      <c r="M222" s="92" t="s">
        <v>38</v>
      </c>
      <c r="N222" s="136">
        <f t="shared" si="3"/>
        <v>7.9309097485982999E-2</v>
      </c>
    </row>
    <row r="223" spans="1:14" x14ac:dyDescent="0.3">
      <c r="A223" s="87" t="s">
        <v>325</v>
      </c>
      <c r="B223" s="88" t="s">
        <v>577</v>
      </c>
      <c r="C223" s="89">
        <v>45526</v>
      </c>
      <c r="D223" s="88" t="s">
        <v>42</v>
      </c>
      <c r="E223" s="88" t="s">
        <v>43</v>
      </c>
      <c r="F223" s="94">
        <v>4295</v>
      </c>
      <c r="G223" s="94">
        <v>853</v>
      </c>
      <c r="H223" s="94">
        <v>325</v>
      </c>
      <c r="I223" s="94">
        <v>85900</v>
      </c>
      <c r="J223" s="94">
        <v>85788</v>
      </c>
      <c r="K223" s="94">
        <v>290</v>
      </c>
      <c r="L223" s="92" t="s">
        <v>44</v>
      </c>
      <c r="M223" s="92" t="s">
        <v>25</v>
      </c>
      <c r="N223" s="136">
        <f t="shared" si="3"/>
        <v>6.379680141744766E-2</v>
      </c>
    </row>
    <row r="224" spans="1:14" x14ac:dyDescent="0.3">
      <c r="A224" s="87" t="s">
        <v>325</v>
      </c>
      <c r="B224" s="88" t="s">
        <v>577</v>
      </c>
      <c r="C224" s="89">
        <v>45526</v>
      </c>
      <c r="D224" s="88" t="s">
        <v>42</v>
      </c>
      <c r="E224" s="88" t="s">
        <v>43</v>
      </c>
      <c r="F224" s="94">
        <v>4295</v>
      </c>
      <c r="G224" s="94">
        <v>853</v>
      </c>
      <c r="H224" s="94">
        <v>325</v>
      </c>
      <c r="I224" s="94">
        <v>85900</v>
      </c>
      <c r="J224" s="94">
        <v>85788</v>
      </c>
      <c r="K224" s="94">
        <v>290</v>
      </c>
      <c r="L224" s="92" t="s">
        <v>18</v>
      </c>
      <c r="M224" s="92" t="s">
        <v>25</v>
      </c>
      <c r="N224" s="136">
        <f t="shared" si="3"/>
        <v>6.379680141744766E-2</v>
      </c>
    </row>
    <row r="225" spans="1:14" x14ac:dyDescent="0.3">
      <c r="A225" s="87" t="s">
        <v>327</v>
      </c>
      <c r="B225" s="88" t="s">
        <v>31</v>
      </c>
      <c r="C225" s="89">
        <v>45499</v>
      </c>
      <c r="D225" s="88" t="s">
        <v>49</v>
      </c>
      <c r="E225" s="88" t="s">
        <v>50</v>
      </c>
      <c r="F225" s="94">
        <v>3559</v>
      </c>
      <c r="G225" s="94">
        <v>59</v>
      </c>
      <c r="H225" s="94">
        <v>289</v>
      </c>
      <c r="I225" s="94">
        <v>35590</v>
      </c>
      <c r="J225" s="94">
        <v>35105</v>
      </c>
      <c r="K225" s="94">
        <v>122</v>
      </c>
      <c r="L225" s="92" t="s">
        <v>44</v>
      </c>
      <c r="M225" s="92" t="s">
        <v>38</v>
      </c>
      <c r="N225" s="136">
        <f t="shared" si="3"/>
        <v>0.11129468736647201</v>
      </c>
    </row>
    <row r="226" spans="1:14" x14ac:dyDescent="0.3">
      <c r="A226" s="87" t="s">
        <v>327</v>
      </c>
      <c r="B226" s="88" t="s">
        <v>31</v>
      </c>
      <c r="C226" s="89">
        <v>45499</v>
      </c>
      <c r="D226" s="88" t="s">
        <v>49</v>
      </c>
      <c r="E226" s="88" t="s">
        <v>50</v>
      </c>
      <c r="F226" s="94">
        <v>3559</v>
      </c>
      <c r="G226" s="94">
        <v>59</v>
      </c>
      <c r="H226" s="94">
        <v>289</v>
      </c>
      <c r="I226" s="94">
        <v>35590</v>
      </c>
      <c r="J226" s="94">
        <v>35105</v>
      </c>
      <c r="K226" s="94">
        <v>122</v>
      </c>
      <c r="L226" s="92" t="s">
        <v>58</v>
      </c>
      <c r="M226" s="92" t="s">
        <v>38</v>
      </c>
      <c r="N226" s="136">
        <f t="shared" si="3"/>
        <v>0.11129468736647201</v>
      </c>
    </row>
    <row r="227" spans="1:14" x14ac:dyDescent="0.3">
      <c r="A227" s="87" t="s">
        <v>328</v>
      </c>
      <c r="B227" s="88" t="s">
        <v>40</v>
      </c>
      <c r="C227" s="89">
        <v>45769</v>
      </c>
      <c r="D227" s="88" t="s">
        <v>49</v>
      </c>
      <c r="E227" s="88" t="s">
        <v>50</v>
      </c>
      <c r="F227" s="94">
        <v>4804</v>
      </c>
      <c r="G227" s="94">
        <v>550</v>
      </c>
      <c r="H227" s="94">
        <v>270</v>
      </c>
      <c r="I227" s="94">
        <v>28824</v>
      </c>
      <c r="J227" s="94">
        <v>28370</v>
      </c>
      <c r="K227" s="94">
        <v>47</v>
      </c>
      <c r="L227" s="92" t="s">
        <v>18</v>
      </c>
      <c r="M227" s="92" t="s">
        <v>55</v>
      </c>
      <c r="N227" s="136">
        <f t="shared" si="3"/>
        <v>0.19823757490306662</v>
      </c>
    </row>
    <row r="228" spans="1:14" x14ac:dyDescent="0.3">
      <c r="A228" s="87" t="s">
        <v>328</v>
      </c>
      <c r="B228" s="88" t="s">
        <v>40</v>
      </c>
      <c r="C228" s="89">
        <v>45769</v>
      </c>
      <c r="D228" s="88" t="s">
        <v>49</v>
      </c>
      <c r="E228" s="88" t="s">
        <v>50</v>
      </c>
      <c r="F228" s="94">
        <v>4804</v>
      </c>
      <c r="G228" s="94">
        <v>550</v>
      </c>
      <c r="H228" s="94">
        <v>270</v>
      </c>
      <c r="I228" s="94">
        <v>28824</v>
      </c>
      <c r="J228" s="94">
        <v>28370</v>
      </c>
      <c r="K228" s="94">
        <v>47</v>
      </c>
      <c r="L228" s="92" t="s">
        <v>58</v>
      </c>
      <c r="M228" s="92" t="s">
        <v>55</v>
      </c>
      <c r="N228" s="136">
        <f t="shared" si="3"/>
        <v>0.19823757490306662</v>
      </c>
    </row>
    <row r="229" spans="1:14" x14ac:dyDescent="0.3">
      <c r="A229" s="87" t="s">
        <v>330</v>
      </c>
      <c r="B229" s="88" t="s">
        <v>14</v>
      </c>
      <c r="C229" s="89">
        <v>45658</v>
      </c>
      <c r="D229" s="88" t="s">
        <v>69</v>
      </c>
      <c r="E229" s="88" t="s">
        <v>70</v>
      </c>
      <c r="F229" s="94">
        <v>754</v>
      </c>
      <c r="G229" s="94">
        <v>197</v>
      </c>
      <c r="H229" s="94">
        <v>257</v>
      </c>
      <c r="I229" s="94">
        <v>6786</v>
      </c>
      <c r="J229" s="94">
        <v>6221</v>
      </c>
      <c r="K229" s="94">
        <v>212</v>
      </c>
      <c r="L229" s="92" t="s">
        <v>77</v>
      </c>
      <c r="M229" s="92" t="s">
        <v>38</v>
      </c>
      <c r="N229" s="136">
        <f t="shared" si="3"/>
        <v>0.19418099983925413</v>
      </c>
    </row>
    <row r="230" spans="1:14" x14ac:dyDescent="0.3">
      <c r="A230" s="87" t="s">
        <v>330</v>
      </c>
      <c r="B230" s="88" t="s">
        <v>14</v>
      </c>
      <c r="C230" s="89">
        <v>45658</v>
      </c>
      <c r="D230" s="88" t="s">
        <v>69</v>
      </c>
      <c r="E230" s="88" t="s">
        <v>70</v>
      </c>
      <c r="F230" s="94">
        <v>754</v>
      </c>
      <c r="G230" s="94">
        <v>197</v>
      </c>
      <c r="H230" s="94">
        <v>257</v>
      </c>
      <c r="I230" s="94">
        <v>6786</v>
      </c>
      <c r="J230" s="94">
        <v>6221</v>
      </c>
      <c r="K230" s="94">
        <v>212</v>
      </c>
      <c r="L230" s="92" t="s">
        <v>44</v>
      </c>
      <c r="M230" s="92" t="s">
        <v>38</v>
      </c>
      <c r="N230" s="136">
        <f t="shared" si="3"/>
        <v>0.19418099983925413</v>
      </c>
    </row>
    <row r="231" spans="1:14" x14ac:dyDescent="0.3">
      <c r="A231" s="87" t="s">
        <v>332</v>
      </c>
      <c r="B231" s="88" t="s">
        <v>31</v>
      </c>
      <c r="C231" s="89">
        <v>45574</v>
      </c>
      <c r="D231" s="88" t="s">
        <v>42</v>
      </c>
      <c r="E231" s="88" t="s">
        <v>43</v>
      </c>
      <c r="F231" s="94">
        <v>985</v>
      </c>
      <c r="G231" s="94">
        <v>932</v>
      </c>
      <c r="H231" s="94">
        <v>287</v>
      </c>
      <c r="I231" s="94">
        <v>6895</v>
      </c>
      <c r="J231" s="94">
        <v>6757</v>
      </c>
      <c r="K231" s="94">
        <v>64</v>
      </c>
      <c r="L231" s="92" t="s">
        <v>18</v>
      </c>
      <c r="M231" s="92" t="s">
        <v>25</v>
      </c>
      <c r="N231" s="136">
        <f t="shared" si="3"/>
        <v>0.3261802575107296</v>
      </c>
    </row>
    <row r="232" spans="1:14" x14ac:dyDescent="0.3">
      <c r="A232" s="87" t="s">
        <v>332</v>
      </c>
      <c r="B232" s="88" t="s">
        <v>31</v>
      </c>
      <c r="C232" s="89">
        <v>45574</v>
      </c>
      <c r="D232" s="88" t="s">
        <v>42</v>
      </c>
      <c r="E232" s="88" t="s">
        <v>43</v>
      </c>
      <c r="F232" s="94">
        <v>985</v>
      </c>
      <c r="G232" s="94">
        <v>932</v>
      </c>
      <c r="H232" s="94">
        <v>287</v>
      </c>
      <c r="I232" s="94">
        <v>6895</v>
      </c>
      <c r="J232" s="94">
        <v>6757</v>
      </c>
      <c r="K232" s="94">
        <v>64</v>
      </c>
      <c r="L232" s="92" t="s">
        <v>24</v>
      </c>
      <c r="M232" s="92" t="s">
        <v>25</v>
      </c>
      <c r="N232" s="136">
        <f t="shared" si="3"/>
        <v>0.3261802575107296</v>
      </c>
    </row>
    <row r="233" spans="1:14" x14ac:dyDescent="0.3">
      <c r="A233" s="87" t="s">
        <v>333</v>
      </c>
      <c r="B233" s="88" t="s">
        <v>577</v>
      </c>
      <c r="C233" s="89">
        <v>45647</v>
      </c>
      <c r="D233" s="88" t="s">
        <v>49</v>
      </c>
      <c r="E233" s="88" t="s">
        <v>50</v>
      </c>
      <c r="F233" s="94">
        <v>2283</v>
      </c>
      <c r="G233" s="94">
        <v>210</v>
      </c>
      <c r="H233" s="94">
        <v>130</v>
      </c>
      <c r="I233" s="94">
        <v>22830</v>
      </c>
      <c r="J233" s="94">
        <v>22617</v>
      </c>
      <c r="K233" s="94">
        <v>143</v>
      </c>
      <c r="L233" s="92" t="s">
        <v>24</v>
      </c>
      <c r="M233" s="92" t="s">
        <v>38</v>
      </c>
      <c r="N233" s="136">
        <f t="shared" si="3"/>
        <v>0.11597470928947252</v>
      </c>
    </row>
    <row r="234" spans="1:14" x14ac:dyDescent="0.3">
      <c r="A234" s="87" t="s">
        <v>333</v>
      </c>
      <c r="B234" s="88" t="s">
        <v>577</v>
      </c>
      <c r="C234" s="89">
        <v>45647</v>
      </c>
      <c r="D234" s="88" t="s">
        <v>49</v>
      </c>
      <c r="E234" s="88" t="s">
        <v>50</v>
      </c>
      <c r="F234" s="94">
        <v>2283</v>
      </c>
      <c r="G234" s="94">
        <v>210</v>
      </c>
      <c r="H234" s="94">
        <v>130</v>
      </c>
      <c r="I234" s="94">
        <v>22830</v>
      </c>
      <c r="J234" s="94">
        <v>22617</v>
      </c>
      <c r="K234" s="94">
        <v>143</v>
      </c>
      <c r="L234" s="92" t="s">
        <v>58</v>
      </c>
      <c r="M234" s="92" t="s">
        <v>38</v>
      </c>
      <c r="N234" s="136">
        <f t="shared" si="3"/>
        <v>0.11597470928947252</v>
      </c>
    </row>
    <row r="235" spans="1:14" x14ac:dyDescent="0.3">
      <c r="A235" s="87" t="s">
        <v>335</v>
      </c>
      <c r="B235" s="88" t="s">
        <v>40</v>
      </c>
      <c r="C235" s="89">
        <v>45587</v>
      </c>
      <c r="D235" s="88" t="s">
        <v>42</v>
      </c>
      <c r="E235" s="88" t="s">
        <v>43</v>
      </c>
      <c r="F235" s="94">
        <v>3352</v>
      </c>
      <c r="G235" s="94">
        <v>941</v>
      </c>
      <c r="H235" s="94">
        <v>482</v>
      </c>
      <c r="I235" s="94">
        <v>43576</v>
      </c>
      <c r="J235" s="94">
        <v>43338</v>
      </c>
      <c r="K235" s="94">
        <v>240</v>
      </c>
      <c r="L235" s="92" t="s">
        <v>44</v>
      </c>
      <c r="M235" s="92" t="s">
        <v>38</v>
      </c>
      <c r="N235" s="136">
        <f t="shared" si="3"/>
        <v>0.11018044210623472</v>
      </c>
    </row>
    <row r="236" spans="1:14" x14ac:dyDescent="0.3">
      <c r="A236" s="87" t="s">
        <v>337</v>
      </c>
      <c r="B236" s="88" t="s">
        <v>577</v>
      </c>
      <c r="C236" s="89">
        <v>45496</v>
      </c>
      <c r="D236" s="88" t="s">
        <v>33</v>
      </c>
      <c r="E236" s="88" t="s">
        <v>34</v>
      </c>
      <c r="F236" s="94">
        <v>4775</v>
      </c>
      <c r="G236" s="94">
        <v>173</v>
      </c>
      <c r="H236" s="94">
        <v>206</v>
      </c>
      <c r="I236" s="94">
        <v>47750</v>
      </c>
      <c r="J236" s="94">
        <v>47544</v>
      </c>
      <c r="K236" s="94">
        <v>187</v>
      </c>
      <c r="L236" s="92" t="s">
        <v>58</v>
      </c>
      <c r="M236" s="92" t="s">
        <v>55</v>
      </c>
      <c r="N236" s="136">
        <f t="shared" si="3"/>
        <v>0.10840484603735487</v>
      </c>
    </row>
    <row r="237" spans="1:14" x14ac:dyDescent="0.3">
      <c r="A237" s="87" t="s">
        <v>337</v>
      </c>
      <c r="B237" s="88" t="s">
        <v>577</v>
      </c>
      <c r="C237" s="89">
        <v>45496</v>
      </c>
      <c r="D237" s="88" t="s">
        <v>33</v>
      </c>
      <c r="E237" s="88" t="s">
        <v>34</v>
      </c>
      <c r="F237" s="94">
        <v>4775</v>
      </c>
      <c r="G237" s="94">
        <v>173</v>
      </c>
      <c r="H237" s="94">
        <v>206</v>
      </c>
      <c r="I237" s="94">
        <v>47750</v>
      </c>
      <c r="J237" s="94">
        <v>47544</v>
      </c>
      <c r="K237" s="94">
        <v>187</v>
      </c>
      <c r="L237" s="92" t="s">
        <v>44</v>
      </c>
      <c r="M237" s="92" t="s">
        <v>55</v>
      </c>
      <c r="N237" s="136">
        <f t="shared" si="3"/>
        <v>0.10840484603735487</v>
      </c>
    </row>
    <row r="238" spans="1:14" x14ac:dyDescent="0.3">
      <c r="A238" s="87" t="s">
        <v>339</v>
      </c>
      <c r="B238" s="88" t="s">
        <v>31</v>
      </c>
      <c r="C238" s="89">
        <v>45515</v>
      </c>
      <c r="D238" s="88" t="s">
        <v>33</v>
      </c>
      <c r="E238" s="88" t="s">
        <v>34</v>
      </c>
      <c r="F238" s="94">
        <v>1762</v>
      </c>
      <c r="G238" s="94">
        <v>405</v>
      </c>
      <c r="H238" s="94">
        <v>423</v>
      </c>
      <c r="I238" s="94">
        <v>22906</v>
      </c>
      <c r="J238" s="94">
        <v>21925</v>
      </c>
      <c r="K238" s="94">
        <v>25</v>
      </c>
      <c r="L238" s="92" t="s">
        <v>77</v>
      </c>
      <c r="M238" s="92" t="s">
        <v>25</v>
      </c>
      <c r="N238" s="136">
        <f t="shared" si="3"/>
        <v>0.11812998859749145</v>
      </c>
    </row>
    <row r="239" spans="1:14" x14ac:dyDescent="0.3">
      <c r="A239" s="87" t="s">
        <v>341</v>
      </c>
      <c r="B239" s="88" t="s">
        <v>40</v>
      </c>
      <c r="C239" s="89">
        <v>45621</v>
      </c>
      <c r="D239" s="88" t="s">
        <v>33</v>
      </c>
      <c r="E239" s="88" t="s">
        <v>34</v>
      </c>
      <c r="F239" s="94">
        <v>2120</v>
      </c>
      <c r="G239" s="94">
        <v>158</v>
      </c>
      <c r="H239" s="94">
        <v>488</v>
      </c>
      <c r="I239" s="94">
        <v>12720</v>
      </c>
      <c r="J239" s="94">
        <v>12085</v>
      </c>
      <c r="K239" s="94">
        <v>17</v>
      </c>
      <c r="L239" s="92" t="s">
        <v>58</v>
      </c>
      <c r="M239" s="92" t="s">
        <v>25</v>
      </c>
      <c r="N239" s="136">
        <f t="shared" si="3"/>
        <v>0.22887877534133222</v>
      </c>
    </row>
    <row r="240" spans="1:14" x14ac:dyDescent="0.3">
      <c r="A240" s="87" t="s">
        <v>341</v>
      </c>
      <c r="B240" s="88" t="s">
        <v>40</v>
      </c>
      <c r="C240" s="89">
        <v>45621</v>
      </c>
      <c r="D240" s="88" t="s">
        <v>33</v>
      </c>
      <c r="E240" s="88" t="s">
        <v>34</v>
      </c>
      <c r="F240" s="94">
        <v>2120</v>
      </c>
      <c r="G240" s="94">
        <v>158</v>
      </c>
      <c r="H240" s="94">
        <v>488</v>
      </c>
      <c r="I240" s="94">
        <v>12720</v>
      </c>
      <c r="J240" s="94">
        <v>12085</v>
      </c>
      <c r="K240" s="94">
        <v>17</v>
      </c>
      <c r="L240" s="92" t="s">
        <v>44</v>
      </c>
      <c r="M240" s="92" t="s">
        <v>25</v>
      </c>
      <c r="N240" s="136">
        <f t="shared" si="3"/>
        <v>0.22887877534133222</v>
      </c>
    </row>
    <row r="241" spans="1:14" x14ac:dyDescent="0.3">
      <c r="A241" s="87" t="s">
        <v>342</v>
      </c>
      <c r="B241" s="88" t="s">
        <v>14</v>
      </c>
      <c r="C241" s="89">
        <v>45528</v>
      </c>
      <c r="D241" s="88" t="s">
        <v>69</v>
      </c>
      <c r="E241" s="88" t="s">
        <v>70</v>
      </c>
      <c r="F241" s="94">
        <v>1082</v>
      </c>
      <c r="G241" s="94">
        <v>209</v>
      </c>
      <c r="H241" s="94">
        <v>484</v>
      </c>
      <c r="I241" s="94">
        <v>19476</v>
      </c>
      <c r="J241" s="94">
        <v>18654</v>
      </c>
      <c r="K241" s="94">
        <v>20</v>
      </c>
      <c r="L241" s="92" t="s">
        <v>58</v>
      </c>
      <c r="M241" s="92" t="s">
        <v>55</v>
      </c>
      <c r="N241" s="136">
        <f t="shared" si="3"/>
        <v>9.5153854401200819E-2</v>
      </c>
    </row>
    <row r="242" spans="1:14" x14ac:dyDescent="0.3">
      <c r="A242" s="87" t="s">
        <v>344</v>
      </c>
      <c r="B242" s="88" t="s">
        <v>14</v>
      </c>
      <c r="C242" s="89">
        <v>45707</v>
      </c>
      <c r="D242" s="88" t="s">
        <v>22</v>
      </c>
      <c r="E242" s="88" t="s">
        <v>23</v>
      </c>
      <c r="F242" s="94">
        <v>4671</v>
      </c>
      <c r="G242" s="94">
        <v>876</v>
      </c>
      <c r="H242" s="94">
        <v>366</v>
      </c>
      <c r="I242" s="94">
        <v>51381</v>
      </c>
      <c r="J242" s="94">
        <v>50565</v>
      </c>
      <c r="K242" s="94">
        <v>245</v>
      </c>
      <c r="L242" s="92" t="s">
        <v>18</v>
      </c>
      <c r="M242" s="92" t="s">
        <v>25</v>
      </c>
      <c r="N242" s="136">
        <f t="shared" si="3"/>
        <v>0.1169385938890537</v>
      </c>
    </row>
    <row r="243" spans="1:14" x14ac:dyDescent="0.3">
      <c r="A243" s="87" t="s">
        <v>346</v>
      </c>
      <c r="B243" s="88" t="s">
        <v>40</v>
      </c>
      <c r="C243" s="89">
        <v>45748</v>
      </c>
      <c r="D243" s="88" t="s">
        <v>33</v>
      </c>
      <c r="E243" s="88" t="s">
        <v>34</v>
      </c>
      <c r="F243" s="94">
        <v>3430</v>
      </c>
      <c r="G243" s="94">
        <v>566</v>
      </c>
      <c r="H243" s="94">
        <v>164</v>
      </c>
      <c r="I243" s="94">
        <v>48020</v>
      </c>
      <c r="J243" s="94">
        <v>47305</v>
      </c>
      <c r="K243" s="94">
        <v>120</v>
      </c>
      <c r="L243" s="92" t="s">
        <v>44</v>
      </c>
      <c r="M243" s="92" t="s">
        <v>25</v>
      </c>
      <c r="N243" s="136">
        <f t="shared" si="3"/>
        <v>8.7939964062995452E-2</v>
      </c>
    </row>
    <row r="244" spans="1:14" x14ac:dyDescent="0.3">
      <c r="A244" s="87" t="s">
        <v>348</v>
      </c>
      <c r="B244" s="88" t="s">
        <v>31</v>
      </c>
      <c r="C244" s="89">
        <v>45755</v>
      </c>
      <c r="D244" s="88" t="s">
        <v>49</v>
      </c>
      <c r="E244" s="88" t="s">
        <v>50</v>
      </c>
      <c r="F244" s="94">
        <v>4501</v>
      </c>
      <c r="G244" s="94">
        <v>375</v>
      </c>
      <c r="H244" s="94">
        <v>323</v>
      </c>
      <c r="I244" s="94">
        <v>22505</v>
      </c>
      <c r="J244" s="94">
        <v>21836</v>
      </c>
      <c r="K244" s="94">
        <v>132</v>
      </c>
      <c r="L244" s="92" t="s">
        <v>24</v>
      </c>
      <c r="M244" s="92" t="s">
        <v>55</v>
      </c>
      <c r="N244" s="136">
        <f t="shared" si="3"/>
        <v>0.23809305733650851</v>
      </c>
    </row>
    <row r="245" spans="1:14" x14ac:dyDescent="0.3">
      <c r="A245" s="87" t="s">
        <v>350</v>
      </c>
      <c r="B245" s="88" t="s">
        <v>577</v>
      </c>
      <c r="C245" s="89">
        <v>45715</v>
      </c>
      <c r="D245" s="88" t="s">
        <v>22</v>
      </c>
      <c r="E245" s="88" t="s">
        <v>23</v>
      </c>
      <c r="F245" s="94">
        <v>4934</v>
      </c>
      <c r="G245" s="94">
        <v>971</v>
      </c>
      <c r="H245" s="94">
        <v>156</v>
      </c>
      <c r="I245" s="94">
        <v>39472</v>
      </c>
      <c r="J245" s="94">
        <v>39025</v>
      </c>
      <c r="K245" s="94">
        <v>169</v>
      </c>
      <c r="L245" s="92" t="s">
        <v>77</v>
      </c>
      <c r="M245" s="92" t="s">
        <v>25</v>
      </c>
      <c r="N245" s="136">
        <f t="shared" si="3"/>
        <v>0.15531069827033953</v>
      </c>
    </row>
    <row r="246" spans="1:14" x14ac:dyDescent="0.3">
      <c r="A246" s="87" t="s">
        <v>350</v>
      </c>
      <c r="B246" s="88" t="s">
        <v>577</v>
      </c>
      <c r="C246" s="89">
        <v>45715</v>
      </c>
      <c r="D246" s="88" t="s">
        <v>22</v>
      </c>
      <c r="E246" s="88" t="s">
        <v>23</v>
      </c>
      <c r="F246" s="94">
        <v>4934</v>
      </c>
      <c r="G246" s="94">
        <v>971</v>
      </c>
      <c r="H246" s="94">
        <v>156</v>
      </c>
      <c r="I246" s="94">
        <v>39472</v>
      </c>
      <c r="J246" s="94">
        <v>39025</v>
      </c>
      <c r="K246" s="94">
        <v>169</v>
      </c>
      <c r="L246" s="92" t="s">
        <v>58</v>
      </c>
      <c r="M246" s="92" t="s">
        <v>25</v>
      </c>
      <c r="N246" s="136">
        <f t="shared" si="3"/>
        <v>0.15531069827033953</v>
      </c>
    </row>
    <row r="247" spans="1:14" x14ac:dyDescent="0.3">
      <c r="A247" s="87" t="s">
        <v>351</v>
      </c>
      <c r="B247" s="88" t="s">
        <v>14</v>
      </c>
      <c r="C247" s="89">
        <v>45637</v>
      </c>
      <c r="D247" s="88" t="s">
        <v>22</v>
      </c>
      <c r="E247" s="88" t="s">
        <v>23</v>
      </c>
      <c r="F247" s="94">
        <v>3239</v>
      </c>
      <c r="G247" s="94">
        <v>43</v>
      </c>
      <c r="H247" s="94">
        <v>211</v>
      </c>
      <c r="I247" s="94">
        <v>22673</v>
      </c>
      <c r="J247" s="94">
        <v>22171</v>
      </c>
      <c r="K247" s="94">
        <v>230</v>
      </c>
      <c r="L247" s="92" t="s">
        <v>44</v>
      </c>
      <c r="M247" s="92" t="s">
        <v>25</v>
      </c>
      <c r="N247" s="136">
        <f t="shared" si="3"/>
        <v>0.1575481484822516</v>
      </c>
    </row>
    <row r="248" spans="1:14" x14ac:dyDescent="0.3">
      <c r="A248" s="87" t="s">
        <v>351</v>
      </c>
      <c r="B248" s="88" t="s">
        <v>14</v>
      </c>
      <c r="C248" s="89">
        <v>45637</v>
      </c>
      <c r="D248" s="88" t="s">
        <v>22</v>
      </c>
      <c r="E248" s="88" t="s">
        <v>23</v>
      </c>
      <c r="F248" s="94">
        <v>3239</v>
      </c>
      <c r="G248" s="94">
        <v>43</v>
      </c>
      <c r="H248" s="94">
        <v>211</v>
      </c>
      <c r="I248" s="94">
        <v>22673</v>
      </c>
      <c r="J248" s="94">
        <v>22171</v>
      </c>
      <c r="K248" s="94">
        <v>230</v>
      </c>
      <c r="L248" s="92" t="s">
        <v>58</v>
      </c>
      <c r="M248" s="92" t="s">
        <v>25</v>
      </c>
      <c r="N248" s="136">
        <f t="shared" si="3"/>
        <v>0.1575481484822516</v>
      </c>
    </row>
    <row r="249" spans="1:14" x14ac:dyDescent="0.3">
      <c r="A249" s="87" t="s">
        <v>352</v>
      </c>
      <c r="B249" s="88" t="s">
        <v>14</v>
      </c>
      <c r="C249" s="89">
        <v>45704</v>
      </c>
      <c r="D249" s="88" t="s">
        <v>16</v>
      </c>
      <c r="E249" s="88" t="s">
        <v>17</v>
      </c>
      <c r="F249" s="94">
        <v>1076</v>
      </c>
      <c r="G249" s="94">
        <v>313</v>
      </c>
      <c r="H249" s="94">
        <v>306</v>
      </c>
      <c r="I249" s="94">
        <v>11836</v>
      </c>
      <c r="J249" s="94">
        <v>11596</v>
      </c>
      <c r="K249" s="94">
        <v>104</v>
      </c>
      <c r="L249" s="92" t="s">
        <v>77</v>
      </c>
      <c r="M249" s="92" t="s">
        <v>25</v>
      </c>
      <c r="N249" s="136">
        <f t="shared" si="3"/>
        <v>0.14617109348051052</v>
      </c>
    </row>
    <row r="250" spans="1:14" x14ac:dyDescent="0.3">
      <c r="A250" s="87" t="s">
        <v>353</v>
      </c>
      <c r="B250" s="88" t="s">
        <v>31</v>
      </c>
      <c r="C250" s="89">
        <v>45624</v>
      </c>
      <c r="D250" s="88" t="s">
        <v>22</v>
      </c>
      <c r="E250" s="88" t="s">
        <v>23</v>
      </c>
      <c r="F250" s="94">
        <v>4771</v>
      </c>
      <c r="G250" s="94">
        <v>818</v>
      </c>
      <c r="H250" s="94">
        <v>56</v>
      </c>
      <c r="I250" s="94">
        <v>57252</v>
      </c>
      <c r="J250" s="94">
        <v>56378</v>
      </c>
      <c r="K250" s="94">
        <v>150</v>
      </c>
      <c r="L250" s="92" t="s">
        <v>18</v>
      </c>
      <c r="M250" s="92" t="s">
        <v>25</v>
      </c>
      <c r="N250" s="136">
        <f t="shared" si="3"/>
        <v>0.10012770939018766</v>
      </c>
    </row>
    <row r="251" spans="1:14" x14ac:dyDescent="0.3">
      <c r="A251" s="87" t="s">
        <v>354</v>
      </c>
      <c r="B251" s="88" t="s">
        <v>40</v>
      </c>
      <c r="C251" s="89">
        <v>45608</v>
      </c>
      <c r="D251" s="88" t="s">
        <v>22</v>
      </c>
      <c r="E251" s="88" t="s">
        <v>23</v>
      </c>
      <c r="F251" s="94">
        <v>2418</v>
      </c>
      <c r="G251" s="94">
        <v>754</v>
      </c>
      <c r="H251" s="94">
        <v>54</v>
      </c>
      <c r="I251" s="94">
        <v>43524</v>
      </c>
      <c r="J251" s="94">
        <v>42743</v>
      </c>
      <c r="K251" s="94">
        <v>182</v>
      </c>
      <c r="L251" s="92" t="s">
        <v>24</v>
      </c>
      <c r="M251" s="92" t="s">
        <v>55</v>
      </c>
      <c r="N251" s="136">
        <f t="shared" si="3"/>
        <v>7.5474346676648804E-2</v>
      </c>
    </row>
    <row r="252" spans="1:14" x14ac:dyDescent="0.3">
      <c r="A252" s="87" t="s">
        <v>354</v>
      </c>
      <c r="B252" s="88" t="s">
        <v>40</v>
      </c>
      <c r="C252" s="89">
        <v>45608</v>
      </c>
      <c r="D252" s="88" t="s">
        <v>22</v>
      </c>
      <c r="E252" s="88" t="s">
        <v>23</v>
      </c>
      <c r="F252" s="94">
        <v>2418</v>
      </c>
      <c r="G252" s="94">
        <v>754</v>
      </c>
      <c r="H252" s="94">
        <v>54</v>
      </c>
      <c r="I252" s="94">
        <v>43524</v>
      </c>
      <c r="J252" s="94">
        <v>42743</v>
      </c>
      <c r="K252" s="94">
        <v>182</v>
      </c>
      <c r="L252" s="92" t="s">
        <v>44</v>
      </c>
      <c r="M252" s="92" t="s">
        <v>55</v>
      </c>
      <c r="N252" s="136">
        <f t="shared" si="3"/>
        <v>7.5474346676648804E-2</v>
      </c>
    </row>
    <row r="253" spans="1:14" x14ac:dyDescent="0.3">
      <c r="A253" s="87" t="s">
        <v>356</v>
      </c>
      <c r="B253" s="88" t="s">
        <v>577</v>
      </c>
      <c r="C253" s="89">
        <v>45629</v>
      </c>
      <c r="D253" s="88" t="s">
        <v>69</v>
      </c>
      <c r="E253" s="88" t="s">
        <v>70</v>
      </c>
      <c r="F253" s="94">
        <v>3809</v>
      </c>
      <c r="G253" s="94">
        <v>273</v>
      </c>
      <c r="H253" s="94">
        <v>200</v>
      </c>
      <c r="I253" s="94">
        <v>34281</v>
      </c>
      <c r="J253" s="94">
        <v>33534</v>
      </c>
      <c r="K253" s="94">
        <v>83</v>
      </c>
      <c r="L253" s="92" t="s">
        <v>44</v>
      </c>
      <c r="M253" s="92" t="s">
        <v>38</v>
      </c>
      <c r="N253" s="136">
        <f t="shared" si="3"/>
        <v>0.12769129838372995</v>
      </c>
    </row>
    <row r="254" spans="1:14" x14ac:dyDescent="0.3">
      <c r="A254" s="87" t="s">
        <v>358</v>
      </c>
      <c r="B254" s="88" t="s">
        <v>14</v>
      </c>
      <c r="C254" s="89">
        <v>45775</v>
      </c>
      <c r="D254" s="88" t="s">
        <v>22</v>
      </c>
      <c r="E254" s="88" t="s">
        <v>23</v>
      </c>
      <c r="F254" s="94">
        <v>3577</v>
      </c>
      <c r="G254" s="94">
        <v>596</v>
      </c>
      <c r="H254" s="94">
        <v>493</v>
      </c>
      <c r="I254" s="94">
        <v>67963</v>
      </c>
      <c r="J254" s="94">
        <v>67839</v>
      </c>
      <c r="K254" s="94">
        <v>53</v>
      </c>
      <c r="L254" s="92" t="s">
        <v>58</v>
      </c>
      <c r="M254" s="92" t="s">
        <v>55</v>
      </c>
      <c r="N254" s="136">
        <f t="shared" si="3"/>
        <v>6.8780494995504066E-2</v>
      </c>
    </row>
    <row r="255" spans="1:14" x14ac:dyDescent="0.3">
      <c r="A255" s="87" t="s">
        <v>358</v>
      </c>
      <c r="B255" s="88" t="s">
        <v>14</v>
      </c>
      <c r="C255" s="89">
        <v>45775</v>
      </c>
      <c r="D255" s="88" t="s">
        <v>22</v>
      </c>
      <c r="E255" s="88" t="s">
        <v>23</v>
      </c>
      <c r="F255" s="94">
        <v>3577</v>
      </c>
      <c r="G255" s="94">
        <v>596</v>
      </c>
      <c r="H255" s="94">
        <v>493</v>
      </c>
      <c r="I255" s="94">
        <v>67963</v>
      </c>
      <c r="J255" s="94">
        <v>67839</v>
      </c>
      <c r="K255" s="94">
        <v>53</v>
      </c>
      <c r="L255" s="92" t="s">
        <v>44</v>
      </c>
      <c r="M255" s="92" t="s">
        <v>55</v>
      </c>
      <c r="N255" s="136">
        <f t="shared" si="3"/>
        <v>6.8780494995504066E-2</v>
      </c>
    </row>
    <row r="256" spans="1:14" x14ac:dyDescent="0.3">
      <c r="A256" s="87" t="s">
        <v>360</v>
      </c>
      <c r="B256" s="88" t="s">
        <v>577</v>
      </c>
      <c r="C256" s="89">
        <v>45657</v>
      </c>
      <c r="D256" s="88" t="s">
        <v>69</v>
      </c>
      <c r="E256" s="88" t="s">
        <v>70</v>
      </c>
      <c r="F256" s="94">
        <v>1018</v>
      </c>
      <c r="G256" s="94">
        <v>447</v>
      </c>
      <c r="H256" s="94">
        <v>332</v>
      </c>
      <c r="I256" s="94">
        <v>18324</v>
      </c>
      <c r="J256" s="94">
        <v>18164</v>
      </c>
      <c r="K256" s="94">
        <v>38</v>
      </c>
      <c r="L256" s="92" t="s">
        <v>18</v>
      </c>
      <c r="M256" s="92" t="s">
        <v>55</v>
      </c>
      <c r="N256" s="136">
        <f t="shared" si="3"/>
        <v>9.8931953314247964E-2</v>
      </c>
    </row>
    <row r="257" spans="1:14" x14ac:dyDescent="0.3">
      <c r="A257" s="87" t="s">
        <v>360</v>
      </c>
      <c r="B257" s="88" t="s">
        <v>577</v>
      </c>
      <c r="C257" s="89">
        <v>45657</v>
      </c>
      <c r="D257" s="88" t="s">
        <v>69</v>
      </c>
      <c r="E257" s="88" t="s">
        <v>70</v>
      </c>
      <c r="F257" s="94">
        <v>1018</v>
      </c>
      <c r="G257" s="94">
        <v>447</v>
      </c>
      <c r="H257" s="94">
        <v>332</v>
      </c>
      <c r="I257" s="94">
        <v>18324</v>
      </c>
      <c r="J257" s="94">
        <v>18164</v>
      </c>
      <c r="K257" s="94">
        <v>38</v>
      </c>
      <c r="L257" s="92" t="s">
        <v>24</v>
      </c>
      <c r="M257" s="92" t="s">
        <v>55</v>
      </c>
      <c r="N257" s="136">
        <f t="shared" si="3"/>
        <v>9.8931953314247964E-2</v>
      </c>
    </row>
    <row r="258" spans="1:14" x14ac:dyDescent="0.3">
      <c r="A258" s="87" t="s">
        <v>362</v>
      </c>
      <c r="B258" s="88" t="s">
        <v>40</v>
      </c>
      <c r="C258" s="89">
        <v>45518</v>
      </c>
      <c r="D258" s="88" t="s">
        <v>42</v>
      </c>
      <c r="E258" s="88" t="s">
        <v>43</v>
      </c>
      <c r="F258" s="94">
        <v>3073</v>
      </c>
      <c r="G258" s="94">
        <v>553</v>
      </c>
      <c r="H258" s="94">
        <v>174</v>
      </c>
      <c r="I258" s="94">
        <v>52241</v>
      </c>
      <c r="J258" s="94">
        <v>51605</v>
      </c>
      <c r="K258" s="94">
        <v>246</v>
      </c>
      <c r="L258" s="92" t="s">
        <v>24</v>
      </c>
      <c r="M258" s="92" t="s">
        <v>55</v>
      </c>
      <c r="N258" s="136">
        <f t="shared" si="3"/>
        <v>7.3636275554694319E-2</v>
      </c>
    </row>
    <row r="259" spans="1:14" x14ac:dyDescent="0.3">
      <c r="A259" s="87" t="s">
        <v>362</v>
      </c>
      <c r="B259" s="88" t="s">
        <v>40</v>
      </c>
      <c r="C259" s="89">
        <v>45518</v>
      </c>
      <c r="D259" s="88" t="s">
        <v>42</v>
      </c>
      <c r="E259" s="88" t="s">
        <v>43</v>
      </c>
      <c r="F259" s="94">
        <v>3073</v>
      </c>
      <c r="G259" s="94">
        <v>553</v>
      </c>
      <c r="H259" s="94">
        <v>174</v>
      </c>
      <c r="I259" s="94">
        <v>52241</v>
      </c>
      <c r="J259" s="94">
        <v>51605</v>
      </c>
      <c r="K259" s="94">
        <v>246</v>
      </c>
      <c r="L259" s="92" t="s">
        <v>58</v>
      </c>
      <c r="M259" s="92" t="s">
        <v>55</v>
      </c>
      <c r="N259" s="136">
        <f t="shared" ref="N259:N322" si="4">SUM(F259,G259,H259)/J259</f>
        <v>7.3636275554694319E-2</v>
      </c>
    </row>
    <row r="260" spans="1:14" x14ac:dyDescent="0.3">
      <c r="A260" s="87" t="s">
        <v>364</v>
      </c>
      <c r="B260" s="88" t="s">
        <v>14</v>
      </c>
      <c r="C260" s="89">
        <v>45631</v>
      </c>
      <c r="D260" s="88" t="s">
        <v>69</v>
      </c>
      <c r="E260" s="88" t="s">
        <v>70</v>
      </c>
      <c r="F260" s="94">
        <v>1330</v>
      </c>
      <c r="G260" s="94">
        <v>925</v>
      </c>
      <c r="H260" s="94">
        <v>35</v>
      </c>
      <c r="I260" s="94">
        <v>15960</v>
      </c>
      <c r="J260" s="94">
        <v>15379</v>
      </c>
      <c r="K260" s="94">
        <v>229</v>
      </c>
      <c r="L260" s="92" t="s">
        <v>77</v>
      </c>
      <c r="M260" s="92" t="s">
        <v>55</v>
      </c>
      <c r="N260" s="136">
        <f t="shared" si="4"/>
        <v>0.14890435008778205</v>
      </c>
    </row>
    <row r="261" spans="1:14" x14ac:dyDescent="0.3">
      <c r="A261" s="87" t="s">
        <v>364</v>
      </c>
      <c r="B261" s="88" t="s">
        <v>14</v>
      </c>
      <c r="C261" s="89">
        <v>45631</v>
      </c>
      <c r="D261" s="88" t="s">
        <v>69</v>
      </c>
      <c r="E261" s="88" t="s">
        <v>70</v>
      </c>
      <c r="F261" s="94">
        <v>1330</v>
      </c>
      <c r="G261" s="94">
        <v>925</v>
      </c>
      <c r="H261" s="94">
        <v>35</v>
      </c>
      <c r="I261" s="94">
        <v>15960</v>
      </c>
      <c r="J261" s="94">
        <v>15379</v>
      </c>
      <c r="K261" s="94">
        <v>229</v>
      </c>
      <c r="L261" s="92" t="s">
        <v>44</v>
      </c>
      <c r="M261" s="92" t="s">
        <v>55</v>
      </c>
      <c r="N261" s="136">
        <f t="shared" si="4"/>
        <v>0.14890435008778205</v>
      </c>
    </row>
    <row r="262" spans="1:14" x14ac:dyDescent="0.3">
      <c r="A262" s="87" t="s">
        <v>366</v>
      </c>
      <c r="B262" s="88" t="s">
        <v>40</v>
      </c>
      <c r="C262" s="89">
        <v>45465</v>
      </c>
      <c r="D262" s="88" t="s">
        <v>22</v>
      </c>
      <c r="E262" s="88" t="s">
        <v>23</v>
      </c>
      <c r="F262" s="94">
        <v>3828</v>
      </c>
      <c r="G262" s="94">
        <v>148</v>
      </c>
      <c r="H262" s="94">
        <v>253</v>
      </c>
      <c r="I262" s="94">
        <v>30624</v>
      </c>
      <c r="J262" s="94">
        <v>30229</v>
      </c>
      <c r="K262" s="94">
        <v>235</v>
      </c>
      <c r="L262" s="92" t="s">
        <v>18</v>
      </c>
      <c r="M262" s="92" t="s">
        <v>55</v>
      </c>
      <c r="N262" s="136">
        <f t="shared" si="4"/>
        <v>0.13989877270171028</v>
      </c>
    </row>
    <row r="263" spans="1:14" x14ac:dyDescent="0.3">
      <c r="A263" s="87" t="s">
        <v>366</v>
      </c>
      <c r="B263" s="88" t="s">
        <v>40</v>
      </c>
      <c r="C263" s="89">
        <v>45465</v>
      </c>
      <c r="D263" s="88" t="s">
        <v>22</v>
      </c>
      <c r="E263" s="88" t="s">
        <v>23</v>
      </c>
      <c r="F263" s="94">
        <v>3828</v>
      </c>
      <c r="G263" s="94">
        <v>148</v>
      </c>
      <c r="H263" s="94">
        <v>253</v>
      </c>
      <c r="I263" s="94">
        <v>30624</v>
      </c>
      <c r="J263" s="94">
        <v>30229</v>
      </c>
      <c r="K263" s="94">
        <v>235</v>
      </c>
      <c r="L263" s="92" t="s">
        <v>58</v>
      </c>
      <c r="M263" s="92" t="s">
        <v>55</v>
      </c>
      <c r="N263" s="136">
        <f t="shared" si="4"/>
        <v>0.13989877270171028</v>
      </c>
    </row>
    <row r="264" spans="1:14" x14ac:dyDescent="0.3">
      <c r="A264" s="87" t="s">
        <v>367</v>
      </c>
      <c r="B264" s="88" t="s">
        <v>31</v>
      </c>
      <c r="C264" s="89">
        <v>45674</v>
      </c>
      <c r="D264" s="88" t="s">
        <v>16</v>
      </c>
      <c r="E264" s="88" t="s">
        <v>17</v>
      </c>
      <c r="F264" s="94">
        <v>142</v>
      </c>
      <c r="G264" s="94">
        <v>784</v>
      </c>
      <c r="H264" s="94">
        <v>183</v>
      </c>
      <c r="I264" s="94">
        <v>1704</v>
      </c>
      <c r="J264" s="94">
        <v>995</v>
      </c>
      <c r="K264" s="94">
        <v>154</v>
      </c>
      <c r="L264" s="92" t="s">
        <v>18</v>
      </c>
      <c r="M264" s="92" t="s">
        <v>19</v>
      </c>
      <c r="N264" s="136">
        <f t="shared" si="4"/>
        <v>1.114572864321608</v>
      </c>
    </row>
    <row r="265" spans="1:14" x14ac:dyDescent="0.3">
      <c r="A265" s="87" t="s">
        <v>369</v>
      </c>
      <c r="B265" s="88" t="s">
        <v>40</v>
      </c>
      <c r="C265" s="89">
        <v>45463</v>
      </c>
      <c r="D265" s="88" t="s">
        <v>69</v>
      </c>
      <c r="E265" s="88" t="s">
        <v>70</v>
      </c>
      <c r="F265" s="94">
        <v>3798</v>
      </c>
      <c r="G265" s="94">
        <v>31</v>
      </c>
      <c r="H265" s="94">
        <v>279</v>
      </c>
      <c r="I265" s="94">
        <v>75960</v>
      </c>
      <c r="J265" s="94">
        <v>75813</v>
      </c>
      <c r="K265" s="94">
        <v>266</v>
      </c>
      <c r="L265" s="92" t="s">
        <v>24</v>
      </c>
      <c r="M265" s="92" t="s">
        <v>25</v>
      </c>
      <c r="N265" s="136">
        <f t="shared" si="4"/>
        <v>5.4185957553453894E-2</v>
      </c>
    </row>
    <row r="266" spans="1:14" x14ac:dyDescent="0.3">
      <c r="A266" s="87" t="s">
        <v>371</v>
      </c>
      <c r="B266" s="88" t="s">
        <v>31</v>
      </c>
      <c r="C266" s="89">
        <v>45483</v>
      </c>
      <c r="D266" s="88" t="s">
        <v>42</v>
      </c>
      <c r="E266" s="88" t="s">
        <v>43</v>
      </c>
      <c r="F266" s="94">
        <v>3099</v>
      </c>
      <c r="G266" s="94">
        <v>694</v>
      </c>
      <c r="H266" s="94">
        <v>171</v>
      </c>
      <c r="I266" s="94">
        <v>43386</v>
      </c>
      <c r="J266" s="94">
        <v>42921</v>
      </c>
      <c r="K266" s="94">
        <v>52</v>
      </c>
      <c r="L266" s="92" t="s">
        <v>77</v>
      </c>
      <c r="M266" s="92" t="s">
        <v>55</v>
      </c>
      <c r="N266" s="136">
        <f t="shared" si="4"/>
        <v>9.2355723305607984E-2</v>
      </c>
    </row>
    <row r="267" spans="1:14" x14ac:dyDescent="0.3">
      <c r="A267" s="87" t="s">
        <v>373</v>
      </c>
      <c r="B267" s="88" t="s">
        <v>31</v>
      </c>
      <c r="C267" s="89">
        <v>45603</v>
      </c>
      <c r="D267" s="88" t="s">
        <v>69</v>
      </c>
      <c r="E267" s="88" t="s">
        <v>70</v>
      </c>
      <c r="F267" s="94">
        <v>129</v>
      </c>
      <c r="G267" s="94">
        <v>643</v>
      </c>
      <c r="H267" s="94">
        <v>136</v>
      </c>
      <c r="I267" s="94">
        <v>1290</v>
      </c>
      <c r="J267" s="94">
        <v>839</v>
      </c>
      <c r="K267" s="94">
        <v>238</v>
      </c>
      <c r="L267" s="92" t="s">
        <v>58</v>
      </c>
      <c r="M267" s="92" t="s">
        <v>55</v>
      </c>
      <c r="N267" s="136">
        <f t="shared" si="4"/>
        <v>1.0822407628128725</v>
      </c>
    </row>
    <row r="268" spans="1:14" x14ac:dyDescent="0.3">
      <c r="A268" s="87" t="s">
        <v>373</v>
      </c>
      <c r="B268" s="88" t="s">
        <v>31</v>
      </c>
      <c r="C268" s="89">
        <v>45603</v>
      </c>
      <c r="D268" s="88" t="s">
        <v>69</v>
      </c>
      <c r="E268" s="88" t="s">
        <v>70</v>
      </c>
      <c r="F268" s="94">
        <v>129</v>
      </c>
      <c r="G268" s="94">
        <v>643</v>
      </c>
      <c r="H268" s="94">
        <v>136</v>
      </c>
      <c r="I268" s="94">
        <v>1290</v>
      </c>
      <c r="J268" s="94">
        <v>839</v>
      </c>
      <c r="K268" s="94">
        <v>238</v>
      </c>
      <c r="L268" s="92" t="s">
        <v>77</v>
      </c>
      <c r="M268" s="92" t="s">
        <v>55</v>
      </c>
      <c r="N268" s="136">
        <f t="shared" si="4"/>
        <v>1.0822407628128725</v>
      </c>
    </row>
    <row r="269" spans="1:14" x14ac:dyDescent="0.3">
      <c r="A269" s="87" t="s">
        <v>374</v>
      </c>
      <c r="B269" s="88" t="s">
        <v>40</v>
      </c>
      <c r="C269" s="89">
        <v>45488</v>
      </c>
      <c r="D269" s="88" t="s">
        <v>42</v>
      </c>
      <c r="E269" s="88" t="s">
        <v>43</v>
      </c>
      <c r="F269" s="94">
        <v>3796</v>
      </c>
      <c r="G269" s="94">
        <v>667</v>
      </c>
      <c r="H269" s="94">
        <v>395</v>
      </c>
      <c r="I269" s="94">
        <v>64532</v>
      </c>
      <c r="J269" s="94">
        <v>63550</v>
      </c>
      <c r="K269" s="94">
        <v>292</v>
      </c>
      <c r="L269" s="92" t="s">
        <v>58</v>
      </c>
      <c r="M269" s="92" t="s">
        <v>19</v>
      </c>
      <c r="N269" s="136">
        <f t="shared" si="4"/>
        <v>7.6443745082612119E-2</v>
      </c>
    </row>
    <row r="270" spans="1:14" x14ac:dyDescent="0.3">
      <c r="A270" s="87" t="s">
        <v>375</v>
      </c>
      <c r="B270" s="88" t="s">
        <v>577</v>
      </c>
      <c r="C270" s="89">
        <v>45629</v>
      </c>
      <c r="D270" s="88" t="s">
        <v>22</v>
      </c>
      <c r="E270" s="88" t="s">
        <v>23</v>
      </c>
      <c r="F270" s="94">
        <v>3711</v>
      </c>
      <c r="G270" s="94">
        <v>352</v>
      </c>
      <c r="H270" s="94">
        <v>290</v>
      </c>
      <c r="I270" s="94">
        <v>48243</v>
      </c>
      <c r="J270" s="94">
        <v>47579</v>
      </c>
      <c r="K270" s="94">
        <v>11</v>
      </c>
      <c r="L270" s="92" t="s">
        <v>58</v>
      </c>
      <c r="M270" s="92" t="s">
        <v>55</v>
      </c>
      <c r="N270" s="136">
        <f t="shared" si="4"/>
        <v>9.1489943042098398E-2</v>
      </c>
    </row>
    <row r="271" spans="1:14" x14ac:dyDescent="0.3">
      <c r="A271" s="87" t="s">
        <v>375</v>
      </c>
      <c r="B271" s="88" t="s">
        <v>577</v>
      </c>
      <c r="C271" s="89">
        <v>45629</v>
      </c>
      <c r="D271" s="88" t="s">
        <v>22</v>
      </c>
      <c r="E271" s="88" t="s">
        <v>23</v>
      </c>
      <c r="F271" s="94">
        <v>3711</v>
      </c>
      <c r="G271" s="94">
        <v>352</v>
      </c>
      <c r="H271" s="94">
        <v>290</v>
      </c>
      <c r="I271" s="94">
        <v>48243</v>
      </c>
      <c r="J271" s="94">
        <v>47579</v>
      </c>
      <c r="K271" s="94">
        <v>11</v>
      </c>
      <c r="L271" s="92" t="s">
        <v>77</v>
      </c>
      <c r="M271" s="92" t="s">
        <v>55</v>
      </c>
      <c r="N271" s="136">
        <f t="shared" si="4"/>
        <v>9.1489943042098398E-2</v>
      </c>
    </row>
    <row r="272" spans="1:14" x14ac:dyDescent="0.3">
      <c r="A272" s="87" t="s">
        <v>376</v>
      </c>
      <c r="B272" s="88" t="s">
        <v>577</v>
      </c>
      <c r="C272" s="89">
        <v>45737</v>
      </c>
      <c r="D272" s="88" t="s">
        <v>49</v>
      </c>
      <c r="E272" s="88" t="s">
        <v>50</v>
      </c>
      <c r="F272" s="94">
        <v>606</v>
      </c>
      <c r="G272" s="94">
        <v>789</v>
      </c>
      <c r="H272" s="94">
        <v>470</v>
      </c>
      <c r="I272" s="94">
        <v>7878</v>
      </c>
      <c r="J272" s="94">
        <v>7389</v>
      </c>
      <c r="K272" s="94">
        <v>239</v>
      </c>
      <c r="L272" s="92" t="s">
        <v>18</v>
      </c>
      <c r="M272" s="92" t="s">
        <v>25</v>
      </c>
      <c r="N272" s="136">
        <f t="shared" si="4"/>
        <v>0.25240221951549602</v>
      </c>
    </row>
    <row r="273" spans="1:14" x14ac:dyDescent="0.3">
      <c r="A273" s="87" t="s">
        <v>378</v>
      </c>
      <c r="B273" s="88" t="s">
        <v>40</v>
      </c>
      <c r="C273" s="89">
        <v>45504</v>
      </c>
      <c r="D273" s="88" t="s">
        <v>49</v>
      </c>
      <c r="E273" s="88" t="s">
        <v>50</v>
      </c>
      <c r="F273" s="94">
        <v>4689</v>
      </c>
      <c r="G273" s="94">
        <v>134</v>
      </c>
      <c r="H273" s="94">
        <v>403</v>
      </c>
      <c r="I273" s="94">
        <v>51579</v>
      </c>
      <c r="J273" s="94">
        <v>50924</v>
      </c>
      <c r="K273" s="94">
        <v>173</v>
      </c>
      <c r="L273" s="92" t="s">
        <v>77</v>
      </c>
      <c r="M273" s="92" t="s">
        <v>19</v>
      </c>
      <c r="N273" s="136">
        <f t="shared" si="4"/>
        <v>0.10262351739847617</v>
      </c>
    </row>
    <row r="274" spans="1:14" x14ac:dyDescent="0.3">
      <c r="A274" s="87" t="s">
        <v>379</v>
      </c>
      <c r="B274" s="88" t="s">
        <v>31</v>
      </c>
      <c r="C274" s="89">
        <v>45643</v>
      </c>
      <c r="D274" s="88" t="s">
        <v>33</v>
      </c>
      <c r="E274" s="88" t="s">
        <v>34</v>
      </c>
      <c r="F274" s="94">
        <v>360</v>
      </c>
      <c r="G274" s="94">
        <v>590</v>
      </c>
      <c r="H274" s="94">
        <v>393</v>
      </c>
      <c r="I274" s="94">
        <v>4680</v>
      </c>
      <c r="J274" s="94">
        <v>4322</v>
      </c>
      <c r="K274" s="94">
        <v>208</v>
      </c>
      <c r="L274" s="92" t="s">
        <v>58</v>
      </c>
      <c r="M274" s="92" t="s">
        <v>25</v>
      </c>
      <c r="N274" s="136">
        <f t="shared" si="4"/>
        <v>0.3107357704766312</v>
      </c>
    </row>
    <row r="275" spans="1:14" x14ac:dyDescent="0.3">
      <c r="A275" s="87" t="s">
        <v>379</v>
      </c>
      <c r="B275" s="88" t="s">
        <v>31</v>
      </c>
      <c r="C275" s="89">
        <v>45643</v>
      </c>
      <c r="D275" s="88" t="s">
        <v>33</v>
      </c>
      <c r="E275" s="88" t="s">
        <v>34</v>
      </c>
      <c r="F275" s="94">
        <v>360</v>
      </c>
      <c r="G275" s="94">
        <v>590</v>
      </c>
      <c r="H275" s="94">
        <v>393</v>
      </c>
      <c r="I275" s="94">
        <v>4680</v>
      </c>
      <c r="J275" s="94">
        <v>4322</v>
      </c>
      <c r="K275" s="94">
        <v>208</v>
      </c>
      <c r="L275" s="92" t="s">
        <v>77</v>
      </c>
      <c r="M275" s="92" t="s">
        <v>25</v>
      </c>
      <c r="N275" s="136">
        <f t="shared" si="4"/>
        <v>0.3107357704766312</v>
      </c>
    </row>
    <row r="276" spans="1:14" x14ac:dyDescent="0.3">
      <c r="A276" s="87" t="s">
        <v>381</v>
      </c>
      <c r="B276" s="88" t="s">
        <v>14</v>
      </c>
      <c r="C276" s="89">
        <v>45501</v>
      </c>
      <c r="D276" s="88" t="s">
        <v>49</v>
      </c>
      <c r="E276" s="88" t="s">
        <v>50</v>
      </c>
      <c r="F276" s="94">
        <v>3215</v>
      </c>
      <c r="G276" s="94">
        <v>960</v>
      </c>
      <c r="H276" s="94">
        <v>202</v>
      </c>
      <c r="I276" s="94">
        <v>32150</v>
      </c>
      <c r="J276" s="94">
        <v>31404</v>
      </c>
      <c r="K276" s="94">
        <v>251</v>
      </c>
      <c r="L276" s="92" t="s">
        <v>58</v>
      </c>
      <c r="M276" s="92" t="s">
        <v>38</v>
      </c>
      <c r="N276" s="136">
        <f t="shared" si="4"/>
        <v>0.13937714940771875</v>
      </c>
    </row>
    <row r="277" spans="1:14" x14ac:dyDescent="0.3">
      <c r="A277" s="87" t="s">
        <v>383</v>
      </c>
      <c r="B277" s="88" t="s">
        <v>31</v>
      </c>
      <c r="C277" s="89">
        <v>45668</v>
      </c>
      <c r="D277" s="88" t="s">
        <v>42</v>
      </c>
      <c r="E277" s="88" t="s">
        <v>43</v>
      </c>
      <c r="F277" s="94">
        <v>4523</v>
      </c>
      <c r="G277" s="94">
        <v>61</v>
      </c>
      <c r="H277" s="94">
        <v>157</v>
      </c>
      <c r="I277" s="94">
        <v>49753</v>
      </c>
      <c r="J277" s="94">
        <v>49329</v>
      </c>
      <c r="K277" s="94">
        <v>71</v>
      </c>
      <c r="L277" s="92" t="s">
        <v>18</v>
      </c>
      <c r="M277" s="92" t="s">
        <v>55</v>
      </c>
      <c r="N277" s="136">
        <f t="shared" si="4"/>
        <v>9.6109793427801085E-2</v>
      </c>
    </row>
    <row r="278" spans="1:14" x14ac:dyDescent="0.3">
      <c r="A278" s="87" t="s">
        <v>383</v>
      </c>
      <c r="B278" s="88" t="s">
        <v>31</v>
      </c>
      <c r="C278" s="89">
        <v>45668</v>
      </c>
      <c r="D278" s="88" t="s">
        <v>42</v>
      </c>
      <c r="E278" s="88" t="s">
        <v>43</v>
      </c>
      <c r="F278" s="94">
        <v>4523</v>
      </c>
      <c r="G278" s="94">
        <v>61</v>
      </c>
      <c r="H278" s="94">
        <v>157</v>
      </c>
      <c r="I278" s="94">
        <v>49753</v>
      </c>
      <c r="J278" s="94">
        <v>49329</v>
      </c>
      <c r="K278" s="94">
        <v>71</v>
      </c>
      <c r="L278" s="92" t="s">
        <v>44</v>
      </c>
      <c r="M278" s="92" t="s">
        <v>55</v>
      </c>
      <c r="N278" s="136">
        <f t="shared" si="4"/>
        <v>9.6109793427801085E-2</v>
      </c>
    </row>
    <row r="279" spans="1:14" x14ac:dyDescent="0.3">
      <c r="A279" s="87" t="s">
        <v>385</v>
      </c>
      <c r="B279" s="88" t="s">
        <v>40</v>
      </c>
      <c r="C279" s="89">
        <v>45528</v>
      </c>
      <c r="D279" s="88" t="s">
        <v>42</v>
      </c>
      <c r="E279" s="88" t="s">
        <v>43</v>
      </c>
      <c r="F279" s="94">
        <v>4292</v>
      </c>
      <c r="G279" s="94">
        <v>51</v>
      </c>
      <c r="H279" s="94">
        <v>392</v>
      </c>
      <c r="I279" s="94">
        <v>55796</v>
      </c>
      <c r="J279" s="94">
        <v>54826</v>
      </c>
      <c r="K279" s="94">
        <v>264</v>
      </c>
      <c r="L279" s="92" t="s">
        <v>44</v>
      </c>
      <c r="M279" s="92" t="s">
        <v>19</v>
      </c>
      <c r="N279" s="136">
        <f t="shared" si="4"/>
        <v>8.6364133805128959E-2</v>
      </c>
    </row>
    <row r="280" spans="1:14" x14ac:dyDescent="0.3">
      <c r="A280" s="87" t="s">
        <v>385</v>
      </c>
      <c r="B280" s="88" t="s">
        <v>40</v>
      </c>
      <c r="C280" s="89">
        <v>45528</v>
      </c>
      <c r="D280" s="88" t="s">
        <v>42</v>
      </c>
      <c r="E280" s="88" t="s">
        <v>43</v>
      </c>
      <c r="F280" s="94">
        <v>4292</v>
      </c>
      <c r="G280" s="94">
        <v>51</v>
      </c>
      <c r="H280" s="94">
        <v>392</v>
      </c>
      <c r="I280" s="94">
        <v>55796</v>
      </c>
      <c r="J280" s="94">
        <v>54826</v>
      </c>
      <c r="K280" s="94">
        <v>264</v>
      </c>
      <c r="L280" s="92" t="s">
        <v>58</v>
      </c>
      <c r="M280" s="92" t="s">
        <v>19</v>
      </c>
      <c r="N280" s="136">
        <f t="shared" si="4"/>
        <v>8.6364133805128959E-2</v>
      </c>
    </row>
    <row r="281" spans="1:14" x14ac:dyDescent="0.3">
      <c r="A281" s="87" t="s">
        <v>386</v>
      </c>
      <c r="B281" s="88" t="s">
        <v>14</v>
      </c>
      <c r="C281" s="89">
        <v>45648</v>
      </c>
      <c r="D281" s="88" t="s">
        <v>16</v>
      </c>
      <c r="E281" s="88" t="s">
        <v>17</v>
      </c>
      <c r="F281" s="94">
        <v>1644</v>
      </c>
      <c r="G281" s="94">
        <v>546</v>
      </c>
      <c r="H281" s="94">
        <v>150</v>
      </c>
      <c r="I281" s="94">
        <v>27948</v>
      </c>
      <c r="J281" s="94">
        <v>27184</v>
      </c>
      <c r="K281" s="94">
        <v>300</v>
      </c>
      <c r="L281" s="92" t="s">
        <v>18</v>
      </c>
      <c r="M281" s="92" t="s">
        <v>19</v>
      </c>
      <c r="N281" s="136">
        <f t="shared" si="4"/>
        <v>8.6080047086521477E-2</v>
      </c>
    </row>
    <row r="282" spans="1:14" x14ac:dyDescent="0.3">
      <c r="A282" s="87" t="s">
        <v>386</v>
      </c>
      <c r="B282" s="88" t="s">
        <v>14</v>
      </c>
      <c r="C282" s="89">
        <v>45648</v>
      </c>
      <c r="D282" s="88" t="s">
        <v>16</v>
      </c>
      <c r="E282" s="88" t="s">
        <v>17</v>
      </c>
      <c r="F282" s="94">
        <v>1644</v>
      </c>
      <c r="G282" s="94">
        <v>546</v>
      </c>
      <c r="H282" s="94">
        <v>150</v>
      </c>
      <c r="I282" s="94">
        <v>27948</v>
      </c>
      <c r="J282" s="94">
        <v>27184</v>
      </c>
      <c r="K282" s="94">
        <v>300</v>
      </c>
      <c r="L282" s="92" t="s">
        <v>44</v>
      </c>
      <c r="M282" s="92" t="s">
        <v>19</v>
      </c>
      <c r="N282" s="136">
        <f t="shared" si="4"/>
        <v>8.6080047086521477E-2</v>
      </c>
    </row>
    <row r="283" spans="1:14" x14ac:dyDescent="0.3">
      <c r="A283" s="87" t="s">
        <v>388</v>
      </c>
      <c r="B283" s="88" t="s">
        <v>577</v>
      </c>
      <c r="C283" s="89">
        <v>45449</v>
      </c>
      <c r="D283" s="88" t="s">
        <v>16</v>
      </c>
      <c r="E283" s="88" t="s">
        <v>17</v>
      </c>
      <c r="F283" s="94">
        <v>2728</v>
      </c>
      <c r="G283" s="94">
        <v>533</v>
      </c>
      <c r="H283" s="94">
        <v>215</v>
      </c>
      <c r="I283" s="94">
        <v>40920</v>
      </c>
      <c r="J283" s="94">
        <v>40816</v>
      </c>
      <c r="K283" s="94">
        <v>137</v>
      </c>
      <c r="L283" s="92" t="s">
        <v>18</v>
      </c>
      <c r="M283" s="92" t="s">
        <v>25</v>
      </c>
      <c r="N283" s="136">
        <f t="shared" si="4"/>
        <v>8.516268130145041E-2</v>
      </c>
    </row>
    <row r="284" spans="1:14" x14ac:dyDescent="0.3">
      <c r="A284" s="87" t="s">
        <v>389</v>
      </c>
      <c r="B284" s="88" t="s">
        <v>40</v>
      </c>
      <c r="C284" s="89">
        <v>45740</v>
      </c>
      <c r="D284" s="88" t="s">
        <v>16</v>
      </c>
      <c r="E284" s="88" t="s">
        <v>17</v>
      </c>
      <c r="F284" s="94">
        <v>3360</v>
      </c>
      <c r="G284" s="94">
        <v>525</v>
      </c>
      <c r="H284" s="94">
        <v>500</v>
      </c>
      <c r="I284" s="94">
        <v>60480</v>
      </c>
      <c r="J284" s="94">
        <v>59610</v>
      </c>
      <c r="K284" s="94">
        <v>192</v>
      </c>
      <c r="L284" s="92" t="s">
        <v>18</v>
      </c>
      <c r="M284" s="92" t="s">
        <v>19</v>
      </c>
      <c r="N284" s="136">
        <f t="shared" si="4"/>
        <v>7.3561482972655592E-2</v>
      </c>
    </row>
    <row r="285" spans="1:14" x14ac:dyDescent="0.3">
      <c r="A285" s="87" t="s">
        <v>389</v>
      </c>
      <c r="B285" s="88" t="s">
        <v>40</v>
      </c>
      <c r="C285" s="89">
        <v>45740</v>
      </c>
      <c r="D285" s="88" t="s">
        <v>16</v>
      </c>
      <c r="E285" s="88" t="s">
        <v>17</v>
      </c>
      <c r="F285" s="94">
        <v>3360</v>
      </c>
      <c r="G285" s="94">
        <v>525</v>
      </c>
      <c r="H285" s="94">
        <v>500</v>
      </c>
      <c r="I285" s="94">
        <v>60480</v>
      </c>
      <c r="J285" s="94">
        <v>59610</v>
      </c>
      <c r="K285" s="94">
        <v>192</v>
      </c>
      <c r="L285" s="92" t="s">
        <v>58</v>
      </c>
      <c r="M285" s="92" t="s">
        <v>19</v>
      </c>
      <c r="N285" s="136">
        <f t="shared" si="4"/>
        <v>7.3561482972655592E-2</v>
      </c>
    </row>
    <row r="286" spans="1:14" x14ac:dyDescent="0.3">
      <c r="A286" s="87" t="s">
        <v>390</v>
      </c>
      <c r="B286" s="88" t="s">
        <v>577</v>
      </c>
      <c r="C286" s="89">
        <v>45569</v>
      </c>
      <c r="D286" s="88" t="s">
        <v>22</v>
      </c>
      <c r="E286" s="88" t="s">
        <v>23</v>
      </c>
      <c r="F286" s="94">
        <v>1963</v>
      </c>
      <c r="G286" s="94">
        <v>213</v>
      </c>
      <c r="H286" s="94">
        <v>19</v>
      </c>
      <c r="I286" s="94">
        <v>39260</v>
      </c>
      <c r="J286" s="94">
        <v>38771</v>
      </c>
      <c r="K286" s="94">
        <v>145</v>
      </c>
      <c r="L286" s="92" t="s">
        <v>58</v>
      </c>
      <c r="M286" s="92" t="s">
        <v>19</v>
      </c>
      <c r="N286" s="136">
        <f t="shared" si="4"/>
        <v>5.6614479894766707E-2</v>
      </c>
    </row>
    <row r="287" spans="1:14" x14ac:dyDescent="0.3">
      <c r="A287" s="87" t="s">
        <v>392</v>
      </c>
      <c r="B287" s="88" t="s">
        <v>577</v>
      </c>
      <c r="C287" s="89">
        <v>45629</v>
      </c>
      <c r="D287" s="88" t="s">
        <v>33</v>
      </c>
      <c r="E287" s="88" t="s">
        <v>34</v>
      </c>
      <c r="F287" s="94">
        <v>4285</v>
      </c>
      <c r="G287" s="94">
        <v>886</v>
      </c>
      <c r="H287" s="94">
        <v>376</v>
      </c>
      <c r="I287" s="94">
        <v>55705</v>
      </c>
      <c r="J287" s="94">
        <v>55556</v>
      </c>
      <c r="K287" s="94">
        <v>51</v>
      </c>
      <c r="L287" s="92" t="s">
        <v>24</v>
      </c>
      <c r="M287" s="92" t="s">
        <v>55</v>
      </c>
      <c r="N287" s="136">
        <f t="shared" si="4"/>
        <v>9.9845201238390094E-2</v>
      </c>
    </row>
    <row r="288" spans="1:14" x14ac:dyDescent="0.3">
      <c r="A288" s="87" t="s">
        <v>392</v>
      </c>
      <c r="B288" s="88" t="s">
        <v>577</v>
      </c>
      <c r="C288" s="89">
        <v>45629</v>
      </c>
      <c r="D288" s="88" t="s">
        <v>33</v>
      </c>
      <c r="E288" s="88" t="s">
        <v>34</v>
      </c>
      <c r="F288" s="94">
        <v>4285</v>
      </c>
      <c r="G288" s="94">
        <v>886</v>
      </c>
      <c r="H288" s="94">
        <v>376</v>
      </c>
      <c r="I288" s="94">
        <v>55705</v>
      </c>
      <c r="J288" s="94">
        <v>55556</v>
      </c>
      <c r="K288" s="94">
        <v>51</v>
      </c>
      <c r="L288" s="92" t="s">
        <v>77</v>
      </c>
      <c r="M288" s="92" t="s">
        <v>55</v>
      </c>
      <c r="N288" s="136">
        <f t="shared" si="4"/>
        <v>9.9845201238390094E-2</v>
      </c>
    </row>
    <row r="289" spans="1:14" x14ac:dyDescent="0.3">
      <c r="A289" s="87" t="s">
        <v>393</v>
      </c>
      <c r="B289" s="88" t="s">
        <v>31</v>
      </c>
      <c r="C289" s="89">
        <v>45625</v>
      </c>
      <c r="D289" s="88" t="s">
        <v>69</v>
      </c>
      <c r="E289" s="88" t="s">
        <v>70</v>
      </c>
      <c r="F289" s="94">
        <v>1176</v>
      </c>
      <c r="G289" s="94">
        <v>464</v>
      </c>
      <c r="H289" s="94">
        <v>394</v>
      </c>
      <c r="I289" s="94">
        <v>14112</v>
      </c>
      <c r="J289" s="94">
        <v>13588</v>
      </c>
      <c r="K289" s="94">
        <v>272</v>
      </c>
      <c r="L289" s="92" t="s">
        <v>77</v>
      </c>
      <c r="M289" s="92" t="s">
        <v>19</v>
      </c>
      <c r="N289" s="136">
        <f t="shared" si="4"/>
        <v>0.14969090373859287</v>
      </c>
    </row>
    <row r="290" spans="1:14" x14ac:dyDescent="0.3">
      <c r="A290" s="87" t="s">
        <v>395</v>
      </c>
      <c r="B290" s="88" t="s">
        <v>14</v>
      </c>
      <c r="C290" s="89">
        <v>45546</v>
      </c>
      <c r="D290" s="88" t="s">
        <v>49</v>
      </c>
      <c r="E290" s="88" t="s">
        <v>50</v>
      </c>
      <c r="F290" s="94">
        <v>4858</v>
      </c>
      <c r="G290" s="94">
        <v>317</v>
      </c>
      <c r="H290" s="94">
        <v>129</v>
      </c>
      <c r="I290" s="94">
        <v>53438</v>
      </c>
      <c r="J290" s="94">
        <v>52687</v>
      </c>
      <c r="K290" s="94">
        <v>223</v>
      </c>
      <c r="L290" s="92" t="s">
        <v>77</v>
      </c>
      <c r="M290" s="92" t="s">
        <v>19</v>
      </c>
      <c r="N290" s="136">
        <f t="shared" si="4"/>
        <v>0.10066999449579593</v>
      </c>
    </row>
    <row r="291" spans="1:14" x14ac:dyDescent="0.3">
      <c r="A291" s="87" t="s">
        <v>395</v>
      </c>
      <c r="B291" s="88" t="s">
        <v>14</v>
      </c>
      <c r="C291" s="89">
        <v>45546</v>
      </c>
      <c r="D291" s="88" t="s">
        <v>49</v>
      </c>
      <c r="E291" s="88" t="s">
        <v>50</v>
      </c>
      <c r="F291" s="94">
        <v>4858</v>
      </c>
      <c r="G291" s="94">
        <v>317</v>
      </c>
      <c r="H291" s="94">
        <v>129</v>
      </c>
      <c r="I291" s="94">
        <v>53438</v>
      </c>
      <c r="J291" s="94">
        <v>52687</v>
      </c>
      <c r="K291" s="94">
        <v>223</v>
      </c>
      <c r="L291" s="92" t="s">
        <v>44</v>
      </c>
      <c r="M291" s="92" t="s">
        <v>19</v>
      </c>
      <c r="N291" s="136">
        <f t="shared" si="4"/>
        <v>0.10066999449579593</v>
      </c>
    </row>
    <row r="292" spans="1:14" x14ac:dyDescent="0.3">
      <c r="A292" s="87" t="s">
        <v>397</v>
      </c>
      <c r="B292" s="88" t="s">
        <v>577</v>
      </c>
      <c r="C292" s="89">
        <v>45567</v>
      </c>
      <c r="D292" s="88" t="s">
        <v>33</v>
      </c>
      <c r="E292" s="88" t="s">
        <v>34</v>
      </c>
      <c r="F292" s="94">
        <v>4350</v>
      </c>
      <c r="G292" s="94">
        <v>771</v>
      </c>
      <c r="H292" s="94">
        <v>7</v>
      </c>
      <c r="I292" s="94">
        <v>60900</v>
      </c>
      <c r="J292" s="94">
        <v>60592</v>
      </c>
      <c r="K292" s="94">
        <v>195</v>
      </c>
      <c r="L292" s="92" t="s">
        <v>77</v>
      </c>
      <c r="M292" s="92" t="s">
        <v>25</v>
      </c>
      <c r="N292" s="136">
        <f t="shared" si="4"/>
        <v>8.4631634539213102E-2</v>
      </c>
    </row>
    <row r="293" spans="1:14" x14ac:dyDescent="0.3">
      <c r="A293" s="87" t="s">
        <v>397</v>
      </c>
      <c r="B293" s="88" t="s">
        <v>577</v>
      </c>
      <c r="C293" s="89">
        <v>45567</v>
      </c>
      <c r="D293" s="88" t="s">
        <v>33</v>
      </c>
      <c r="E293" s="88" t="s">
        <v>34</v>
      </c>
      <c r="F293" s="94">
        <v>4350</v>
      </c>
      <c r="G293" s="94">
        <v>771</v>
      </c>
      <c r="H293" s="94">
        <v>7</v>
      </c>
      <c r="I293" s="94">
        <v>60900</v>
      </c>
      <c r="J293" s="94">
        <v>60592</v>
      </c>
      <c r="K293" s="94">
        <v>195</v>
      </c>
      <c r="L293" s="92" t="s">
        <v>58</v>
      </c>
      <c r="M293" s="92" t="s">
        <v>25</v>
      </c>
      <c r="N293" s="136">
        <f t="shared" si="4"/>
        <v>8.4631634539213102E-2</v>
      </c>
    </row>
    <row r="294" spans="1:14" x14ac:dyDescent="0.3">
      <c r="A294" s="87" t="s">
        <v>398</v>
      </c>
      <c r="B294" s="88" t="s">
        <v>31</v>
      </c>
      <c r="C294" s="89">
        <v>45519</v>
      </c>
      <c r="D294" s="88" t="s">
        <v>42</v>
      </c>
      <c r="E294" s="88" t="s">
        <v>43</v>
      </c>
      <c r="F294" s="94">
        <v>914</v>
      </c>
      <c r="G294" s="94">
        <v>464</v>
      </c>
      <c r="H294" s="94">
        <v>246</v>
      </c>
      <c r="I294" s="94">
        <v>11882</v>
      </c>
      <c r="J294" s="94">
        <v>11500</v>
      </c>
      <c r="K294" s="94">
        <v>282</v>
      </c>
      <c r="L294" s="92" t="s">
        <v>24</v>
      </c>
      <c r="M294" s="92" t="s">
        <v>38</v>
      </c>
      <c r="N294" s="136">
        <f t="shared" si="4"/>
        <v>0.14121739130434782</v>
      </c>
    </row>
    <row r="295" spans="1:14" x14ac:dyDescent="0.3">
      <c r="A295" s="87" t="s">
        <v>398</v>
      </c>
      <c r="B295" s="88" t="s">
        <v>31</v>
      </c>
      <c r="C295" s="89">
        <v>45519</v>
      </c>
      <c r="D295" s="88" t="s">
        <v>42</v>
      </c>
      <c r="E295" s="88" t="s">
        <v>43</v>
      </c>
      <c r="F295" s="94">
        <v>914</v>
      </c>
      <c r="G295" s="94">
        <v>464</v>
      </c>
      <c r="H295" s="94">
        <v>246</v>
      </c>
      <c r="I295" s="94">
        <v>11882</v>
      </c>
      <c r="J295" s="94">
        <v>11500</v>
      </c>
      <c r="K295" s="94">
        <v>282</v>
      </c>
      <c r="L295" s="92" t="s">
        <v>44</v>
      </c>
      <c r="M295" s="92" t="s">
        <v>38</v>
      </c>
      <c r="N295" s="136">
        <f t="shared" si="4"/>
        <v>0.14121739130434782</v>
      </c>
    </row>
    <row r="296" spans="1:14" x14ac:dyDescent="0.3">
      <c r="A296" s="87" t="s">
        <v>400</v>
      </c>
      <c r="B296" s="88" t="s">
        <v>31</v>
      </c>
      <c r="C296" s="89">
        <v>45645</v>
      </c>
      <c r="D296" s="88" t="s">
        <v>22</v>
      </c>
      <c r="E296" s="88" t="s">
        <v>23</v>
      </c>
      <c r="F296" s="94">
        <v>1813</v>
      </c>
      <c r="G296" s="94">
        <v>623</v>
      </c>
      <c r="H296" s="94">
        <v>72</v>
      </c>
      <c r="I296" s="94">
        <v>19943</v>
      </c>
      <c r="J296" s="94">
        <v>18959</v>
      </c>
      <c r="K296" s="94">
        <v>85</v>
      </c>
      <c r="L296" s="92" t="s">
        <v>44</v>
      </c>
      <c r="M296" s="92" t="s">
        <v>38</v>
      </c>
      <c r="N296" s="136">
        <f t="shared" si="4"/>
        <v>0.13228545809378131</v>
      </c>
    </row>
    <row r="297" spans="1:14" x14ac:dyDescent="0.3">
      <c r="A297" s="87" t="s">
        <v>400</v>
      </c>
      <c r="B297" s="88" t="s">
        <v>31</v>
      </c>
      <c r="C297" s="89">
        <v>45645</v>
      </c>
      <c r="D297" s="88" t="s">
        <v>22</v>
      </c>
      <c r="E297" s="88" t="s">
        <v>23</v>
      </c>
      <c r="F297" s="94">
        <v>1813</v>
      </c>
      <c r="G297" s="94">
        <v>623</v>
      </c>
      <c r="H297" s="94">
        <v>72</v>
      </c>
      <c r="I297" s="94">
        <v>19943</v>
      </c>
      <c r="J297" s="94">
        <v>18959</v>
      </c>
      <c r="K297" s="94">
        <v>85</v>
      </c>
      <c r="L297" s="92" t="s">
        <v>24</v>
      </c>
      <c r="M297" s="92" t="s">
        <v>38</v>
      </c>
      <c r="N297" s="136">
        <f t="shared" si="4"/>
        <v>0.13228545809378131</v>
      </c>
    </row>
    <row r="298" spans="1:14" x14ac:dyDescent="0.3">
      <c r="A298" s="87" t="s">
        <v>402</v>
      </c>
      <c r="B298" s="88" t="s">
        <v>14</v>
      </c>
      <c r="C298" s="89">
        <v>45587</v>
      </c>
      <c r="D298" s="88" t="s">
        <v>16</v>
      </c>
      <c r="E298" s="88" t="s">
        <v>17</v>
      </c>
      <c r="F298" s="94">
        <v>4782</v>
      </c>
      <c r="G298" s="94">
        <v>721</v>
      </c>
      <c r="H298" s="94">
        <v>82</v>
      </c>
      <c r="I298" s="94">
        <v>86076</v>
      </c>
      <c r="J298" s="94">
        <v>85339</v>
      </c>
      <c r="K298" s="94">
        <v>19</v>
      </c>
      <c r="L298" s="92" t="s">
        <v>77</v>
      </c>
      <c r="M298" s="92" t="s">
        <v>25</v>
      </c>
      <c r="N298" s="136">
        <f t="shared" si="4"/>
        <v>6.5444872801415532E-2</v>
      </c>
    </row>
    <row r="299" spans="1:14" x14ac:dyDescent="0.3">
      <c r="A299" s="87" t="s">
        <v>403</v>
      </c>
      <c r="B299" s="88" t="s">
        <v>14</v>
      </c>
      <c r="C299" s="89">
        <v>45549</v>
      </c>
      <c r="D299" s="88" t="s">
        <v>49</v>
      </c>
      <c r="E299" s="88" t="s">
        <v>50</v>
      </c>
      <c r="F299" s="94">
        <v>1048</v>
      </c>
      <c r="G299" s="94">
        <v>374</v>
      </c>
      <c r="H299" s="94">
        <v>450</v>
      </c>
      <c r="I299" s="94">
        <v>9432</v>
      </c>
      <c r="J299" s="94">
        <v>8882</v>
      </c>
      <c r="K299" s="94">
        <v>158</v>
      </c>
      <c r="L299" s="92" t="s">
        <v>44</v>
      </c>
      <c r="M299" s="92" t="s">
        <v>25</v>
      </c>
      <c r="N299" s="136">
        <f t="shared" si="4"/>
        <v>0.21076334158973203</v>
      </c>
    </row>
    <row r="300" spans="1:14" x14ac:dyDescent="0.3">
      <c r="A300" s="87" t="s">
        <v>403</v>
      </c>
      <c r="B300" s="88" t="s">
        <v>14</v>
      </c>
      <c r="C300" s="89">
        <v>45549</v>
      </c>
      <c r="D300" s="88" t="s">
        <v>49</v>
      </c>
      <c r="E300" s="88" t="s">
        <v>50</v>
      </c>
      <c r="F300" s="94">
        <v>1048</v>
      </c>
      <c r="G300" s="94">
        <v>374</v>
      </c>
      <c r="H300" s="94">
        <v>450</v>
      </c>
      <c r="I300" s="94">
        <v>9432</v>
      </c>
      <c r="J300" s="94">
        <v>8882</v>
      </c>
      <c r="K300" s="94">
        <v>158</v>
      </c>
      <c r="L300" s="92" t="s">
        <v>18</v>
      </c>
      <c r="M300" s="92" t="s">
        <v>25</v>
      </c>
      <c r="N300" s="136">
        <f t="shared" si="4"/>
        <v>0.21076334158973203</v>
      </c>
    </row>
    <row r="301" spans="1:14" x14ac:dyDescent="0.3">
      <c r="A301" s="87" t="s">
        <v>405</v>
      </c>
      <c r="B301" s="88" t="s">
        <v>577</v>
      </c>
      <c r="C301" s="89">
        <v>45626</v>
      </c>
      <c r="D301" s="88" t="s">
        <v>42</v>
      </c>
      <c r="E301" s="88" t="s">
        <v>43</v>
      </c>
      <c r="F301" s="94">
        <v>2509</v>
      </c>
      <c r="G301" s="94">
        <v>324</v>
      </c>
      <c r="H301" s="94">
        <v>171</v>
      </c>
      <c r="I301" s="94">
        <v>35126</v>
      </c>
      <c r="J301" s="94">
        <v>34685</v>
      </c>
      <c r="K301" s="94">
        <v>277</v>
      </c>
      <c r="L301" s="92" t="s">
        <v>77</v>
      </c>
      <c r="M301" s="92" t="s">
        <v>25</v>
      </c>
      <c r="N301" s="136">
        <f t="shared" si="4"/>
        <v>8.6608043822978237E-2</v>
      </c>
    </row>
    <row r="302" spans="1:14" x14ac:dyDescent="0.3">
      <c r="A302" s="87" t="s">
        <v>406</v>
      </c>
      <c r="B302" s="88" t="s">
        <v>40</v>
      </c>
      <c r="C302" s="89">
        <v>45754</v>
      </c>
      <c r="D302" s="88" t="s">
        <v>16</v>
      </c>
      <c r="E302" s="88" t="s">
        <v>17</v>
      </c>
      <c r="F302" s="94">
        <v>3718</v>
      </c>
      <c r="G302" s="94">
        <v>385</v>
      </c>
      <c r="H302" s="94">
        <v>310</v>
      </c>
      <c r="I302" s="94">
        <v>70642</v>
      </c>
      <c r="J302" s="94">
        <v>69749</v>
      </c>
      <c r="K302" s="94">
        <v>233</v>
      </c>
      <c r="L302" s="92" t="s">
        <v>44</v>
      </c>
      <c r="M302" s="92" t="s">
        <v>19</v>
      </c>
      <c r="N302" s="136">
        <f t="shared" si="4"/>
        <v>6.3269724297122534E-2</v>
      </c>
    </row>
    <row r="303" spans="1:14" x14ac:dyDescent="0.3">
      <c r="A303" s="87" t="s">
        <v>408</v>
      </c>
      <c r="B303" s="88" t="s">
        <v>14</v>
      </c>
      <c r="C303" s="89">
        <v>45672</v>
      </c>
      <c r="D303" s="88" t="s">
        <v>16</v>
      </c>
      <c r="E303" s="88" t="s">
        <v>17</v>
      </c>
      <c r="F303" s="94">
        <v>802</v>
      </c>
      <c r="G303" s="94">
        <v>262</v>
      </c>
      <c r="H303" s="94">
        <v>244</v>
      </c>
      <c r="I303" s="94">
        <v>14436</v>
      </c>
      <c r="J303" s="94">
        <v>14280</v>
      </c>
      <c r="K303" s="94">
        <v>49</v>
      </c>
      <c r="L303" s="92" t="s">
        <v>18</v>
      </c>
      <c r="M303" s="92" t="s">
        <v>55</v>
      </c>
      <c r="N303" s="136">
        <f t="shared" si="4"/>
        <v>9.1596638655462179E-2</v>
      </c>
    </row>
    <row r="304" spans="1:14" x14ac:dyDescent="0.3">
      <c r="A304" s="87" t="s">
        <v>408</v>
      </c>
      <c r="B304" s="88" t="s">
        <v>14</v>
      </c>
      <c r="C304" s="89">
        <v>45672</v>
      </c>
      <c r="D304" s="88" t="s">
        <v>16</v>
      </c>
      <c r="E304" s="88" t="s">
        <v>17</v>
      </c>
      <c r="F304" s="94">
        <v>802</v>
      </c>
      <c r="G304" s="94">
        <v>262</v>
      </c>
      <c r="H304" s="94">
        <v>244</v>
      </c>
      <c r="I304" s="94">
        <v>14436</v>
      </c>
      <c r="J304" s="94">
        <v>14280</v>
      </c>
      <c r="K304" s="94">
        <v>49</v>
      </c>
      <c r="L304" s="92" t="s">
        <v>77</v>
      </c>
      <c r="M304" s="92" t="s">
        <v>55</v>
      </c>
      <c r="N304" s="136">
        <f t="shared" si="4"/>
        <v>9.1596638655462179E-2</v>
      </c>
    </row>
    <row r="305" spans="1:14" x14ac:dyDescent="0.3">
      <c r="A305" s="87" t="s">
        <v>410</v>
      </c>
      <c r="B305" s="88" t="s">
        <v>40</v>
      </c>
      <c r="C305" s="89">
        <v>45445</v>
      </c>
      <c r="D305" s="88" t="s">
        <v>49</v>
      </c>
      <c r="E305" s="88" t="s">
        <v>50</v>
      </c>
      <c r="F305" s="94">
        <v>1871</v>
      </c>
      <c r="G305" s="94">
        <v>252</v>
      </c>
      <c r="H305" s="94">
        <v>335</v>
      </c>
      <c r="I305" s="94">
        <v>29936</v>
      </c>
      <c r="J305" s="94">
        <v>29576</v>
      </c>
      <c r="K305" s="94">
        <v>288</v>
      </c>
      <c r="L305" s="92" t="s">
        <v>44</v>
      </c>
      <c r="M305" s="92" t="s">
        <v>25</v>
      </c>
      <c r="N305" s="136">
        <f t="shared" si="4"/>
        <v>8.3107925344874226E-2</v>
      </c>
    </row>
    <row r="306" spans="1:14" x14ac:dyDescent="0.3">
      <c r="A306" s="87" t="s">
        <v>412</v>
      </c>
      <c r="B306" s="88" t="s">
        <v>31</v>
      </c>
      <c r="C306" s="89">
        <v>45617</v>
      </c>
      <c r="D306" s="88" t="s">
        <v>42</v>
      </c>
      <c r="E306" s="88" t="s">
        <v>43</v>
      </c>
      <c r="F306" s="94">
        <v>3773</v>
      </c>
      <c r="G306" s="94">
        <v>299</v>
      </c>
      <c r="H306" s="94">
        <v>38</v>
      </c>
      <c r="I306" s="94">
        <v>71687</v>
      </c>
      <c r="J306" s="94">
        <v>71447</v>
      </c>
      <c r="K306" s="94">
        <v>286</v>
      </c>
      <c r="L306" s="92" t="s">
        <v>44</v>
      </c>
      <c r="M306" s="92" t="s">
        <v>55</v>
      </c>
      <c r="N306" s="136">
        <f t="shared" si="4"/>
        <v>5.7525158509104654E-2</v>
      </c>
    </row>
    <row r="307" spans="1:14" x14ac:dyDescent="0.3">
      <c r="A307" s="87" t="s">
        <v>414</v>
      </c>
      <c r="B307" s="88" t="s">
        <v>31</v>
      </c>
      <c r="C307" s="89">
        <v>45658</v>
      </c>
      <c r="D307" s="88" t="s">
        <v>42</v>
      </c>
      <c r="E307" s="88" t="s">
        <v>43</v>
      </c>
      <c r="F307" s="94">
        <v>2234</v>
      </c>
      <c r="G307" s="94">
        <v>653</v>
      </c>
      <c r="H307" s="94">
        <v>432</v>
      </c>
      <c r="I307" s="94">
        <v>11170</v>
      </c>
      <c r="J307" s="94">
        <v>10569</v>
      </c>
      <c r="K307" s="94">
        <v>198</v>
      </c>
      <c r="L307" s="92" t="s">
        <v>77</v>
      </c>
      <c r="M307" s="92" t="s">
        <v>55</v>
      </c>
      <c r="N307" s="136">
        <f t="shared" si="4"/>
        <v>0.31403160185448009</v>
      </c>
    </row>
    <row r="308" spans="1:14" x14ac:dyDescent="0.3">
      <c r="A308" s="87" t="s">
        <v>414</v>
      </c>
      <c r="B308" s="88" t="s">
        <v>31</v>
      </c>
      <c r="C308" s="89">
        <v>45658</v>
      </c>
      <c r="D308" s="88" t="s">
        <v>42</v>
      </c>
      <c r="E308" s="88" t="s">
        <v>43</v>
      </c>
      <c r="F308" s="94">
        <v>2234</v>
      </c>
      <c r="G308" s="94">
        <v>653</v>
      </c>
      <c r="H308" s="94">
        <v>432</v>
      </c>
      <c r="I308" s="94">
        <v>11170</v>
      </c>
      <c r="J308" s="94">
        <v>10569</v>
      </c>
      <c r="K308" s="94">
        <v>198</v>
      </c>
      <c r="L308" s="92" t="s">
        <v>58</v>
      </c>
      <c r="M308" s="92" t="s">
        <v>55</v>
      </c>
      <c r="N308" s="136">
        <f t="shared" si="4"/>
        <v>0.31403160185448009</v>
      </c>
    </row>
    <row r="309" spans="1:14" x14ac:dyDescent="0.3">
      <c r="A309" s="87" t="s">
        <v>415</v>
      </c>
      <c r="B309" s="88" t="s">
        <v>14</v>
      </c>
      <c r="C309" s="89">
        <v>45771</v>
      </c>
      <c r="D309" s="88" t="s">
        <v>69</v>
      </c>
      <c r="E309" s="88" t="s">
        <v>70</v>
      </c>
      <c r="F309" s="94">
        <v>3820</v>
      </c>
      <c r="G309" s="94">
        <v>697</v>
      </c>
      <c r="H309" s="94">
        <v>268</v>
      </c>
      <c r="I309" s="94">
        <v>45840</v>
      </c>
      <c r="J309" s="94">
        <v>45631</v>
      </c>
      <c r="K309" s="94">
        <v>171</v>
      </c>
      <c r="L309" s="92" t="s">
        <v>58</v>
      </c>
      <c r="M309" s="92" t="s">
        <v>19</v>
      </c>
      <c r="N309" s="136">
        <f t="shared" si="4"/>
        <v>0.10486292213626701</v>
      </c>
    </row>
    <row r="310" spans="1:14" x14ac:dyDescent="0.3">
      <c r="A310" s="87" t="s">
        <v>415</v>
      </c>
      <c r="B310" s="88" t="s">
        <v>14</v>
      </c>
      <c r="C310" s="89">
        <v>45771</v>
      </c>
      <c r="D310" s="88" t="s">
        <v>69</v>
      </c>
      <c r="E310" s="88" t="s">
        <v>70</v>
      </c>
      <c r="F310" s="94">
        <v>3820</v>
      </c>
      <c r="G310" s="94">
        <v>697</v>
      </c>
      <c r="H310" s="94">
        <v>268</v>
      </c>
      <c r="I310" s="94">
        <v>45840</v>
      </c>
      <c r="J310" s="94">
        <v>45631</v>
      </c>
      <c r="K310" s="94">
        <v>171</v>
      </c>
      <c r="L310" s="92" t="s">
        <v>77</v>
      </c>
      <c r="M310" s="92" t="s">
        <v>19</v>
      </c>
      <c r="N310" s="136">
        <f t="shared" si="4"/>
        <v>0.10486292213626701</v>
      </c>
    </row>
    <row r="311" spans="1:14" x14ac:dyDescent="0.3">
      <c r="A311" s="87" t="s">
        <v>416</v>
      </c>
      <c r="B311" s="88" t="s">
        <v>14</v>
      </c>
      <c r="C311" s="89">
        <v>45467</v>
      </c>
      <c r="D311" s="88" t="s">
        <v>22</v>
      </c>
      <c r="E311" s="88" t="s">
        <v>23</v>
      </c>
      <c r="F311" s="94">
        <v>941</v>
      </c>
      <c r="G311" s="94">
        <v>121</v>
      </c>
      <c r="H311" s="94">
        <v>458</v>
      </c>
      <c r="I311" s="94">
        <v>14115</v>
      </c>
      <c r="J311" s="94">
        <v>13838</v>
      </c>
      <c r="K311" s="94">
        <v>87</v>
      </c>
      <c r="L311" s="92" t="s">
        <v>24</v>
      </c>
      <c r="M311" s="92" t="s">
        <v>25</v>
      </c>
      <c r="N311" s="136">
        <f t="shared" si="4"/>
        <v>0.10984246278363925</v>
      </c>
    </row>
    <row r="312" spans="1:14" x14ac:dyDescent="0.3">
      <c r="A312" s="87" t="s">
        <v>416</v>
      </c>
      <c r="B312" s="88" t="s">
        <v>14</v>
      </c>
      <c r="C312" s="89">
        <v>45467</v>
      </c>
      <c r="D312" s="88" t="s">
        <v>22</v>
      </c>
      <c r="E312" s="88" t="s">
        <v>23</v>
      </c>
      <c r="F312" s="94">
        <v>941</v>
      </c>
      <c r="G312" s="94">
        <v>121</v>
      </c>
      <c r="H312" s="94">
        <v>458</v>
      </c>
      <c r="I312" s="94">
        <v>14115</v>
      </c>
      <c r="J312" s="94">
        <v>13838</v>
      </c>
      <c r="K312" s="94">
        <v>87</v>
      </c>
      <c r="L312" s="92" t="s">
        <v>18</v>
      </c>
      <c r="M312" s="92" t="s">
        <v>25</v>
      </c>
      <c r="N312" s="136">
        <f t="shared" si="4"/>
        <v>0.10984246278363925</v>
      </c>
    </row>
    <row r="313" spans="1:14" x14ac:dyDescent="0.3">
      <c r="A313" s="87" t="s">
        <v>417</v>
      </c>
      <c r="B313" s="88" t="s">
        <v>14</v>
      </c>
      <c r="C313" s="89">
        <v>45655</v>
      </c>
      <c r="D313" s="88" t="s">
        <v>42</v>
      </c>
      <c r="E313" s="88" t="s">
        <v>43</v>
      </c>
      <c r="F313" s="94">
        <v>4274</v>
      </c>
      <c r="G313" s="94">
        <v>340</v>
      </c>
      <c r="H313" s="94">
        <v>281</v>
      </c>
      <c r="I313" s="94">
        <v>34192</v>
      </c>
      <c r="J313" s="94">
        <v>33446</v>
      </c>
      <c r="K313" s="94">
        <v>129</v>
      </c>
      <c r="L313" s="92" t="s">
        <v>58</v>
      </c>
      <c r="M313" s="92" t="s">
        <v>38</v>
      </c>
      <c r="N313" s="136">
        <f t="shared" si="4"/>
        <v>0.14635531902170662</v>
      </c>
    </row>
    <row r="314" spans="1:14" x14ac:dyDescent="0.3">
      <c r="A314" s="87" t="s">
        <v>417</v>
      </c>
      <c r="B314" s="88" t="s">
        <v>14</v>
      </c>
      <c r="C314" s="89">
        <v>45655</v>
      </c>
      <c r="D314" s="88" t="s">
        <v>42</v>
      </c>
      <c r="E314" s="88" t="s">
        <v>43</v>
      </c>
      <c r="F314" s="94">
        <v>4274</v>
      </c>
      <c r="G314" s="94">
        <v>340</v>
      </c>
      <c r="H314" s="94">
        <v>281</v>
      </c>
      <c r="I314" s="94">
        <v>34192</v>
      </c>
      <c r="J314" s="94">
        <v>33446</v>
      </c>
      <c r="K314" s="94">
        <v>129</v>
      </c>
      <c r="L314" s="92" t="s">
        <v>77</v>
      </c>
      <c r="M314" s="92" t="s">
        <v>38</v>
      </c>
      <c r="N314" s="136">
        <f t="shared" si="4"/>
        <v>0.14635531902170662</v>
      </c>
    </row>
    <row r="315" spans="1:14" x14ac:dyDescent="0.3">
      <c r="A315" s="87" t="s">
        <v>419</v>
      </c>
      <c r="B315" s="88" t="s">
        <v>577</v>
      </c>
      <c r="C315" s="89">
        <v>45467</v>
      </c>
      <c r="D315" s="88" t="s">
        <v>69</v>
      </c>
      <c r="E315" s="88" t="s">
        <v>70</v>
      </c>
      <c r="F315" s="94">
        <v>2949</v>
      </c>
      <c r="G315" s="94">
        <v>476</v>
      </c>
      <c r="H315" s="94">
        <v>403</v>
      </c>
      <c r="I315" s="94">
        <v>44235</v>
      </c>
      <c r="J315" s="94">
        <v>43705</v>
      </c>
      <c r="K315" s="94">
        <v>135</v>
      </c>
      <c r="L315" s="92" t="s">
        <v>44</v>
      </c>
      <c r="M315" s="92" t="s">
        <v>19</v>
      </c>
      <c r="N315" s="136">
        <f t="shared" si="4"/>
        <v>8.7587232582084423E-2</v>
      </c>
    </row>
    <row r="316" spans="1:14" x14ac:dyDescent="0.3">
      <c r="A316" s="87" t="s">
        <v>419</v>
      </c>
      <c r="B316" s="88" t="s">
        <v>577</v>
      </c>
      <c r="C316" s="89">
        <v>45467</v>
      </c>
      <c r="D316" s="88" t="s">
        <v>69</v>
      </c>
      <c r="E316" s="88" t="s">
        <v>70</v>
      </c>
      <c r="F316" s="94">
        <v>2949</v>
      </c>
      <c r="G316" s="94">
        <v>476</v>
      </c>
      <c r="H316" s="94">
        <v>403</v>
      </c>
      <c r="I316" s="94">
        <v>44235</v>
      </c>
      <c r="J316" s="94">
        <v>43705</v>
      </c>
      <c r="K316" s="94">
        <v>135</v>
      </c>
      <c r="L316" s="92" t="s">
        <v>77</v>
      </c>
      <c r="M316" s="92" t="s">
        <v>19</v>
      </c>
      <c r="N316" s="136">
        <f t="shared" si="4"/>
        <v>8.7587232582084423E-2</v>
      </c>
    </row>
    <row r="317" spans="1:14" x14ac:dyDescent="0.3">
      <c r="A317" s="87" t="s">
        <v>420</v>
      </c>
      <c r="B317" s="88" t="s">
        <v>14</v>
      </c>
      <c r="C317" s="89">
        <v>45735</v>
      </c>
      <c r="D317" s="88" t="s">
        <v>69</v>
      </c>
      <c r="E317" s="88" t="s">
        <v>70</v>
      </c>
      <c r="F317" s="94">
        <v>3160</v>
      </c>
      <c r="G317" s="94">
        <v>204</v>
      </c>
      <c r="H317" s="94">
        <v>297</v>
      </c>
      <c r="I317" s="94">
        <v>44240</v>
      </c>
      <c r="J317" s="94">
        <v>43666</v>
      </c>
      <c r="K317" s="94">
        <v>49</v>
      </c>
      <c r="L317" s="92" t="s">
        <v>58</v>
      </c>
      <c r="M317" s="92" t="s">
        <v>19</v>
      </c>
      <c r="N317" s="136">
        <f t="shared" si="4"/>
        <v>8.3840974671369028E-2</v>
      </c>
    </row>
    <row r="318" spans="1:14" x14ac:dyDescent="0.3">
      <c r="A318" s="87" t="s">
        <v>420</v>
      </c>
      <c r="B318" s="88" t="s">
        <v>14</v>
      </c>
      <c r="C318" s="89">
        <v>45735</v>
      </c>
      <c r="D318" s="88" t="s">
        <v>69</v>
      </c>
      <c r="E318" s="88" t="s">
        <v>70</v>
      </c>
      <c r="F318" s="94">
        <v>3160</v>
      </c>
      <c r="G318" s="94">
        <v>204</v>
      </c>
      <c r="H318" s="94">
        <v>297</v>
      </c>
      <c r="I318" s="94">
        <v>44240</v>
      </c>
      <c r="J318" s="94">
        <v>43666</v>
      </c>
      <c r="K318" s="94">
        <v>49</v>
      </c>
      <c r="L318" s="92" t="s">
        <v>44</v>
      </c>
      <c r="M318" s="92" t="s">
        <v>19</v>
      </c>
      <c r="N318" s="136">
        <f t="shared" si="4"/>
        <v>8.3840974671369028E-2</v>
      </c>
    </row>
    <row r="319" spans="1:14" x14ac:dyDescent="0.3">
      <c r="A319" s="87" t="s">
        <v>422</v>
      </c>
      <c r="B319" s="88" t="s">
        <v>577</v>
      </c>
      <c r="C319" s="89">
        <v>45707</v>
      </c>
      <c r="D319" s="88" t="s">
        <v>49</v>
      </c>
      <c r="E319" s="88" t="s">
        <v>50</v>
      </c>
      <c r="F319" s="94">
        <v>257</v>
      </c>
      <c r="G319" s="94">
        <v>966</v>
      </c>
      <c r="H319" s="94">
        <v>398</v>
      </c>
      <c r="I319" s="94">
        <v>3341</v>
      </c>
      <c r="J319" s="94">
        <v>2753</v>
      </c>
      <c r="K319" s="94">
        <v>287</v>
      </c>
      <c r="L319" s="92" t="s">
        <v>44</v>
      </c>
      <c r="M319" s="92" t="s">
        <v>19</v>
      </c>
      <c r="N319" s="136">
        <f t="shared" si="4"/>
        <v>0.58881220486741737</v>
      </c>
    </row>
    <row r="320" spans="1:14" x14ac:dyDescent="0.3">
      <c r="A320" s="87" t="s">
        <v>422</v>
      </c>
      <c r="B320" s="88" t="s">
        <v>577</v>
      </c>
      <c r="C320" s="89">
        <v>45707</v>
      </c>
      <c r="D320" s="88" t="s">
        <v>49</v>
      </c>
      <c r="E320" s="88" t="s">
        <v>50</v>
      </c>
      <c r="F320" s="94">
        <v>257</v>
      </c>
      <c r="G320" s="94">
        <v>966</v>
      </c>
      <c r="H320" s="94">
        <v>398</v>
      </c>
      <c r="I320" s="94">
        <v>3341</v>
      </c>
      <c r="J320" s="94">
        <v>2753</v>
      </c>
      <c r="K320" s="94">
        <v>287</v>
      </c>
      <c r="L320" s="92" t="s">
        <v>18</v>
      </c>
      <c r="M320" s="92" t="s">
        <v>19</v>
      </c>
      <c r="N320" s="136">
        <f t="shared" si="4"/>
        <v>0.58881220486741737</v>
      </c>
    </row>
    <row r="321" spans="1:14" x14ac:dyDescent="0.3">
      <c r="A321" s="87" t="s">
        <v>423</v>
      </c>
      <c r="B321" s="88" t="s">
        <v>14</v>
      </c>
      <c r="C321" s="89">
        <v>45491</v>
      </c>
      <c r="D321" s="88" t="s">
        <v>42</v>
      </c>
      <c r="E321" s="88" t="s">
        <v>43</v>
      </c>
      <c r="F321" s="94">
        <v>2120</v>
      </c>
      <c r="G321" s="94">
        <v>38</v>
      </c>
      <c r="H321" s="94">
        <v>212</v>
      </c>
      <c r="I321" s="94">
        <v>12720</v>
      </c>
      <c r="J321" s="94">
        <v>12564</v>
      </c>
      <c r="K321" s="94">
        <v>21</v>
      </c>
      <c r="L321" s="92" t="s">
        <v>44</v>
      </c>
      <c r="M321" s="92" t="s">
        <v>19</v>
      </c>
      <c r="N321" s="136">
        <f t="shared" si="4"/>
        <v>0.18863419293218719</v>
      </c>
    </row>
    <row r="322" spans="1:14" x14ac:dyDescent="0.3">
      <c r="A322" s="87" t="s">
        <v>423</v>
      </c>
      <c r="B322" s="88" t="s">
        <v>14</v>
      </c>
      <c r="C322" s="89">
        <v>45491</v>
      </c>
      <c r="D322" s="88" t="s">
        <v>42</v>
      </c>
      <c r="E322" s="88" t="s">
        <v>43</v>
      </c>
      <c r="F322" s="94">
        <v>2120</v>
      </c>
      <c r="G322" s="94">
        <v>38</v>
      </c>
      <c r="H322" s="94">
        <v>212</v>
      </c>
      <c r="I322" s="94">
        <v>12720</v>
      </c>
      <c r="J322" s="94">
        <v>12564</v>
      </c>
      <c r="K322" s="94">
        <v>21</v>
      </c>
      <c r="L322" s="92" t="s">
        <v>18</v>
      </c>
      <c r="M322" s="92" t="s">
        <v>19</v>
      </c>
      <c r="N322" s="136">
        <f t="shared" si="4"/>
        <v>0.18863419293218719</v>
      </c>
    </row>
    <row r="323" spans="1:14" x14ac:dyDescent="0.3">
      <c r="A323" s="87" t="s">
        <v>425</v>
      </c>
      <c r="B323" s="88" t="s">
        <v>577</v>
      </c>
      <c r="C323" s="89">
        <v>45719</v>
      </c>
      <c r="D323" s="88" t="s">
        <v>69</v>
      </c>
      <c r="E323" s="88" t="s">
        <v>70</v>
      </c>
      <c r="F323" s="94">
        <v>3874</v>
      </c>
      <c r="G323" s="94">
        <v>884</v>
      </c>
      <c r="H323" s="94">
        <v>19</v>
      </c>
      <c r="I323" s="94">
        <v>38740</v>
      </c>
      <c r="J323" s="94">
        <v>38552</v>
      </c>
      <c r="K323" s="94">
        <v>219</v>
      </c>
      <c r="L323" s="92" t="s">
        <v>58</v>
      </c>
      <c r="M323" s="92" t="s">
        <v>55</v>
      </c>
      <c r="N323" s="136">
        <f t="shared" ref="N323:N386" si="5">SUM(F323,G323,H323)/J323</f>
        <v>0.12391056235733555</v>
      </c>
    </row>
    <row r="324" spans="1:14" x14ac:dyDescent="0.3">
      <c r="A324" s="87" t="s">
        <v>426</v>
      </c>
      <c r="B324" s="88" t="s">
        <v>40</v>
      </c>
      <c r="C324" s="89">
        <v>45778</v>
      </c>
      <c r="D324" s="88" t="s">
        <v>42</v>
      </c>
      <c r="E324" s="88" t="s">
        <v>43</v>
      </c>
      <c r="F324" s="94">
        <v>2696</v>
      </c>
      <c r="G324" s="94">
        <v>628</v>
      </c>
      <c r="H324" s="94">
        <v>443</v>
      </c>
      <c r="I324" s="94">
        <v>45832</v>
      </c>
      <c r="J324" s="94">
        <v>45632</v>
      </c>
      <c r="K324" s="94">
        <v>248</v>
      </c>
      <c r="L324" s="92" t="s">
        <v>18</v>
      </c>
      <c r="M324" s="92" t="s">
        <v>38</v>
      </c>
      <c r="N324" s="136">
        <f t="shared" si="5"/>
        <v>8.2551718092566617E-2</v>
      </c>
    </row>
    <row r="325" spans="1:14" x14ac:dyDescent="0.3">
      <c r="A325" s="87" t="s">
        <v>428</v>
      </c>
      <c r="B325" s="88" t="s">
        <v>31</v>
      </c>
      <c r="C325" s="89">
        <v>45649</v>
      </c>
      <c r="D325" s="88" t="s">
        <v>49</v>
      </c>
      <c r="E325" s="88" t="s">
        <v>50</v>
      </c>
      <c r="F325" s="94">
        <v>521</v>
      </c>
      <c r="G325" s="94">
        <v>746</v>
      </c>
      <c r="H325" s="94">
        <v>315</v>
      </c>
      <c r="I325" s="94">
        <v>4168</v>
      </c>
      <c r="J325" s="94">
        <v>3399</v>
      </c>
      <c r="K325" s="94">
        <v>282</v>
      </c>
      <c r="L325" s="92" t="s">
        <v>18</v>
      </c>
      <c r="M325" s="92" t="s">
        <v>19</v>
      </c>
      <c r="N325" s="136">
        <f t="shared" si="5"/>
        <v>0.46543100912032953</v>
      </c>
    </row>
    <row r="326" spans="1:14" x14ac:dyDescent="0.3">
      <c r="A326" s="87" t="s">
        <v>429</v>
      </c>
      <c r="B326" s="88" t="s">
        <v>40</v>
      </c>
      <c r="C326" s="89">
        <v>45783</v>
      </c>
      <c r="D326" s="88" t="s">
        <v>49</v>
      </c>
      <c r="E326" s="88" t="s">
        <v>50</v>
      </c>
      <c r="F326" s="94">
        <v>4872</v>
      </c>
      <c r="G326" s="94">
        <v>925</v>
      </c>
      <c r="H326" s="94">
        <v>176</v>
      </c>
      <c r="I326" s="94">
        <v>82824</v>
      </c>
      <c r="J326" s="94">
        <v>82543</v>
      </c>
      <c r="K326" s="94">
        <v>89</v>
      </c>
      <c r="L326" s="92" t="s">
        <v>18</v>
      </c>
      <c r="M326" s="92" t="s">
        <v>19</v>
      </c>
      <c r="N326" s="136">
        <f t="shared" si="5"/>
        <v>7.2362283900512456E-2</v>
      </c>
    </row>
    <row r="327" spans="1:14" x14ac:dyDescent="0.3">
      <c r="A327" s="87" t="s">
        <v>429</v>
      </c>
      <c r="B327" s="88" t="s">
        <v>40</v>
      </c>
      <c r="C327" s="89">
        <v>45783</v>
      </c>
      <c r="D327" s="88" t="s">
        <v>49</v>
      </c>
      <c r="E327" s="88" t="s">
        <v>50</v>
      </c>
      <c r="F327" s="94">
        <v>4872</v>
      </c>
      <c r="G327" s="94">
        <v>925</v>
      </c>
      <c r="H327" s="94">
        <v>176</v>
      </c>
      <c r="I327" s="94">
        <v>82824</v>
      </c>
      <c r="J327" s="94">
        <v>82543</v>
      </c>
      <c r="K327" s="94">
        <v>89</v>
      </c>
      <c r="L327" s="92" t="s">
        <v>44</v>
      </c>
      <c r="M327" s="92" t="s">
        <v>19</v>
      </c>
      <c r="N327" s="136">
        <f t="shared" si="5"/>
        <v>7.2362283900512456E-2</v>
      </c>
    </row>
    <row r="328" spans="1:14" x14ac:dyDescent="0.3">
      <c r="A328" s="87" t="s">
        <v>431</v>
      </c>
      <c r="B328" s="88" t="s">
        <v>577</v>
      </c>
      <c r="C328" s="89">
        <v>45502</v>
      </c>
      <c r="D328" s="88" t="s">
        <v>33</v>
      </c>
      <c r="E328" s="88" t="s">
        <v>34</v>
      </c>
      <c r="F328" s="94">
        <v>1509</v>
      </c>
      <c r="G328" s="94">
        <v>88</v>
      </c>
      <c r="H328" s="94">
        <v>163</v>
      </c>
      <c r="I328" s="94">
        <v>30180</v>
      </c>
      <c r="J328" s="94">
        <v>29689</v>
      </c>
      <c r="K328" s="94">
        <v>119</v>
      </c>
      <c r="L328" s="92" t="s">
        <v>44</v>
      </c>
      <c r="M328" s="92" t="s">
        <v>19</v>
      </c>
      <c r="N328" s="136">
        <f t="shared" si="5"/>
        <v>5.928121526491293E-2</v>
      </c>
    </row>
    <row r="329" spans="1:14" x14ac:dyDescent="0.3">
      <c r="A329" s="87" t="s">
        <v>432</v>
      </c>
      <c r="B329" s="88" t="s">
        <v>40</v>
      </c>
      <c r="C329" s="89">
        <v>45629</v>
      </c>
      <c r="D329" s="88" t="s">
        <v>49</v>
      </c>
      <c r="E329" s="88" t="s">
        <v>50</v>
      </c>
      <c r="F329" s="94">
        <v>4606</v>
      </c>
      <c r="G329" s="94">
        <v>931</v>
      </c>
      <c r="H329" s="94">
        <v>230</v>
      </c>
      <c r="I329" s="94">
        <v>92120</v>
      </c>
      <c r="J329" s="94">
        <v>91440</v>
      </c>
      <c r="K329" s="94">
        <v>56</v>
      </c>
      <c r="L329" s="92" t="s">
        <v>77</v>
      </c>
      <c r="M329" s="92" t="s">
        <v>38</v>
      </c>
      <c r="N329" s="136">
        <f t="shared" si="5"/>
        <v>6.3068678915135609E-2</v>
      </c>
    </row>
    <row r="330" spans="1:14" x14ac:dyDescent="0.3">
      <c r="A330" s="87" t="s">
        <v>432</v>
      </c>
      <c r="B330" s="88" t="s">
        <v>40</v>
      </c>
      <c r="C330" s="89">
        <v>45629</v>
      </c>
      <c r="D330" s="88" t="s">
        <v>49</v>
      </c>
      <c r="E330" s="88" t="s">
        <v>50</v>
      </c>
      <c r="F330" s="94">
        <v>4606</v>
      </c>
      <c r="G330" s="94">
        <v>931</v>
      </c>
      <c r="H330" s="94">
        <v>230</v>
      </c>
      <c r="I330" s="94">
        <v>92120</v>
      </c>
      <c r="J330" s="94">
        <v>91440</v>
      </c>
      <c r="K330" s="94">
        <v>56</v>
      </c>
      <c r="L330" s="92" t="s">
        <v>24</v>
      </c>
      <c r="M330" s="92" t="s">
        <v>38</v>
      </c>
      <c r="N330" s="136">
        <f t="shared" si="5"/>
        <v>6.3068678915135609E-2</v>
      </c>
    </row>
    <row r="331" spans="1:14" x14ac:dyDescent="0.3">
      <c r="A331" s="87" t="s">
        <v>433</v>
      </c>
      <c r="B331" s="88" t="s">
        <v>40</v>
      </c>
      <c r="C331" s="89">
        <v>45454</v>
      </c>
      <c r="D331" s="88" t="s">
        <v>42</v>
      </c>
      <c r="E331" s="88" t="s">
        <v>43</v>
      </c>
      <c r="F331" s="94">
        <v>1869</v>
      </c>
      <c r="G331" s="94">
        <v>453</v>
      </c>
      <c r="H331" s="94">
        <v>490</v>
      </c>
      <c r="I331" s="94">
        <v>14952</v>
      </c>
      <c r="J331" s="94">
        <v>14309</v>
      </c>
      <c r="K331" s="94">
        <v>275</v>
      </c>
      <c r="L331" s="92" t="s">
        <v>77</v>
      </c>
      <c r="M331" s="92" t="s">
        <v>19</v>
      </c>
      <c r="N331" s="136">
        <f t="shared" si="5"/>
        <v>0.19651967293311901</v>
      </c>
    </row>
    <row r="332" spans="1:14" x14ac:dyDescent="0.3">
      <c r="A332" s="87" t="s">
        <v>433</v>
      </c>
      <c r="B332" s="88" t="s">
        <v>40</v>
      </c>
      <c r="C332" s="89">
        <v>45454</v>
      </c>
      <c r="D332" s="88" t="s">
        <v>42</v>
      </c>
      <c r="E332" s="88" t="s">
        <v>43</v>
      </c>
      <c r="F332" s="94">
        <v>1869</v>
      </c>
      <c r="G332" s="94">
        <v>453</v>
      </c>
      <c r="H332" s="94">
        <v>490</v>
      </c>
      <c r="I332" s="94">
        <v>14952</v>
      </c>
      <c r="J332" s="94">
        <v>14309</v>
      </c>
      <c r="K332" s="94">
        <v>275</v>
      </c>
      <c r="L332" s="92" t="s">
        <v>58</v>
      </c>
      <c r="M332" s="92" t="s">
        <v>19</v>
      </c>
      <c r="N332" s="136">
        <f t="shared" si="5"/>
        <v>0.19651967293311901</v>
      </c>
    </row>
    <row r="333" spans="1:14" x14ac:dyDescent="0.3">
      <c r="A333" s="87" t="s">
        <v>434</v>
      </c>
      <c r="B333" s="88" t="s">
        <v>14</v>
      </c>
      <c r="C333" s="89">
        <v>45685</v>
      </c>
      <c r="D333" s="88" t="s">
        <v>16</v>
      </c>
      <c r="E333" s="88" t="s">
        <v>17</v>
      </c>
      <c r="F333" s="94">
        <v>1188</v>
      </c>
      <c r="G333" s="94">
        <v>470</v>
      </c>
      <c r="H333" s="94">
        <v>174</v>
      </c>
      <c r="I333" s="94">
        <v>7128</v>
      </c>
      <c r="J333" s="94">
        <v>6145</v>
      </c>
      <c r="K333" s="94">
        <v>270</v>
      </c>
      <c r="L333" s="92" t="s">
        <v>58</v>
      </c>
      <c r="M333" s="92" t="s">
        <v>25</v>
      </c>
      <c r="N333" s="136">
        <f t="shared" si="5"/>
        <v>0.29812855980471931</v>
      </c>
    </row>
    <row r="334" spans="1:14" x14ac:dyDescent="0.3">
      <c r="A334" s="87" t="s">
        <v>434</v>
      </c>
      <c r="B334" s="88" t="s">
        <v>14</v>
      </c>
      <c r="C334" s="89">
        <v>45685</v>
      </c>
      <c r="D334" s="88" t="s">
        <v>16</v>
      </c>
      <c r="E334" s="88" t="s">
        <v>17</v>
      </c>
      <c r="F334" s="94">
        <v>1188</v>
      </c>
      <c r="G334" s="94">
        <v>470</v>
      </c>
      <c r="H334" s="94">
        <v>174</v>
      </c>
      <c r="I334" s="94">
        <v>7128</v>
      </c>
      <c r="J334" s="94">
        <v>6145</v>
      </c>
      <c r="K334" s="94">
        <v>270</v>
      </c>
      <c r="L334" s="92" t="s">
        <v>24</v>
      </c>
      <c r="M334" s="92" t="s">
        <v>25</v>
      </c>
      <c r="N334" s="136">
        <f t="shared" si="5"/>
        <v>0.29812855980471931</v>
      </c>
    </row>
    <row r="335" spans="1:14" x14ac:dyDescent="0.3">
      <c r="A335" s="87" t="s">
        <v>435</v>
      </c>
      <c r="B335" s="88" t="s">
        <v>31</v>
      </c>
      <c r="C335" s="89">
        <v>45445</v>
      </c>
      <c r="D335" s="88" t="s">
        <v>33</v>
      </c>
      <c r="E335" s="88" t="s">
        <v>34</v>
      </c>
      <c r="F335" s="94">
        <v>84</v>
      </c>
      <c r="G335" s="94">
        <v>897</v>
      </c>
      <c r="H335" s="94">
        <v>85</v>
      </c>
      <c r="I335" s="94">
        <v>588</v>
      </c>
      <c r="J335" s="94">
        <v>8</v>
      </c>
      <c r="K335" s="94">
        <v>12</v>
      </c>
      <c r="L335" s="92" t="s">
        <v>58</v>
      </c>
      <c r="M335" s="92" t="s">
        <v>25</v>
      </c>
      <c r="N335" s="136">
        <f t="shared" si="5"/>
        <v>133.25</v>
      </c>
    </row>
    <row r="336" spans="1:14" x14ac:dyDescent="0.3">
      <c r="A336" s="87" t="s">
        <v>436</v>
      </c>
      <c r="B336" s="88" t="s">
        <v>40</v>
      </c>
      <c r="C336" s="89">
        <v>45739</v>
      </c>
      <c r="D336" s="88" t="s">
        <v>69</v>
      </c>
      <c r="E336" s="88" t="s">
        <v>70</v>
      </c>
      <c r="F336" s="94">
        <v>4453</v>
      </c>
      <c r="G336" s="94">
        <v>111</v>
      </c>
      <c r="H336" s="94">
        <v>420</v>
      </c>
      <c r="I336" s="94">
        <v>31171</v>
      </c>
      <c r="J336" s="94">
        <v>30565</v>
      </c>
      <c r="K336" s="94">
        <v>23</v>
      </c>
      <c r="L336" s="92" t="s">
        <v>44</v>
      </c>
      <c r="M336" s="92" t="s">
        <v>55</v>
      </c>
      <c r="N336" s="136">
        <f t="shared" si="5"/>
        <v>0.1630623261900867</v>
      </c>
    </row>
    <row r="337" spans="1:14" x14ac:dyDescent="0.3">
      <c r="A337" s="87" t="s">
        <v>436</v>
      </c>
      <c r="B337" s="88" t="s">
        <v>40</v>
      </c>
      <c r="C337" s="89">
        <v>45739</v>
      </c>
      <c r="D337" s="88" t="s">
        <v>69</v>
      </c>
      <c r="E337" s="88" t="s">
        <v>70</v>
      </c>
      <c r="F337" s="94">
        <v>4453</v>
      </c>
      <c r="G337" s="94">
        <v>111</v>
      </c>
      <c r="H337" s="94">
        <v>420</v>
      </c>
      <c r="I337" s="94">
        <v>31171</v>
      </c>
      <c r="J337" s="94">
        <v>30565</v>
      </c>
      <c r="K337" s="94">
        <v>23</v>
      </c>
      <c r="L337" s="92" t="s">
        <v>24</v>
      </c>
      <c r="M337" s="92" t="s">
        <v>55</v>
      </c>
      <c r="N337" s="136">
        <f t="shared" si="5"/>
        <v>0.1630623261900867</v>
      </c>
    </row>
    <row r="338" spans="1:14" x14ac:dyDescent="0.3">
      <c r="A338" s="87" t="s">
        <v>437</v>
      </c>
      <c r="B338" s="88" t="s">
        <v>40</v>
      </c>
      <c r="C338" s="89">
        <v>45573</v>
      </c>
      <c r="D338" s="88" t="s">
        <v>16</v>
      </c>
      <c r="E338" s="88" t="s">
        <v>17</v>
      </c>
      <c r="F338" s="94">
        <v>1814</v>
      </c>
      <c r="G338" s="94">
        <v>653</v>
      </c>
      <c r="H338" s="94">
        <v>363</v>
      </c>
      <c r="I338" s="94">
        <v>25396</v>
      </c>
      <c r="J338" s="94">
        <v>25286</v>
      </c>
      <c r="K338" s="94">
        <v>39</v>
      </c>
      <c r="L338" s="92" t="s">
        <v>58</v>
      </c>
      <c r="M338" s="92" t="s">
        <v>19</v>
      </c>
      <c r="N338" s="136">
        <f t="shared" si="5"/>
        <v>0.11191963932610931</v>
      </c>
    </row>
    <row r="339" spans="1:14" x14ac:dyDescent="0.3">
      <c r="A339" s="87" t="s">
        <v>439</v>
      </c>
      <c r="B339" s="88" t="s">
        <v>14</v>
      </c>
      <c r="C339" s="89">
        <v>45608</v>
      </c>
      <c r="D339" s="88" t="s">
        <v>49</v>
      </c>
      <c r="E339" s="88" t="s">
        <v>50</v>
      </c>
      <c r="F339" s="94">
        <v>3338</v>
      </c>
      <c r="G339" s="94">
        <v>277</v>
      </c>
      <c r="H339" s="94">
        <v>118</v>
      </c>
      <c r="I339" s="94">
        <v>60084</v>
      </c>
      <c r="J339" s="94">
        <v>59842</v>
      </c>
      <c r="K339" s="94">
        <v>252</v>
      </c>
      <c r="L339" s="92" t="s">
        <v>58</v>
      </c>
      <c r="M339" s="92" t="s">
        <v>19</v>
      </c>
      <c r="N339" s="136">
        <f t="shared" si="5"/>
        <v>6.2380936466027208E-2</v>
      </c>
    </row>
    <row r="340" spans="1:14" x14ac:dyDescent="0.3">
      <c r="A340" s="87" t="s">
        <v>440</v>
      </c>
      <c r="B340" s="88" t="s">
        <v>40</v>
      </c>
      <c r="C340" s="89">
        <v>45790</v>
      </c>
      <c r="D340" s="88" t="s">
        <v>49</v>
      </c>
      <c r="E340" s="88" t="s">
        <v>50</v>
      </c>
      <c r="F340" s="94">
        <v>602</v>
      </c>
      <c r="G340" s="94">
        <v>594</v>
      </c>
      <c r="H340" s="94">
        <v>156</v>
      </c>
      <c r="I340" s="94">
        <v>4214</v>
      </c>
      <c r="J340" s="94">
        <v>3363</v>
      </c>
      <c r="K340" s="94">
        <v>164</v>
      </c>
      <c r="L340" s="92" t="s">
        <v>18</v>
      </c>
      <c r="M340" s="92" t="s">
        <v>38</v>
      </c>
      <c r="N340" s="136">
        <f t="shared" si="5"/>
        <v>0.40202200416294975</v>
      </c>
    </row>
    <row r="341" spans="1:14" x14ac:dyDescent="0.3">
      <c r="A341" s="87" t="s">
        <v>442</v>
      </c>
      <c r="B341" s="88" t="s">
        <v>14</v>
      </c>
      <c r="C341" s="89">
        <v>45463</v>
      </c>
      <c r="D341" s="88" t="s">
        <v>42</v>
      </c>
      <c r="E341" s="88" t="s">
        <v>43</v>
      </c>
      <c r="F341" s="94">
        <v>4672</v>
      </c>
      <c r="G341" s="94">
        <v>325</v>
      </c>
      <c r="H341" s="94">
        <v>32</v>
      </c>
      <c r="I341" s="94">
        <v>88768</v>
      </c>
      <c r="J341" s="94">
        <v>87833</v>
      </c>
      <c r="K341" s="94">
        <v>118</v>
      </c>
      <c r="L341" s="92" t="s">
        <v>77</v>
      </c>
      <c r="M341" s="92" t="s">
        <v>38</v>
      </c>
      <c r="N341" s="136">
        <f t="shared" si="5"/>
        <v>5.7256384274703129E-2</v>
      </c>
    </row>
    <row r="342" spans="1:14" x14ac:dyDescent="0.3">
      <c r="A342" s="87" t="s">
        <v>442</v>
      </c>
      <c r="B342" s="88" t="s">
        <v>14</v>
      </c>
      <c r="C342" s="89">
        <v>45463</v>
      </c>
      <c r="D342" s="88" t="s">
        <v>42</v>
      </c>
      <c r="E342" s="88" t="s">
        <v>43</v>
      </c>
      <c r="F342" s="94">
        <v>4672</v>
      </c>
      <c r="G342" s="94">
        <v>325</v>
      </c>
      <c r="H342" s="94">
        <v>32</v>
      </c>
      <c r="I342" s="94">
        <v>88768</v>
      </c>
      <c r="J342" s="94">
        <v>87833</v>
      </c>
      <c r="K342" s="94">
        <v>118</v>
      </c>
      <c r="L342" s="92" t="s">
        <v>18</v>
      </c>
      <c r="M342" s="92" t="s">
        <v>38</v>
      </c>
      <c r="N342" s="136">
        <f t="shared" si="5"/>
        <v>5.7256384274703129E-2</v>
      </c>
    </row>
    <row r="343" spans="1:14" x14ac:dyDescent="0.3">
      <c r="A343" s="87" t="s">
        <v>443</v>
      </c>
      <c r="B343" s="88" t="s">
        <v>31</v>
      </c>
      <c r="C343" s="89">
        <v>45511</v>
      </c>
      <c r="D343" s="88" t="s">
        <v>42</v>
      </c>
      <c r="E343" s="88" t="s">
        <v>43</v>
      </c>
      <c r="F343" s="94">
        <v>1741</v>
      </c>
      <c r="G343" s="94">
        <v>164</v>
      </c>
      <c r="H343" s="94">
        <v>318</v>
      </c>
      <c r="I343" s="94">
        <v>8705</v>
      </c>
      <c r="J343" s="94">
        <v>8272</v>
      </c>
      <c r="K343" s="94">
        <v>121</v>
      </c>
      <c r="L343" s="92" t="s">
        <v>18</v>
      </c>
      <c r="M343" s="92" t="s">
        <v>25</v>
      </c>
      <c r="N343" s="136">
        <f t="shared" si="5"/>
        <v>0.26873791102514505</v>
      </c>
    </row>
    <row r="344" spans="1:14" x14ac:dyDescent="0.3">
      <c r="A344" s="87" t="s">
        <v>445</v>
      </c>
      <c r="B344" s="88" t="s">
        <v>31</v>
      </c>
      <c r="C344" s="89">
        <v>45455</v>
      </c>
      <c r="D344" s="88" t="s">
        <v>22</v>
      </c>
      <c r="E344" s="88" t="s">
        <v>23</v>
      </c>
      <c r="F344" s="94">
        <v>246</v>
      </c>
      <c r="G344" s="94">
        <v>149</v>
      </c>
      <c r="H344" s="94">
        <v>130</v>
      </c>
      <c r="I344" s="94">
        <v>4674</v>
      </c>
      <c r="J344" s="94">
        <v>4390</v>
      </c>
      <c r="K344" s="94">
        <v>217</v>
      </c>
      <c r="L344" s="92" t="s">
        <v>44</v>
      </c>
      <c r="M344" s="92" t="s">
        <v>25</v>
      </c>
      <c r="N344" s="136">
        <f t="shared" si="5"/>
        <v>0.11958997722095673</v>
      </c>
    </row>
    <row r="345" spans="1:14" x14ac:dyDescent="0.3">
      <c r="A345" s="87" t="s">
        <v>445</v>
      </c>
      <c r="B345" s="88" t="s">
        <v>31</v>
      </c>
      <c r="C345" s="89">
        <v>45455</v>
      </c>
      <c r="D345" s="88" t="s">
        <v>22</v>
      </c>
      <c r="E345" s="88" t="s">
        <v>23</v>
      </c>
      <c r="F345" s="94">
        <v>246</v>
      </c>
      <c r="G345" s="94">
        <v>149</v>
      </c>
      <c r="H345" s="94">
        <v>130</v>
      </c>
      <c r="I345" s="94">
        <v>4674</v>
      </c>
      <c r="J345" s="94">
        <v>4390</v>
      </c>
      <c r="K345" s="94">
        <v>217</v>
      </c>
      <c r="L345" s="92" t="s">
        <v>77</v>
      </c>
      <c r="M345" s="92" t="s">
        <v>25</v>
      </c>
      <c r="N345" s="136">
        <f t="shared" si="5"/>
        <v>0.11958997722095673</v>
      </c>
    </row>
    <row r="346" spans="1:14" x14ac:dyDescent="0.3">
      <c r="A346" s="87" t="s">
        <v>447</v>
      </c>
      <c r="B346" s="88" t="s">
        <v>31</v>
      </c>
      <c r="C346" s="89">
        <v>45474</v>
      </c>
      <c r="D346" s="88" t="s">
        <v>33</v>
      </c>
      <c r="E346" s="88" t="s">
        <v>34</v>
      </c>
      <c r="F346" s="94">
        <v>4808</v>
      </c>
      <c r="G346" s="94">
        <v>772</v>
      </c>
      <c r="H346" s="94">
        <v>320</v>
      </c>
      <c r="I346" s="94">
        <v>72120</v>
      </c>
      <c r="J346" s="94">
        <v>71696</v>
      </c>
      <c r="K346" s="94">
        <v>195</v>
      </c>
      <c r="L346" s="92" t="s">
        <v>44</v>
      </c>
      <c r="M346" s="92" t="s">
        <v>55</v>
      </c>
      <c r="N346" s="136">
        <f t="shared" si="5"/>
        <v>8.2291899129658563E-2</v>
      </c>
    </row>
    <row r="347" spans="1:14" x14ac:dyDescent="0.3">
      <c r="A347" s="87" t="s">
        <v>447</v>
      </c>
      <c r="B347" s="88" t="s">
        <v>31</v>
      </c>
      <c r="C347" s="89">
        <v>45474</v>
      </c>
      <c r="D347" s="88" t="s">
        <v>33</v>
      </c>
      <c r="E347" s="88" t="s">
        <v>34</v>
      </c>
      <c r="F347" s="94">
        <v>4808</v>
      </c>
      <c r="G347" s="94">
        <v>772</v>
      </c>
      <c r="H347" s="94">
        <v>320</v>
      </c>
      <c r="I347" s="94">
        <v>72120</v>
      </c>
      <c r="J347" s="94">
        <v>71696</v>
      </c>
      <c r="K347" s="94">
        <v>195</v>
      </c>
      <c r="L347" s="92" t="s">
        <v>18</v>
      </c>
      <c r="M347" s="92" t="s">
        <v>55</v>
      </c>
      <c r="N347" s="136">
        <f t="shared" si="5"/>
        <v>8.2291899129658563E-2</v>
      </c>
    </row>
    <row r="348" spans="1:14" x14ac:dyDescent="0.3">
      <c r="A348" s="87" t="s">
        <v>449</v>
      </c>
      <c r="B348" s="88" t="s">
        <v>31</v>
      </c>
      <c r="C348" s="89">
        <v>45476</v>
      </c>
      <c r="D348" s="88" t="s">
        <v>42</v>
      </c>
      <c r="E348" s="88" t="s">
        <v>43</v>
      </c>
      <c r="F348" s="94">
        <v>4799</v>
      </c>
      <c r="G348" s="94">
        <v>694</v>
      </c>
      <c r="H348" s="94">
        <v>289</v>
      </c>
      <c r="I348" s="94">
        <v>43191</v>
      </c>
      <c r="J348" s="94">
        <v>42228</v>
      </c>
      <c r="K348" s="94">
        <v>118</v>
      </c>
      <c r="L348" s="92" t="s">
        <v>44</v>
      </c>
      <c r="M348" s="92" t="s">
        <v>25</v>
      </c>
      <c r="N348" s="136">
        <f t="shared" si="5"/>
        <v>0.13692336838116889</v>
      </c>
    </row>
    <row r="349" spans="1:14" x14ac:dyDescent="0.3">
      <c r="A349" s="87" t="s">
        <v>450</v>
      </c>
      <c r="B349" s="88" t="s">
        <v>40</v>
      </c>
      <c r="C349" s="89">
        <v>45488</v>
      </c>
      <c r="D349" s="88" t="s">
        <v>16</v>
      </c>
      <c r="E349" s="88" t="s">
        <v>17</v>
      </c>
      <c r="F349" s="94">
        <v>3663</v>
      </c>
      <c r="G349" s="94">
        <v>17</v>
      </c>
      <c r="H349" s="94">
        <v>295</v>
      </c>
      <c r="I349" s="94">
        <v>51282</v>
      </c>
      <c r="J349" s="94">
        <v>50567</v>
      </c>
      <c r="K349" s="94">
        <v>84</v>
      </c>
      <c r="L349" s="92" t="s">
        <v>18</v>
      </c>
      <c r="M349" s="92" t="s">
        <v>19</v>
      </c>
      <c r="N349" s="136">
        <f t="shared" si="5"/>
        <v>7.8608578717345307E-2</v>
      </c>
    </row>
    <row r="350" spans="1:14" x14ac:dyDescent="0.3">
      <c r="A350" s="87" t="s">
        <v>451</v>
      </c>
      <c r="B350" s="88" t="s">
        <v>31</v>
      </c>
      <c r="C350" s="89">
        <v>45778</v>
      </c>
      <c r="D350" s="88" t="s">
        <v>22</v>
      </c>
      <c r="E350" s="88" t="s">
        <v>23</v>
      </c>
      <c r="F350" s="94">
        <v>1430</v>
      </c>
      <c r="G350" s="94">
        <v>376</v>
      </c>
      <c r="H350" s="94">
        <v>33</v>
      </c>
      <c r="I350" s="94">
        <v>21450</v>
      </c>
      <c r="J350" s="94">
        <v>20509</v>
      </c>
      <c r="K350" s="94">
        <v>251</v>
      </c>
      <c r="L350" s="92" t="s">
        <v>77</v>
      </c>
      <c r="M350" s="92" t="s">
        <v>38</v>
      </c>
      <c r="N350" s="136">
        <f t="shared" si="5"/>
        <v>8.9667950655809639E-2</v>
      </c>
    </row>
    <row r="351" spans="1:14" x14ac:dyDescent="0.3">
      <c r="A351" s="87" t="s">
        <v>452</v>
      </c>
      <c r="B351" s="88" t="s">
        <v>14</v>
      </c>
      <c r="C351" s="89">
        <v>45776</v>
      </c>
      <c r="D351" s="88" t="s">
        <v>33</v>
      </c>
      <c r="E351" s="88" t="s">
        <v>34</v>
      </c>
      <c r="F351" s="94">
        <v>249</v>
      </c>
      <c r="G351" s="94">
        <v>592</v>
      </c>
      <c r="H351" s="94">
        <v>230</v>
      </c>
      <c r="I351" s="94">
        <v>1494</v>
      </c>
      <c r="J351" s="94">
        <v>1044</v>
      </c>
      <c r="K351" s="94">
        <v>201</v>
      </c>
      <c r="L351" s="92" t="s">
        <v>24</v>
      </c>
      <c r="M351" s="92" t="s">
        <v>55</v>
      </c>
      <c r="N351" s="136">
        <f t="shared" si="5"/>
        <v>1.0258620689655173</v>
      </c>
    </row>
    <row r="352" spans="1:14" x14ac:dyDescent="0.3">
      <c r="A352" s="87" t="s">
        <v>452</v>
      </c>
      <c r="B352" s="88" t="s">
        <v>14</v>
      </c>
      <c r="C352" s="89">
        <v>45776</v>
      </c>
      <c r="D352" s="88" t="s">
        <v>33</v>
      </c>
      <c r="E352" s="88" t="s">
        <v>34</v>
      </c>
      <c r="F352" s="94">
        <v>249</v>
      </c>
      <c r="G352" s="94">
        <v>592</v>
      </c>
      <c r="H352" s="94">
        <v>230</v>
      </c>
      <c r="I352" s="94">
        <v>1494</v>
      </c>
      <c r="J352" s="94">
        <v>1044</v>
      </c>
      <c r="K352" s="94">
        <v>201</v>
      </c>
      <c r="L352" s="92" t="s">
        <v>44</v>
      </c>
      <c r="M352" s="92" t="s">
        <v>55</v>
      </c>
      <c r="N352" s="136">
        <f t="shared" si="5"/>
        <v>1.0258620689655173</v>
      </c>
    </row>
    <row r="353" spans="1:14" x14ac:dyDescent="0.3">
      <c r="A353" s="87" t="s">
        <v>454</v>
      </c>
      <c r="B353" s="88" t="s">
        <v>40</v>
      </c>
      <c r="C353" s="89">
        <v>45724</v>
      </c>
      <c r="D353" s="88" t="s">
        <v>49</v>
      </c>
      <c r="E353" s="88" t="s">
        <v>50</v>
      </c>
      <c r="F353" s="94">
        <v>2382</v>
      </c>
      <c r="G353" s="94">
        <v>265</v>
      </c>
      <c r="H353" s="94">
        <v>134</v>
      </c>
      <c r="I353" s="94">
        <v>38112</v>
      </c>
      <c r="J353" s="94">
        <v>37437</v>
      </c>
      <c r="K353" s="94">
        <v>249</v>
      </c>
      <c r="L353" s="92" t="s">
        <v>77</v>
      </c>
      <c r="M353" s="92" t="s">
        <v>25</v>
      </c>
      <c r="N353" s="136">
        <f t="shared" si="5"/>
        <v>7.4284798461415183E-2</v>
      </c>
    </row>
    <row r="354" spans="1:14" x14ac:dyDescent="0.3">
      <c r="A354" s="87" t="s">
        <v>454</v>
      </c>
      <c r="B354" s="88" t="s">
        <v>40</v>
      </c>
      <c r="C354" s="89">
        <v>45724</v>
      </c>
      <c r="D354" s="88" t="s">
        <v>49</v>
      </c>
      <c r="E354" s="88" t="s">
        <v>50</v>
      </c>
      <c r="F354" s="94">
        <v>2382</v>
      </c>
      <c r="G354" s="94">
        <v>265</v>
      </c>
      <c r="H354" s="94">
        <v>134</v>
      </c>
      <c r="I354" s="94">
        <v>38112</v>
      </c>
      <c r="J354" s="94">
        <v>37437</v>
      </c>
      <c r="K354" s="94">
        <v>249</v>
      </c>
      <c r="L354" s="92" t="s">
        <v>44</v>
      </c>
      <c r="M354" s="92" t="s">
        <v>25</v>
      </c>
      <c r="N354" s="136">
        <f t="shared" si="5"/>
        <v>7.4284798461415183E-2</v>
      </c>
    </row>
    <row r="355" spans="1:14" x14ac:dyDescent="0.3">
      <c r="A355" s="87" t="s">
        <v>455</v>
      </c>
      <c r="B355" s="88" t="s">
        <v>40</v>
      </c>
      <c r="C355" s="89">
        <v>45444</v>
      </c>
      <c r="D355" s="88" t="s">
        <v>22</v>
      </c>
      <c r="E355" s="88" t="s">
        <v>23</v>
      </c>
      <c r="F355" s="94">
        <v>1272</v>
      </c>
      <c r="G355" s="94">
        <v>465</v>
      </c>
      <c r="H355" s="94">
        <v>99</v>
      </c>
      <c r="I355" s="94">
        <v>24168</v>
      </c>
      <c r="J355" s="94">
        <v>23719</v>
      </c>
      <c r="K355" s="94">
        <v>42</v>
      </c>
      <c r="L355" s="92" t="s">
        <v>24</v>
      </c>
      <c r="M355" s="92" t="s">
        <v>25</v>
      </c>
      <c r="N355" s="136">
        <f t="shared" si="5"/>
        <v>7.7406298747839289E-2</v>
      </c>
    </row>
    <row r="356" spans="1:14" x14ac:dyDescent="0.3">
      <c r="A356" s="87" t="s">
        <v>455</v>
      </c>
      <c r="B356" s="88" t="s">
        <v>40</v>
      </c>
      <c r="C356" s="89">
        <v>45444</v>
      </c>
      <c r="D356" s="88" t="s">
        <v>22</v>
      </c>
      <c r="E356" s="88" t="s">
        <v>23</v>
      </c>
      <c r="F356" s="94">
        <v>1272</v>
      </c>
      <c r="G356" s="94">
        <v>465</v>
      </c>
      <c r="H356" s="94">
        <v>99</v>
      </c>
      <c r="I356" s="94">
        <v>24168</v>
      </c>
      <c r="J356" s="94">
        <v>23719</v>
      </c>
      <c r="K356" s="94">
        <v>42</v>
      </c>
      <c r="L356" s="92" t="s">
        <v>77</v>
      </c>
      <c r="M356" s="92" t="s">
        <v>25</v>
      </c>
      <c r="N356" s="136">
        <f t="shared" si="5"/>
        <v>7.7406298747839289E-2</v>
      </c>
    </row>
    <row r="357" spans="1:14" x14ac:dyDescent="0.3">
      <c r="A357" s="87" t="s">
        <v>457</v>
      </c>
      <c r="B357" s="88" t="s">
        <v>40</v>
      </c>
      <c r="C357" s="89">
        <v>45648</v>
      </c>
      <c r="D357" s="88" t="s">
        <v>49</v>
      </c>
      <c r="E357" s="88" t="s">
        <v>50</v>
      </c>
      <c r="F357" s="94">
        <v>3196</v>
      </c>
      <c r="G357" s="94">
        <v>941</v>
      </c>
      <c r="H357" s="94">
        <v>376</v>
      </c>
      <c r="I357" s="94">
        <v>35156</v>
      </c>
      <c r="J357" s="94">
        <v>34444</v>
      </c>
      <c r="K357" s="94">
        <v>241</v>
      </c>
      <c r="L357" s="92" t="s">
        <v>58</v>
      </c>
      <c r="M357" s="92" t="s">
        <v>55</v>
      </c>
      <c r="N357" s="136">
        <f t="shared" si="5"/>
        <v>0.13102427128091976</v>
      </c>
    </row>
    <row r="358" spans="1:14" x14ac:dyDescent="0.3">
      <c r="A358" s="87" t="s">
        <v>457</v>
      </c>
      <c r="B358" s="88" t="s">
        <v>40</v>
      </c>
      <c r="C358" s="89">
        <v>45648</v>
      </c>
      <c r="D358" s="88" t="s">
        <v>49</v>
      </c>
      <c r="E358" s="88" t="s">
        <v>50</v>
      </c>
      <c r="F358" s="94">
        <v>3196</v>
      </c>
      <c r="G358" s="94">
        <v>941</v>
      </c>
      <c r="H358" s="94">
        <v>376</v>
      </c>
      <c r="I358" s="94">
        <v>35156</v>
      </c>
      <c r="J358" s="94">
        <v>34444</v>
      </c>
      <c r="K358" s="94">
        <v>241</v>
      </c>
      <c r="L358" s="92" t="s">
        <v>44</v>
      </c>
      <c r="M358" s="92" t="s">
        <v>55</v>
      </c>
      <c r="N358" s="136">
        <f t="shared" si="5"/>
        <v>0.13102427128091976</v>
      </c>
    </row>
    <row r="359" spans="1:14" x14ac:dyDescent="0.3">
      <c r="A359" s="87" t="s">
        <v>458</v>
      </c>
      <c r="B359" s="88" t="s">
        <v>40</v>
      </c>
      <c r="C359" s="89">
        <v>45523</v>
      </c>
      <c r="D359" s="88" t="s">
        <v>22</v>
      </c>
      <c r="E359" s="88" t="s">
        <v>23</v>
      </c>
      <c r="F359" s="94">
        <v>1257</v>
      </c>
      <c r="G359" s="94">
        <v>19</v>
      </c>
      <c r="H359" s="94">
        <v>351</v>
      </c>
      <c r="I359" s="94">
        <v>12570</v>
      </c>
      <c r="J359" s="94">
        <v>11660</v>
      </c>
      <c r="K359" s="94">
        <v>194</v>
      </c>
      <c r="L359" s="92" t="s">
        <v>58</v>
      </c>
      <c r="M359" s="92" t="s">
        <v>19</v>
      </c>
      <c r="N359" s="136">
        <f t="shared" si="5"/>
        <v>0.13953687821612351</v>
      </c>
    </row>
    <row r="360" spans="1:14" x14ac:dyDescent="0.3">
      <c r="A360" s="87" t="s">
        <v>459</v>
      </c>
      <c r="B360" s="88" t="s">
        <v>31</v>
      </c>
      <c r="C360" s="89">
        <v>45587</v>
      </c>
      <c r="D360" s="88" t="s">
        <v>33</v>
      </c>
      <c r="E360" s="88" t="s">
        <v>34</v>
      </c>
      <c r="F360" s="94">
        <v>3770</v>
      </c>
      <c r="G360" s="94">
        <v>917</v>
      </c>
      <c r="H360" s="94">
        <v>129</v>
      </c>
      <c r="I360" s="94">
        <v>71630</v>
      </c>
      <c r="J360" s="94">
        <v>71322</v>
      </c>
      <c r="K360" s="94">
        <v>76</v>
      </c>
      <c r="L360" s="92" t="s">
        <v>18</v>
      </c>
      <c r="M360" s="92" t="s">
        <v>55</v>
      </c>
      <c r="N360" s="136">
        <f t="shared" si="5"/>
        <v>6.752474692240823E-2</v>
      </c>
    </row>
    <row r="361" spans="1:14" x14ac:dyDescent="0.3">
      <c r="A361" s="87" t="s">
        <v>459</v>
      </c>
      <c r="B361" s="88" t="s">
        <v>31</v>
      </c>
      <c r="C361" s="89">
        <v>45587</v>
      </c>
      <c r="D361" s="88" t="s">
        <v>33</v>
      </c>
      <c r="E361" s="88" t="s">
        <v>34</v>
      </c>
      <c r="F361" s="94">
        <v>3770</v>
      </c>
      <c r="G361" s="94">
        <v>917</v>
      </c>
      <c r="H361" s="94">
        <v>129</v>
      </c>
      <c r="I361" s="94">
        <v>71630</v>
      </c>
      <c r="J361" s="94">
        <v>71322</v>
      </c>
      <c r="K361" s="94">
        <v>76</v>
      </c>
      <c r="L361" s="92" t="s">
        <v>44</v>
      </c>
      <c r="M361" s="92" t="s">
        <v>55</v>
      </c>
      <c r="N361" s="136">
        <f t="shared" si="5"/>
        <v>6.752474692240823E-2</v>
      </c>
    </row>
    <row r="362" spans="1:14" x14ac:dyDescent="0.3">
      <c r="A362" s="87" t="s">
        <v>460</v>
      </c>
      <c r="B362" s="88" t="s">
        <v>14</v>
      </c>
      <c r="C362" s="89">
        <v>45489</v>
      </c>
      <c r="D362" s="88" t="s">
        <v>22</v>
      </c>
      <c r="E362" s="88" t="s">
        <v>23</v>
      </c>
      <c r="F362" s="94">
        <v>4725</v>
      </c>
      <c r="G362" s="94">
        <v>400</v>
      </c>
      <c r="H362" s="94">
        <v>362</v>
      </c>
      <c r="I362" s="94">
        <v>75600</v>
      </c>
      <c r="J362" s="94">
        <v>74927</v>
      </c>
      <c r="K362" s="94">
        <v>43</v>
      </c>
      <c r="L362" s="92" t="s">
        <v>44</v>
      </c>
      <c r="M362" s="92" t="s">
        <v>19</v>
      </c>
      <c r="N362" s="136">
        <f t="shared" si="5"/>
        <v>7.323127844435251E-2</v>
      </c>
    </row>
    <row r="363" spans="1:14" x14ac:dyDescent="0.3">
      <c r="A363" s="87" t="s">
        <v>460</v>
      </c>
      <c r="B363" s="88" t="s">
        <v>14</v>
      </c>
      <c r="C363" s="89">
        <v>45489</v>
      </c>
      <c r="D363" s="88" t="s">
        <v>22</v>
      </c>
      <c r="E363" s="88" t="s">
        <v>23</v>
      </c>
      <c r="F363" s="94">
        <v>4725</v>
      </c>
      <c r="G363" s="94">
        <v>400</v>
      </c>
      <c r="H363" s="94">
        <v>362</v>
      </c>
      <c r="I363" s="94">
        <v>75600</v>
      </c>
      <c r="J363" s="94">
        <v>74927</v>
      </c>
      <c r="K363" s="94">
        <v>43</v>
      </c>
      <c r="L363" s="92" t="s">
        <v>24</v>
      </c>
      <c r="M363" s="92" t="s">
        <v>19</v>
      </c>
      <c r="N363" s="136">
        <f t="shared" si="5"/>
        <v>7.323127844435251E-2</v>
      </c>
    </row>
    <row r="364" spans="1:14" x14ac:dyDescent="0.3">
      <c r="A364" s="87" t="s">
        <v>462</v>
      </c>
      <c r="B364" s="88" t="s">
        <v>577</v>
      </c>
      <c r="C364" s="89">
        <v>45712</v>
      </c>
      <c r="D364" s="88" t="s">
        <v>22</v>
      </c>
      <c r="E364" s="88" t="s">
        <v>23</v>
      </c>
      <c r="F364" s="94">
        <v>4188</v>
      </c>
      <c r="G364" s="94">
        <v>942</v>
      </c>
      <c r="H364" s="94">
        <v>118</v>
      </c>
      <c r="I364" s="94">
        <v>20940</v>
      </c>
      <c r="J364" s="94">
        <v>20471</v>
      </c>
      <c r="K364" s="94">
        <v>102</v>
      </c>
      <c r="L364" s="92" t="s">
        <v>58</v>
      </c>
      <c r="M364" s="92" t="s">
        <v>25</v>
      </c>
      <c r="N364" s="136">
        <f t="shared" si="5"/>
        <v>0.25636265937179425</v>
      </c>
    </row>
    <row r="365" spans="1:14" x14ac:dyDescent="0.3">
      <c r="A365" s="87" t="s">
        <v>463</v>
      </c>
      <c r="B365" s="88" t="s">
        <v>14</v>
      </c>
      <c r="C365" s="89">
        <v>45530</v>
      </c>
      <c r="D365" s="88" t="s">
        <v>42</v>
      </c>
      <c r="E365" s="88" t="s">
        <v>43</v>
      </c>
      <c r="F365" s="94">
        <v>929</v>
      </c>
      <c r="G365" s="94">
        <v>192</v>
      </c>
      <c r="H365" s="94">
        <v>322</v>
      </c>
      <c r="I365" s="94">
        <v>16722</v>
      </c>
      <c r="J365" s="94">
        <v>15996</v>
      </c>
      <c r="K365" s="94">
        <v>145</v>
      </c>
      <c r="L365" s="92" t="s">
        <v>24</v>
      </c>
      <c r="M365" s="92" t="s">
        <v>38</v>
      </c>
      <c r="N365" s="136">
        <f t="shared" si="5"/>
        <v>9.0210052513128289E-2</v>
      </c>
    </row>
    <row r="366" spans="1:14" x14ac:dyDescent="0.3">
      <c r="A366" s="87" t="s">
        <v>464</v>
      </c>
      <c r="B366" s="88" t="s">
        <v>40</v>
      </c>
      <c r="C366" s="89">
        <v>45675</v>
      </c>
      <c r="D366" s="88" t="s">
        <v>33</v>
      </c>
      <c r="E366" s="88" t="s">
        <v>34</v>
      </c>
      <c r="F366" s="94">
        <v>4321</v>
      </c>
      <c r="G366" s="94">
        <v>874</v>
      </c>
      <c r="H366" s="94">
        <v>172</v>
      </c>
      <c r="I366" s="94">
        <v>30247</v>
      </c>
      <c r="J366" s="94">
        <v>29254</v>
      </c>
      <c r="K366" s="94">
        <v>122</v>
      </c>
      <c r="L366" s="92" t="s">
        <v>18</v>
      </c>
      <c r="M366" s="92" t="s">
        <v>38</v>
      </c>
      <c r="N366" s="136">
        <f t="shared" si="5"/>
        <v>0.18346209065426949</v>
      </c>
    </row>
    <row r="367" spans="1:14" x14ac:dyDescent="0.3">
      <c r="A367" s="87" t="s">
        <v>464</v>
      </c>
      <c r="B367" s="88" t="s">
        <v>40</v>
      </c>
      <c r="C367" s="89">
        <v>45675</v>
      </c>
      <c r="D367" s="88" t="s">
        <v>33</v>
      </c>
      <c r="E367" s="88" t="s">
        <v>34</v>
      </c>
      <c r="F367" s="94">
        <v>4321</v>
      </c>
      <c r="G367" s="94">
        <v>874</v>
      </c>
      <c r="H367" s="94">
        <v>172</v>
      </c>
      <c r="I367" s="94">
        <v>30247</v>
      </c>
      <c r="J367" s="94">
        <v>29254</v>
      </c>
      <c r="K367" s="94">
        <v>122</v>
      </c>
      <c r="L367" s="92" t="s">
        <v>24</v>
      </c>
      <c r="M367" s="92" t="s">
        <v>38</v>
      </c>
      <c r="N367" s="136">
        <f t="shared" si="5"/>
        <v>0.18346209065426949</v>
      </c>
    </row>
    <row r="368" spans="1:14" x14ac:dyDescent="0.3">
      <c r="A368" s="87" t="s">
        <v>466</v>
      </c>
      <c r="B368" s="88" t="s">
        <v>40</v>
      </c>
      <c r="C368" s="89">
        <v>45480</v>
      </c>
      <c r="D368" s="88" t="s">
        <v>16</v>
      </c>
      <c r="E368" s="88" t="s">
        <v>17</v>
      </c>
      <c r="F368" s="94">
        <v>4767</v>
      </c>
      <c r="G368" s="94">
        <v>190</v>
      </c>
      <c r="H368" s="94">
        <v>340</v>
      </c>
      <c r="I368" s="94">
        <v>28602</v>
      </c>
      <c r="J368" s="94">
        <v>28044</v>
      </c>
      <c r="K368" s="94">
        <v>210</v>
      </c>
      <c r="L368" s="92" t="s">
        <v>77</v>
      </c>
      <c r="M368" s="92" t="s">
        <v>55</v>
      </c>
      <c r="N368" s="136">
        <f t="shared" si="5"/>
        <v>0.18888175723862502</v>
      </c>
    </row>
    <row r="369" spans="1:14" x14ac:dyDescent="0.3">
      <c r="A369" s="87" t="s">
        <v>467</v>
      </c>
      <c r="B369" s="88" t="s">
        <v>14</v>
      </c>
      <c r="C369" s="89">
        <v>45722</v>
      </c>
      <c r="D369" s="88" t="s">
        <v>49</v>
      </c>
      <c r="E369" s="88" t="s">
        <v>50</v>
      </c>
      <c r="F369" s="94">
        <v>3592</v>
      </c>
      <c r="G369" s="94">
        <v>911</v>
      </c>
      <c r="H369" s="94">
        <v>375</v>
      </c>
      <c r="I369" s="94">
        <v>50288</v>
      </c>
      <c r="J369" s="94">
        <v>49490</v>
      </c>
      <c r="K369" s="94">
        <v>32</v>
      </c>
      <c r="L369" s="92" t="s">
        <v>58</v>
      </c>
      <c r="M369" s="92" t="s">
        <v>25</v>
      </c>
      <c r="N369" s="136">
        <f t="shared" si="5"/>
        <v>9.8565366740755708E-2</v>
      </c>
    </row>
    <row r="370" spans="1:14" x14ac:dyDescent="0.3">
      <c r="A370" s="87" t="s">
        <v>469</v>
      </c>
      <c r="B370" s="88" t="s">
        <v>577</v>
      </c>
      <c r="C370" s="89">
        <v>45590</v>
      </c>
      <c r="D370" s="88" t="s">
        <v>69</v>
      </c>
      <c r="E370" s="88" t="s">
        <v>70</v>
      </c>
      <c r="F370" s="94">
        <v>4661</v>
      </c>
      <c r="G370" s="94">
        <v>935</v>
      </c>
      <c r="H370" s="94">
        <v>433</v>
      </c>
      <c r="I370" s="94">
        <v>23305</v>
      </c>
      <c r="J370" s="94">
        <v>22583</v>
      </c>
      <c r="K370" s="94">
        <v>63</v>
      </c>
      <c r="L370" s="92" t="s">
        <v>58</v>
      </c>
      <c r="M370" s="92" t="s">
        <v>19</v>
      </c>
      <c r="N370" s="136">
        <f t="shared" si="5"/>
        <v>0.26697073019527962</v>
      </c>
    </row>
    <row r="371" spans="1:14" x14ac:dyDescent="0.3">
      <c r="A371" s="87" t="s">
        <v>469</v>
      </c>
      <c r="B371" s="88" t="s">
        <v>577</v>
      </c>
      <c r="C371" s="89">
        <v>45590</v>
      </c>
      <c r="D371" s="88" t="s">
        <v>69</v>
      </c>
      <c r="E371" s="88" t="s">
        <v>70</v>
      </c>
      <c r="F371" s="94">
        <v>4661</v>
      </c>
      <c r="G371" s="94">
        <v>935</v>
      </c>
      <c r="H371" s="94">
        <v>433</v>
      </c>
      <c r="I371" s="94">
        <v>23305</v>
      </c>
      <c r="J371" s="94">
        <v>22583</v>
      </c>
      <c r="K371" s="94">
        <v>63</v>
      </c>
      <c r="L371" s="92" t="s">
        <v>77</v>
      </c>
      <c r="M371" s="92" t="s">
        <v>19</v>
      </c>
      <c r="N371" s="136">
        <f t="shared" si="5"/>
        <v>0.26697073019527962</v>
      </c>
    </row>
    <row r="372" spans="1:14" x14ac:dyDescent="0.3">
      <c r="A372" s="87" t="s">
        <v>471</v>
      </c>
      <c r="B372" s="88" t="s">
        <v>40</v>
      </c>
      <c r="C372" s="89">
        <v>45669</v>
      </c>
      <c r="D372" s="88" t="s">
        <v>16</v>
      </c>
      <c r="E372" s="88" t="s">
        <v>17</v>
      </c>
      <c r="F372" s="94">
        <v>4134</v>
      </c>
      <c r="G372" s="94">
        <v>824</v>
      </c>
      <c r="H372" s="94">
        <v>99</v>
      </c>
      <c r="I372" s="94">
        <v>41340</v>
      </c>
      <c r="J372" s="94">
        <v>41050</v>
      </c>
      <c r="K372" s="94">
        <v>177</v>
      </c>
      <c r="L372" s="92" t="s">
        <v>24</v>
      </c>
      <c r="M372" s="92" t="s">
        <v>25</v>
      </c>
      <c r="N372" s="136">
        <f t="shared" si="5"/>
        <v>0.12319123020706456</v>
      </c>
    </row>
    <row r="373" spans="1:14" x14ac:dyDescent="0.3">
      <c r="A373" s="87" t="s">
        <v>473</v>
      </c>
      <c r="B373" s="88" t="s">
        <v>40</v>
      </c>
      <c r="C373" s="89">
        <v>45576</v>
      </c>
      <c r="D373" s="88" t="s">
        <v>49</v>
      </c>
      <c r="E373" s="88" t="s">
        <v>50</v>
      </c>
      <c r="F373" s="94">
        <v>400</v>
      </c>
      <c r="G373" s="94">
        <v>680</v>
      </c>
      <c r="H373" s="94">
        <v>434</v>
      </c>
      <c r="I373" s="94">
        <v>6400</v>
      </c>
      <c r="J373" s="94">
        <v>5472</v>
      </c>
      <c r="K373" s="94">
        <v>160</v>
      </c>
      <c r="L373" s="92" t="s">
        <v>18</v>
      </c>
      <c r="M373" s="92" t="s">
        <v>25</v>
      </c>
      <c r="N373" s="136">
        <f t="shared" si="5"/>
        <v>0.27668128654970758</v>
      </c>
    </row>
    <row r="374" spans="1:14" x14ac:dyDescent="0.3">
      <c r="A374" s="87" t="s">
        <v>473</v>
      </c>
      <c r="B374" s="88" t="s">
        <v>40</v>
      </c>
      <c r="C374" s="89">
        <v>45576</v>
      </c>
      <c r="D374" s="88" t="s">
        <v>49</v>
      </c>
      <c r="E374" s="88" t="s">
        <v>50</v>
      </c>
      <c r="F374" s="94">
        <v>400</v>
      </c>
      <c r="G374" s="94">
        <v>680</v>
      </c>
      <c r="H374" s="94">
        <v>434</v>
      </c>
      <c r="I374" s="94">
        <v>6400</v>
      </c>
      <c r="J374" s="94">
        <v>5472</v>
      </c>
      <c r="K374" s="94">
        <v>160</v>
      </c>
      <c r="L374" s="92" t="s">
        <v>44</v>
      </c>
      <c r="M374" s="92" t="s">
        <v>25</v>
      </c>
      <c r="N374" s="136">
        <f t="shared" si="5"/>
        <v>0.27668128654970758</v>
      </c>
    </row>
    <row r="375" spans="1:14" x14ac:dyDescent="0.3">
      <c r="A375" s="87" t="s">
        <v>475</v>
      </c>
      <c r="B375" s="88" t="s">
        <v>40</v>
      </c>
      <c r="C375" s="89">
        <v>45531</v>
      </c>
      <c r="D375" s="88" t="s">
        <v>16</v>
      </c>
      <c r="E375" s="88" t="s">
        <v>17</v>
      </c>
      <c r="F375" s="94">
        <v>3960</v>
      </c>
      <c r="G375" s="94">
        <v>266</v>
      </c>
      <c r="H375" s="94">
        <v>8</v>
      </c>
      <c r="I375" s="94">
        <v>35640</v>
      </c>
      <c r="J375" s="94">
        <v>34850</v>
      </c>
      <c r="K375" s="94">
        <v>208</v>
      </c>
      <c r="L375" s="92" t="s">
        <v>44</v>
      </c>
      <c r="M375" s="92" t="s">
        <v>55</v>
      </c>
      <c r="N375" s="136">
        <f t="shared" si="5"/>
        <v>0.12149210903873744</v>
      </c>
    </row>
    <row r="376" spans="1:14" x14ac:dyDescent="0.3">
      <c r="A376" s="87" t="s">
        <v>475</v>
      </c>
      <c r="B376" s="88" t="s">
        <v>40</v>
      </c>
      <c r="C376" s="89">
        <v>45531</v>
      </c>
      <c r="D376" s="88" t="s">
        <v>16</v>
      </c>
      <c r="E376" s="88" t="s">
        <v>17</v>
      </c>
      <c r="F376" s="94">
        <v>3960</v>
      </c>
      <c r="G376" s="94">
        <v>266</v>
      </c>
      <c r="H376" s="94">
        <v>8</v>
      </c>
      <c r="I376" s="94">
        <v>35640</v>
      </c>
      <c r="J376" s="94">
        <v>34850</v>
      </c>
      <c r="K376" s="94">
        <v>208</v>
      </c>
      <c r="L376" s="92" t="s">
        <v>24</v>
      </c>
      <c r="M376" s="92" t="s">
        <v>55</v>
      </c>
      <c r="N376" s="136">
        <f t="shared" si="5"/>
        <v>0.12149210903873744</v>
      </c>
    </row>
    <row r="377" spans="1:14" x14ac:dyDescent="0.3">
      <c r="A377" s="87" t="s">
        <v>477</v>
      </c>
      <c r="B377" s="88" t="s">
        <v>40</v>
      </c>
      <c r="C377" s="89">
        <v>45690</v>
      </c>
      <c r="D377" s="88" t="s">
        <v>33</v>
      </c>
      <c r="E377" s="88" t="s">
        <v>34</v>
      </c>
      <c r="F377" s="94">
        <v>886</v>
      </c>
      <c r="G377" s="94">
        <v>126</v>
      </c>
      <c r="H377" s="94">
        <v>153</v>
      </c>
      <c r="I377" s="94">
        <v>4430</v>
      </c>
      <c r="J377" s="94">
        <v>4037</v>
      </c>
      <c r="K377" s="94">
        <v>212</v>
      </c>
      <c r="L377" s="92" t="s">
        <v>18</v>
      </c>
      <c r="M377" s="92" t="s">
        <v>38</v>
      </c>
      <c r="N377" s="136">
        <f t="shared" si="5"/>
        <v>0.2885806291800842</v>
      </c>
    </row>
    <row r="378" spans="1:14" x14ac:dyDescent="0.3">
      <c r="A378" s="87" t="s">
        <v>478</v>
      </c>
      <c r="B378" s="88" t="s">
        <v>14</v>
      </c>
      <c r="C378" s="89">
        <v>45491</v>
      </c>
      <c r="D378" s="88" t="s">
        <v>49</v>
      </c>
      <c r="E378" s="88" t="s">
        <v>50</v>
      </c>
      <c r="F378" s="94">
        <v>827</v>
      </c>
      <c r="G378" s="94">
        <v>77</v>
      </c>
      <c r="H378" s="94">
        <v>402</v>
      </c>
      <c r="I378" s="94">
        <v>14886</v>
      </c>
      <c r="J378" s="94">
        <v>14129</v>
      </c>
      <c r="K378" s="94">
        <v>254</v>
      </c>
      <c r="L378" s="92" t="s">
        <v>58</v>
      </c>
      <c r="M378" s="92" t="s">
        <v>25</v>
      </c>
      <c r="N378" s="136">
        <f t="shared" si="5"/>
        <v>9.2434000990869847E-2</v>
      </c>
    </row>
    <row r="379" spans="1:14" x14ac:dyDescent="0.3">
      <c r="A379" s="87" t="s">
        <v>479</v>
      </c>
      <c r="B379" s="88" t="s">
        <v>40</v>
      </c>
      <c r="C379" s="89">
        <v>45465</v>
      </c>
      <c r="D379" s="88" t="s">
        <v>16</v>
      </c>
      <c r="E379" s="88" t="s">
        <v>17</v>
      </c>
      <c r="F379" s="94">
        <v>3813</v>
      </c>
      <c r="G379" s="94">
        <v>935</v>
      </c>
      <c r="H379" s="94">
        <v>274</v>
      </c>
      <c r="I379" s="94">
        <v>68634</v>
      </c>
      <c r="J379" s="94">
        <v>68488</v>
      </c>
      <c r="K379" s="94">
        <v>251</v>
      </c>
      <c r="L379" s="92" t="s">
        <v>77</v>
      </c>
      <c r="M379" s="92" t="s">
        <v>19</v>
      </c>
      <c r="N379" s="136">
        <f t="shared" si="5"/>
        <v>7.3326714168905502E-2</v>
      </c>
    </row>
    <row r="380" spans="1:14" x14ac:dyDescent="0.3">
      <c r="A380" s="87" t="s">
        <v>479</v>
      </c>
      <c r="B380" s="88" t="s">
        <v>40</v>
      </c>
      <c r="C380" s="89">
        <v>45465</v>
      </c>
      <c r="D380" s="88" t="s">
        <v>16</v>
      </c>
      <c r="E380" s="88" t="s">
        <v>17</v>
      </c>
      <c r="F380" s="94">
        <v>3813</v>
      </c>
      <c r="G380" s="94">
        <v>935</v>
      </c>
      <c r="H380" s="94">
        <v>274</v>
      </c>
      <c r="I380" s="94">
        <v>68634</v>
      </c>
      <c r="J380" s="94">
        <v>68488</v>
      </c>
      <c r="K380" s="94">
        <v>251</v>
      </c>
      <c r="L380" s="92" t="s">
        <v>44</v>
      </c>
      <c r="M380" s="92" t="s">
        <v>19</v>
      </c>
      <c r="N380" s="136">
        <f t="shared" si="5"/>
        <v>7.3326714168905502E-2</v>
      </c>
    </row>
    <row r="381" spans="1:14" x14ac:dyDescent="0.3">
      <c r="A381" s="87" t="s">
        <v>480</v>
      </c>
      <c r="B381" s="88" t="s">
        <v>31</v>
      </c>
      <c r="C381" s="89">
        <v>45743</v>
      </c>
      <c r="D381" s="88" t="s">
        <v>42</v>
      </c>
      <c r="E381" s="88" t="s">
        <v>43</v>
      </c>
      <c r="F381" s="94">
        <v>1377</v>
      </c>
      <c r="G381" s="94">
        <v>796</v>
      </c>
      <c r="H381" s="94">
        <v>387</v>
      </c>
      <c r="I381" s="94">
        <v>22032</v>
      </c>
      <c r="J381" s="94">
        <v>21869</v>
      </c>
      <c r="K381" s="94">
        <v>189</v>
      </c>
      <c r="L381" s="92" t="s">
        <v>77</v>
      </c>
      <c r="M381" s="92" t="s">
        <v>38</v>
      </c>
      <c r="N381" s="136">
        <f t="shared" si="5"/>
        <v>0.11706067950066304</v>
      </c>
    </row>
    <row r="382" spans="1:14" x14ac:dyDescent="0.3">
      <c r="A382" s="87" t="s">
        <v>480</v>
      </c>
      <c r="B382" s="88" t="s">
        <v>31</v>
      </c>
      <c r="C382" s="89">
        <v>45743</v>
      </c>
      <c r="D382" s="88" t="s">
        <v>42</v>
      </c>
      <c r="E382" s="88" t="s">
        <v>43</v>
      </c>
      <c r="F382" s="94">
        <v>1377</v>
      </c>
      <c r="G382" s="94">
        <v>796</v>
      </c>
      <c r="H382" s="94">
        <v>387</v>
      </c>
      <c r="I382" s="94">
        <v>22032</v>
      </c>
      <c r="J382" s="94">
        <v>21869</v>
      </c>
      <c r="K382" s="94">
        <v>189</v>
      </c>
      <c r="L382" s="92" t="s">
        <v>24</v>
      </c>
      <c r="M382" s="92" t="s">
        <v>38</v>
      </c>
      <c r="N382" s="136">
        <f t="shared" si="5"/>
        <v>0.11706067950066304</v>
      </c>
    </row>
    <row r="383" spans="1:14" x14ac:dyDescent="0.3">
      <c r="A383" s="87" t="s">
        <v>482</v>
      </c>
      <c r="B383" s="88" t="s">
        <v>40</v>
      </c>
      <c r="C383" s="89">
        <v>45775</v>
      </c>
      <c r="D383" s="88" t="s">
        <v>42</v>
      </c>
      <c r="E383" s="88" t="s">
        <v>43</v>
      </c>
      <c r="F383" s="94">
        <v>2089</v>
      </c>
      <c r="G383" s="94">
        <v>476</v>
      </c>
      <c r="H383" s="94">
        <v>69</v>
      </c>
      <c r="I383" s="94">
        <v>16712</v>
      </c>
      <c r="J383" s="94">
        <v>16309</v>
      </c>
      <c r="K383" s="94">
        <v>64</v>
      </c>
      <c r="L383" s="92" t="s">
        <v>58</v>
      </c>
      <c r="M383" s="92" t="s">
        <v>19</v>
      </c>
      <c r="N383" s="136">
        <f t="shared" si="5"/>
        <v>0.16150591697835551</v>
      </c>
    </row>
    <row r="384" spans="1:14" x14ac:dyDescent="0.3">
      <c r="A384" s="87" t="s">
        <v>482</v>
      </c>
      <c r="B384" s="88" t="s">
        <v>40</v>
      </c>
      <c r="C384" s="89">
        <v>45775</v>
      </c>
      <c r="D384" s="88" t="s">
        <v>42</v>
      </c>
      <c r="E384" s="88" t="s">
        <v>43</v>
      </c>
      <c r="F384" s="94">
        <v>2089</v>
      </c>
      <c r="G384" s="94">
        <v>476</v>
      </c>
      <c r="H384" s="94">
        <v>69</v>
      </c>
      <c r="I384" s="94">
        <v>16712</v>
      </c>
      <c r="J384" s="94">
        <v>16309</v>
      </c>
      <c r="K384" s="94">
        <v>64</v>
      </c>
      <c r="L384" s="92" t="s">
        <v>18</v>
      </c>
      <c r="M384" s="92" t="s">
        <v>19</v>
      </c>
      <c r="N384" s="136">
        <f t="shared" si="5"/>
        <v>0.16150591697835551</v>
      </c>
    </row>
    <row r="385" spans="1:14" x14ac:dyDescent="0.3">
      <c r="A385" s="87" t="s">
        <v>483</v>
      </c>
      <c r="B385" s="88" t="s">
        <v>14</v>
      </c>
      <c r="C385" s="89">
        <v>45507</v>
      </c>
      <c r="D385" s="88" t="s">
        <v>16</v>
      </c>
      <c r="E385" s="88" t="s">
        <v>17</v>
      </c>
      <c r="F385" s="94">
        <v>3791</v>
      </c>
      <c r="G385" s="94">
        <v>593</v>
      </c>
      <c r="H385" s="94">
        <v>228</v>
      </c>
      <c r="I385" s="94">
        <v>53074</v>
      </c>
      <c r="J385" s="94">
        <v>52613</v>
      </c>
      <c r="K385" s="94">
        <v>205</v>
      </c>
      <c r="L385" s="92" t="s">
        <v>58</v>
      </c>
      <c r="M385" s="92" t="s">
        <v>19</v>
      </c>
      <c r="N385" s="136">
        <f t="shared" si="5"/>
        <v>8.7658943607093309E-2</v>
      </c>
    </row>
    <row r="386" spans="1:14" x14ac:dyDescent="0.3">
      <c r="A386" s="87" t="s">
        <v>483</v>
      </c>
      <c r="B386" s="88" t="s">
        <v>14</v>
      </c>
      <c r="C386" s="89">
        <v>45507</v>
      </c>
      <c r="D386" s="88" t="s">
        <v>16</v>
      </c>
      <c r="E386" s="88" t="s">
        <v>17</v>
      </c>
      <c r="F386" s="94">
        <v>3791</v>
      </c>
      <c r="G386" s="94">
        <v>593</v>
      </c>
      <c r="H386" s="94">
        <v>228</v>
      </c>
      <c r="I386" s="94">
        <v>53074</v>
      </c>
      <c r="J386" s="94">
        <v>52613</v>
      </c>
      <c r="K386" s="94">
        <v>205</v>
      </c>
      <c r="L386" s="92" t="s">
        <v>77</v>
      </c>
      <c r="M386" s="92" t="s">
        <v>19</v>
      </c>
      <c r="N386" s="136">
        <f t="shared" si="5"/>
        <v>8.7658943607093309E-2</v>
      </c>
    </row>
    <row r="387" spans="1:14" x14ac:dyDescent="0.3">
      <c r="A387" s="87" t="s">
        <v>485</v>
      </c>
      <c r="B387" s="88" t="s">
        <v>14</v>
      </c>
      <c r="C387" s="89">
        <v>45671</v>
      </c>
      <c r="D387" s="88" t="s">
        <v>49</v>
      </c>
      <c r="E387" s="88" t="s">
        <v>50</v>
      </c>
      <c r="F387" s="94">
        <v>2692</v>
      </c>
      <c r="G387" s="94">
        <v>115</v>
      </c>
      <c r="H387" s="94">
        <v>64</v>
      </c>
      <c r="I387" s="94">
        <v>21536</v>
      </c>
      <c r="J387" s="94">
        <v>21120</v>
      </c>
      <c r="K387" s="94">
        <v>224</v>
      </c>
      <c r="L387" s="92" t="s">
        <v>77</v>
      </c>
      <c r="M387" s="92" t="s">
        <v>55</v>
      </c>
      <c r="N387" s="136">
        <f t="shared" ref="N387:N450" si="6">SUM(F387,G387,H387)/J387</f>
        <v>0.13593749999999999</v>
      </c>
    </row>
    <row r="388" spans="1:14" x14ac:dyDescent="0.3">
      <c r="A388" s="87" t="s">
        <v>485</v>
      </c>
      <c r="B388" s="88" t="s">
        <v>14</v>
      </c>
      <c r="C388" s="89">
        <v>45671</v>
      </c>
      <c r="D388" s="88" t="s">
        <v>49</v>
      </c>
      <c r="E388" s="88" t="s">
        <v>50</v>
      </c>
      <c r="F388" s="94">
        <v>2692</v>
      </c>
      <c r="G388" s="94">
        <v>115</v>
      </c>
      <c r="H388" s="94">
        <v>64</v>
      </c>
      <c r="I388" s="94">
        <v>21536</v>
      </c>
      <c r="J388" s="94">
        <v>21120</v>
      </c>
      <c r="K388" s="94">
        <v>224</v>
      </c>
      <c r="L388" s="92" t="s">
        <v>44</v>
      </c>
      <c r="M388" s="92" t="s">
        <v>55</v>
      </c>
      <c r="N388" s="136">
        <f t="shared" si="6"/>
        <v>0.13593749999999999</v>
      </c>
    </row>
    <row r="389" spans="1:14" x14ac:dyDescent="0.3">
      <c r="A389" s="87" t="s">
        <v>487</v>
      </c>
      <c r="B389" s="88" t="s">
        <v>40</v>
      </c>
      <c r="C389" s="89">
        <v>45750</v>
      </c>
      <c r="D389" s="88" t="s">
        <v>33</v>
      </c>
      <c r="E389" s="88" t="s">
        <v>34</v>
      </c>
      <c r="F389" s="94">
        <v>3767</v>
      </c>
      <c r="G389" s="94">
        <v>514</v>
      </c>
      <c r="H389" s="94">
        <v>238</v>
      </c>
      <c r="I389" s="94">
        <v>37670</v>
      </c>
      <c r="J389" s="94">
        <v>36807</v>
      </c>
      <c r="K389" s="94">
        <v>226</v>
      </c>
      <c r="L389" s="92" t="s">
        <v>58</v>
      </c>
      <c r="M389" s="92" t="s">
        <v>19</v>
      </c>
      <c r="N389" s="136">
        <f t="shared" si="6"/>
        <v>0.12277555899692993</v>
      </c>
    </row>
    <row r="390" spans="1:14" x14ac:dyDescent="0.3">
      <c r="A390" s="87" t="s">
        <v>487</v>
      </c>
      <c r="B390" s="88" t="s">
        <v>40</v>
      </c>
      <c r="C390" s="89">
        <v>45750</v>
      </c>
      <c r="D390" s="88" t="s">
        <v>33</v>
      </c>
      <c r="E390" s="88" t="s">
        <v>34</v>
      </c>
      <c r="F390" s="94">
        <v>3767</v>
      </c>
      <c r="G390" s="94">
        <v>514</v>
      </c>
      <c r="H390" s="94">
        <v>238</v>
      </c>
      <c r="I390" s="94">
        <v>37670</v>
      </c>
      <c r="J390" s="94">
        <v>36807</v>
      </c>
      <c r="K390" s="94">
        <v>226</v>
      </c>
      <c r="L390" s="92" t="s">
        <v>77</v>
      </c>
      <c r="M390" s="92" t="s">
        <v>19</v>
      </c>
      <c r="N390" s="136">
        <f t="shared" si="6"/>
        <v>0.12277555899692993</v>
      </c>
    </row>
    <row r="391" spans="1:14" x14ac:dyDescent="0.3">
      <c r="A391" s="87" t="s">
        <v>488</v>
      </c>
      <c r="B391" s="88" t="s">
        <v>577</v>
      </c>
      <c r="C391" s="89">
        <v>45553</v>
      </c>
      <c r="D391" s="88" t="s">
        <v>42</v>
      </c>
      <c r="E391" s="88" t="s">
        <v>43</v>
      </c>
      <c r="F391" s="94">
        <v>2143</v>
      </c>
      <c r="G391" s="94">
        <v>12</v>
      </c>
      <c r="H391" s="94">
        <v>204</v>
      </c>
      <c r="I391" s="94">
        <v>40717</v>
      </c>
      <c r="J391" s="94">
        <v>40125</v>
      </c>
      <c r="K391" s="94">
        <v>248</v>
      </c>
      <c r="L391" s="92" t="s">
        <v>77</v>
      </c>
      <c r="M391" s="92" t="s">
        <v>55</v>
      </c>
      <c r="N391" s="136">
        <f t="shared" si="6"/>
        <v>5.8791277258566976E-2</v>
      </c>
    </row>
    <row r="392" spans="1:14" x14ac:dyDescent="0.3">
      <c r="A392" s="87" t="s">
        <v>488</v>
      </c>
      <c r="B392" s="88" t="s">
        <v>577</v>
      </c>
      <c r="C392" s="89">
        <v>45553</v>
      </c>
      <c r="D392" s="88" t="s">
        <v>42</v>
      </c>
      <c r="E392" s="88" t="s">
        <v>43</v>
      </c>
      <c r="F392" s="94">
        <v>2143</v>
      </c>
      <c r="G392" s="94">
        <v>12</v>
      </c>
      <c r="H392" s="94">
        <v>204</v>
      </c>
      <c r="I392" s="94">
        <v>40717</v>
      </c>
      <c r="J392" s="94">
        <v>40125</v>
      </c>
      <c r="K392" s="94">
        <v>248</v>
      </c>
      <c r="L392" s="92" t="s">
        <v>18</v>
      </c>
      <c r="M392" s="92" t="s">
        <v>55</v>
      </c>
      <c r="N392" s="136">
        <f t="shared" si="6"/>
        <v>5.8791277258566976E-2</v>
      </c>
    </row>
    <row r="393" spans="1:14" x14ac:dyDescent="0.3">
      <c r="A393" s="87" t="s">
        <v>489</v>
      </c>
      <c r="B393" s="88" t="s">
        <v>40</v>
      </c>
      <c r="C393" s="89">
        <v>45753</v>
      </c>
      <c r="D393" s="88" t="s">
        <v>49</v>
      </c>
      <c r="E393" s="88" t="s">
        <v>50</v>
      </c>
      <c r="F393" s="94">
        <v>3090</v>
      </c>
      <c r="G393" s="94">
        <v>697</v>
      </c>
      <c r="H393" s="94">
        <v>164</v>
      </c>
      <c r="I393" s="94">
        <v>49440</v>
      </c>
      <c r="J393" s="94">
        <v>48524</v>
      </c>
      <c r="K393" s="94">
        <v>25</v>
      </c>
      <c r="L393" s="92" t="s">
        <v>77</v>
      </c>
      <c r="M393" s="92" t="s">
        <v>55</v>
      </c>
      <c r="N393" s="136">
        <f t="shared" si="6"/>
        <v>8.1423625422471349E-2</v>
      </c>
    </row>
    <row r="394" spans="1:14" x14ac:dyDescent="0.3">
      <c r="A394" s="87" t="s">
        <v>489</v>
      </c>
      <c r="B394" s="88" t="s">
        <v>40</v>
      </c>
      <c r="C394" s="89">
        <v>45753</v>
      </c>
      <c r="D394" s="88" t="s">
        <v>49</v>
      </c>
      <c r="E394" s="88" t="s">
        <v>50</v>
      </c>
      <c r="F394" s="94">
        <v>3090</v>
      </c>
      <c r="G394" s="94">
        <v>697</v>
      </c>
      <c r="H394" s="94">
        <v>164</v>
      </c>
      <c r="I394" s="94">
        <v>49440</v>
      </c>
      <c r="J394" s="94">
        <v>48524</v>
      </c>
      <c r="K394" s="94">
        <v>25</v>
      </c>
      <c r="L394" s="92" t="s">
        <v>58</v>
      </c>
      <c r="M394" s="92" t="s">
        <v>55</v>
      </c>
      <c r="N394" s="136">
        <f t="shared" si="6"/>
        <v>8.1423625422471349E-2</v>
      </c>
    </row>
    <row r="395" spans="1:14" x14ac:dyDescent="0.3">
      <c r="A395" s="87" t="s">
        <v>490</v>
      </c>
      <c r="B395" s="88" t="s">
        <v>31</v>
      </c>
      <c r="C395" s="89">
        <v>45509</v>
      </c>
      <c r="D395" s="88" t="s">
        <v>33</v>
      </c>
      <c r="E395" s="88" t="s">
        <v>34</v>
      </c>
      <c r="F395" s="94">
        <v>3601</v>
      </c>
      <c r="G395" s="94">
        <v>695</v>
      </c>
      <c r="H395" s="94">
        <v>75</v>
      </c>
      <c r="I395" s="94">
        <v>21606</v>
      </c>
      <c r="J395" s="94">
        <v>21454</v>
      </c>
      <c r="K395" s="94">
        <v>172</v>
      </c>
      <c r="L395" s="92" t="s">
        <v>58</v>
      </c>
      <c r="M395" s="92" t="s">
        <v>25</v>
      </c>
      <c r="N395" s="136">
        <f t="shared" si="6"/>
        <v>0.20373823063298219</v>
      </c>
    </row>
    <row r="396" spans="1:14" x14ac:dyDescent="0.3">
      <c r="A396" s="87" t="s">
        <v>492</v>
      </c>
      <c r="B396" s="88" t="s">
        <v>40</v>
      </c>
      <c r="C396" s="89">
        <v>45698</v>
      </c>
      <c r="D396" s="88" t="s">
        <v>22</v>
      </c>
      <c r="E396" s="88" t="s">
        <v>23</v>
      </c>
      <c r="F396" s="94">
        <v>562</v>
      </c>
      <c r="G396" s="94">
        <v>158</v>
      </c>
      <c r="H396" s="94">
        <v>149</v>
      </c>
      <c r="I396" s="94">
        <v>3372</v>
      </c>
      <c r="J396" s="94">
        <v>2940</v>
      </c>
      <c r="K396" s="94">
        <v>93</v>
      </c>
      <c r="L396" s="92" t="s">
        <v>77</v>
      </c>
      <c r="M396" s="92" t="s">
        <v>55</v>
      </c>
      <c r="N396" s="136">
        <f t="shared" si="6"/>
        <v>0.29557823129251698</v>
      </c>
    </row>
    <row r="397" spans="1:14" x14ac:dyDescent="0.3">
      <c r="A397" s="87" t="s">
        <v>492</v>
      </c>
      <c r="B397" s="88" t="s">
        <v>40</v>
      </c>
      <c r="C397" s="89">
        <v>45698</v>
      </c>
      <c r="D397" s="88" t="s">
        <v>22</v>
      </c>
      <c r="E397" s="88" t="s">
        <v>23</v>
      </c>
      <c r="F397" s="94">
        <v>562</v>
      </c>
      <c r="G397" s="94">
        <v>158</v>
      </c>
      <c r="H397" s="94">
        <v>149</v>
      </c>
      <c r="I397" s="94">
        <v>3372</v>
      </c>
      <c r="J397" s="94">
        <v>2940</v>
      </c>
      <c r="K397" s="94">
        <v>93</v>
      </c>
      <c r="L397" s="92" t="s">
        <v>18</v>
      </c>
      <c r="M397" s="92" t="s">
        <v>55</v>
      </c>
      <c r="N397" s="136">
        <f t="shared" si="6"/>
        <v>0.29557823129251698</v>
      </c>
    </row>
    <row r="398" spans="1:14" x14ac:dyDescent="0.3">
      <c r="A398" s="87" t="s">
        <v>493</v>
      </c>
      <c r="B398" s="88" t="s">
        <v>31</v>
      </c>
      <c r="C398" s="89">
        <v>45700</v>
      </c>
      <c r="D398" s="88" t="s">
        <v>33</v>
      </c>
      <c r="E398" s="88" t="s">
        <v>34</v>
      </c>
      <c r="F398" s="94">
        <v>4332</v>
      </c>
      <c r="G398" s="94">
        <v>771</v>
      </c>
      <c r="H398" s="94">
        <v>219</v>
      </c>
      <c r="I398" s="94">
        <v>60648</v>
      </c>
      <c r="J398" s="94">
        <v>60397</v>
      </c>
      <c r="K398" s="94">
        <v>10</v>
      </c>
      <c r="L398" s="92" t="s">
        <v>24</v>
      </c>
      <c r="M398" s="92" t="s">
        <v>38</v>
      </c>
      <c r="N398" s="136">
        <f t="shared" si="6"/>
        <v>8.8116959451628396E-2</v>
      </c>
    </row>
    <row r="399" spans="1:14" x14ac:dyDescent="0.3">
      <c r="A399" s="87" t="s">
        <v>495</v>
      </c>
      <c r="B399" s="88" t="s">
        <v>31</v>
      </c>
      <c r="C399" s="89">
        <v>45592</v>
      </c>
      <c r="D399" s="88" t="s">
        <v>49</v>
      </c>
      <c r="E399" s="88" t="s">
        <v>50</v>
      </c>
      <c r="F399" s="94">
        <v>4853</v>
      </c>
      <c r="G399" s="94">
        <v>837</v>
      </c>
      <c r="H399" s="94">
        <v>340</v>
      </c>
      <c r="I399" s="94">
        <v>72795</v>
      </c>
      <c r="J399" s="94">
        <v>72237</v>
      </c>
      <c r="K399" s="94">
        <v>170</v>
      </c>
      <c r="L399" s="92" t="s">
        <v>18</v>
      </c>
      <c r="M399" s="92" t="s">
        <v>25</v>
      </c>
      <c r="N399" s="136">
        <f t="shared" si="6"/>
        <v>8.3475227376552177E-2</v>
      </c>
    </row>
    <row r="400" spans="1:14" x14ac:dyDescent="0.3">
      <c r="A400" s="87" t="s">
        <v>497</v>
      </c>
      <c r="B400" s="88" t="s">
        <v>577</v>
      </c>
      <c r="C400" s="89">
        <v>45675</v>
      </c>
      <c r="D400" s="88" t="s">
        <v>49</v>
      </c>
      <c r="E400" s="88" t="s">
        <v>50</v>
      </c>
      <c r="F400" s="94">
        <v>1206</v>
      </c>
      <c r="G400" s="94">
        <v>238</v>
      </c>
      <c r="H400" s="94">
        <v>36</v>
      </c>
      <c r="I400" s="94">
        <v>9648</v>
      </c>
      <c r="J400" s="94">
        <v>9417</v>
      </c>
      <c r="K400" s="94">
        <v>237</v>
      </c>
      <c r="L400" s="92" t="s">
        <v>18</v>
      </c>
      <c r="M400" s="92" t="s">
        <v>38</v>
      </c>
      <c r="N400" s="136">
        <f t="shared" si="6"/>
        <v>0.15716257831581182</v>
      </c>
    </row>
    <row r="401" spans="1:14" x14ac:dyDescent="0.3">
      <c r="A401" s="87" t="s">
        <v>497</v>
      </c>
      <c r="B401" s="88" t="s">
        <v>577</v>
      </c>
      <c r="C401" s="89">
        <v>45675</v>
      </c>
      <c r="D401" s="88" t="s">
        <v>49</v>
      </c>
      <c r="E401" s="88" t="s">
        <v>50</v>
      </c>
      <c r="F401" s="94">
        <v>1206</v>
      </c>
      <c r="G401" s="94">
        <v>238</v>
      </c>
      <c r="H401" s="94">
        <v>36</v>
      </c>
      <c r="I401" s="94">
        <v>9648</v>
      </c>
      <c r="J401" s="94">
        <v>9417</v>
      </c>
      <c r="K401" s="94">
        <v>237</v>
      </c>
      <c r="L401" s="92" t="s">
        <v>58</v>
      </c>
      <c r="M401" s="92" t="s">
        <v>38</v>
      </c>
      <c r="N401" s="136">
        <f t="shared" si="6"/>
        <v>0.15716257831581182</v>
      </c>
    </row>
    <row r="402" spans="1:14" x14ac:dyDescent="0.3">
      <c r="A402" s="87" t="s">
        <v>498</v>
      </c>
      <c r="B402" s="88" t="s">
        <v>31</v>
      </c>
      <c r="C402" s="89">
        <v>45524</v>
      </c>
      <c r="D402" s="88" t="s">
        <v>16</v>
      </c>
      <c r="E402" s="88" t="s">
        <v>17</v>
      </c>
      <c r="F402" s="94">
        <v>2603</v>
      </c>
      <c r="G402" s="94">
        <v>690</v>
      </c>
      <c r="H402" s="94">
        <v>205</v>
      </c>
      <c r="I402" s="94">
        <v>13015</v>
      </c>
      <c r="J402" s="94">
        <v>12130</v>
      </c>
      <c r="K402" s="94">
        <v>20</v>
      </c>
      <c r="L402" s="92" t="s">
        <v>44</v>
      </c>
      <c r="M402" s="92" t="s">
        <v>19</v>
      </c>
      <c r="N402" s="136">
        <f t="shared" si="6"/>
        <v>0.28837592745259688</v>
      </c>
    </row>
    <row r="403" spans="1:14" x14ac:dyDescent="0.3">
      <c r="A403" s="87" t="s">
        <v>500</v>
      </c>
      <c r="B403" s="88" t="s">
        <v>14</v>
      </c>
      <c r="C403" s="89">
        <v>45687</v>
      </c>
      <c r="D403" s="88" t="s">
        <v>49</v>
      </c>
      <c r="E403" s="88" t="s">
        <v>50</v>
      </c>
      <c r="F403" s="94">
        <v>59</v>
      </c>
      <c r="G403" s="94">
        <v>163</v>
      </c>
      <c r="H403" s="94">
        <v>93</v>
      </c>
      <c r="I403" s="94">
        <v>590</v>
      </c>
      <c r="J403" s="94">
        <v>475</v>
      </c>
      <c r="K403" s="94">
        <v>293</v>
      </c>
      <c r="L403" s="92" t="s">
        <v>44</v>
      </c>
      <c r="M403" s="92" t="s">
        <v>55</v>
      </c>
      <c r="N403" s="136">
        <f t="shared" si="6"/>
        <v>0.66315789473684206</v>
      </c>
    </row>
    <row r="404" spans="1:14" x14ac:dyDescent="0.3">
      <c r="A404" s="87" t="s">
        <v>502</v>
      </c>
      <c r="B404" s="88" t="s">
        <v>14</v>
      </c>
      <c r="C404" s="89">
        <v>45708</v>
      </c>
      <c r="D404" s="88" t="s">
        <v>42</v>
      </c>
      <c r="E404" s="88" t="s">
        <v>43</v>
      </c>
      <c r="F404" s="94">
        <v>1877</v>
      </c>
      <c r="G404" s="94">
        <v>745</v>
      </c>
      <c r="H404" s="94">
        <v>225</v>
      </c>
      <c r="I404" s="94">
        <v>11262</v>
      </c>
      <c r="J404" s="94">
        <v>10967</v>
      </c>
      <c r="K404" s="94">
        <v>41</v>
      </c>
      <c r="L404" s="92" t="s">
        <v>58</v>
      </c>
      <c r="M404" s="92" t="s">
        <v>19</v>
      </c>
      <c r="N404" s="136">
        <f t="shared" si="6"/>
        <v>0.25959697273639099</v>
      </c>
    </row>
    <row r="405" spans="1:14" x14ac:dyDescent="0.3">
      <c r="A405" s="87" t="s">
        <v>502</v>
      </c>
      <c r="B405" s="88" t="s">
        <v>14</v>
      </c>
      <c r="C405" s="89">
        <v>45708</v>
      </c>
      <c r="D405" s="88" t="s">
        <v>42</v>
      </c>
      <c r="E405" s="88" t="s">
        <v>43</v>
      </c>
      <c r="F405" s="94">
        <v>1877</v>
      </c>
      <c r="G405" s="94">
        <v>745</v>
      </c>
      <c r="H405" s="94">
        <v>225</v>
      </c>
      <c r="I405" s="94">
        <v>11262</v>
      </c>
      <c r="J405" s="94">
        <v>10967</v>
      </c>
      <c r="K405" s="94">
        <v>41</v>
      </c>
      <c r="L405" s="92" t="s">
        <v>18</v>
      </c>
      <c r="M405" s="92" t="s">
        <v>19</v>
      </c>
      <c r="N405" s="136">
        <f t="shared" si="6"/>
        <v>0.25959697273639099</v>
      </c>
    </row>
    <row r="406" spans="1:14" x14ac:dyDescent="0.3">
      <c r="A406" s="87" t="s">
        <v>504</v>
      </c>
      <c r="B406" s="88" t="s">
        <v>40</v>
      </c>
      <c r="C406" s="89">
        <v>45621</v>
      </c>
      <c r="D406" s="88" t="s">
        <v>33</v>
      </c>
      <c r="E406" s="88" t="s">
        <v>34</v>
      </c>
      <c r="F406" s="94">
        <v>4182</v>
      </c>
      <c r="G406" s="94">
        <v>640</v>
      </c>
      <c r="H406" s="94">
        <v>240</v>
      </c>
      <c r="I406" s="94">
        <v>50184</v>
      </c>
      <c r="J406" s="94">
        <v>49351</v>
      </c>
      <c r="K406" s="94">
        <v>10</v>
      </c>
      <c r="L406" s="92" t="s">
        <v>18</v>
      </c>
      <c r="M406" s="92" t="s">
        <v>38</v>
      </c>
      <c r="N406" s="136">
        <f t="shared" si="6"/>
        <v>0.10257137646653564</v>
      </c>
    </row>
    <row r="407" spans="1:14" x14ac:dyDescent="0.3">
      <c r="A407" s="87" t="s">
        <v>504</v>
      </c>
      <c r="B407" s="88" t="s">
        <v>40</v>
      </c>
      <c r="C407" s="89">
        <v>45621</v>
      </c>
      <c r="D407" s="88" t="s">
        <v>33</v>
      </c>
      <c r="E407" s="88" t="s">
        <v>34</v>
      </c>
      <c r="F407" s="94">
        <v>4182</v>
      </c>
      <c r="G407" s="94">
        <v>640</v>
      </c>
      <c r="H407" s="94">
        <v>240</v>
      </c>
      <c r="I407" s="94">
        <v>50184</v>
      </c>
      <c r="J407" s="94">
        <v>49351</v>
      </c>
      <c r="K407" s="94">
        <v>10</v>
      </c>
      <c r="L407" s="92" t="s">
        <v>58</v>
      </c>
      <c r="M407" s="92" t="s">
        <v>38</v>
      </c>
      <c r="N407" s="136">
        <f t="shared" si="6"/>
        <v>0.10257137646653564</v>
      </c>
    </row>
    <row r="408" spans="1:14" x14ac:dyDescent="0.3">
      <c r="A408" s="87" t="s">
        <v>505</v>
      </c>
      <c r="B408" s="88" t="s">
        <v>14</v>
      </c>
      <c r="C408" s="89">
        <v>45569</v>
      </c>
      <c r="D408" s="88" t="s">
        <v>16</v>
      </c>
      <c r="E408" s="88" t="s">
        <v>17</v>
      </c>
      <c r="F408" s="94">
        <v>4187</v>
      </c>
      <c r="G408" s="94">
        <v>66</v>
      </c>
      <c r="H408" s="94">
        <v>31</v>
      </c>
      <c r="I408" s="94">
        <v>66992</v>
      </c>
      <c r="J408" s="94">
        <v>66614</v>
      </c>
      <c r="K408" s="94">
        <v>62</v>
      </c>
      <c r="L408" s="92" t="s">
        <v>58</v>
      </c>
      <c r="M408" s="92" t="s">
        <v>55</v>
      </c>
      <c r="N408" s="136">
        <f t="shared" si="6"/>
        <v>6.4310805536373736E-2</v>
      </c>
    </row>
    <row r="409" spans="1:14" x14ac:dyDescent="0.3">
      <c r="A409" s="87" t="s">
        <v>506</v>
      </c>
      <c r="B409" s="88" t="s">
        <v>31</v>
      </c>
      <c r="C409" s="89">
        <v>45760</v>
      </c>
      <c r="D409" s="88" t="s">
        <v>16</v>
      </c>
      <c r="E409" s="88" t="s">
        <v>17</v>
      </c>
      <c r="F409" s="94">
        <v>4579</v>
      </c>
      <c r="G409" s="94">
        <v>125</v>
      </c>
      <c r="H409" s="94">
        <v>300</v>
      </c>
      <c r="I409" s="94">
        <v>59527</v>
      </c>
      <c r="J409" s="94">
        <v>59400</v>
      </c>
      <c r="K409" s="94">
        <v>269</v>
      </c>
      <c r="L409" s="92" t="s">
        <v>58</v>
      </c>
      <c r="M409" s="92" t="s">
        <v>19</v>
      </c>
      <c r="N409" s="136">
        <f t="shared" si="6"/>
        <v>8.4242424242424244E-2</v>
      </c>
    </row>
    <row r="410" spans="1:14" x14ac:dyDescent="0.3">
      <c r="A410" s="87" t="s">
        <v>506</v>
      </c>
      <c r="B410" s="88" t="s">
        <v>31</v>
      </c>
      <c r="C410" s="89">
        <v>45760</v>
      </c>
      <c r="D410" s="88" t="s">
        <v>16</v>
      </c>
      <c r="E410" s="88" t="s">
        <v>17</v>
      </c>
      <c r="F410" s="94">
        <v>4579</v>
      </c>
      <c r="G410" s="94">
        <v>125</v>
      </c>
      <c r="H410" s="94">
        <v>300</v>
      </c>
      <c r="I410" s="94">
        <v>59527</v>
      </c>
      <c r="J410" s="94">
        <v>59400</v>
      </c>
      <c r="K410" s="94">
        <v>269</v>
      </c>
      <c r="L410" s="92" t="s">
        <v>24</v>
      </c>
      <c r="M410" s="92" t="s">
        <v>19</v>
      </c>
      <c r="N410" s="136">
        <f t="shared" si="6"/>
        <v>8.4242424242424244E-2</v>
      </c>
    </row>
    <row r="411" spans="1:14" x14ac:dyDescent="0.3">
      <c r="A411" s="87" t="s">
        <v>508</v>
      </c>
      <c r="B411" s="88" t="s">
        <v>31</v>
      </c>
      <c r="C411" s="89">
        <v>45601</v>
      </c>
      <c r="D411" s="88" t="s">
        <v>69</v>
      </c>
      <c r="E411" s="88" t="s">
        <v>70</v>
      </c>
      <c r="F411" s="94">
        <v>4561</v>
      </c>
      <c r="G411" s="94">
        <v>51</v>
      </c>
      <c r="H411" s="94">
        <v>441</v>
      </c>
      <c r="I411" s="94">
        <v>22805</v>
      </c>
      <c r="J411" s="94">
        <v>21890</v>
      </c>
      <c r="K411" s="94">
        <v>45</v>
      </c>
      <c r="L411" s="92" t="s">
        <v>58</v>
      </c>
      <c r="M411" s="92" t="s">
        <v>25</v>
      </c>
      <c r="N411" s="136">
        <f t="shared" si="6"/>
        <v>0.23083599817268158</v>
      </c>
    </row>
    <row r="412" spans="1:14" x14ac:dyDescent="0.3">
      <c r="A412" s="87" t="s">
        <v>510</v>
      </c>
      <c r="B412" s="88" t="s">
        <v>577</v>
      </c>
      <c r="C412" s="89">
        <v>45672</v>
      </c>
      <c r="D412" s="88" t="s">
        <v>16</v>
      </c>
      <c r="E412" s="88" t="s">
        <v>17</v>
      </c>
      <c r="F412" s="94">
        <v>3774</v>
      </c>
      <c r="G412" s="94">
        <v>239</v>
      </c>
      <c r="H412" s="94">
        <v>39</v>
      </c>
      <c r="I412" s="94">
        <v>60384</v>
      </c>
      <c r="J412" s="94">
        <v>59490</v>
      </c>
      <c r="K412" s="94">
        <v>241</v>
      </c>
      <c r="L412" s="92" t="s">
        <v>77</v>
      </c>
      <c r="M412" s="92" t="s">
        <v>38</v>
      </c>
      <c r="N412" s="136">
        <f t="shared" si="6"/>
        <v>6.8112287779458727E-2</v>
      </c>
    </row>
    <row r="413" spans="1:14" x14ac:dyDescent="0.3">
      <c r="A413" s="87" t="s">
        <v>511</v>
      </c>
      <c r="B413" s="88" t="s">
        <v>31</v>
      </c>
      <c r="C413" s="89">
        <v>45582</v>
      </c>
      <c r="D413" s="88" t="s">
        <v>69</v>
      </c>
      <c r="E413" s="88" t="s">
        <v>70</v>
      </c>
      <c r="F413" s="94">
        <v>3575</v>
      </c>
      <c r="G413" s="94">
        <v>749</v>
      </c>
      <c r="H413" s="94">
        <v>111</v>
      </c>
      <c r="I413" s="94">
        <v>21450</v>
      </c>
      <c r="J413" s="94">
        <v>20785</v>
      </c>
      <c r="K413" s="94">
        <v>195</v>
      </c>
      <c r="L413" s="92" t="s">
        <v>77</v>
      </c>
      <c r="M413" s="92" t="s">
        <v>38</v>
      </c>
      <c r="N413" s="136">
        <f t="shared" si="6"/>
        <v>0.21337503006976186</v>
      </c>
    </row>
    <row r="414" spans="1:14" x14ac:dyDescent="0.3">
      <c r="A414" s="87" t="s">
        <v>513</v>
      </c>
      <c r="B414" s="88" t="s">
        <v>31</v>
      </c>
      <c r="C414" s="89">
        <v>45743</v>
      </c>
      <c r="D414" s="88" t="s">
        <v>22</v>
      </c>
      <c r="E414" s="88" t="s">
        <v>23</v>
      </c>
      <c r="F414" s="94">
        <v>4941</v>
      </c>
      <c r="G414" s="94">
        <v>414</v>
      </c>
      <c r="H414" s="94">
        <v>266</v>
      </c>
      <c r="I414" s="94">
        <v>39528</v>
      </c>
      <c r="J414" s="94">
        <v>39154</v>
      </c>
      <c r="K414" s="94">
        <v>217</v>
      </c>
      <c r="L414" s="92" t="s">
        <v>18</v>
      </c>
      <c r="M414" s="92" t="s">
        <v>25</v>
      </c>
      <c r="N414" s="136">
        <f t="shared" si="6"/>
        <v>0.14356132195944221</v>
      </c>
    </row>
    <row r="415" spans="1:14" x14ac:dyDescent="0.3">
      <c r="A415" s="87" t="s">
        <v>514</v>
      </c>
      <c r="B415" s="88" t="s">
        <v>577</v>
      </c>
      <c r="C415" s="89">
        <v>45577</v>
      </c>
      <c r="D415" s="88" t="s">
        <v>33</v>
      </c>
      <c r="E415" s="88" t="s">
        <v>34</v>
      </c>
      <c r="F415" s="94">
        <v>3641</v>
      </c>
      <c r="G415" s="94">
        <v>226</v>
      </c>
      <c r="H415" s="94">
        <v>46</v>
      </c>
      <c r="I415" s="94">
        <v>40051</v>
      </c>
      <c r="J415" s="94">
        <v>39319</v>
      </c>
      <c r="K415" s="94">
        <v>296</v>
      </c>
      <c r="L415" s="92" t="s">
        <v>44</v>
      </c>
      <c r="M415" s="92" t="s">
        <v>25</v>
      </c>
      <c r="N415" s="136">
        <f t="shared" si="6"/>
        <v>9.9519316361046828E-2</v>
      </c>
    </row>
    <row r="416" spans="1:14" x14ac:dyDescent="0.3">
      <c r="A416" s="87" t="s">
        <v>516</v>
      </c>
      <c r="B416" s="88" t="s">
        <v>14</v>
      </c>
      <c r="C416" s="89">
        <v>45658</v>
      </c>
      <c r="D416" s="88" t="s">
        <v>42</v>
      </c>
      <c r="E416" s="88" t="s">
        <v>43</v>
      </c>
      <c r="F416" s="94">
        <v>3535</v>
      </c>
      <c r="G416" s="94">
        <v>494</v>
      </c>
      <c r="H416" s="94">
        <v>152</v>
      </c>
      <c r="I416" s="94">
        <v>53025</v>
      </c>
      <c r="J416" s="94">
        <v>52791</v>
      </c>
      <c r="K416" s="94">
        <v>44</v>
      </c>
      <c r="L416" s="92" t="s">
        <v>44</v>
      </c>
      <c r="M416" s="92" t="s">
        <v>25</v>
      </c>
      <c r="N416" s="136">
        <f t="shared" si="6"/>
        <v>7.9199105908204046E-2</v>
      </c>
    </row>
    <row r="417" spans="1:14" x14ac:dyDescent="0.3">
      <c r="A417" s="87" t="s">
        <v>516</v>
      </c>
      <c r="B417" s="88" t="s">
        <v>14</v>
      </c>
      <c r="C417" s="89">
        <v>45658</v>
      </c>
      <c r="D417" s="88" t="s">
        <v>42</v>
      </c>
      <c r="E417" s="88" t="s">
        <v>43</v>
      </c>
      <c r="F417" s="94">
        <v>3535</v>
      </c>
      <c r="G417" s="94">
        <v>494</v>
      </c>
      <c r="H417" s="94">
        <v>152</v>
      </c>
      <c r="I417" s="94">
        <v>53025</v>
      </c>
      <c r="J417" s="94">
        <v>52791</v>
      </c>
      <c r="K417" s="94">
        <v>44</v>
      </c>
      <c r="L417" s="92" t="s">
        <v>58</v>
      </c>
      <c r="M417" s="92" t="s">
        <v>25</v>
      </c>
      <c r="N417" s="136">
        <f t="shared" si="6"/>
        <v>7.9199105908204046E-2</v>
      </c>
    </row>
    <row r="418" spans="1:14" x14ac:dyDescent="0.3">
      <c r="A418" s="87" t="s">
        <v>517</v>
      </c>
      <c r="B418" s="88" t="s">
        <v>40</v>
      </c>
      <c r="C418" s="89">
        <v>45509</v>
      </c>
      <c r="D418" s="88" t="s">
        <v>16</v>
      </c>
      <c r="E418" s="88" t="s">
        <v>17</v>
      </c>
      <c r="F418" s="94">
        <v>1741</v>
      </c>
      <c r="G418" s="94">
        <v>831</v>
      </c>
      <c r="H418" s="94">
        <v>345</v>
      </c>
      <c r="I418" s="94">
        <v>17410</v>
      </c>
      <c r="J418" s="94">
        <v>16844</v>
      </c>
      <c r="K418" s="94">
        <v>58</v>
      </c>
      <c r="L418" s="92" t="s">
        <v>24</v>
      </c>
      <c r="M418" s="92" t="s">
        <v>55</v>
      </c>
      <c r="N418" s="136">
        <f t="shared" si="6"/>
        <v>0.17317739254333889</v>
      </c>
    </row>
    <row r="419" spans="1:14" x14ac:dyDescent="0.3">
      <c r="A419" s="87" t="s">
        <v>517</v>
      </c>
      <c r="B419" s="88" t="s">
        <v>40</v>
      </c>
      <c r="C419" s="89">
        <v>45509</v>
      </c>
      <c r="D419" s="88" t="s">
        <v>16</v>
      </c>
      <c r="E419" s="88" t="s">
        <v>17</v>
      </c>
      <c r="F419" s="94">
        <v>1741</v>
      </c>
      <c r="G419" s="94">
        <v>831</v>
      </c>
      <c r="H419" s="94">
        <v>345</v>
      </c>
      <c r="I419" s="94">
        <v>17410</v>
      </c>
      <c r="J419" s="94">
        <v>16844</v>
      </c>
      <c r="K419" s="94">
        <v>58</v>
      </c>
      <c r="L419" s="92" t="s">
        <v>77</v>
      </c>
      <c r="M419" s="92" t="s">
        <v>55</v>
      </c>
      <c r="N419" s="136">
        <f t="shared" si="6"/>
        <v>0.17317739254333889</v>
      </c>
    </row>
    <row r="420" spans="1:14" x14ac:dyDescent="0.3">
      <c r="A420" s="87" t="s">
        <v>518</v>
      </c>
      <c r="B420" s="88" t="s">
        <v>14</v>
      </c>
      <c r="C420" s="89">
        <v>45450</v>
      </c>
      <c r="D420" s="88" t="s">
        <v>42</v>
      </c>
      <c r="E420" s="88" t="s">
        <v>43</v>
      </c>
      <c r="F420" s="94">
        <v>1556</v>
      </c>
      <c r="G420" s="94">
        <v>195</v>
      </c>
      <c r="H420" s="94">
        <v>131</v>
      </c>
      <c r="I420" s="94">
        <v>9336</v>
      </c>
      <c r="J420" s="94">
        <v>8875</v>
      </c>
      <c r="K420" s="94">
        <v>137</v>
      </c>
      <c r="L420" s="92" t="s">
        <v>24</v>
      </c>
      <c r="M420" s="92" t="s">
        <v>25</v>
      </c>
      <c r="N420" s="136">
        <f t="shared" si="6"/>
        <v>0.21205633802816901</v>
      </c>
    </row>
    <row r="421" spans="1:14" x14ac:dyDescent="0.3">
      <c r="A421" s="87" t="s">
        <v>520</v>
      </c>
      <c r="B421" s="88" t="s">
        <v>40</v>
      </c>
      <c r="C421" s="89">
        <v>45753</v>
      </c>
      <c r="D421" s="88" t="s">
        <v>49</v>
      </c>
      <c r="E421" s="88" t="s">
        <v>50</v>
      </c>
      <c r="F421" s="94">
        <v>4236</v>
      </c>
      <c r="G421" s="94">
        <v>711</v>
      </c>
      <c r="H421" s="94">
        <v>298</v>
      </c>
      <c r="I421" s="94">
        <v>21180</v>
      </c>
      <c r="J421" s="94">
        <v>20516</v>
      </c>
      <c r="K421" s="94">
        <v>238</v>
      </c>
      <c r="L421" s="92" t="s">
        <v>44</v>
      </c>
      <c r="M421" s="92" t="s">
        <v>55</v>
      </c>
      <c r="N421" s="136">
        <f t="shared" si="6"/>
        <v>0.25565412361084033</v>
      </c>
    </row>
    <row r="422" spans="1:14" x14ac:dyDescent="0.3">
      <c r="A422" s="87" t="s">
        <v>520</v>
      </c>
      <c r="B422" s="88" t="s">
        <v>40</v>
      </c>
      <c r="C422" s="89">
        <v>45753</v>
      </c>
      <c r="D422" s="88" t="s">
        <v>49</v>
      </c>
      <c r="E422" s="88" t="s">
        <v>50</v>
      </c>
      <c r="F422" s="94">
        <v>4236</v>
      </c>
      <c r="G422" s="94">
        <v>711</v>
      </c>
      <c r="H422" s="94">
        <v>298</v>
      </c>
      <c r="I422" s="94">
        <v>21180</v>
      </c>
      <c r="J422" s="94">
        <v>20516</v>
      </c>
      <c r="K422" s="94">
        <v>238</v>
      </c>
      <c r="L422" s="92" t="s">
        <v>18</v>
      </c>
      <c r="M422" s="92" t="s">
        <v>55</v>
      </c>
      <c r="N422" s="136">
        <f t="shared" si="6"/>
        <v>0.25565412361084033</v>
      </c>
    </row>
    <row r="423" spans="1:14" x14ac:dyDescent="0.3">
      <c r="A423" s="87" t="s">
        <v>521</v>
      </c>
      <c r="B423" s="88" t="s">
        <v>14</v>
      </c>
      <c r="C423" s="89">
        <v>45622</v>
      </c>
      <c r="D423" s="88" t="s">
        <v>22</v>
      </c>
      <c r="E423" s="88" t="s">
        <v>23</v>
      </c>
      <c r="F423" s="94">
        <v>4516</v>
      </c>
      <c r="G423" s="94">
        <v>836</v>
      </c>
      <c r="H423" s="94">
        <v>169</v>
      </c>
      <c r="I423" s="94">
        <v>49676</v>
      </c>
      <c r="J423" s="94">
        <v>49257</v>
      </c>
      <c r="K423" s="94">
        <v>282</v>
      </c>
      <c r="L423" s="92" t="s">
        <v>44</v>
      </c>
      <c r="M423" s="92" t="s">
        <v>19</v>
      </c>
      <c r="N423" s="136">
        <f t="shared" si="6"/>
        <v>0.11208559189556815</v>
      </c>
    </row>
    <row r="424" spans="1:14" x14ac:dyDescent="0.3">
      <c r="A424" s="87" t="s">
        <v>523</v>
      </c>
      <c r="B424" s="88" t="s">
        <v>577</v>
      </c>
      <c r="C424" s="89">
        <v>45537</v>
      </c>
      <c r="D424" s="88" t="s">
        <v>49</v>
      </c>
      <c r="E424" s="88" t="s">
        <v>50</v>
      </c>
      <c r="F424" s="94">
        <v>4905</v>
      </c>
      <c r="G424" s="94">
        <v>845</v>
      </c>
      <c r="H424" s="94">
        <v>129</v>
      </c>
      <c r="I424" s="94">
        <v>98100</v>
      </c>
      <c r="J424" s="94">
        <v>97772</v>
      </c>
      <c r="K424" s="94">
        <v>279</v>
      </c>
      <c r="L424" s="92" t="s">
        <v>44</v>
      </c>
      <c r="M424" s="92" t="s">
        <v>55</v>
      </c>
      <c r="N424" s="136">
        <f t="shared" si="6"/>
        <v>6.0129689481651191E-2</v>
      </c>
    </row>
    <row r="425" spans="1:14" x14ac:dyDescent="0.3">
      <c r="A425" s="87" t="s">
        <v>524</v>
      </c>
      <c r="B425" s="88" t="s">
        <v>577</v>
      </c>
      <c r="C425" s="89">
        <v>45586</v>
      </c>
      <c r="D425" s="88" t="s">
        <v>69</v>
      </c>
      <c r="E425" s="88" t="s">
        <v>70</v>
      </c>
      <c r="F425" s="94">
        <v>4275</v>
      </c>
      <c r="G425" s="94">
        <v>680</v>
      </c>
      <c r="H425" s="94">
        <v>385</v>
      </c>
      <c r="I425" s="94">
        <v>64125</v>
      </c>
      <c r="J425" s="94">
        <v>63650</v>
      </c>
      <c r="K425" s="94">
        <v>104</v>
      </c>
      <c r="L425" s="92" t="s">
        <v>58</v>
      </c>
      <c r="M425" s="92" t="s">
        <v>55</v>
      </c>
      <c r="N425" s="136">
        <f t="shared" si="6"/>
        <v>8.3896307934014133E-2</v>
      </c>
    </row>
    <row r="426" spans="1:14" x14ac:dyDescent="0.3">
      <c r="A426" s="87" t="s">
        <v>525</v>
      </c>
      <c r="B426" s="88" t="s">
        <v>577</v>
      </c>
      <c r="C426" s="89">
        <v>45738</v>
      </c>
      <c r="D426" s="88" t="s">
        <v>49</v>
      </c>
      <c r="E426" s="88" t="s">
        <v>50</v>
      </c>
      <c r="F426" s="94">
        <v>3166</v>
      </c>
      <c r="G426" s="94">
        <v>90</v>
      </c>
      <c r="H426" s="94">
        <v>341</v>
      </c>
      <c r="I426" s="94">
        <v>56988</v>
      </c>
      <c r="J426" s="94">
        <v>56125</v>
      </c>
      <c r="K426" s="94">
        <v>135</v>
      </c>
      <c r="L426" s="92" t="s">
        <v>24</v>
      </c>
      <c r="M426" s="92" t="s">
        <v>25</v>
      </c>
      <c r="N426" s="136">
        <f t="shared" si="6"/>
        <v>6.4089086859688199E-2</v>
      </c>
    </row>
    <row r="427" spans="1:14" x14ac:dyDescent="0.3">
      <c r="A427" s="87" t="s">
        <v>525</v>
      </c>
      <c r="B427" s="88" t="s">
        <v>577</v>
      </c>
      <c r="C427" s="89">
        <v>45738</v>
      </c>
      <c r="D427" s="88" t="s">
        <v>49</v>
      </c>
      <c r="E427" s="88" t="s">
        <v>50</v>
      </c>
      <c r="F427" s="94">
        <v>3166</v>
      </c>
      <c r="G427" s="94">
        <v>90</v>
      </c>
      <c r="H427" s="94">
        <v>341</v>
      </c>
      <c r="I427" s="94">
        <v>56988</v>
      </c>
      <c r="J427" s="94">
        <v>56125</v>
      </c>
      <c r="K427" s="94">
        <v>135</v>
      </c>
      <c r="L427" s="92" t="s">
        <v>58</v>
      </c>
      <c r="M427" s="92" t="s">
        <v>25</v>
      </c>
      <c r="N427" s="136">
        <f t="shared" si="6"/>
        <v>6.4089086859688199E-2</v>
      </c>
    </row>
    <row r="428" spans="1:14" x14ac:dyDescent="0.3">
      <c r="A428" s="87" t="s">
        <v>527</v>
      </c>
      <c r="B428" s="88" t="s">
        <v>31</v>
      </c>
      <c r="C428" s="89">
        <v>45568</v>
      </c>
      <c r="D428" s="88" t="s">
        <v>69</v>
      </c>
      <c r="E428" s="88" t="s">
        <v>70</v>
      </c>
      <c r="F428" s="94">
        <v>1488</v>
      </c>
      <c r="G428" s="94">
        <v>417</v>
      </c>
      <c r="H428" s="94">
        <v>168</v>
      </c>
      <c r="I428" s="94">
        <v>19344</v>
      </c>
      <c r="J428" s="94">
        <v>18395</v>
      </c>
      <c r="K428" s="94">
        <v>30</v>
      </c>
      <c r="L428" s="92" t="s">
        <v>18</v>
      </c>
      <c r="M428" s="92" t="s">
        <v>19</v>
      </c>
      <c r="N428" s="136">
        <f t="shared" si="6"/>
        <v>0.11269366675727099</v>
      </c>
    </row>
    <row r="429" spans="1:14" x14ac:dyDescent="0.3">
      <c r="A429" s="87" t="s">
        <v>529</v>
      </c>
      <c r="B429" s="88" t="s">
        <v>14</v>
      </c>
      <c r="C429" s="89">
        <v>45786</v>
      </c>
      <c r="D429" s="88" t="s">
        <v>16</v>
      </c>
      <c r="E429" s="88" t="s">
        <v>17</v>
      </c>
      <c r="F429" s="94">
        <v>3367</v>
      </c>
      <c r="G429" s="94">
        <v>302</v>
      </c>
      <c r="H429" s="94">
        <v>57</v>
      </c>
      <c r="I429" s="94">
        <v>63973</v>
      </c>
      <c r="J429" s="94">
        <v>63789</v>
      </c>
      <c r="K429" s="94">
        <v>157</v>
      </c>
      <c r="L429" s="92" t="s">
        <v>44</v>
      </c>
      <c r="M429" s="92" t="s">
        <v>38</v>
      </c>
      <c r="N429" s="136">
        <f t="shared" si="6"/>
        <v>5.841132483657057E-2</v>
      </c>
    </row>
    <row r="430" spans="1:14" x14ac:dyDescent="0.3">
      <c r="A430" s="87" t="s">
        <v>529</v>
      </c>
      <c r="B430" s="88" t="s">
        <v>14</v>
      </c>
      <c r="C430" s="89">
        <v>45786</v>
      </c>
      <c r="D430" s="88" t="s">
        <v>16</v>
      </c>
      <c r="E430" s="88" t="s">
        <v>17</v>
      </c>
      <c r="F430" s="94">
        <v>3367</v>
      </c>
      <c r="G430" s="94">
        <v>302</v>
      </c>
      <c r="H430" s="94">
        <v>57</v>
      </c>
      <c r="I430" s="94">
        <v>63973</v>
      </c>
      <c r="J430" s="94">
        <v>63789</v>
      </c>
      <c r="K430" s="94">
        <v>157</v>
      </c>
      <c r="L430" s="92" t="s">
        <v>24</v>
      </c>
      <c r="M430" s="92" t="s">
        <v>38</v>
      </c>
      <c r="N430" s="136">
        <f t="shared" si="6"/>
        <v>5.841132483657057E-2</v>
      </c>
    </row>
    <row r="431" spans="1:14" x14ac:dyDescent="0.3">
      <c r="A431" s="87" t="s">
        <v>531</v>
      </c>
      <c r="B431" s="88" t="s">
        <v>14</v>
      </c>
      <c r="C431" s="89">
        <v>45552</v>
      </c>
      <c r="D431" s="88" t="s">
        <v>22</v>
      </c>
      <c r="E431" s="88" t="s">
        <v>23</v>
      </c>
      <c r="F431" s="94">
        <v>571</v>
      </c>
      <c r="G431" s="94">
        <v>190</v>
      </c>
      <c r="H431" s="94">
        <v>352</v>
      </c>
      <c r="I431" s="94">
        <v>9707</v>
      </c>
      <c r="J431" s="94">
        <v>9418</v>
      </c>
      <c r="K431" s="94">
        <v>231</v>
      </c>
      <c r="L431" s="92" t="s">
        <v>77</v>
      </c>
      <c r="M431" s="92" t="s">
        <v>25</v>
      </c>
      <c r="N431" s="136">
        <f t="shared" si="6"/>
        <v>0.11817795710341898</v>
      </c>
    </row>
    <row r="432" spans="1:14" x14ac:dyDescent="0.3">
      <c r="A432" s="87" t="s">
        <v>532</v>
      </c>
      <c r="B432" s="88" t="s">
        <v>577</v>
      </c>
      <c r="C432" s="89">
        <v>45491</v>
      </c>
      <c r="D432" s="88" t="s">
        <v>22</v>
      </c>
      <c r="E432" s="88" t="s">
        <v>23</v>
      </c>
      <c r="F432" s="94">
        <v>4021</v>
      </c>
      <c r="G432" s="94">
        <v>794</v>
      </c>
      <c r="H432" s="94">
        <v>77</v>
      </c>
      <c r="I432" s="94">
        <v>36189</v>
      </c>
      <c r="J432" s="94">
        <v>35505</v>
      </c>
      <c r="K432" s="94">
        <v>174</v>
      </c>
      <c r="L432" s="92" t="s">
        <v>77</v>
      </c>
      <c r="M432" s="92" t="s">
        <v>19</v>
      </c>
      <c r="N432" s="136">
        <f t="shared" si="6"/>
        <v>0.13778341078721307</v>
      </c>
    </row>
    <row r="433" spans="1:14" x14ac:dyDescent="0.3">
      <c r="A433" s="87" t="s">
        <v>532</v>
      </c>
      <c r="B433" s="88" t="s">
        <v>577</v>
      </c>
      <c r="C433" s="89">
        <v>45491</v>
      </c>
      <c r="D433" s="88" t="s">
        <v>22</v>
      </c>
      <c r="E433" s="88" t="s">
        <v>23</v>
      </c>
      <c r="F433" s="94">
        <v>4021</v>
      </c>
      <c r="G433" s="94">
        <v>794</v>
      </c>
      <c r="H433" s="94">
        <v>77</v>
      </c>
      <c r="I433" s="94">
        <v>36189</v>
      </c>
      <c r="J433" s="94">
        <v>35505</v>
      </c>
      <c r="K433" s="94">
        <v>174</v>
      </c>
      <c r="L433" s="92" t="s">
        <v>58</v>
      </c>
      <c r="M433" s="92" t="s">
        <v>19</v>
      </c>
      <c r="N433" s="136">
        <f t="shared" si="6"/>
        <v>0.13778341078721307</v>
      </c>
    </row>
    <row r="434" spans="1:14" x14ac:dyDescent="0.3">
      <c r="A434" s="87" t="s">
        <v>533</v>
      </c>
      <c r="B434" s="88" t="s">
        <v>577</v>
      </c>
      <c r="C434" s="89">
        <v>45560</v>
      </c>
      <c r="D434" s="88" t="s">
        <v>69</v>
      </c>
      <c r="E434" s="88" t="s">
        <v>70</v>
      </c>
      <c r="F434" s="94">
        <v>3389</v>
      </c>
      <c r="G434" s="94">
        <v>344</v>
      </c>
      <c r="H434" s="94">
        <v>229</v>
      </c>
      <c r="I434" s="94">
        <v>20334</v>
      </c>
      <c r="J434" s="94">
        <v>19443</v>
      </c>
      <c r="K434" s="94">
        <v>228</v>
      </c>
      <c r="L434" s="92" t="s">
        <v>24</v>
      </c>
      <c r="M434" s="92" t="s">
        <v>25</v>
      </c>
      <c r="N434" s="136">
        <f t="shared" si="6"/>
        <v>0.20377513758164892</v>
      </c>
    </row>
    <row r="435" spans="1:14" x14ac:dyDescent="0.3">
      <c r="A435" s="87" t="s">
        <v>533</v>
      </c>
      <c r="B435" s="88" t="s">
        <v>577</v>
      </c>
      <c r="C435" s="89">
        <v>45560</v>
      </c>
      <c r="D435" s="88" t="s">
        <v>69</v>
      </c>
      <c r="E435" s="88" t="s">
        <v>70</v>
      </c>
      <c r="F435" s="94">
        <v>3389</v>
      </c>
      <c r="G435" s="94">
        <v>344</v>
      </c>
      <c r="H435" s="94">
        <v>229</v>
      </c>
      <c r="I435" s="94">
        <v>20334</v>
      </c>
      <c r="J435" s="94">
        <v>19443</v>
      </c>
      <c r="K435" s="94">
        <v>228</v>
      </c>
      <c r="L435" s="92" t="s">
        <v>18</v>
      </c>
      <c r="M435" s="92" t="s">
        <v>25</v>
      </c>
      <c r="N435" s="136">
        <f t="shared" si="6"/>
        <v>0.20377513758164892</v>
      </c>
    </row>
    <row r="436" spans="1:14" x14ac:dyDescent="0.3">
      <c r="A436" s="87" t="s">
        <v>535</v>
      </c>
      <c r="B436" s="88" t="s">
        <v>31</v>
      </c>
      <c r="C436" s="89">
        <v>45519</v>
      </c>
      <c r="D436" s="88" t="s">
        <v>16</v>
      </c>
      <c r="E436" s="88" t="s">
        <v>17</v>
      </c>
      <c r="F436" s="94">
        <v>1164</v>
      </c>
      <c r="G436" s="94">
        <v>616</v>
      </c>
      <c r="H436" s="94">
        <v>324</v>
      </c>
      <c r="I436" s="94">
        <v>6984</v>
      </c>
      <c r="J436" s="94">
        <v>6636</v>
      </c>
      <c r="K436" s="94">
        <v>82</v>
      </c>
      <c r="L436" s="92" t="s">
        <v>24</v>
      </c>
      <c r="M436" s="92" t="s">
        <v>38</v>
      </c>
      <c r="N436" s="136">
        <f t="shared" si="6"/>
        <v>0.31705846895720313</v>
      </c>
    </row>
    <row r="437" spans="1:14" x14ac:dyDescent="0.3">
      <c r="A437" s="87" t="s">
        <v>535</v>
      </c>
      <c r="B437" s="88" t="s">
        <v>31</v>
      </c>
      <c r="C437" s="89">
        <v>45519</v>
      </c>
      <c r="D437" s="88" t="s">
        <v>16</v>
      </c>
      <c r="E437" s="88" t="s">
        <v>17</v>
      </c>
      <c r="F437" s="94">
        <v>1164</v>
      </c>
      <c r="G437" s="94">
        <v>616</v>
      </c>
      <c r="H437" s="94">
        <v>324</v>
      </c>
      <c r="I437" s="94">
        <v>6984</v>
      </c>
      <c r="J437" s="94">
        <v>6636</v>
      </c>
      <c r="K437" s="94">
        <v>82</v>
      </c>
      <c r="L437" s="92" t="s">
        <v>44</v>
      </c>
      <c r="M437" s="92" t="s">
        <v>38</v>
      </c>
      <c r="N437" s="136">
        <f t="shared" si="6"/>
        <v>0.31705846895720313</v>
      </c>
    </row>
    <row r="438" spans="1:14" x14ac:dyDescent="0.3">
      <c r="A438" s="87" t="s">
        <v>536</v>
      </c>
      <c r="B438" s="88" t="s">
        <v>577</v>
      </c>
      <c r="C438" s="89">
        <v>45764</v>
      </c>
      <c r="D438" s="88" t="s">
        <v>42</v>
      </c>
      <c r="E438" s="88" t="s">
        <v>43</v>
      </c>
      <c r="F438" s="94">
        <v>4780</v>
      </c>
      <c r="G438" s="94">
        <v>691</v>
      </c>
      <c r="H438" s="94">
        <v>380</v>
      </c>
      <c r="I438" s="94">
        <v>86040</v>
      </c>
      <c r="J438" s="94">
        <v>85743</v>
      </c>
      <c r="K438" s="94">
        <v>262</v>
      </c>
      <c r="L438" s="92" t="s">
        <v>24</v>
      </c>
      <c r="M438" s="92" t="s">
        <v>38</v>
      </c>
      <c r="N438" s="136">
        <f t="shared" si="6"/>
        <v>6.8238806666433408E-2</v>
      </c>
    </row>
    <row r="439" spans="1:14" x14ac:dyDescent="0.3">
      <c r="A439" s="87" t="s">
        <v>536</v>
      </c>
      <c r="B439" s="88" t="s">
        <v>577</v>
      </c>
      <c r="C439" s="89">
        <v>45764</v>
      </c>
      <c r="D439" s="88" t="s">
        <v>42</v>
      </c>
      <c r="E439" s="88" t="s">
        <v>43</v>
      </c>
      <c r="F439" s="94">
        <v>4780</v>
      </c>
      <c r="G439" s="94">
        <v>691</v>
      </c>
      <c r="H439" s="94">
        <v>380</v>
      </c>
      <c r="I439" s="94">
        <v>86040</v>
      </c>
      <c r="J439" s="94">
        <v>85743</v>
      </c>
      <c r="K439" s="94">
        <v>262</v>
      </c>
      <c r="L439" s="92" t="s">
        <v>77</v>
      </c>
      <c r="M439" s="92" t="s">
        <v>38</v>
      </c>
      <c r="N439" s="136">
        <f t="shared" si="6"/>
        <v>6.8238806666433408E-2</v>
      </c>
    </row>
    <row r="440" spans="1:14" x14ac:dyDescent="0.3">
      <c r="A440" s="87" t="s">
        <v>538</v>
      </c>
      <c r="B440" s="88" t="s">
        <v>40</v>
      </c>
      <c r="C440" s="89">
        <v>45624</v>
      </c>
      <c r="D440" s="88" t="s">
        <v>42</v>
      </c>
      <c r="E440" s="88" t="s">
        <v>43</v>
      </c>
      <c r="F440" s="94">
        <v>2751</v>
      </c>
      <c r="G440" s="94">
        <v>33</v>
      </c>
      <c r="H440" s="94">
        <v>430</v>
      </c>
      <c r="I440" s="94">
        <v>44016</v>
      </c>
      <c r="J440" s="94">
        <v>43415</v>
      </c>
      <c r="K440" s="94">
        <v>129</v>
      </c>
      <c r="L440" s="92" t="s">
        <v>44</v>
      </c>
      <c r="M440" s="92" t="s">
        <v>25</v>
      </c>
      <c r="N440" s="136">
        <f t="shared" si="6"/>
        <v>7.4029713232753661E-2</v>
      </c>
    </row>
    <row r="441" spans="1:14" x14ac:dyDescent="0.3">
      <c r="A441" s="87" t="s">
        <v>538</v>
      </c>
      <c r="B441" s="88" t="s">
        <v>40</v>
      </c>
      <c r="C441" s="89">
        <v>45624</v>
      </c>
      <c r="D441" s="88" t="s">
        <v>42</v>
      </c>
      <c r="E441" s="88" t="s">
        <v>43</v>
      </c>
      <c r="F441" s="94">
        <v>2751</v>
      </c>
      <c r="G441" s="94">
        <v>33</v>
      </c>
      <c r="H441" s="94">
        <v>430</v>
      </c>
      <c r="I441" s="94">
        <v>44016</v>
      </c>
      <c r="J441" s="94">
        <v>43415</v>
      </c>
      <c r="K441" s="94">
        <v>129</v>
      </c>
      <c r="L441" s="92" t="s">
        <v>58</v>
      </c>
      <c r="M441" s="92" t="s">
        <v>25</v>
      </c>
      <c r="N441" s="136">
        <f t="shared" si="6"/>
        <v>7.4029713232753661E-2</v>
      </c>
    </row>
    <row r="442" spans="1:14" x14ac:dyDescent="0.3">
      <c r="A442" s="87" t="s">
        <v>539</v>
      </c>
      <c r="B442" s="88" t="s">
        <v>31</v>
      </c>
      <c r="C442" s="89">
        <v>45646</v>
      </c>
      <c r="D442" s="88" t="s">
        <v>42</v>
      </c>
      <c r="E442" s="88" t="s">
        <v>43</v>
      </c>
      <c r="F442" s="94">
        <v>2107</v>
      </c>
      <c r="G442" s="94">
        <v>550</v>
      </c>
      <c r="H442" s="94">
        <v>349</v>
      </c>
      <c r="I442" s="94">
        <v>35819</v>
      </c>
      <c r="J442" s="94">
        <v>35340</v>
      </c>
      <c r="K442" s="94">
        <v>191</v>
      </c>
      <c r="L442" s="92" t="s">
        <v>44</v>
      </c>
      <c r="M442" s="92" t="s">
        <v>38</v>
      </c>
      <c r="N442" s="136">
        <f t="shared" si="6"/>
        <v>8.5059422750424454E-2</v>
      </c>
    </row>
    <row r="443" spans="1:14" x14ac:dyDescent="0.3">
      <c r="A443" s="87" t="s">
        <v>541</v>
      </c>
      <c r="B443" s="88" t="s">
        <v>40</v>
      </c>
      <c r="C443" s="89">
        <v>45602</v>
      </c>
      <c r="D443" s="88" t="s">
        <v>69</v>
      </c>
      <c r="E443" s="88" t="s">
        <v>70</v>
      </c>
      <c r="F443" s="94">
        <v>4663</v>
      </c>
      <c r="G443" s="94">
        <v>145</v>
      </c>
      <c r="H443" s="94">
        <v>225</v>
      </c>
      <c r="I443" s="94">
        <v>69945</v>
      </c>
      <c r="J443" s="94">
        <v>69596</v>
      </c>
      <c r="K443" s="94">
        <v>35</v>
      </c>
      <c r="L443" s="92" t="s">
        <v>24</v>
      </c>
      <c r="M443" s="92" t="s">
        <v>25</v>
      </c>
      <c r="N443" s="136">
        <f t="shared" si="6"/>
        <v>7.2317374561756423E-2</v>
      </c>
    </row>
    <row r="444" spans="1:14" x14ac:dyDescent="0.3">
      <c r="A444" s="87" t="s">
        <v>542</v>
      </c>
      <c r="B444" s="88" t="s">
        <v>40</v>
      </c>
      <c r="C444" s="89">
        <v>45613</v>
      </c>
      <c r="D444" s="88" t="s">
        <v>22</v>
      </c>
      <c r="E444" s="88" t="s">
        <v>23</v>
      </c>
      <c r="F444" s="94">
        <v>880</v>
      </c>
      <c r="G444" s="94">
        <v>297</v>
      </c>
      <c r="H444" s="94">
        <v>345</v>
      </c>
      <c r="I444" s="94">
        <v>12320</v>
      </c>
      <c r="J444" s="94">
        <v>11978</v>
      </c>
      <c r="K444" s="94">
        <v>238</v>
      </c>
      <c r="L444" s="92" t="s">
        <v>18</v>
      </c>
      <c r="M444" s="92" t="s">
        <v>25</v>
      </c>
      <c r="N444" s="136">
        <f t="shared" si="6"/>
        <v>0.12706628819502422</v>
      </c>
    </row>
    <row r="445" spans="1:14" x14ac:dyDescent="0.3">
      <c r="A445" s="87" t="s">
        <v>544</v>
      </c>
      <c r="B445" s="88" t="s">
        <v>40</v>
      </c>
      <c r="C445" s="89">
        <v>45791</v>
      </c>
      <c r="D445" s="88" t="s">
        <v>22</v>
      </c>
      <c r="E445" s="88" t="s">
        <v>23</v>
      </c>
      <c r="F445" s="94">
        <v>2634</v>
      </c>
      <c r="G445" s="94">
        <v>726</v>
      </c>
      <c r="H445" s="94">
        <v>241</v>
      </c>
      <c r="I445" s="94">
        <v>28974</v>
      </c>
      <c r="J445" s="94">
        <v>28102</v>
      </c>
      <c r="K445" s="94">
        <v>277</v>
      </c>
      <c r="L445" s="92" t="s">
        <v>58</v>
      </c>
      <c r="M445" s="92" t="s">
        <v>38</v>
      </c>
      <c r="N445" s="136">
        <f t="shared" si="6"/>
        <v>0.12814034588285531</v>
      </c>
    </row>
    <row r="446" spans="1:14" x14ac:dyDescent="0.3">
      <c r="A446" s="87" t="s">
        <v>546</v>
      </c>
      <c r="B446" s="88" t="s">
        <v>40</v>
      </c>
      <c r="C446" s="89">
        <v>45462</v>
      </c>
      <c r="D446" s="88" t="s">
        <v>42</v>
      </c>
      <c r="E446" s="88" t="s">
        <v>43</v>
      </c>
      <c r="F446" s="94">
        <v>4731</v>
      </c>
      <c r="G446" s="94">
        <v>173</v>
      </c>
      <c r="H446" s="94">
        <v>276</v>
      </c>
      <c r="I446" s="94">
        <v>28386</v>
      </c>
      <c r="J446" s="94">
        <v>28185</v>
      </c>
      <c r="K446" s="94">
        <v>89</v>
      </c>
      <c r="L446" s="92" t="s">
        <v>44</v>
      </c>
      <c r="M446" s="92" t="s">
        <v>55</v>
      </c>
      <c r="N446" s="136">
        <f t="shared" si="6"/>
        <v>0.18378570161433386</v>
      </c>
    </row>
    <row r="447" spans="1:14" x14ac:dyDescent="0.3">
      <c r="A447" s="87" t="s">
        <v>546</v>
      </c>
      <c r="B447" s="88" t="s">
        <v>40</v>
      </c>
      <c r="C447" s="89">
        <v>45462</v>
      </c>
      <c r="D447" s="88" t="s">
        <v>42</v>
      </c>
      <c r="E447" s="88" t="s">
        <v>43</v>
      </c>
      <c r="F447" s="94">
        <v>4731</v>
      </c>
      <c r="G447" s="94">
        <v>173</v>
      </c>
      <c r="H447" s="94">
        <v>276</v>
      </c>
      <c r="I447" s="94">
        <v>28386</v>
      </c>
      <c r="J447" s="94">
        <v>28185</v>
      </c>
      <c r="K447" s="94">
        <v>89</v>
      </c>
      <c r="L447" s="92" t="s">
        <v>24</v>
      </c>
      <c r="M447" s="92" t="s">
        <v>55</v>
      </c>
      <c r="N447" s="136">
        <f t="shared" si="6"/>
        <v>0.18378570161433386</v>
      </c>
    </row>
    <row r="448" spans="1:14" x14ac:dyDescent="0.3">
      <c r="A448" s="87" t="s">
        <v>548</v>
      </c>
      <c r="B448" s="88" t="s">
        <v>14</v>
      </c>
      <c r="C448" s="89">
        <v>45783</v>
      </c>
      <c r="D448" s="88" t="s">
        <v>49</v>
      </c>
      <c r="E448" s="88" t="s">
        <v>50</v>
      </c>
      <c r="F448" s="94">
        <v>1952</v>
      </c>
      <c r="G448" s="94">
        <v>344</v>
      </c>
      <c r="H448" s="94">
        <v>287</v>
      </c>
      <c r="I448" s="94">
        <v>15616</v>
      </c>
      <c r="J448" s="94">
        <v>15403</v>
      </c>
      <c r="K448" s="94">
        <v>235</v>
      </c>
      <c r="L448" s="92" t="s">
        <v>18</v>
      </c>
      <c r="M448" s="92" t="s">
        <v>38</v>
      </c>
      <c r="N448" s="136">
        <f t="shared" si="6"/>
        <v>0.16769460494708824</v>
      </c>
    </row>
    <row r="449" spans="1:14" x14ac:dyDescent="0.3">
      <c r="A449" s="87" t="s">
        <v>548</v>
      </c>
      <c r="B449" s="88" t="s">
        <v>14</v>
      </c>
      <c r="C449" s="89">
        <v>45783</v>
      </c>
      <c r="D449" s="88" t="s">
        <v>49</v>
      </c>
      <c r="E449" s="88" t="s">
        <v>50</v>
      </c>
      <c r="F449" s="94">
        <v>1952</v>
      </c>
      <c r="G449" s="94">
        <v>344</v>
      </c>
      <c r="H449" s="94">
        <v>287</v>
      </c>
      <c r="I449" s="94">
        <v>15616</v>
      </c>
      <c r="J449" s="94">
        <v>15403</v>
      </c>
      <c r="K449" s="94">
        <v>235</v>
      </c>
      <c r="L449" s="92" t="s">
        <v>24</v>
      </c>
      <c r="M449" s="92" t="s">
        <v>38</v>
      </c>
      <c r="N449" s="136">
        <f t="shared" si="6"/>
        <v>0.16769460494708824</v>
      </c>
    </row>
    <row r="450" spans="1:14" x14ac:dyDescent="0.3">
      <c r="A450" s="87" t="s">
        <v>549</v>
      </c>
      <c r="B450" s="88" t="s">
        <v>14</v>
      </c>
      <c r="C450" s="89">
        <v>45699</v>
      </c>
      <c r="D450" s="88" t="s">
        <v>69</v>
      </c>
      <c r="E450" s="88" t="s">
        <v>70</v>
      </c>
      <c r="F450" s="94">
        <v>3440</v>
      </c>
      <c r="G450" s="94">
        <v>13</v>
      </c>
      <c r="H450" s="94">
        <v>20</v>
      </c>
      <c r="I450" s="94">
        <v>58480</v>
      </c>
      <c r="J450" s="94">
        <v>58146</v>
      </c>
      <c r="K450" s="94">
        <v>210</v>
      </c>
      <c r="L450" s="92" t="s">
        <v>24</v>
      </c>
      <c r="M450" s="92" t="s">
        <v>19</v>
      </c>
      <c r="N450" s="136">
        <f t="shared" si="6"/>
        <v>5.9728958139854849E-2</v>
      </c>
    </row>
    <row r="451" spans="1:14" x14ac:dyDescent="0.3">
      <c r="A451" s="87" t="s">
        <v>549</v>
      </c>
      <c r="B451" s="88" t="s">
        <v>14</v>
      </c>
      <c r="C451" s="89">
        <v>45699</v>
      </c>
      <c r="D451" s="88" t="s">
        <v>69</v>
      </c>
      <c r="E451" s="88" t="s">
        <v>70</v>
      </c>
      <c r="F451" s="94">
        <v>3440</v>
      </c>
      <c r="G451" s="94">
        <v>13</v>
      </c>
      <c r="H451" s="94">
        <v>20</v>
      </c>
      <c r="I451" s="94">
        <v>58480</v>
      </c>
      <c r="J451" s="94">
        <v>58146</v>
      </c>
      <c r="K451" s="94">
        <v>210</v>
      </c>
      <c r="L451" s="92" t="s">
        <v>77</v>
      </c>
      <c r="M451" s="92" t="s">
        <v>19</v>
      </c>
      <c r="N451" s="136">
        <f t="shared" ref="N451:N457" si="7">SUM(F451,G451,H451)/J451</f>
        <v>5.9728958139854849E-2</v>
      </c>
    </row>
    <row r="452" spans="1:14" x14ac:dyDescent="0.3">
      <c r="A452" s="87" t="s">
        <v>551</v>
      </c>
      <c r="B452" s="88" t="s">
        <v>14</v>
      </c>
      <c r="C452" s="89">
        <v>45650</v>
      </c>
      <c r="D452" s="88" t="s">
        <v>22</v>
      </c>
      <c r="E452" s="88" t="s">
        <v>23</v>
      </c>
      <c r="F452" s="94">
        <v>2166</v>
      </c>
      <c r="G452" s="94">
        <v>354</v>
      </c>
      <c r="H452" s="94">
        <v>117</v>
      </c>
      <c r="I452" s="94">
        <v>10830</v>
      </c>
      <c r="J452" s="94">
        <v>10245</v>
      </c>
      <c r="K452" s="94">
        <v>24</v>
      </c>
      <c r="L452" s="92" t="s">
        <v>58</v>
      </c>
      <c r="M452" s="92" t="s">
        <v>19</v>
      </c>
      <c r="N452" s="136">
        <f t="shared" si="7"/>
        <v>0.257393850658858</v>
      </c>
    </row>
    <row r="453" spans="1:14" x14ac:dyDescent="0.3">
      <c r="A453" s="87" t="s">
        <v>551</v>
      </c>
      <c r="B453" s="88" t="s">
        <v>14</v>
      </c>
      <c r="C453" s="89">
        <v>45650</v>
      </c>
      <c r="D453" s="88" t="s">
        <v>22</v>
      </c>
      <c r="E453" s="88" t="s">
        <v>23</v>
      </c>
      <c r="F453" s="94">
        <v>2166</v>
      </c>
      <c r="G453" s="94">
        <v>354</v>
      </c>
      <c r="H453" s="94">
        <v>117</v>
      </c>
      <c r="I453" s="94">
        <v>10830</v>
      </c>
      <c r="J453" s="94">
        <v>10245</v>
      </c>
      <c r="K453" s="94">
        <v>24</v>
      </c>
      <c r="L453" s="92" t="s">
        <v>44</v>
      </c>
      <c r="M453" s="92" t="s">
        <v>19</v>
      </c>
      <c r="N453" s="136">
        <f t="shared" si="7"/>
        <v>0.257393850658858</v>
      </c>
    </row>
    <row r="454" spans="1:14" x14ac:dyDescent="0.3">
      <c r="A454" s="87" t="s">
        <v>553</v>
      </c>
      <c r="B454" s="88" t="s">
        <v>40</v>
      </c>
      <c r="C454" s="89">
        <v>45589</v>
      </c>
      <c r="D454" s="88" t="s">
        <v>49</v>
      </c>
      <c r="E454" s="88" t="s">
        <v>50</v>
      </c>
      <c r="F454" s="94">
        <v>4303</v>
      </c>
      <c r="G454" s="94">
        <v>451</v>
      </c>
      <c r="H454" s="94">
        <v>286</v>
      </c>
      <c r="I454" s="94">
        <v>86060</v>
      </c>
      <c r="J454" s="94">
        <v>85823</v>
      </c>
      <c r="K454" s="94">
        <v>14</v>
      </c>
      <c r="L454" s="92" t="s">
        <v>18</v>
      </c>
      <c r="M454" s="92" t="s">
        <v>25</v>
      </c>
      <c r="N454" s="136">
        <f t="shared" si="7"/>
        <v>5.8725516469943957E-2</v>
      </c>
    </row>
    <row r="455" spans="1:14" x14ac:dyDescent="0.3">
      <c r="A455" s="87" t="s">
        <v>554</v>
      </c>
      <c r="B455" s="88" t="s">
        <v>40</v>
      </c>
      <c r="C455" s="89">
        <v>45530</v>
      </c>
      <c r="D455" s="88" t="s">
        <v>49</v>
      </c>
      <c r="E455" s="88" t="s">
        <v>50</v>
      </c>
      <c r="F455" s="94">
        <v>2581</v>
      </c>
      <c r="G455" s="94">
        <v>517</v>
      </c>
      <c r="H455" s="94">
        <v>117</v>
      </c>
      <c r="I455" s="94">
        <v>23229</v>
      </c>
      <c r="J455" s="94">
        <v>22331</v>
      </c>
      <c r="K455" s="94">
        <v>70</v>
      </c>
      <c r="L455" s="92" t="s">
        <v>18</v>
      </c>
      <c r="M455" s="92" t="s">
        <v>25</v>
      </c>
      <c r="N455" s="136">
        <f t="shared" si="7"/>
        <v>0.14397026555013209</v>
      </c>
    </row>
    <row r="456" spans="1:14" x14ac:dyDescent="0.3">
      <c r="A456" s="87" t="s">
        <v>554</v>
      </c>
      <c r="B456" s="88" t="s">
        <v>40</v>
      </c>
      <c r="C456" s="89">
        <v>45530</v>
      </c>
      <c r="D456" s="88" t="s">
        <v>49</v>
      </c>
      <c r="E456" s="88" t="s">
        <v>50</v>
      </c>
      <c r="F456" s="94">
        <v>2581</v>
      </c>
      <c r="G456" s="94">
        <v>517</v>
      </c>
      <c r="H456" s="94">
        <v>117</v>
      </c>
      <c r="I456" s="94">
        <v>23229</v>
      </c>
      <c r="J456" s="94">
        <v>22331</v>
      </c>
      <c r="K456" s="94">
        <v>70</v>
      </c>
      <c r="L456" s="92" t="s">
        <v>58</v>
      </c>
      <c r="M456" s="92" t="s">
        <v>25</v>
      </c>
      <c r="N456" s="136">
        <f t="shared" si="7"/>
        <v>0.14397026555013209</v>
      </c>
    </row>
    <row r="457" spans="1:14" x14ac:dyDescent="0.3">
      <c r="A457" s="90" t="s">
        <v>555</v>
      </c>
      <c r="B457" s="84" t="s">
        <v>14</v>
      </c>
      <c r="C457" s="91">
        <v>45535</v>
      </c>
      <c r="D457" s="84" t="s">
        <v>42</v>
      </c>
      <c r="E457" s="84" t="s">
        <v>43</v>
      </c>
      <c r="F457" s="95">
        <v>4494</v>
      </c>
      <c r="G457" s="95">
        <v>717</v>
      </c>
      <c r="H457" s="95">
        <v>45</v>
      </c>
      <c r="I457" s="95">
        <v>62916</v>
      </c>
      <c r="J457" s="95">
        <v>62688</v>
      </c>
      <c r="K457" s="95">
        <v>191</v>
      </c>
      <c r="L457" s="97" t="s">
        <v>24</v>
      </c>
      <c r="M457" s="97" t="s">
        <v>19</v>
      </c>
      <c r="N457" s="136">
        <f t="shared" si="7"/>
        <v>8.3843797856049007E-2</v>
      </c>
    </row>
  </sheetData>
  <mergeCells count="3">
    <mergeCell ref="Q3:T3"/>
    <mergeCell ref="Q14:T14"/>
    <mergeCell ref="Q25:T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4184-836C-4EE3-B65A-B09646685879}">
  <dimension ref="A1:W301"/>
  <sheetViews>
    <sheetView topLeftCell="C9" zoomScale="85" zoomScaleNormal="85" workbookViewId="0">
      <selection activeCell="M20" sqref="M20"/>
    </sheetView>
  </sheetViews>
  <sheetFormatPr defaultRowHeight="14.4" x14ac:dyDescent="0.3"/>
  <cols>
    <col min="3" max="3" width="11.44140625" customWidth="1"/>
    <col min="13" max="13" width="19" customWidth="1"/>
    <col min="17" max="17" width="15.77734375" bestFit="1" customWidth="1"/>
    <col min="18" max="18" width="17.6640625" bestFit="1" customWidth="1"/>
    <col min="19" max="19" width="15.44140625" customWidth="1"/>
    <col min="20" max="20" width="12.109375" bestFit="1" customWidth="1"/>
    <col min="21" max="21" width="20.77734375" bestFit="1" customWidth="1"/>
    <col min="22" max="22" width="14.77734375" bestFit="1" customWidth="1"/>
    <col min="23" max="23" width="15.33203125" bestFit="1" customWidth="1"/>
  </cols>
  <sheetData>
    <row r="1" spans="1:23" x14ac:dyDescent="0.3">
      <c r="A1" s="98" t="s">
        <v>0</v>
      </c>
      <c r="B1" s="99" t="s">
        <v>1</v>
      </c>
      <c r="C1" s="99" t="s">
        <v>2</v>
      </c>
      <c r="D1" s="99" t="s">
        <v>3</v>
      </c>
      <c r="E1" s="99" t="s">
        <v>4</v>
      </c>
      <c r="F1" s="99" t="s">
        <v>5</v>
      </c>
      <c r="G1" s="99" t="s">
        <v>6</v>
      </c>
      <c r="H1" s="99" t="s">
        <v>7</v>
      </c>
      <c r="I1" s="99" t="s">
        <v>8</v>
      </c>
      <c r="J1" s="99" t="s">
        <v>9</v>
      </c>
      <c r="K1" s="99" t="s">
        <v>10</v>
      </c>
      <c r="L1" s="99" t="s">
        <v>11</v>
      </c>
      <c r="M1" s="100" t="s">
        <v>12</v>
      </c>
    </row>
    <row r="2" spans="1:23" x14ac:dyDescent="0.3">
      <c r="A2" s="101" t="s">
        <v>13</v>
      </c>
      <c r="B2" s="102" t="s">
        <v>14</v>
      </c>
      <c r="C2" s="103">
        <v>45649</v>
      </c>
      <c r="D2" s="102" t="s">
        <v>16</v>
      </c>
      <c r="E2" s="102" t="s">
        <v>17</v>
      </c>
      <c r="F2" s="102">
        <v>1461</v>
      </c>
      <c r="G2" s="102">
        <v>184</v>
      </c>
      <c r="H2" s="102">
        <v>344</v>
      </c>
      <c r="I2" s="102">
        <v>21915</v>
      </c>
      <c r="J2" s="102">
        <v>21675</v>
      </c>
      <c r="K2" s="102">
        <v>15</v>
      </c>
      <c r="L2" s="102" t="s">
        <v>18</v>
      </c>
      <c r="M2" s="104" t="s">
        <v>19</v>
      </c>
    </row>
    <row r="3" spans="1:23" ht="15.6" x14ac:dyDescent="0.3">
      <c r="A3" s="101" t="s">
        <v>20</v>
      </c>
      <c r="B3" s="102" t="s">
        <v>14</v>
      </c>
      <c r="C3" s="103">
        <v>45750</v>
      </c>
      <c r="D3" s="102" t="s">
        <v>22</v>
      </c>
      <c r="E3" s="102" t="s">
        <v>23</v>
      </c>
      <c r="F3" s="102">
        <v>4054</v>
      </c>
      <c r="G3" s="102">
        <v>389</v>
      </c>
      <c r="H3" s="102">
        <v>493</v>
      </c>
      <c r="I3" s="102">
        <v>64864</v>
      </c>
      <c r="J3" s="102">
        <v>64383</v>
      </c>
      <c r="K3" s="102">
        <v>117</v>
      </c>
      <c r="L3" s="102" t="s">
        <v>24</v>
      </c>
      <c r="M3" s="104" t="s">
        <v>25</v>
      </c>
      <c r="Q3" s="157" t="s">
        <v>631</v>
      </c>
      <c r="R3" s="157"/>
      <c r="S3" s="157"/>
      <c r="T3" s="157"/>
      <c r="U3" s="157"/>
      <c r="V3" s="157"/>
    </row>
    <row r="4" spans="1:23" x14ac:dyDescent="0.3">
      <c r="A4" s="101" t="s">
        <v>26</v>
      </c>
      <c r="B4" s="102" t="s">
        <v>577</v>
      </c>
      <c r="C4" s="103">
        <v>45789</v>
      </c>
      <c r="D4" s="102" t="s">
        <v>16</v>
      </c>
      <c r="E4" s="102" t="s">
        <v>17</v>
      </c>
      <c r="F4" s="102">
        <v>2795</v>
      </c>
      <c r="G4" s="102">
        <v>105</v>
      </c>
      <c r="H4" s="102">
        <v>49</v>
      </c>
      <c r="I4" s="102">
        <v>53105</v>
      </c>
      <c r="J4" s="102">
        <v>52307</v>
      </c>
      <c r="K4" s="102">
        <v>204</v>
      </c>
      <c r="L4" s="102" t="s">
        <v>29</v>
      </c>
      <c r="M4" s="104" t="s">
        <v>19</v>
      </c>
      <c r="Q4" s="129" t="s">
        <v>578</v>
      </c>
      <c r="R4" t="s">
        <v>632</v>
      </c>
      <c r="S4" t="s">
        <v>583</v>
      </c>
      <c r="T4" t="s">
        <v>633</v>
      </c>
      <c r="U4" t="s">
        <v>613</v>
      </c>
      <c r="V4" t="s">
        <v>612</v>
      </c>
      <c r="W4" s="122" t="s">
        <v>597</v>
      </c>
    </row>
    <row r="5" spans="1:23" x14ac:dyDescent="0.3">
      <c r="A5" s="101" t="s">
        <v>30</v>
      </c>
      <c r="B5" s="102" t="s">
        <v>31</v>
      </c>
      <c r="C5" s="103">
        <v>45516</v>
      </c>
      <c r="D5" s="102" t="s">
        <v>33</v>
      </c>
      <c r="E5" s="102" t="s">
        <v>34</v>
      </c>
      <c r="F5" s="102">
        <v>2404</v>
      </c>
      <c r="G5" s="102">
        <v>363</v>
      </c>
      <c r="H5" s="102">
        <v>138</v>
      </c>
      <c r="I5" s="102">
        <v>19232</v>
      </c>
      <c r="J5" s="102">
        <v>18636</v>
      </c>
      <c r="K5" s="102">
        <v>128</v>
      </c>
      <c r="L5" s="102" t="s">
        <v>18</v>
      </c>
      <c r="M5" s="104" t="s">
        <v>19</v>
      </c>
      <c r="Q5" s="130" t="s">
        <v>25</v>
      </c>
      <c r="R5">
        <v>2886292</v>
      </c>
      <c r="S5">
        <v>232785</v>
      </c>
      <c r="T5">
        <v>12376</v>
      </c>
      <c r="U5" s="122">
        <v>34774.602409638552</v>
      </c>
      <c r="V5" s="122">
        <v>2804.6385542168673</v>
      </c>
      <c r="W5" s="122">
        <v>149.10843373493975</v>
      </c>
    </row>
    <row r="6" spans="1:23" x14ac:dyDescent="0.3">
      <c r="A6" s="101" t="s">
        <v>35</v>
      </c>
      <c r="B6" s="102" t="s">
        <v>577</v>
      </c>
      <c r="C6" s="103">
        <v>45469</v>
      </c>
      <c r="D6" s="102" t="s">
        <v>16</v>
      </c>
      <c r="E6" s="102" t="s">
        <v>17</v>
      </c>
      <c r="F6" s="102">
        <v>3557</v>
      </c>
      <c r="G6" s="102">
        <v>687</v>
      </c>
      <c r="H6" s="102">
        <v>424</v>
      </c>
      <c r="I6" s="102">
        <v>71140</v>
      </c>
      <c r="J6" s="102">
        <v>70701</v>
      </c>
      <c r="K6" s="102">
        <v>224</v>
      </c>
      <c r="L6" s="102" t="s">
        <v>37</v>
      </c>
      <c r="M6" s="104" t="s">
        <v>38</v>
      </c>
      <c r="Q6" s="130" t="s">
        <v>19</v>
      </c>
      <c r="R6">
        <v>2788367</v>
      </c>
      <c r="S6">
        <v>212431</v>
      </c>
      <c r="T6">
        <v>11191</v>
      </c>
      <c r="U6" s="122">
        <v>38727.319444444445</v>
      </c>
      <c r="V6" s="122">
        <v>2950.4305555555557</v>
      </c>
      <c r="W6" s="122">
        <v>155.43055555555554</v>
      </c>
    </row>
    <row r="7" spans="1:23" x14ac:dyDescent="0.3">
      <c r="A7" s="101" t="s">
        <v>39</v>
      </c>
      <c r="B7" s="102" t="s">
        <v>40</v>
      </c>
      <c r="C7" s="103">
        <v>45596</v>
      </c>
      <c r="D7" s="102" t="s">
        <v>42</v>
      </c>
      <c r="E7" s="102" t="s">
        <v>43</v>
      </c>
      <c r="F7" s="102">
        <v>2945</v>
      </c>
      <c r="G7" s="102">
        <v>930</v>
      </c>
      <c r="H7" s="102">
        <v>355</v>
      </c>
      <c r="I7" s="102">
        <v>23560</v>
      </c>
      <c r="J7" s="102">
        <v>23275</v>
      </c>
      <c r="K7" s="102">
        <v>256</v>
      </c>
      <c r="L7" s="102" t="s">
        <v>44</v>
      </c>
      <c r="M7" s="104" t="s">
        <v>25</v>
      </c>
      <c r="Q7" s="130" t="s">
        <v>38</v>
      </c>
      <c r="R7">
        <v>2611652</v>
      </c>
      <c r="S7">
        <v>198666</v>
      </c>
      <c r="T7">
        <v>12464</v>
      </c>
      <c r="U7" s="122">
        <v>33482.717948717946</v>
      </c>
      <c r="V7" s="122">
        <v>2547</v>
      </c>
      <c r="W7" s="122">
        <v>159.7948717948718</v>
      </c>
    </row>
    <row r="8" spans="1:23" x14ac:dyDescent="0.3">
      <c r="A8" s="101" t="s">
        <v>45</v>
      </c>
      <c r="B8" s="102" t="s">
        <v>14</v>
      </c>
      <c r="C8" s="103">
        <v>45467</v>
      </c>
      <c r="D8" s="102" t="s">
        <v>42</v>
      </c>
      <c r="E8" s="102" t="s">
        <v>43</v>
      </c>
      <c r="F8" s="102">
        <v>3860</v>
      </c>
      <c r="G8" s="102">
        <v>201</v>
      </c>
      <c r="H8" s="102">
        <v>279</v>
      </c>
      <c r="I8" s="102">
        <v>61760</v>
      </c>
      <c r="J8" s="102">
        <v>61660</v>
      </c>
      <c r="K8" s="102">
        <v>235</v>
      </c>
      <c r="L8" s="102" t="s">
        <v>44</v>
      </c>
      <c r="M8" s="104" t="s">
        <v>38</v>
      </c>
      <c r="Q8" s="130" t="s">
        <v>55</v>
      </c>
      <c r="R8">
        <v>2107842</v>
      </c>
      <c r="S8">
        <v>176109</v>
      </c>
      <c r="T8">
        <v>9335</v>
      </c>
      <c r="U8" s="122">
        <v>31460.328358208953</v>
      </c>
      <c r="V8" s="122">
        <v>2628.4925373134329</v>
      </c>
      <c r="W8" s="122">
        <v>139.32835820895522</v>
      </c>
    </row>
    <row r="9" spans="1:23" x14ac:dyDescent="0.3">
      <c r="A9" s="101" t="s">
        <v>47</v>
      </c>
      <c r="B9" s="102" t="s">
        <v>577</v>
      </c>
      <c r="C9" s="103">
        <v>45486</v>
      </c>
      <c r="D9" s="102" t="s">
        <v>49</v>
      </c>
      <c r="E9" s="102" t="s">
        <v>50</v>
      </c>
      <c r="F9" s="102">
        <v>3929</v>
      </c>
      <c r="G9" s="102">
        <v>262</v>
      </c>
      <c r="H9" s="102">
        <v>278</v>
      </c>
      <c r="I9" s="102">
        <v>43219</v>
      </c>
      <c r="J9" s="102">
        <v>42841</v>
      </c>
      <c r="K9" s="102">
        <v>39</v>
      </c>
      <c r="L9" s="102" t="s">
        <v>29</v>
      </c>
      <c r="M9" s="104" t="s">
        <v>38</v>
      </c>
      <c r="Q9" s="130" t="s">
        <v>579</v>
      </c>
      <c r="R9">
        <v>10394153</v>
      </c>
      <c r="S9">
        <v>819991</v>
      </c>
      <c r="T9">
        <v>45366</v>
      </c>
      <c r="U9" s="122">
        <v>34647.176666666666</v>
      </c>
      <c r="V9" s="122">
        <v>2733.3033333333333</v>
      </c>
      <c r="W9" s="122">
        <v>151.22</v>
      </c>
    </row>
    <row r="10" spans="1:23" x14ac:dyDescent="0.3">
      <c r="A10" s="101" t="s">
        <v>51</v>
      </c>
      <c r="B10" s="102" t="s">
        <v>40</v>
      </c>
      <c r="C10" s="103">
        <v>45534</v>
      </c>
      <c r="D10" s="102" t="s">
        <v>22</v>
      </c>
      <c r="E10" s="102" t="s">
        <v>23</v>
      </c>
      <c r="F10" s="102">
        <v>3784</v>
      </c>
      <c r="G10" s="102">
        <v>808</v>
      </c>
      <c r="H10" s="102">
        <v>404</v>
      </c>
      <c r="I10" s="102">
        <v>56760</v>
      </c>
      <c r="J10" s="102">
        <v>56343</v>
      </c>
      <c r="K10" s="102">
        <v>131</v>
      </c>
      <c r="L10" s="102" t="s">
        <v>29</v>
      </c>
      <c r="M10" s="104" t="s">
        <v>38</v>
      </c>
    </row>
    <row r="11" spans="1:23" x14ac:dyDescent="0.3">
      <c r="A11" s="101" t="s">
        <v>53</v>
      </c>
      <c r="B11" s="102" t="s">
        <v>40</v>
      </c>
      <c r="C11" s="103">
        <v>45727</v>
      </c>
      <c r="D11" s="102" t="s">
        <v>49</v>
      </c>
      <c r="E11" s="102" t="s">
        <v>50</v>
      </c>
      <c r="F11" s="102">
        <v>4241</v>
      </c>
      <c r="G11" s="102">
        <v>902</v>
      </c>
      <c r="H11" s="102">
        <v>47</v>
      </c>
      <c r="I11" s="102">
        <v>72097</v>
      </c>
      <c r="J11" s="102">
        <v>71598</v>
      </c>
      <c r="K11" s="102">
        <v>167</v>
      </c>
      <c r="L11" s="102" t="s">
        <v>44</v>
      </c>
      <c r="M11" s="104" t="s">
        <v>55</v>
      </c>
    </row>
    <row r="12" spans="1:23" x14ac:dyDescent="0.3">
      <c r="A12" s="101" t="s">
        <v>56</v>
      </c>
      <c r="B12" s="102" t="s">
        <v>31</v>
      </c>
      <c r="C12" s="103">
        <v>45690</v>
      </c>
      <c r="D12" s="102" t="s">
        <v>33</v>
      </c>
      <c r="E12" s="102" t="s">
        <v>34</v>
      </c>
      <c r="F12" s="102">
        <v>1792</v>
      </c>
      <c r="G12" s="102">
        <v>614</v>
      </c>
      <c r="H12" s="102">
        <v>497</v>
      </c>
      <c r="I12" s="102">
        <v>25088</v>
      </c>
      <c r="J12" s="102">
        <v>24675</v>
      </c>
      <c r="K12" s="102">
        <v>65</v>
      </c>
      <c r="L12" s="102" t="s">
        <v>58</v>
      </c>
      <c r="M12" s="104" t="s">
        <v>19</v>
      </c>
    </row>
    <row r="13" spans="1:23" ht="15.6" x14ac:dyDescent="0.3">
      <c r="A13" s="101" t="s">
        <v>59</v>
      </c>
      <c r="B13" s="102" t="s">
        <v>40</v>
      </c>
      <c r="C13" s="103">
        <v>45494</v>
      </c>
      <c r="D13" s="102" t="s">
        <v>16</v>
      </c>
      <c r="E13" s="102" t="s">
        <v>17</v>
      </c>
      <c r="F13" s="102">
        <v>1946</v>
      </c>
      <c r="G13" s="102">
        <v>686</v>
      </c>
      <c r="H13" s="102">
        <v>377</v>
      </c>
      <c r="I13" s="102">
        <v>23352</v>
      </c>
      <c r="J13" s="102">
        <v>22982</v>
      </c>
      <c r="K13" s="102">
        <v>213</v>
      </c>
      <c r="L13" s="102" t="s">
        <v>61</v>
      </c>
      <c r="M13" s="104" t="s">
        <v>38</v>
      </c>
      <c r="Q13" s="158" t="s">
        <v>634</v>
      </c>
      <c r="R13" s="158"/>
      <c r="S13" s="158"/>
      <c r="T13" s="158"/>
      <c r="U13" s="158"/>
    </row>
    <row r="14" spans="1:23" x14ac:dyDescent="0.3">
      <c r="A14" s="101" t="s">
        <v>62</v>
      </c>
      <c r="B14" s="102" t="s">
        <v>577</v>
      </c>
      <c r="C14" s="103">
        <v>45614</v>
      </c>
      <c r="D14" s="102" t="s">
        <v>42</v>
      </c>
      <c r="E14" s="102" t="s">
        <v>43</v>
      </c>
      <c r="F14" s="102">
        <v>1171</v>
      </c>
      <c r="G14" s="102">
        <v>286</v>
      </c>
      <c r="H14" s="102">
        <v>231</v>
      </c>
      <c r="I14" s="102">
        <v>22249</v>
      </c>
      <c r="J14" s="102">
        <v>21282</v>
      </c>
      <c r="K14" s="102">
        <v>114</v>
      </c>
      <c r="L14" s="102" t="s">
        <v>24</v>
      </c>
      <c r="M14" s="104" t="s">
        <v>55</v>
      </c>
      <c r="Q14" s="146" t="s">
        <v>629</v>
      </c>
      <c r="R14" s="146" t="s">
        <v>618</v>
      </c>
      <c r="S14" s="146" t="s">
        <v>630</v>
      </c>
      <c r="U14" s="136"/>
    </row>
    <row r="15" spans="1:23" x14ac:dyDescent="0.3">
      <c r="A15" s="101" t="s">
        <v>64</v>
      </c>
      <c r="B15" s="102" t="s">
        <v>40</v>
      </c>
      <c r="C15" s="103">
        <v>45704</v>
      </c>
      <c r="D15" s="102" t="s">
        <v>33</v>
      </c>
      <c r="E15" s="102" t="s">
        <v>34</v>
      </c>
      <c r="F15" s="102">
        <v>4242</v>
      </c>
      <c r="G15" s="102">
        <v>555</v>
      </c>
      <c r="H15" s="102">
        <v>131</v>
      </c>
      <c r="I15" s="102">
        <v>33936</v>
      </c>
      <c r="J15" s="102">
        <v>33802</v>
      </c>
      <c r="K15" s="102">
        <v>265</v>
      </c>
      <c r="L15" s="102" t="s">
        <v>66</v>
      </c>
      <c r="M15" s="104" t="s">
        <v>38</v>
      </c>
      <c r="Q15" s="117" t="s">
        <v>25</v>
      </c>
      <c r="R15" s="114">
        <v>0.12027717500246841</v>
      </c>
      <c r="S15" s="114">
        <v>0.36243387046213948</v>
      </c>
    </row>
    <row r="16" spans="1:23" x14ac:dyDescent="0.3">
      <c r="A16" s="101" t="s">
        <v>67</v>
      </c>
      <c r="B16" s="102" t="s">
        <v>40</v>
      </c>
      <c r="C16" s="103">
        <v>45589</v>
      </c>
      <c r="D16" s="102" t="s">
        <v>69</v>
      </c>
      <c r="E16" s="102" t="s">
        <v>70</v>
      </c>
      <c r="F16" s="102">
        <v>3888</v>
      </c>
      <c r="G16" s="102">
        <v>604</v>
      </c>
      <c r="H16" s="102">
        <v>128</v>
      </c>
      <c r="I16" s="102">
        <v>77760</v>
      </c>
      <c r="J16" s="102">
        <v>77167</v>
      </c>
      <c r="K16" s="102">
        <v>20</v>
      </c>
      <c r="L16" s="102" t="s">
        <v>71</v>
      </c>
      <c r="M16" s="104" t="s">
        <v>19</v>
      </c>
      <c r="Q16" s="117" t="s">
        <v>19</v>
      </c>
      <c r="R16" s="114">
        <v>0.12855150630297563</v>
      </c>
      <c r="S16" s="114">
        <v>0.11784200972263299</v>
      </c>
    </row>
    <row r="17" spans="1:19" x14ac:dyDescent="0.3">
      <c r="A17" s="101" t="s">
        <v>72</v>
      </c>
      <c r="B17" s="102" t="s">
        <v>40</v>
      </c>
      <c r="C17" s="103">
        <v>45530</v>
      </c>
      <c r="D17" s="102" t="s">
        <v>22</v>
      </c>
      <c r="E17" s="102" t="s">
        <v>23</v>
      </c>
      <c r="F17" s="102">
        <v>3452</v>
      </c>
      <c r="G17" s="102">
        <v>377</v>
      </c>
      <c r="H17" s="102">
        <v>360</v>
      </c>
      <c r="I17" s="102">
        <v>55232</v>
      </c>
      <c r="J17" s="102">
        <v>55075</v>
      </c>
      <c r="K17" s="102">
        <v>87</v>
      </c>
      <c r="L17" s="102" t="s">
        <v>74</v>
      </c>
      <c r="M17" s="104" t="s">
        <v>38</v>
      </c>
      <c r="Q17" s="117" t="s">
        <v>38</v>
      </c>
      <c r="R17" s="113">
        <v>0.14000000000000001</v>
      </c>
      <c r="S17" s="113">
        <v>0.12</v>
      </c>
    </row>
    <row r="18" spans="1:19" x14ac:dyDescent="0.3">
      <c r="A18" s="101" t="s">
        <v>75</v>
      </c>
      <c r="B18" s="102" t="s">
        <v>40</v>
      </c>
      <c r="C18" s="103">
        <v>45782</v>
      </c>
      <c r="D18" s="102" t="s">
        <v>22</v>
      </c>
      <c r="E18" s="102" t="s">
        <v>23</v>
      </c>
      <c r="F18" s="102">
        <v>4441</v>
      </c>
      <c r="G18" s="102">
        <v>511</v>
      </c>
      <c r="H18" s="102">
        <v>70</v>
      </c>
      <c r="I18" s="102">
        <v>53292</v>
      </c>
      <c r="J18" s="102">
        <v>53082</v>
      </c>
      <c r="K18" s="102">
        <v>159</v>
      </c>
      <c r="L18" s="102" t="s">
        <v>77</v>
      </c>
      <c r="M18" s="104" t="s">
        <v>38</v>
      </c>
      <c r="Q18" s="117" t="s">
        <v>55</v>
      </c>
      <c r="R18" s="113">
        <v>0.22</v>
      </c>
      <c r="S18" s="113">
        <v>0.15</v>
      </c>
    </row>
    <row r="19" spans="1:19" x14ac:dyDescent="0.3">
      <c r="A19" s="101" t="s">
        <v>78</v>
      </c>
      <c r="B19" s="102" t="s">
        <v>31</v>
      </c>
      <c r="C19" s="103">
        <v>45523</v>
      </c>
      <c r="D19" s="102" t="s">
        <v>16</v>
      </c>
      <c r="E19" s="102" t="s">
        <v>17</v>
      </c>
      <c r="F19" s="102">
        <v>3000</v>
      </c>
      <c r="G19" s="102">
        <v>382</v>
      </c>
      <c r="H19" s="102">
        <v>325</v>
      </c>
      <c r="I19" s="102">
        <v>36000</v>
      </c>
      <c r="J19" s="102">
        <v>35819</v>
      </c>
      <c r="K19" s="102">
        <v>19</v>
      </c>
      <c r="L19" s="102" t="s">
        <v>58</v>
      </c>
      <c r="M19" s="104" t="s">
        <v>25</v>
      </c>
    </row>
    <row r="20" spans="1:19" x14ac:dyDescent="0.3">
      <c r="A20" s="101" t="s">
        <v>80</v>
      </c>
      <c r="B20" s="102" t="s">
        <v>31</v>
      </c>
      <c r="C20" s="103">
        <v>45466</v>
      </c>
      <c r="D20" s="102" t="s">
        <v>69</v>
      </c>
      <c r="E20" s="102" t="s">
        <v>70</v>
      </c>
      <c r="F20" s="102">
        <v>1071</v>
      </c>
      <c r="G20" s="102">
        <v>519</v>
      </c>
      <c r="H20" s="102">
        <v>22</v>
      </c>
      <c r="I20" s="102">
        <v>16065</v>
      </c>
      <c r="J20" s="102">
        <v>15865</v>
      </c>
      <c r="K20" s="102">
        <v>103</v>
      </c>
      <c r="L20" s="102" t="s">
        <v>82</v>
      </c>
      <c r="M20" s="104" t="s">
        <v>38</v>
      </c>
    </row>
    <row r="21" spans="1:19" x14ac:dyDescent="0.3">
      <c r="A21" s="101" t="s">
        <v>83</v>
      </c>
      <c r="B21" s="102" t="s">
        <v>31</v>
      </c>
      <c r="C21" s="103">
        <v>45544</v>
      </c>
      <c r="D21" s="102" t="s">
        <v>42</v>
      </c>
      <c r="E21" s="102" t="s">
        <v>43</v>
      </c>
      <c r="F21" s="102">
        <v>4054</v>
      </c>
      <c r="G21" s="102">
        <v>488</v>
      </c>
      <c r="H21" s="102">
        <v>373</v>
      </c>
      <c r="I21" s="102">
        <v>77026</v>
      </c>
      <c r="J21" s="102">
        <v>76881</v>
      </c>
      <c r="K21" s="102">
        <v>25</v>
      </c>
      <c r="L21" s="102" t="s">
        <v>29</v>
      </c>
      <c r="M21" s="104" t="s">
        <v>38</v>
      </c>
    </row>
    <row r="22" spans="1:19" x14ac:dyDescent="0.3">
      <c r="A22" s="101" t="s">
        <v>85</v>
      </c>
      <c r="B22" s="102" t="s">
        <v>31</v>
      </c>
      <c r="C22" s="103">
        <v>45661</v>
      </c>
      <c r="D22" s="102" t="s">
        <v>16</v>
      </c>
      <c r="E22" s="102" t="s">
        <v>17</v>
      </c>
      <c r="F22" s="102">
        <v>4838</v>
      </c>
      <c r="G22" s="102">
        <v>640</v>
      </c>
      <c r="H22" s="102">
        <v>128</v>
      </c>
      <c r="I22" s="102">
        <v>72570</v>
      </c>
      <c r="J22" s="102">
        <v>72396</v>
      </c>
      <c r="K22" s="102">
        <v>83</v>
      </c>
      <c r="L22" s="102" t="s">
        <v>87</v>
      </c>
      <c r="M22" s="104" t="s">
        <v>38</v>
      </c>
    </row>
    <row r="23" spans="1:19" x14ac:dyDescent="0.3">
      <c r="A23" s="101" t="s">
        <v>88</v>
      </c>
      <c r="B23" s="102" t="s">
        <v>40</v>
      </c>
      <c r="C23" s="103">
        <v>45715</v>
      </c>
      <c r="D23" s="102" t="s">
        <v>22</v>
      </c>
      <c r="E23" s="102" t="s">
        <v>23</v>
      </c>
      <c r="F23" s="102">
        <v>1570</v>
      </c>
      <c r="G23" s="102">
        <v>187</v>
      </c>
      <c r="H23" s="102">
        <v>260</v>
      </c>
      <c r="I23" s="102">
        <v>25120</v>
      </c>
      <c r="J23" s="102">
        <v>24613</v>
      </c>
      <c r="K23" s="102">
        <v>133</v>
      </c>
      <c r="L23" s="102" t="s">
        <v>18</v>
      </c>
      <c r="M23" s="104" t="s">
        <v>55</v>
      </c>
    </row>
    <row r="24" spans="1:19" x14ac:dyDescent="0.3">
      <c r="A24" s="101" t="s">
        <v>90</v>
      </c>
      <c r="B24" s="102" t="s">
        <v>40</v>
      </c>
      <c r="C24" s="103">
        <v>45602</v>
      </c>
      <c r="D24" s="102" t="s">
        <v>69</v>
      </c>
      <c r="E24" s="102" t="s">
        <v>70</v>
      </c>
      <c r="F24" s="102">
        <v>1606</v>
      </c>
      <c r="G24" s="102">
        <v>547</v>
      </c>
      <c r="H24" s="102">
        <v>316</v>
      </c>
      <c r="I24" s="102">
        <v>32120</v>
      </c>
      <c r="J24" s="102">
        <v>31736</v>
      </c>
      <c r="K24" s="102">
        <v>225</v>
      </c>
      <c r="L24" s="102" t="s">
        <v>18</v>
      </c>
      <c r="M24" s="104" t="s">
        <v>38</v>
      </c>
    </row>
    <row r="25" spans="1:19" x14ac:dyDescent="0.3">
      <c r="A25" s="101" t="s">
        <v>92</v>
      </c>
      <c r="B25" s="102" t="s">
        <v>40</v>
      </c>
      <c r="C25" s="103">
        <v>45680</v>
      </c>
      <c r="D25" s="102" t="s">
        <v>69</v>
      </c>
      <c r="E25" s="102" t="s">
        <v>70</v>
      </c>
      <c r="F25" s="102">
        <v>3961</v>
      </c>
      <c r="G25" s="102">
        <v>761</v>
      </c>
      <c r="H25" s="102">
        <v>131</v>
      </c>
      <c r="I25" s="102">
        <v>67337</v>
      </c>
      <c r="J25" s="102">
        <v>66615</v>
      </c>
      <c r="K25" s="102">
        <v>161</v>
      </c>
      <c r="L25" s="102" t="s">
        <v>44</v>
      </c>
      <c r="M25" s="104" t="s">
        <v>25</v>
      </c>
    </row>
    <row r="26" spans="1:19" x14ac:dyDescent="0.3">
      <c r="A26" s="101" t="s">
        <v>94</v>
      </c>
      <c r="B26" s="102" t="s">
        <v>14</v>
      </c>
      <c r="C26" s="103">
        <v>45757</v>
      </c>
      <c r="D26" s="102" t="s">
        <v>42</v>
      </c>
      <c r="E26" s="102" t="s">
        <v>43</v>
      </c>
      <c r="F26" s="102">
        <v>3128</v>
      </c>
      <c r="G26" s="102">
        <v>211</v>
      </c>
      <c r="H26" s="102">
        <v>197</v>
      </c>
      <c r="I26" s="102">
        <v>59432</v>
      </c>
      <c r="J26" s="102">
        <v>59182</v>
      </c>
      <c r="K26" s="102">
        <v>238</v>
      </c>
      <c r="L26" s="102" t="s">
        <v>61</v>
      </c>
      <c r="M26" s="104" t="s">
        <v>19</v>
      </c>
    </row>
    <row r="27" spans="1:19" x14ac:dyDescent="0.3">
      <c r="A27" s="101" t="s">
        <v>96</v>
      </c>
      <c r="B27" s="102" t="s">
        <v>577</v>
      </c>
      <c r="C27" s="103">
        <v>45752</v>
      </c>
      <c r="D27" s="102" t="s">
        <v>16</v>
      </c>
      <c r="E27" s="102" t="s">
        <v>17</v>
      </c>
      <c r="F27" s="102">
        <v>3009</v>
      </c>
      <c r="G27" s="102">
        <v>413</v>
      </c>
      <c r="H27" s="102">
        <v>358</v>
      </c>
      <c r="I27" s="102">
        <v>42126</v>
      </c>
      <c r="J27" s="102">
        <v>41309</v>
      </c>
      <c r="K27" s="102">
        <v>211</v>
      </c>
      <c r="L27" s="102" t="s">
        <v>18</v>
      </c>
      <c r="M27" s="104" t="s">
        <v>25</v>
      </c>
    </row>
    <row r="28" spans="1:19" x14ac:dyDescent="0.3">
      <c r="A28" s="101" t="s">
        <v>98</v>
      </c>
      <c r="B28" s="102" t="s">
        <v>577</v>
      </c>
      <c r="C28" s="103">
        <v>45552</v>
      </c>
      <c r="D28" s="102" t="s">
        <v>22</v>
      </c>
      <c r="E28" s="102" t="s">
        <v>23</v>
      </c>
      <c r="F28" s="102">
        <v>2076</v>
      </c>
      <c r="G28" s="102">
        <v>195</v>
      </c>
      <c r="H28" s="102">
        <v>104</v>
      </c>
      <c r="I28" s="102">
        <v>33216</v>
      </c>
      <c r="J28" s="102">
        <v>32244</v>
      </c>
      <c r="K28" s="102">
        <v>51</v>
      </c>
      <c r="L28" s="102" t="s">
        <v>44</v>
      </c>
      <c r="M28" s="104" t="s">
        <v>55</v>
      </c>
    </row>
    <row r="29" spans="1:19" x14ac:dyDescent="0.3">
      <c r="A29" s="101" t="s">
        <v>100</v>
      </c>
      <c r="B29" s="102" t="s">
        <v>31</v>
      </c>
      <c r="C29" s="103">
        <v>45720</v>
      </c>
      <c r="D29" s="102" t="s">
        <v>69</v>
      </c>
      <c r="E29" s="102" t="s">
        <v>70</v>
      </c>
      <c r="F29" s="102">
        <v>432</v>
      </c>
      <c r="G29" s="102">
        <v>624</v>
      </c>
      <c r="H29" s="102">
        <v>123</v>
      </c>
      <c r="I29" s="102">
        <v>6912</v>
      </c>
      <c r="J29" s="102">
        <v>6259</v>
      </c>
      <c r="K29" s="102">
        <v>79</v>
      </c>
      <c r="L29" s="102" t="s">
        <v>102</v>
      </c>
      <c r="M29" s="104" t="s">
        <v>25</v>
      </c>
    </row>
    <row r="30" spans="1:19" x14ac:dyDescent="0.3">
      <c r="A30" s="101" t="s">
        <v>103</v>
      </c>
      <c r="B30" s="102" t="s">
        <v>31</v>
      </c>
      <c r="C30" s="103">
        <v>45688</v>
      </c>
      <c r="D30" s="102" t="s">
        <v>42</v>
      </c>
      <c r="E30" s="102" t="s">
        <v>43</v>
      </c>
      <c r="F30" s="102">
        <v>2566</v>
      </c>
      <c r="G30" s="102">
        <v>118</v>
      </c>
      <c r="H30" s="102">
        <v>37</v>
      </c>
      <c r="I30" s="102">
        <v>12830</v>
      </c>
      <c r="J30" s="102">
        <v>12264</v>
      </c>
      <c r="K30" s="102">
        <v>221</v>
      </c>
      <c r="L30" s="102" t="s">
        <v>105</v>
      </c>
      <c r="M30" s="104" t="s">
        <v>38</v>
      </c>
    </row>
    <row r="31" spans="1:19" x14ac:dyDescent="0.3">
      <c r="A31" s="101" t="s">
        <v>106</v>
      </c>
      <c r="B31" s="102" t="s">
        <v>31</v>
      </c>
      <c r="C31" s="103">
        <v>45713</v>
      </c>
      <c r="D31" s="102" t="s">
        <v>69</v>
      </c>
      <c r="E31" s="102" t="s">
        <v>70</v>
      </c>
      <c r="F31" s="102">
        <v>3095</v>
      </c>
      <c r="G31" s="102">
        <v>39</v>
      </c>
      <c r="H31" s="102">
        <v>78</v>
      </c>
      <c r="I31" s="102">
        <v>55710</v>
      </c>
      <c r="J31" s="102">
        <v>54808</v>
      </c>
      <c r="K31" s="102">
        <v>93</v>
      </c>
      <c r="L31" s="102" t="s">
        <v>18</v>
      </c>
      <c r="M31" s="104" t="s">
        <v>55</v>
      </c>
    </row>
    <row r="32" spans="1:19" x14ac:dyDescent="0.3">
      <c r="A32" s="101" t="s">
        <v>108</v>
      </c>
      <c r="B32" s="102" t="s">
        <v>31</v>
      </c>
      <c r="C32" s="103">
        <v>45642</v>
      </c>
      <c r="D32" s="102" t="s">
        <v>22</v>
      </c>
      <c r="E32" s="102" t="s">
        <v>23</v>
      </c>
      <c r="F32" s="102">
        <v>438</v>
      </c>
      <c r="G32" s="102">
        <v>153</v>
      </c>
      <c r="H32" s="102">
        <v>275</v>
      </c>
      <c r="I32" s="102">
        <v>3066</v>
      </c>
      <c r="J32" s="102">
        <v>2701</v>
      </c>
      <c r="K32" s="102">
        <v>282</v>
      </c>
      <c r="L32" s="102" t="s">
        <v>44</v>
      </c>
      <c r="M32" s="104" t="s">
        <v>55</v>
      </c>
    </row>
    <row r="33" spans="1:13" x14ac:dyDescent="0.3">
      <c r="A33" s="101" t="s">
        <v>110</v>
      </c>
      <c r="B33" s="102" t="s">
        <v>14</v>
      </c>
      <c r="C33" s="103">
        <v>45504</v>
      </c>
      <c r="D33" s="102" t="s">
        <v>42</v>
      </c>
      <c r="E33" s="102" t="s">
        <v>43</v>
      </c>
      <c r="F33" s="102">
        <v>2278</v>
      </c>
      <c r="G33" s="102">
        <v>10</v>
      </c>
      <c r="H33" s="102">
        <v>321</v>
      </c>
      <c r="I33" s="102">
        <v>13668</v>
      </c>
      <c r="J33" s="102">
        <v>12676</v>
      </c>
      <c r="K33" s="102">
        <v>275</v>
      </c>
      <c r="L33" s="102" t="s">
        <v>105</v>
      </c>
      <c r="M33" s="104" t="s">
        <v>55</v>
      </c>
    </row>
    <row r="34" spans="1:13" x14ac:dyDescent="0.3">
      <c r="A34" s="101" t="s">
        <v>112</v>
      </c>
      <c r="B34" s="102" t="s">
        <v>40</v>
      </c>
      <c r="C34" s="103">
        <v>45525</v>
      </c>
      <c r="D34" s="102" t="s">
        <v>49</v>
      </c>
      <c r="E34" s="102" t="s">
        <v>50</v>
      </c>
      <c r="F34" s="102">
        <v>1407</v>
      </c>
      <c r="G34" s="102">
        <v>400</v>
      </c>
      <c r="H34" s="102">
        <v>351</v>
      </c>
      <c r="I34" s="102">
        <v>16884</v>
      </c>
      <c r="J34" s="102">
        <v>15954</v>
      </c>
      <c r="K34" s="102">
        <v>113</v>
      </c>
      <c r="L34" s="102" t="s">
        <v>71</v>
      </c>
      <c r="M34" s="104" t="s">
        <v>38</v>
      </c>
    </row>
    <row r="35" spans="1:13" x14ac:dyDescent="0.3">
      <c r="A35" s="101" t="s">
        <v>114</v>
      </c>
      <c r="B35" s="102" t="s">
        <v>40</v>
      </c>
      <c r="C35" s="103">
        <v>45742</v>
      </c>
      <c r="D35" s="102" t="s">
        <v>22</v>
      </c>
      <c r="E35" s="102" t="s">
        <v>23</v>
      </c>
      <c r="F35" s="102">
        <v>1652</v>
      </c>
      <c r="G35" s="102">
        <v>89</v>
      </c>
      <c r="H35" s="102">
        <v>357</v>
      </c>
      <c r="I35" s="102">
        <v>29736</v>
      </c>
      <c r="J35" s="102">
        <v>28771</v>
      </c>
      <c r="K35" s="102">
        <v>215</v>
      </c>
      <c r="L35" s="102" t="s">
        <v>116</v>
      </c>
      <c r="M35" s="104" t="s">
        <v>25</v>
      </c>
    </row>
    <row r="36" spans="1:13" x14ac:dyDescent="0.3">
      <c r="A36" s="101" t="s">
        <v>117</v>
      </c>
      <c r="B36" s="102" t="s">
        <v>31</v>
      </c>
      <c r="C36" s="103">
        <v>45626</v>
      </c>
      <c r="D36" s="102" t="s">
        <v>69</v>
      </c>
      <c r="E36" s="102" t="s">
        <v>70</v>
      </c>
      <c r="F36" s="102">
        <v>3775</v>
      </c>
      <c r="G36" s="102">
        <v>16</v>
      </c>
      <c r="H36" s="102">
        <v>239</v>
      </c>
      <c r="I36" s="102">
        <v>33975</v>
      </c>
      <c r="J36" s="102">
        <v>33310</v>
      </c>
      <c r="K36" s="102">
        <v>271</v>
      </c>
      <c r="L36" s="102" t="s">
        <v>61</v>
      </c>
      <c r="M36" s="104" t="s">
        <v>38</v>
      </c>
    </row>
    <row r="37" spans="1:13" x14ac:dyDescent="0.3">
      <c r="A37" s="101" t="s">
        <v>119</v>
      </c>
      <c r="B37" s="102" t="s">
        <v>31</v>
      </c>
      <c r="C37" s="103">
        <v>45766</v>
      </c>
      <c r="D37" s="102" t="s">
        <v>33</v>
      </c>
      <c r="E37" s="102" t="s">
        <v>34</v>
      </c>
      <c r="F37" s="102">
        <v>4518</v>
      </c>
      <c r="G37" s="102">
        <v>285</v>
      </c>
      <c r="H37" s="102">
        <v>383</v>
      </c>
      <c r="I37" s="102">
        <v>67770</v>
      </c>
      <c r="J37" s="102">
        <v>67621</v>
      </c>
      <c r="K37" s="102">
        <v>31</v>
      </c>
      <c r="L37" s="102" t="s">
        <v>77</v>
      </c>
      <c r="M37" s="104" t="s">
        <v>25</v>
      </c>
    </row>
    <row r="38" spans="1:13" x14ac:dyDescent="0.3">
      <c r="A38" s="101" t="s">
        <v>121</v>
      </c>
      <c r="B38" s="102" t="s">
        <v>40</v>
      </c>
      <c r="C38" s="103">
        <v>45663</v>
      </c>
      <c r="D38" s="102" t="s">
        <v>42</v>
      </c>
      <c r="E38" s="102" t="s">
        <v>43</v>
      </c>
      <c r="F38" s="102">
        <v>3024</v>
      </c>
      <c r="G38" s="102">
        <v>925</v>
      </c>
      <c r="H38" s="102">
        <v>350</v>
      </c>
      <c r="I38" s="102">
        <v>24192</v>
      </c>
      <c r="J38" s="102">
        <v>23518</v>
      </c>
      <c r="K38" s="102">
        <v>36</v>
      </c>
      <c r="L38" s="102" t="s">
        <v>18</v>
      </c>
      <c r="M38" s="104" t="s">
        <v>38</v>
      </c>
    </row>
    <row r="39" spans="1:13" x14ac:dyDescent="0.3">
      <c r="A39" s="101" t="s">
        <v>123</v>
      </c>
      <c r="B39" s="102" t="s">
        <v>577</v>
      </c>
      <c r="C39" s="103">
        <v>45705</v>
      </c>
      <c r="D39" s="102" t="s">
        <v>16</v>
      </c>
      <c r="E39" s="102" t="s">
        <v>17</v>
      </c>
      <c r="F39" s="102">
        <v>3138</v>
      </c>
      <c r="G39" s="102">
        <v>123</v>
      </c>
      <c r="H39" s="102">
        <v>291</v>
      </c>
      <c r="I39" s="102">
        <v>28242</v>
      </c>
      <c r="J39" s="102">
        <v>27550</v>
      </c>
      <c r="K39" s="102">
        <v>87</v>
      </c>
      <c r="L39" s="102" t="s">
        <v>77</v>
      </c>
      <c r="M39" s="104" t="s">
        <v>55</v>
      </c>
    </row>
    <row r="40" spans="1:13" x14ac:dyDescent="0.3">
      <c r="A40" s="101" t="s">
        <v>125</v>
      </c>
      <c r="B40" s="102" t="s">
        <v>40</v>
      </c>
      <c r="C40" s="103">
        <v>45621</v>
      </c>
      <c r="D40" s="102" t="s">
        <v>49</v>
      </c>
      <c r="E40" s="102" t="s">
        <v>50</v>
      </c>
      <c r="F40" s="102">
        <v>3564</v>
      </c>
      <c r="G40" s="102">
        <v>629</v>
      </c>
      <c r="H40" s="102">
        <v>177</v>
      </c>
      <c r="I40" s="102">
        <v>60588</v>
      </c>
      <c r="J40" s="102">
        <v>59627</v>
      </c>
      <c r="K40" s="102">
        <v>92</v>
      </c>
      <c r="L40" s="102" t="s">
        <v>127</v>
      </c>
      <c r="M40" s="104" t="s">
        <v>38</v>
      </c>
    </row>
    <row r="41" spans="1:13" x14ac:dyDescent="0.3">
      <c r="A41" s="101" t="s">
        <v>128</v>
      </c>
      <c r="B41" s="102" t="s">
        <v>14</v>
      </c>
      <c r="C41" s="103">
        <v>45723</v>
      </c>
      <c r="D41" s="102" t="s">
        <v>49</v>
      </c>
      <c r="E41" s="102" t="s">
        <v>50</v>
      </c>
      <c r="F41" s="102">
        <v>4750</v>
      </c>
      <c r="G41" s="102">
        <v>151</v>
      </c>
      <c r="H41" s="102">
        <v>415</v>
      </c>
      <c r="I41" s="102">
        <v>38000</v>
      </c>
      <c r="J41" s="102">
        <v>37792</v>
      </c>
      <c r="K41" s="102">
        <v>299</v>
      </c>
      <c r="L41" s="102" t="s">
        <v>61</v>
      </c>
      <c r="M41" s="104" t="s">
        <v>25</v>
      </c>
    </row>
    <row r="42" spans="1:13" x14ac:dyDescent="0.3">
      <c r="A42" s="101" t="s">
        <v>130</v>
      </c>
      <c r="B42" s="102" t="s">
        <v>31</v>
      </c>
      <c r="C42" s="103">
        <v>45724</v>
      </c>
      <c r="D42" s="102" t="s">
        <v>16</v>
      </c>
      <c r="E42" s="102" t="s">
        <v>17</v>
      </c>
      <c r="F42" s="102">
        <v>456</v>
      </c>
      <c r="G42" s="102">
        <v>629</v>
      </c>
      <c r="H42" s="102">
        <v>428</v>
      </c>
      <c r="I42" s="102">
        <v>8208</v>
      </c>
      <c r="J42" s="102">
        <v>7377</v>
      </c>
      <c r="K42" s="102">
        <v>205</v>
      </c>
      <c r="L42" s="102" t="s">
        <v>74</v>
      </c>
      <c r="M42" s="104" t="s">
        <v>38</v>
      </c>
    </row>
    <row r="43" spans="1:13" x14ac:dyDescent="0.3">
      <c r="A43" s="101" t="s">
        <v>132</v>
      </c>
      <c r="B43" s="102" t="s">
        <v>577</v>
      </c>
      <c r="C43" s="103">
        <v>45721</v>
      </c>
      <c r="D43" s="102" t="s">
        <v>16</v>
      </c>
      <c r="E43" s="102" t="s">
        <v>17</v>
      </c>
      <c r="F43" s="102">
        <v>1543</v>
      </c>
      <c r="G43" s="102">
        <v>820</v>
      </c>
      <c r="H43" s="102">
        <v>333</v>
      </c>
      <c r="I43" s="102">
        <v>12344</v>
      </c>
      <c r="J43" s="102">
        <v>11496</v>
      </c>
      <c r="K43" s="102">
        <v>241</v>
      </c>
      <c r="L43" s="102" t="s">
        <v>58</v>
      </c>
      <c r="M43" s="104" t="s">
        <v>38</v>
      </c>
    </row>
    <row r="44" spans="1:13" x14ac:dyDescent="0.3">
      <c r="A44" s="101" t="s">
        <v>134</v>
      </c>
      <c r="B44" s="102" t="s">
        <v>31</v>
      </c>
      <c r="C44" s="103">
        <v>45640</v>
      </c>
      <c r="D44" s="102" t="s">
        <v>42</v>
      </c>
      <c r="E44" s="102" t="s">
        <v>43</v>
      </c>
      <c r="F44" s="102">
        <v>2174</v>
      </c>
      <c r="G44" s="102">
        <v>658</v>
      </c>
      <c r="H44" s="102">
        <v>15</v>
      </c>
      <c r="I44" s="102">
        <v>13044</v>
      </c>
      <c r="J44" s="102">
        <v>12206</v>
      </c>
      <c r="K44" s="102">
        <v>137</v>
      </c>
      <c r="L44" s="102" t="s">
        <v>66</v>
      </c>
      <c r="M44" s="104" t="s">
        <v>55</v>
      </c>
    </row>
    <row r="45" spans="1:13" x14ac:dyDescent="0.3">
      <c r="A45" s="101" t="s">
        <v>136</v>
      </c>
      <c r="B45" s="102" t="s">
        <v>14</v>
      </c>
      <c r="C45" s="103">
        <v>45718</v>
      </c>
      <c r="D45" s="102" t="s">
        <v>49</v>
      </c>
      <c r="E45" s="102" t="s">
        <v>50</v>
      </c>
      <c r="F45" s="102">
        <v>2358</v>
      </c>
      <c r="G45" s="102">
        <v>784</v>
      </c>
      <c r="H45" s="102">
        <v>344</v>
      </c>
      <c r="I45" s="102">
        <v>35370</v>
      </c>
      <c r="J45" s="102">
        <v>34475</v>
      </c>
      <c r="K45" s="102">
        <v>216</v>
      </c>
      <c r="L45" s="102" t="s">
        <v>82</v>
      </c>
      <c r="M45" s="104" t="s">
        <v>19</v>
      </c>
    </row>
    <row r="46" spans="1:13" x14ac:dyDescent="0.3">
      <c r="A46" s="101" t="s">
        <v>138</v>
      </c>
      <c r="B46" s="102" t="s">
        <v>40</v>
      </c>
      <c r="C46" s="103">
        <v>45597</v>
      </c>
      <c r="D46" s="102" t="s">
        <v>69</v>
      </c>
      <c r="E46" s="102" t="s">
        <v>70</v>
      </c>
      <c r="F46" s="102">
        <v>3371</v>
      </c>
      <c r="G46" s="102">
        <v>106</v>
      </c>
      <c r="H46" s="102">
        <v>327</v>
      </c>
      <c r="I46" s="102">
        <v>50565</v>
      </c>
      <c r="J46" s="102">
        <v>49816</v>
      </c>
      <c r="K46" s="102">
        <v>176</v>
      </c>
      <c r="L46" s="102" t="s">
        <v>77</v>
      </c>
      <c r="M46" s="104" t="s">
        <v>55</v>
      </c>
    </row>
    <row r="47" spans="1:13" x14ac:dyDescent="0.3">
      <c r="A47" s="101" t="s">
        <v>140</v>
      </c>
      <c r="B47" s="102" t="s">
        <v>14</v>
      </c>
      <c r="C47" s="103">
        <v>45779</v>
      </c>
      <c r="D47" s="102" t="s">
        <v>69</v>
      </c>
      <c r="E47" s="102" t="s">
        <v>70</v>
      </c>
      <c r="F47" s="102">
        <v>1108</v>
      </c>
      <c r="G47" s="102">
        <v>177</v>
      </c>
      <c r="H47" s="102">
        <v>212</v>
      </c>
      <c r="I47" s="102">
        <v>8864</v>
      </c>
      <c r="J47" s="102">
        <v>8710</v>
      </c>
      <c r="K47" s="102">
        <v>97</v>
      </c>
      <c r="L47" s="102" t="s">
        <v>24</v>
      </c>
      <c r="M47" s="104" t="s">
        <v>55</v>
      </c>
    </row>
    <row r="48" spans="1:13" x14ac:dyDescent="0.3">
      <c r="A48" s="101" t="s">
        <v>142</v>
      </c>
      <c r="B48" s="102" t="s">
        <v>14</v>
      </c>
      <c r="C48" s="103">
        <v>45712</v>
      </c>
      <c r="D48" s="102" t="s">
        <v>42</v>
      </c>
      <c r="E48" s="102" t="s">
        <v>43</v>
      </c>
      <c r="F48" s="102">
        <v>2704</v>
      </c>
      <c r="G48" s="102">
        <v>752</v>
      </c>
      <c r="H48" s="102">
        <v>153</v>
      </c>
      <c r="I48" s="102">
        <v>21632</v>
      </c>
      <c r="J48" s="102">
        <v>20792</v>
      </c>
      <c r="K48" s="102">
        <v>127</v>
      </c>
      <c r="L48" s="102" t="s">
        <v>144</v>
      </c>
      <c r="M48" s="104" t="s">
        <v>19</v>
      </c>
    </row>
    <row r="49" spans="1:13" x14ac:dyDescent="0.3">
      <c r="A49" s="101" t="s">
        <v>145</v>
      </c>
      <c r="B49" s="102" t="s">
        <v>14</v>
      </c>
      <c r="C49" s="103">
        <v>45727</v>
      </c>
      <c r="D49" s="102" t="s">
        <v>33</v>
      </c>
      <c r="E49" s="102" t="s">
        <v>34</v>
      </c>
      <c r="F49" s="102">
        <v>1950</v>
      </c>
      <c r="G49" s="102">
        <v>295</v>
      </c>
      <c r="H49" s="102">
        <v>478</v>
      </c>
      <c r="I49" s="102">
        <v>37050</v>
      </c>
      <c r="J49" s="102">
        <v>36272</v>
      </c>
      <c r="K49" s="102">
        <v>119</v>
      </c>
      <c r="L49" s="102" t="s">
        <v>146</v>
      </c>
      <c r="M49" s="104" t="s">
        <v>55</v>
      </c>
    </row>
    <row r="50" spans="1:13" x14ac:dyDescent="0.3">
      <c r="A50" s="101" t="s">
        <v>147</v>
      </c>
      <c r="B50" s="102" t="s">
        <v>14</v>
      </c>
      <c r="C50" s="103">
        <v>45453</v>
      </c>
      <c r="D50" s="102" t="s">
        <v>33</v>
      </c>
      <c r="E50" s="102" t="s">
        <v>34</v>
      </c>
      <c r="F50" s="102">
        <v>2164</v>
      </c>
      <c r="G50" s="102">
        <v>549</v>
      </c>
      <c r="H50" s="102">
        <v>274</v>
      </c>
      <c r="I50" s="102">
        <v>28132</v>
      </c>
      <c r="J50" s="102">
        <v>27361</v>
      </c>
      <c r="K50" s="102">
        <v>177</v>
      </c>
      <c r="L50" s="102" t="s">
        <v>58</v>
      </c>
      <c r="M50" s="104" t="s">
        <v>19</v>
      </c>
    </row>
    <row r="51" spans="1:13" x14ac:dyDescent="0.3">
      <c r="A51" s="101" t="s">
        <v>149</v>
      </c>
      <c r="B51" s="102" t="s">
        <v>577</v>
      </c>
      <c r="C51" s="103">
        <v>45476</v>
      </c>
      <c r="D51" s="102" t="s">
        <v>33</v>
      </c>
      <c r="E51" s="102" t="s">
        <v>34</v>
      </c>
      <c r="F51" s="102">
        <v>2754</v>
      </c>
      <c r="G51" s="102">
        <v>130</v>
      </c>
      <c r="H51" s="102">
        <v>90</v>
      </c>
      <c r="I51" s="102">
        <v>22032</v>
      </c>
      <c r="J51" s="102">
        <v>21288</v>
      </c>
      <c r="K51" s="102">
        <v>112</v>
      </c>
      <c r="L51" s="102" t="s">
        <v>24</v>
      </c>
      <c r="M51" s="104" t="s">
        <v>19</v>
      </c>
    </row>
    <row r="52" spans="1:13" x14ac:dyDescent="0.3">
      <c r="A52" s="101" t="s">
        <v>151</v>
      </c>
      <c r="B52" s="102" t="s">
        <v>40</v>
      </c>
      <c r="C52" s="103">
        <v>45456</v>
      </c>
      <c r="D52" s="102" t="s">
        <v>42</v>
      </c>
      <c r="E52" s="102" t="s">
        <v>43</v>
      </c>
      <c r="F52" s="102">
        <v>2200</v>
      </c>
      <c r="G52" s="102">
        <v>504</v>
      </c>
      <c r="H52" s="102">
        <v>239</v>
      </c>
      <c r="I52" s="102">
        <v>37400</v>
      </c>
      <c r="J52" s="102">
        <v>36938</v>
      </c>
      <c r="K52" s="102">
        <v>225</v>
      </c>
      <c r="L52" s="102" t="s">
        <v>18</v>
      </c>
      <c r="M52" s="104" t="s">
        <v>38</v>
      </c>
    </row>
    <row r="53" spans="1:13" x14ac:dyDescent="0.3">
      <c r="A53" s="101" t="s">
        <v>153</v>
      </c>
      <c r="B53" s="102" t="s">
        <v>40</v>
      </c>
      <c r="C53" s="103">
        <v>45660</v>
      </c>
      <c r="D53" s="102" t="s">
        <v>49</v>
      </c>
      <c r="E53" s="102" t="s">
        <v>50</v>
      </c>
      <c r="F53" s="102">
        <v>947</v>
      </c>
      <c r="G53" s="102">
        <v>338</v>
      </c>
      <c r="H53" s="102">
        <v>350</v>
      </c>
      <c r="I53" s="102">
        <v>10417</v>
      </c>
      <c r="J53" s="102">
        <v>9730</v>
      </c>
      <c r="K53" s="102">
        <v>34</v>
      </c>
      <c r="L53" s="102" t="s">
        <v>29</v>
      </c>
      <c r="M53" s="104" t="s">
        <v>38</v>
      </c>
    </row>
    <row r="54" spans="1:13" x14ac:dyDescent="0.3">
      <c r="A54" s="101" t="s">
        <v>155</v>
      </c>
      <c r="B54" s="102" t="s">
        <v>577</v>
      </c>
      <c r="C54" s="103">
        <v>45712</v>
      </c>
      <c r="D54" s="102" t="s">
        <v>42</v>
      </c>
      <c r="E54" s="102" t="s">
        <v>43</v>
      </c>
      <c r="F54" s="102">
        <v>804</v>
      </c>
      <c r="G54" s="102">
        <v>639</v>
      </c>
      <c r="H54" s="102">
        <v>43</v>
      </c>
      <c r="I54" s="102">
        <v>4020</v>
      </c>
      <c r="J54" s="102">
        <v>3144</v>
      </c>
      <c r="K54" s="102">
        <v>11</v>
      </c>
      <c r="L54" s="102" t="s">
        <v>87</v>
      </c>
      <c r="M54" s="104" t="s">
        <v>55</v>
      </c>
    </row>
    <row r="55" spans="1:13" x14ac:dyDescent="0.3">
      <c r="A55" s="101" t="s">
        <v>156</v>
      </c>
      <c r="B55" s="102" t="s">
        <v>577</v>
      </c>
      <c r="C55" s="103">
        <v>45729</v>
      </c>
      <c r="D55" s="102" t="s">
        <v>42</v>
      </c>
      <c r="E55" s="102" t="s">
        <v>43</v>
      </c>
      <c r="F55" s="102">
        <v>1686</v>
      </c>
      <c r="G55" s="102">
        <v>904</v>
      </c>
      <c r="H55" s="102">
        <v>472</v>
      </c>
      <c r="I55" s="102">
        <v>18546</v>
      </c>
      <c r="J55" s="102">
        <v>18171</v>
      </c>
      <c r="K55" s="102">
        <v>52</v>
      </c>
      <c r="L55" s="102" t="s">
        <v>71</v>
      </c>
      <c r="M55" s="104" t="s">
        <v>25</v>
      </c>
    </row>
    <row r="56" spans="1:13" x14ac:dyDescent="0.3">
      <c r="A56" s="101" t="s">
        <v>158</v>
      </c>
      <c r="B56" s="102" t="s">
        <v>40</v>
      </c>
      <c r="C56" s="103">
        <v>45460</v>
      </c>
      <c r="D56" s="102" t="s">
        <v>49</v>
      </c>
      <c r="E56" s="102" t="s">
        <v>50</v>
      </c>
      <c r="F56" s="102">
        <v>1226</v>
      </c>
      <c r="G56" s="102">
        <v>119</v>
      </c>
      <c r="H56" s="102">
        <v>7</v>
      </c>
      <c r="I56" s="102">
        <v>14712</v>
      </c>
      <c r="J56" s="102">
        <v>14049</v>
      </c>
      <c r="K56" s="102">
        <v>123</v>
      </c>
      <c r="L56" s="102" t="s">
        <v>102</v>
      </c>
      <c r="M56" s="104" t="s">
        <v>55</v>
      </c>
    </row>
    <row r="57" spans="1:13" x14ac:dyDescent="0.3">
      <c r="A57" s="101" t="s">
        <v>160</v>
      </c>
      <c r="B57" s="102" t="s">
        <v>40</v>
      </c>
      <c r="C57" s="103">
        <v>45644</v>
      </c>
      <c r="D57" s="102" t="s">
        <v>42</v>
      </c>
      <c r="E57" s="102" t="s">
        <v>43</v>
      </c>
      <c r="F57" s="102">
        <v>2946</v>
      </c>
      <c r="G57" s="102">
        <v>498</v>
      </c>
      <c r="H57" s="102">
        <v>367</v>
      </c>
      <c r="I57" s="102">
        <v>29460</v>
      </c>
      <c r="J57" s="102">
        <v>28527</v>
      </c>
      <c r="K57" s="102">
        <v>60</v>
      </c>
      <c r="L57" s="102" t="s">
        <v>162</v>
      </c>
      <c r="M57" s="104" t="s">
        <v>25</v>
      </c>
    </row>
    <row r="58" spans="1:13" x14ac:dyDescent="0.3">
      <c r="A58" s="101" t="s">
        <v>163</v>
      </c>
      <c r="B58" s="102" t="s">
        <v>14</v>
      </c>
      <c r="C58" s="103">
        <v>45586</v>
      </c>
      <c r="D58" s="102" t="s">
        <v>69</v>
      </c>
      <c r="E58" s="102" t="s">
        <v>70</v>
      </c>
      <c r="F58" s="102">
        <v>2825</v>
      </c>
      <c r="G58" s="102">
        <v>535</v>
      </c>
      <c r="H58" s="102">
        <v>295</v>
      </c>
      <c r="I58" s="102">
        <v>45200</v>
      </c>
      <c r="J58" s="102">
        <v>44739</v>
      </c>
      <c r="K58" s="102">
        <v>169</v>
      </c>
      <c r="L58" s="102" t="s">
        <v>58</v>
      </c>
      <c r="M58" s="104" t="s">
        <v>25</v>
      </c>
    </row>
    <row r="59" spans="1:13" x14ac:dyDescent="0.3">
      <c r="A59" s="101" t="s">
        <v>165</v>
      </c>
      <c r="B59" s="102" t="s">
        <v>31</v>
      </c>
      <c r="C59" s="103">
        <v>45762</v>
      </c>
      <c r="D59" s="102" t="s">
        <v>16</v>
      </c>
      <c r="E59" s="102" t="s">
        <v>17</v>
      </c>
      <c r="F59" s="102">
        <v>103</v>
      </c>
      <c r="G59" s="102">
        <v>770</v>
      </c>
      <c r="H59" s="102">
        <v>19</v>
      </c>
      <c r="I59" s="102">
        <v>1030</v>
      </c>
      <c r="J59" s="102">
        <v>410</v>
      </c>
      <c r="K59" s="102">
        <v>262</v>
      </c>
      <c r="L59" s="102" t="s">
        <v>18</v>
      </c>
      <c r="M59" s="104" t="s">
        <v>38</v>
      </c>
    </row>
    <row r="60" spans="1:13" x14ac:dyDescent="0.3">
      <c r="A60" s="101" t="s">
        <v>167</v>
      </c>
      <c r="B60" s="102" t="s">
        <v>31</v>
      </c>
      <c r="C60" s="103">
        <v>45465</v>
      </c>
      <c r="D60" s="102" t="s">
        <v>22</v>
      </c>
      <c r="E60" s="102" t="s">
        <v>23</v>
      </c>
      <c r="F60" s="102">
        <v>2180</v>
      </c>
      <c r="G60" s="102">
        <v>263</v>
      </c>
      <c r="H60" s="102">
        <v>387</v>
      </c>
      <c r="I60" s="102">
        <v>30520</v>
      </c>
      <c r="J60" s="102">
        <v>30059</v>
      </c>
      <c r="K60" s="102">
        <v>174</v>
      </c>
      <c r="L60" s="102" t="s">
        <v>77</v>
      </c>
      <c r="M60" s="104" t="s">
        <v>19</v>
      </c>
    </row>
    <row r="61" spans="1:13" x14ac:dyDescent="0.3">
      <c r="A61" s="101" t="s">
        <v>169</v>
      </c>
      <c r="B61" s="102" t="s">
        <v>31</v>
      </c>
      <c r="C61" s="103">
        <v>45685</v>
      </c>
      <c r="D61" s="102" t="s">
        <v>69</v>
      </c>
      <c r="E61" s="102" t="s">
        <v>70</v>
      </c>
      <c r="F61" s="102">
        <v>904</v>
      </c>
      <c r="G61" s="102">
        <v>973</v>
      </c>
      <c r="H61" s="102">
        <v>63</v>
      </c>
      <c r="I61" s="102">
        <v>11752</v>
      </c>
      <c r="J61" s="102">
        <v>11580</v>
      </c>
      <c r="K61" s="102">
        <v>84</v>
      </c>
      <c r="L61" s="102" t="s">
        <v>58</v>
      </c>
      <c r="M61" s="104" t="s">
        <v>19</v>
      </c>
    </row>
    <row r="62" spans="1:13" x14ac:dyDescent="0.3">
      <c r="A62" s="101" t="s">
        <v>171</v>
      </c>
      <c r="B62" s="102" t="s">
        <v>14</v>
      </c>
      <c r="C62" s="103">
        <v>45540</v>
      </c>
      <c r="D62" s="102" t="s">
        <v>69</v>
      </c>
      <c r="E62" s="102" t="s">
        <v>70</v>
      </c>
      <c r="F62" s="102">
        <v>4886</v>
      </c>
      <c r="G62" s="102">
        <v>983</v>
      </c>
      <c r="H62" s="102">
        <v>409</v>
      </c>
      <c r="I62" s="102">
        <v>43974</v>
      </c>
      <c r="J62" s="102">
        <v>43239</v>
      </c>
      <c r="K62" s="102">
        <v>65</v>
      </c>
      <c r="L62" s="102" t="s">
        <v>24</v>
      </c>
      <c r="M62" s="104" t="s">
        <v>19</v>
      </c>
    </row>
    <row r="63" spans="1:13" x14ac:dyDescent="0.3">
      <c r="A63" s="101" t="s">
        <v>173</v>
      </c>
      <c r="B63" s="102" t="s">
        <v>14</v>
      </c>
      <c r="C63" s="103">
        <v>45618</v>
      </c>
      <c r="D63" s="102" t="s">
        <v>42</v>
      </c>
      <c r="E63" s="102" t="s">
        <v>43</v>
      </c>
      <c r="F63" s="102">
        <v>53</v>
      </c>
      <c r="G63" s="102">
        <v>81</v>
      </c>
      <c r="H63" s="102">
        <v>379</v>
      </c>
      <c r="I63" s="102">
        <v>954</v>
      </c>
      <c r="J63" s="102">
        <v>7</v>
      </c>
      <c r="K63" s="102">
        <v>148</v>
      </c>
      <c r="L63" s="102" t="s">
        <v>77</v>
      </c>
      <c r="M63" s="104" t="s">
        <v>38</v>
      </c>
    </row>
    <row r="64" spans="1:13" x14ac:dyDescent="0.3">
      <c r="A64" s="101" t="s">
        <v>175</v>
      </c>
      <c r="B64" s="102" t="s">
        <v>14</v>
      </c>
      <c r="C64" s="103">
        <v>45504</v>
      </c>
      <c r="D64" s="102" t="s">
        <v>42</v>
      </c>
      <c r="E64" s="102" t="s">
        <v>43</v>
      </c>
      <c r="F64" s="102">
        <v>4507</v>
      </c>
      <c r="G64" s="102">
        <v>217</v>
      </c>
      <c r="H64" s="102">
        <v>13</v>
      </c>
      <c r="I64" s="102">
        <v>90140</v>
      </c>
      <c r="J64" s="102">
        <v>89591</v>
      </c>
      <c r="K64" s="102">
        <v>125</v>
      </c>
      <c r="L64" s="102" t="s">
        <v>18</v>
      </c>
      <c r="M64" s="104" t="s">
        <v>19</v>
      </c>
    </row>
    <row r="65" spans="1:13" x14ac:dyDescent="0.3">
      <c r="A65" s="101" t="s">
        <v>176</v>
      </c>
      <c r="B65" s="102" t="s">
        <v>40</v>
      </c>
      <c r="C65" s="103">
        <v>45521</v>
      </c>
      <c r="D65" s="102" t="s">
        <v>49</v>
      </c>
      <c r="E65" s="102" t="s">
        <v>50</v>
      </c>
      <c r="F65" s="102">
        <v>2878</v>
      </c>
      <c r="G65" s="102">
        <v>248</v>
      </c>
      <c r="H65" s="102">
        <v>416</v>
      </c>
      <c r="I65" s="102">
        <v>43170</v>
      </c>
      <c r="J65" s="102">
        <v>42667</v>
      </c>
      <c r="K65" s="102">
        <v>75</v>
      </c>
      <c r="L65" s="102" t="s">
        <v>178</v>
      </c>
      <c r="M65" s="104" t="s">
        <v>25</v>
      </c>
    </row>
    <row r="66" spans="1:13" x14ac:dyDescent="0.3">
      <c r="A66" s="101" t="s">
        <v>179</v>
      </c>
      <c r="B66" s="102" t="s">
        <v>31</v>
      </c>
      <c r="C66" s="103">
        <v>45744</v>
      </c>
      <c r="D66" s="102" t="s">
        <v>33</v>
      </c>
      <c r="E66" s="102" t="s">
        <v>34</v>
      </c>
      <c r="F66" s="102">
        <v>1881</v>
      </c>
      <c r="G66" s="102">
        <v>501</v>
      </c>
      <c r="H66" s="102">
        <v>99</v>
      </c>
      <c r="I66" s="102">
        <v>20691</v>
      </c>
      <c r="J66" s="102">
        <v>19987</v>
      </c>
      <c r="K66" s="102">
        <v>289</v>
      </c>
      <c r="L66" s="102" t="s">
        <v>77</v>
      </c>
      <c r="M66" s="104" t="s">
        <v>25</v>
      </c>
    </row>
    <row r="67" spans="1:13" x14ac:dyDescent="0.3">
      <c r="A67" s="101" t="s">
        <v>181</v>
      </c>
      <c r="B67" s="102" t="s">
        <v>14</v>
      </c>
      <c r="C67" s="103">
        <v>45499</v>
      </c>
      <c r="D67" s="102" t="s">
        <v>42</v>
      </c>
      <c r="E67" s="102" t="s">
        <v>43</v>
      </c>
      <c r="F67" s="102">
        <v>432</v>
      </c>
      <c r="G67" s="102">
        <v>171</v>
      </c>
      <c r="H67" s="102">
        <v>280</v>
      </c>
      <c r="I67" s="102">
        <v>3024</v>
      </c>
      <c r="J67" s="102">
        <v>2285</v>
      </c>
      <c r="K67" s="102">
        <v>184</v>
      </c>
      <c r="L67" s="102" t="s">
        <v>24</v>
      </c>
      <c r="M67" s="104" t="s">
        <v>38</v>
      </c>
    </row>
    <row r="68" spans="1:13" x14ac:dyDescent="0.3">
      <c r="A68" s="101" t="s">
        <v>183</v>
      </c>
      <c r="B68" s="102" t="s">
        <v>40</v>
      </c>
      <c r="C68" s="103">
        <v>45745</v>
      </c>
      <c r="D68" s="102" t="s">
        <v>42</v>
      </c>
      <c r="E68" s="102" t="s">
        <v>43</v>
      </c>
      <c r="F68" s="102">
        <v>4712</v>
      </c>
      <c r="G68" s="102">
        <v>568</v>
      </c>
      <c r="H68" s="102">
        <v>127</v>
      </c>
      <c r="I68" s="102">
        <v>84816</v>
      </c>
      <c r="J68" s="102">
        <v>84691</v>
      </c>
      <c r="K68" s="102">
        <v>100</v>
      </c>
      <c r="L68" s="102" t="s">
        <v>77</v>
      </c>
      <c r="M68" s="104" t="s">
        <v>19</v>
      </c>
    </row>
    <row r="69" spans="1:13" x14ac:dyDescent="0.3">
      <c r="A69" s="101" t="s">
        <v>185</v>
      </c>
      <c r="B69" s="102" t="s">
        <v>31</v>
      </c>
      <c r="C69" s="103">
        <v>45634</v>
      </c>
      <c r="D69" s="102" t="s">
        <v>33</v>
      </c>
      <c r="E69" s="102" t="s">
        <v>34</v>
      </c>
      <c r="F69" s="102">
        <v>2610</v>
      </c>
      <c r="G69" s="102">
        <v>126</v>
      </c>
      <c r="H69" s="102">
        <v>288</v>
      </c>
      <c r="I69" s="102">
        <v>15660</v>
      </c>
      <c r="J69" s="102">
        <v>15145</v>
      </c>
      <c r="K69" s="102">
        <v>73</v>
      </c>
      <c r="L69" s="102" t="s">
        <v>24</v>
      </c>
      <c r="M69" s="104" t="s">
        <v>19</v>
      </c>
    </row>
    <row r="70" spans="1:13" x14ac:dyDescent="0.3">
      <c r="A70" s="101" t="s">
        <v>187</v>
      </c>
      <c r="B70" s="102" t="s">
        <v>14</v>
      </c>
      <c r="C70" s="103">
        <v>45724</v>
      </c>
      <c r="D70" s="102" t="s">
        <v>22</v>
      </c>
      <c r="E70" s="102" t="s">
        <v>23</v>
      </c>
      <c r="F70" s="102">
        <v>1292</v>
      </c>
      <c r="G70" s="102">
        <v>626</v>
      </c>
      <c r="H70" s="102">
        <v>496</v>
      </c>
      <c r="I70" s="102">
        <v>25840</v>
      </c>
      <c r="J70" s="102">
        <v>24916</v>
      </c>
      <c r="K70" s="102">
        <v>149</v>
      </c>
      <c r="L70" s="102" t="s">
        <v>87</v>
      </c>
      <c r="M70" s="104" t="s">
        <v>55</v>
      </c>
    </row>
    <row r="71" spans="1:13" x14ac:dyDescent="0.3">
      <c r="A71" s="101" t="s">
        <v>188</v>
      </c>
      <c r="B71" s="102" t="s">
        <v>40</v>
      </c>
      <c r="C71" s="103">
        <v>45749</v>
      </c>
      <c r="D71" s="102" t="s">
        <v>69</v>
      </c>
      <c r="E71" s="102" t="s">
        <v>70</v>
      </c>
      <c r="F71" s="102">
        <v>199</v>
      </c>
      <c r="G71" s="102">
        <v>772</v>
      </c>
      <c r="H71" s="102">
        <v>400</v>
      </c>
      <c r="I71" s="102">
        <v>3582</v>
      </c>
      <c r="J71" s="102">
        <v>2988</v>
      </c>
      <c r="K71" s="102">
        <v>43</v>
      </c>
      <c r="L71" s="102" t="s">
        <v>44</v>
      </c>
      <c r="M71" s="104" t="s">
        <v>19</v>
      </c>
    </row>
    <row r="72" spans="1:13" x14ac:dyDescent="0.3">
      <c r="A72" s="101" t="s">
        <v>190</v>
      </c>
      <c r="B72" s="102" t="s">
        <v>577</v>
      </c>
      <c r="C72" s="103">
        <v>45537</v>
      </c>
      <c r="D72" s="102" t="s">
        <v>42</v>
      </c>
      <c r="E72" s="102" t="s">
        <v>43</v>
      </c>
      <c r="F72" s="102">
        <v>2551</v>
      </c>
      <c r="G72" s="102">
        <v>915</v>
      </c>
      <c r="H72" s="102">
        <v>205</v>
      </c>
      <c r="I72" s="102">
        <v>30612</v>
      </c>
      <c r="J72" s="102">
        <v>30360</v>
      </c>
      <c r="K72" s="102">
        <v>227</v>
      </c>
      <c r="L72" s="102" t="s">
        <v>74</v>
      </c>
      <c r="M72" s="104" t="s">
        <v>25</v>
      </c>
    </row>
    <row r="73" spans="1:13" x14ac:dyDescent="0.3">
      <c r="A73" s="101" t="s">
        <v>192</v>
      </c>
      <c r="B73" s="102" t="s">
        <v>577</v>
      </c>
      <c r="C73" s="103">
        <v>45719</v>
      </c>
      <c r="D73" s="102" t="s">
        <v>16</v>
      </c>
      <c r="E73" s="102" t="s">
        <v>17</v>
      </c>
      <c r="F73" s="102">
        <v>296</v>
      </c>
      <c r="G73" s="102">
        <v>60</v>
      </c>
      <c r="H73" s="102">
        <v>141</v>
      </c>
      <c r="I73" s="102">
        <v>5624</v>
      </c>
      <c r="J73" s="102">
        <v>5239</v>
      </c>
      <c r="K73" s="102">
        <v>88</v>
      </c>
      <c r="L73" s="102" t="s">
        <v>44</v>
      </c>
      <c r="M73" s="104" t="s">
        <v>55</v>
      </c>
    </row>
    <row r="74" spans="1:13" x14ac:dyDescent="0.3">
      <c r="A74" s="101" t="s">
        <v>194</v>
      </c>
      <c r="B74" s="102" t="s">
        <v>40</v>
      </c>
      <c r="C74" s="103">
        <v>45583</v>
      </c>
      <c r="D74" s="102" t="s">
        <v>33</v>
      </c>
      <c r="E74" s="102" t="s">
        <v>34</v>
      </c>
      <c r="F74" s="102">
        <v>4126</v>
      </c>
      <c r="G74" s="102">
        <v>426</v>
      </c>
      <c r="H74" s="102">
        <v>486</v>
      </c>
      <c r="I74" s="102">
        <v>78394</v>
      </c>
      <c r="J74" s="102">
        <v>77798</v>
      </c>
      <c r="K74" s="102">
        <v>88</v>
      </c>
      <c r="L74" s="102" t="s">
        <v>24</v>
      </c>
      <c r="M74" s="104" t="s">
        <v>19</v>
      </c>
    </row>
    <row r="75" spans="1:13" x14ac:dyDescent="0.3">
      <c r="A75" s="101" t="s">
        <v>196</v>
      </c>
      <c r="B75" s="102" t="s">
        <v>577</v>
      </c>
      <c r="C75" s="103">
        <v>45593</v>
      </c>
      <c r="D75" s="102" t="s">
        <v>16</v>
      </c>
      <c r="E75" s="102" t="s">
        <v>17</v>
      </c>
      <c r="F75" s="102">
        <v>1855</v>
      </c>
      <c r="G75" s="102">
        <v>200</v>
      </c>
      <c r="H75" s="102">
        <v>174</v>
      </c>
      <c r="I75" s="102">
        <v>16695</v>
      </c>
      <c r="J75" s="102">
        <v>16330</v>
      </c>
      <c r="K75" s="102">
        <v>123</v>
      </c>
      <c r="L75" s="102" t="s">
        <v>24</v>
      </c>
      <c r="M75" s="104" t="s">
        <v>38</v>
      </c>
    </row>
    <row r="76" spans="1:13" x14ac:dyDescent="0.3">
      <c r="A76" s="101" t="s">
        <v>198</v>
      </c>
      <c r="B76" s="102" t="s">
        <v>31</v>
      </c>
      <c r="C76" s="103">
        <v>45505</v>
      </c>
      <c r="D76" s="102" t="s">
        <v>16</v>
      </c>
      <c r="E76" s="102" t="s">
        <v>17</v>
      </c>
      <c r="F76" s="102">
        <v>1674</v>
      </c>
      <c r="G76" s="102">
        <v>929</v>
      </c>
      <c r="H76" s="102">
        <v>37</v>
      </c>
      <c r="I76" s="102">
        <v>21762</v>
      </c>
      <c r="J76" s="102">
        <v>20998</v>
      </c>
      <c r="K76" s="102">
        <v>255</v>
      </c>
      <c r="L76" s="102" t="s">
        <v>162</v>
      </c>
      <c r="M76" s="104" t="s">
        <v>38</v>
      </c>
    </row>
    <row r="77" spans="1:13" x14ac:dyDescent="0.3">
      <c r="A77" s="101" t="s">
        <v>200</v>
      </c>
      <c r="B77" s="102" t="s">
        <v>14</v>
      </c>
      <c r="C77" s="103">
        <v>45603</v>
      </c>
      <c r="D77" s="102" t="s">
        <v>33</v>
      </c>
      <c r="E77" s="102" t="s">
        <v>34</v>
      </c>
      <c r="F77" s="102">
        <v>1121</v>
      </c>
      <c r="G77" s="102">
        <v>135</v>
      </c>
      <c r="H77" s="102">
        <v>18</v>
      </c>
      <c r="I77" s="102">
        <v>15694</v>
      </c>
      <c r="J77" s="102">
        <v>14957</v>
      </c>
      <c r="K77" s="102">
        <v>99</v>
      </c>
      <c r="L77" s="102" t="s">
        <v>66</v>
      </c>
      <c r="M77" s="104" t="s">
        <v>55</v>
      </c>
    </row>
    <row r="78" spans="1:13" x14ac:dyDescent="0.3">
      <c r="A78" s="101" t="s">
        <v>202</v>
      </c>
      <c r="B78" s="102" t="s">
        <v>40</v>
      </c>
      <c r="C78" s="103">
        <v>45720</v>
      </c>
      <c r="D78" s="102" t="s">
        <v>33</v>
      </c>
      <c r="E78" s="102" t="s">
        <v>34</v>
      </c>
      <c r="F78" s="102">
        <v>1249</v>
      </c>
      <c r="G78" s="102">
        <v>116</v>
      </c>
      <c r="H78" s="102">
        <v>420</v>
      </c>
      <c r="I78" s="102">
        <v>8743</v>
      </c>
      <c r="J78" s="102">
        <v>8538</v>
      </c>
      <c r="K78" s="102">
        <v>63</v>
      </c>
      <c r="L78" s="102" t="s">
        <v>71</v>
      </c>
      <c r="M78" s="104" t="s">
        <v>38</v>
      </c>
    </row>
    <row r="79" spans="1:13" x14ac:dyDescent="0.3">
      <c r="A79" s="101" t="s">
        <v>203</v>
      </c>
      <c r="B79" s="102" t="s">
        <v>14</v>
      </c>
      <c r="C79" s="103">
        <v>45460</v>
      </c>
      <c r="D79" s="102" t="s">
        <v>49</v>
      </c>
      <c r="E79" s="102" t="s">
        <v>50</v>
      </c>
      <c r="F79" s="102">
        <v>954</v>
      </c>
      <c r="G79" s="102">
        <v>324</v>
      </c>
      <c r="H79" s="102">
        <v>288</v>
      </c>
      <c r="I79" s="102">
        <v>19080</v>
      </c>
      <c r="J79" s="102">
        <v>18859</v>
      </c>
      <c r="K79" s="102">
        <v>21</v>
      </c>
      <c r="L79" s="102" t="s">
        <v>44</v>
      </c>
      <c r="M79" s="104" t="s">
        <v>38</v>
      </c>
    </row>
    <row r="80" spans="1:13" x14ac:dyDescent="0.3">
      <c r="A80" s="101" t="s">
        <v>204</v>
      </c>
      <c r="B80" s="102" t="s">
        <v>31</v>
      </c>
      <c r="C80" s="103">
        <v>45574</v>
      </c>
      <c r="D80" s="102" t="s">
        <v>42</v>
      </c>
      <c r="E80" s="102" t="s">
        <v>43</v>
      </c>
      <c r="F80" s="102">
        <v>3068</v>
      </c>
      <c r="G80" s="102">
        <v>137</v>
      </c>
      <c r="H80" s="102">
        <v>329</v>
      </c>
      <c r="I80" s="102">
        <v>39884</v>
      </c>
      <c r="J80" s="102">
        <v>39404</v>
      </c>
      <c r="K80" s="102">
        <v>266</v>
      </c>
      <c r="L80" s="102" t="s">
        <v>102</v>
      </c>
      <c r="M80" s="104" t="s">
        <v>38</v>
      </c>
    </row>
    <row r="81" spans="1:13" x14ac:dyDescent="0.3">
      <c r="A81" s="101" t="s">
        <v>206</v>
      </c>
      <c r="B81" s="102" t="s">
        <v>31</v>
      </c>
      <c r="C81" s="103">
        <v>45456</v>
      </c>
      <c r="D81" s="102" t="s">
        <v>33</v>
      </c>
      <c r="E81" s="102" t="s">
        <v>34</v>
      </c>
      <c r="F81" s="102">
        <v>2103</v>
      </c>
      <c r="G81" s="102">
        <v>892</v>
      </c>
      <c r="H81" s="102">
        <v>103</v>
      </c>
      <c r="I81" s="102">
        <v>39957</v>
      </c>
      <c r="J81" s="102">
        <v>39466</v>
      </c>
      <c r="K81" s="102">
        <v>28</v>
      </c>
      <c r="L81" s="102" t="s">
        <v>144</v>
      </c>
      <c r="M81" s="104" t="s">
        <v>25</v>
      </c>
    </row>
    <row r="82" spans="1:13" x14ac:dyDescent="0.3">
      <c r="A82" s="101" t="s">
        <v>207</v>
      </c>
      <c r="B82" s="102" t="s">
        <v>31</v>
      </c>
      <c r="C82" s="103">
        <v>45584</v>
      </c>
      <c r="D82" s="102" t="s">
        <v>33</v>
      </c>
      <c r="E82" s="102" t="s">
        <v>34</v>
      </c>
      <c r="F82" s="102">
        <v>1816</v>
      </c>
      <c r="G82" s="102">
        <v>29</v>
      </c>
      <c r="H82" s="102">
        <v>41</v>
      </c>
      <c r="I82" s="102">
        <v>19976</v>
      </c>
      <c r="J82" s="102">
        <v>19262</v>
      </c>
      <c r="K82" s="102">
        <v>283</v>
      </c>
      <c r="L82" s="102" t="s">
        <v>209</v>
      </c>
      <c r="M82" s="104" t="s">
        <v>38</v>
      </c>
    </row>
    <row r="83" spans="1:13" x14ac:dyDescent="0.3">
      <c r="A83" s="101" t="s">
        <v>210</v>
      </c>
      <c r="B83" s="102" t="s">
        <v>31</v>
      </c>
      <c r="C83" s="103">
        <v>45497</v>
      </c>
      <c r="D83" s="102" t="s">
        <v>49</v>
      </c>
      <c r="E83" s="102" t="s">
        <v>50</v>
      </c>
      <c r="F83" s="102">
        <v>725</v>
      </c>
      <c r="G83" s="102">
        <v>88</v>
      </c>
      <c r="H83" s="102">
        <v>428</v>
      </c>
      <c r="I83" s="102">
        <v>14500</v>
      </c>
      <c r="J83" s="102">
        <v>13637</v>
      </c>
      <c r="K83" s="102">
        <v>200</v>
      </c>
      <c r="L83" s="102" t="s">
        <v>44</v>
      </c>
      <c r="M83" s="104" t="s">
        <v>38</v>
      </c>
    </row>
    <row r="84" spans="1:13" x14ac:dyDescent="0.3">
      <c r="A84" s="101" t="s">
        <v>212</v>
      </c>
      <c r="B84" s="102" t="s">
        <v>577</v>
      </c>
      <c r="C84" s="103">
        <v>45580</v>
      </c>
      <c r="D84" s="102" t="s">
        <v>69</v>
      </c>
      <c r="E84" s="102" t="s">
        <v>70</v>
      </c>
      <c r="F84" s="102">
        <v>1094</v>
      </c>
      <c r="G84" s="102">
        <v>472</v>
      </c>
      <c r="H84" s="102">
        <v>21</v>
      </c>
      <c r="I84" s="102">
        <v>9846</v>
      </c>
      <c r="J84" s="102">
        <v>9609</v>
      </c>
      <c r="K84" s="102">
        <v>112</v>
      </c>
      <c r="L84" s="102" t="s">
        <v>214</v>
      </c>
      <c r="M84" s="104" t="s">
        <v>38</v>
      </c>
    </row>
    <row r="85" spans="1:13" x14ac:dyDescent="0.3">
      <c r="A85" s="101" t="s">
        <v>215</v>
      </c>
      <c r="B85" s="102" t="s">
        <v>40</v>
      </c>
      <c r="C85" s="103">
        <v>45635</v>
      </c>
      <c r="D85" s="102" t="s">
        <v>49</v>
      </c>
      <c r="E85" s="102" t="s">
        <v>50</v>
      </c>
      <c r="F85" s="102">
        <v>1841</v>
      </c>
      <c r="G85" s="102">
        <v>851</v>
      </c>
      <c r="H85" s="102">
        <v>342</v>
      </c>
      <c r="I85" s="102">
        <v>34979</v>
      </c>
      <c r="J85" s="102">
        <v>34154</v>
      </c>
      <c r="K85" s="102">
        <v>255</v>
      </c>
      <c r="L85" s="102" t="s">
        <v>71</v>
      </c>
      <c r="M85" s="104" t="s">
        <v>19</v>
      </c>
    </row>
    <row r="86" spans="1:13" x14ac:dyDescent="0.3">
      <c r="A86" s="101" t="s">
        <v>217</v>
      </c>
      <c r="B86" s="102" t="s">
        <v>31</v>
      </c>
      <c r="C86" s="103">
        <v>45766</v>
      </c>
      <c r="D86" s="102" t="s">
        <v>49</v>
      </c>
      <c r="E86" s="102" t="s">
        <v>50</v>
      </c>
      <c r="F86" s="102">
        <v>4177</v>
      </c>
      <c r="G86" s="102">
        <v>569</v>
      </c>
      <c r="H86" s="102">
        <v>55</v>
      </c>
      <c r="I86" s="102">
        <v>25062</v>
      </c>
      <c r="J86" s="102">
        <v>24847</v>
      </c>
      <c r="K86" s="102">
        <v>230</v>
      </c>
      <c r="L86" s="102" t="s">
        <v>24</v>
      </c>
      <c r="M86" s="104" t="s">
        <v>19</v>
      </c>
    </row>
    <row r="87" spans="1:13" x14ac:dyDescent="0.3">
      <c r="A87" s="101" t="s">
        <v>218</v>
      </c>
      <c r="B87" s="102" t="s">
        <v>577</v>
      </c>
      <c r="C87" s="103">
        <v>45684</v>
      </c>
      <c r="D87" s="102" t="s">
        <v>22</v>
      </c>
      <c r="E87" s="102" t="s">
        <v>23</v>
      </c>
      <c r="F87" s="102">
        <v>3428</v>
      </c>
      <c r="G87" s="102">
        <v>305</v>
      </c>
      <c r="H87" s="102">
        <v>85</v>
      </c>
      <c r="I87" s="102">
        <v>58276</v>
      </c>
      <c r="J87" s="102">
        <v>58052</v>
      </c>
      <c r="K87" s="102">
        <v>242</v>
      </c>
      <c r="L87" s="102" t="s">
        <v>214</v>
      </c>
      <c r="M87" s="104" t="s">
        <v>38</v>
      </c>
    </row>
    <row r="88" spans="1:13" x14ac:dyDescent="0.3">
      <c r="A88" s="101" t="s">
        <v>220</v>
      </c>
      <c r="B88" s="102" t="s">
        <v>14</v>
      </c>
      <c r="C88" s="103">
        <v>45449</v>
      </c>
      <c r="D88" s="102" t="s">
        <v>69</v>
      </c>
      <c r="E88" s="102" t="s">
        <v>70</v>
      </c>
      <c r="F88" s="102">
        <v>1436</v>
      </c>
      <c r="G88" s="102">
        <v>765</v>
      </c>
      <c r="H88" s="102">
        <v>496</v>
      </c>
      <c r="I88" s="102">
        <v>12924</v>
      </c>
      <c r="J88" s="102">
        <v>12701</v>
      </c>
      <c r="K88" s="102">
        <v>197</v>
      </c>
      <c r="L88" s="102" t="s">
        <v>209</v>
      </c>
      <c r="M88" s="104" t="s">
        <v>25</v>
      </c>
    </row>
    <row r="89" spans="1:13" x14ac:dyDescent="0.3">
      <c r="A89" s="101" t="s">
        <v>222</v>
      </c>
      <c r="B89" s="102" t="s">
        <v>40</v>
      </c>
      <c r="C89" s="103">
        <v>45480</v>
      </c>
      <c r="D89" s="102" t="s">
        <v>33</v>
      </c>
      <c r="E89" s="102" t="s">
        <v>34</v>
      </c>
      <c r="F89" s="102">
        <v>302</v>
      </c>
      <c r="G89" s="102">
        <v>47</v>
      </c>
      <c r="H89" s="102">
        <v>430</v>
      </c>
      <c r="I89" s="102">
        <v>5738</v>
      </c>
      <c r="J89" s="102">
        <v>4890</v>
      </c>
      <c r="K89" s="102">
        <v>25</v>
      </c>
      <c r="L89" s="102" t="s">
        <v>29</v>
      </c>
      <c r="M89" s="104" t="s">
        <v>25</v>
      </c>
    </row>
    <row r="90" spans="1:13" x14ac:dyDescent="0.3">
      <c r="A90" s="101" t="s">
        <v>224</v>
      </c>
      <c r="B90" s="102" t="s">
        <v>14</v>
      </c>
      <c r="C90" s="103">
        <v>45667</v>
      </c>
      <c r="D90" s="102" t="s">
        <v>49</v>
      </c>
      <c r="E90" s="102" t="s">
        <v>50</v>
      </c>
      <c r="F90" s="102">
        <v>2214</v>
      </c>
      <c r="G90" s="102">
        <v>249</v>
      </c>
      <c r="H90" s="102">
        <v>152</v>
      </c>
      <c r="I90" s="102">
        <v>15498</v>
      </c>
      <c r="J90" s="102">
        <v>14800</v>
      </c>
      <c r="K90" s="102">
        <v>180</v>
      </c>
      <c r="L90" s="102" t="s">
        <v>18</v>
      </c>
      <c r="M90" s="104" t="s">
        <v>25</v>
      </c>
    </row>
    <row r="91" spans="1:13" x14ac:dyDescent="0.3">
      <c r="A91" s="101" t="s">
        <v>226</v>
      </c>
      <c r="B91" s="102" t="s">
        <v>31</v>
      </c>
      <c r="C91" s="103">
        <v>45446</v>
      </c>
      <c r="D91" s="102" t="s">
        <v>49</v>
      </c>
      <c r="E91" s="102" t="s">
        <v>50</v>
      </c>
      <c r="F91" s="102">
        <v>3861</v>
      </c>
      <c r="G91" s="102">
        <v>960</v>
      </c>
      <c r="H91" s="102">
        <v>101</v>
      </c>
      <c r="I91" s="102">
        <v>69498</v>
      </c>
      <c r="J91" s="102">
        <v>68817</v>
      </c>
      <c r="K91" s="102">
        <v>297</v>
      </c>
      <c r="L91" s="102" t="s">
        <v>24</v>
      </c>
      <c r="M91" s="104" t="s">
        <v>25</v>
      </c>
    </row>
    <row r="92" spans="1:13" x14ac:dyDescent="0.3">
      <c r="A92" s="101" t="s">
        <v>228</v>
      </c>
      <c r="B92" s="102" t="s">
        <v>40</v>
      </c>
      <c r="C92" s="103">
        <v>45740</v>
      </c>
      <c r="D92" s="102" t="s">
        <v>49</v>
      </c>
      <c r="E92" s="102" t="s">
        <v>50</v>
      </c>
      <c r="F92" s="102">
        <v>1263</v>
      </c>
      <c r="G92" s="102">
        <v>397</v>
      </c>
      <c r="H92" s="102">
        <v>357</v>
      </c>
      <c r="I92" s="102">
        <v>25260</v>
      </c>
      <c r="J92" s="102">
        <v>24615</v>
      </c>
      <c r="K92" s="102">
        <v>137</v>
      </c>
      <c r="L92" s="102" t="s">
        <v>18</v>
      </c>
      <c r="M92" s="104" t="s">
        <v>25</v>
      </c>
    </row>
    <row r="93" spans="1:13" x14ac:dyDescent="0.3">
      <c r="A93" s="101" t="s">
        <v>230</v>
      </c>
      <c r="B93" s="102" t="s">
        <v>14</v>
      </c>
      <c r="C93" s="103">
        <v>45586</v>
      </c>
      <c r="D93" s="102" t="s">
        <v>33</v>
      </c>
      <c r="E93" s="102" t="s">
        <v>34</v>
      </c>
      <c r="F93" s="102">
        <v>3801</v>
      </c>
      <c r="G93" s="102">
        <v>967</v>
      </c>
      <c r="H93" s="102">
        <v>401</v>
      </c>
      <c r="I93" s="102">
        <v>38010</v>
      </c>
      <c r="J93" s="102">
        <v>37625</v>
      </c>
      <c r="K93" s="102">
        <v>236</v>
      </c>
      <c r="L93" s="102" t="s">
        <v>58</v>
      </c>
      <c r="M93" s="104" t="s">
        <v>55</v>
      </c>
    </row>
    <row r="94" spans="1:13" x14ac:dyDescent="0.3">
      <c r="A94" s="101" t="s">
        <v>231</v>
      </c>
      <c r="B94" s="102" t="s">
        <v>31</v>
      </c>
      <c r="C94" s="103">
        <v>45637</v>
      </c>
      <c r="D94" s="102" t="s">
        <v>69</v>
      </c>
      <c r="E94" s="102" t="s">
        <v>70</v>
      </c>
      <c r="F94" s="102">
        <v>1431</v>
      </c>
      <c r="G94" s="102">
        <v>951</v>
      </c>
      <c r="H94" s="102">
        <v>26</v>
      </c>
      <c r="I94" s="102">
        <v>8586</v>
      </c>
      <c r="J94" s="102">
        <v>8396</v>
      </c>
      <c r="K94" s="102">
        <v>150</v>
      </c>
      <c r="L94" s="102" t="s">
        <v>116</v>
      </c>
      <c r="M94" s="104" t="s">
        <v>19</v>
      </c>
    </row>
    <row r="95" spans="1:13" x14ac:dyDescent="0.3">
      <c r="A95" s="101" t="s">
        <v>233</v>
      </c>
      <c r="B95" s="102" t="s">
        <v>31</v>
      </c>
      <c r="C95" s="103">
        <v>45603</v>
      </c>
      <c r="D95" s="102" t="s">
        <v>49</v>
      </c>
      <c r="E95" s="102" t="s">
        <v>50</v>
      </c>
      <c r="F95" s="102">
        <v>2647</v>
      </c>
      <c r="G95" s="102">
        <v>304</v>
      </c>
      <c r="H95" s="102">
        <v>170</v>
      </c>
      <c r="I95" s="102">
        <v>18529</v>
      </c>
      <c r="J95" s="102">
        <v>17841</v>
      </c>
      <c r="K95" s="102">
        <v>46</v>
      </c>
      <c r="L95" s="102" t="s">
        <v>58</v>
      </c>
      <c r="M95" s="104" t="s">
        <v>25</v>
      </c>
    </row>
    <row r="96" spans="1:13" x14ac:dyDescent="0.3">
      <c r="A96" s="101" t="s">
        <v>234</v>
      </c>
      <c r="B96" s="102" t="s">
        <v>31</v>
      </c>
      <c r="C96" s="103">
        <v>45604</v>
      </c>
      <c r="D96" s="102" t="s">
        <v>22</v>
      </c>
      <c r="E96" s="102" t="s">
        <v>23</v>
      </c>
      <c r="F96" s="102">
        <v>3182</v>
      </c>
      <c r="G96" s="102">
        <v>559</v>
      </c>
      <c r="H96" s="102">
        <v>160</v>
      </c>
      <c r="I96" s="102">
        <v>57276</v>
      </c>
      <c r="J96" s="102">
        <v>56890</v>
      </c>
      <c r="K96" s="102">
        <v>163</v>
      </c>
      <c r="L96" s="102" t="s">
        <v>87</v>
      </c>
      <c r="M96" s="104" t="s">
        <v>25</v>
      </c>
    </row>
    <row r="97" spans="1:13" x14ac:dyDescent="0.3">
      <c r="A97" s="101" t="s">
        <v>236</v>
      </c>
      <c r="B97" s="102" t="s">
        <v>14</v>
      </c>
      <c r="C97" s="103">
        <v>45545</v>
      </c>
      <c r="D97" s="102" t="s">
        <v>49</v>
      </c>
      <c r="E97" s="102" t="s">
        <v>50</v>
      </c>
      <c r="F97" s="102">
        <v>1238</v>
      </c>
      <c r="G97" s="102">
        <v>366</v>
      </c>
      <c r="H97" s="102">
        <v>444</v>
      </c>
      <c r="I97" s="102">
        <v>19808</v>
      </c>
      <c r="J97" s="102">
        <v>19334</v>
      </c>
      <c r="K97" s="102">
        <v>123</v>
      </c>
      <c r="L97" s="102" t="s">
        <v>77</v>
      </c>
      <c r="M97" s="104" t="s">
        <v>38</v>
      </c>
    </row>
    <row r="98" spans="1:13" x14ac:dyDescent="0.3">
      <c r="A98" s="101" t="s">
        <v>238</v>
      </c>
      <c r="B98" s="102" t="s">
        <v>31</v>
      </c>
      <c r="C98" s="103">
        <v>45517</v>
      </c>
      <c r="D98" s="102" t="s">
        <v>49</v>
      </c>
      <c r="E98" s="102" t="s">
        <v>50</v>
      </c>
      <c r="F98" s="102">
        <v>4739</v>
      </c>
      <c r="G98" s="102">
        <v>527</v>
      </c>
      <c r="H98" s="102">
        <v>135</v>
      </c>
      <c r="I98" s="102">
        <v>61607</v>
      </c>
      <c r="J98" s="102">
        <v>61333</v>
      </c>
      <c r="K98" s="102">
        <v>36</v>
      </c>
      <c r="L98" s="102" t="s">
        <v>61</v>
      </c>
      <c r="M98" s="104" t="s">
        <v>25</v>
      </c>
    </row>
    <row r="99" spans="1:13" x14ac:dyDescent="0.3">
      <c r="A99" s="101" t="s">
        <v>240</v>
      </c>
      <c r="B99" s="102" t="s">
        <v>14</v>
      </c>
      <c r="C99" s="103">
        <v>45453</v>
      </c>
      <c r="D99" s="102" t="s">
        <v>33</v>
      </c>
      <c r="E99" s="102" t="s">
        <v>34</v>
      </c>
      <c r="F99" s="102">
        <v>1575</v>
      </c>
      <c r="G99" s="102">
        <v>771</v>
      </c>
      <c r="H99" s="102">
        <v>486</v>
      </c>
      <c r="I99" s="102">
        <v>25200</v>
      </c>
      <c r="J99" s="102">
        <v>24826</v>
      </c>
      <c r="K99" s="102">
        <v>17</v>
      </c>
      <c r="L99" s="102" t="s">
        <v>58</v>
      </c>
      <c r="M99" s="104" t="s">
        <v>38</v>
      </c>
    </row>
    <row r="100" spans="1:13" x14ac:dyDescent="0.3">
      <c r="A100" s="101" t="s">
        <v>241</v>
      </c>
      <c r="B100" s="102" t="s">
        <v>577</v>
      </c>
      <c r="C100" s="103">
        <v>45475</v>
      </c>
      <c r="D100" s="102" t="s">
        <v>42</v>
      </c>
      <c r="E100" s="102" t="s">
        <v>43</v>
      </c>
      <c r="F100" s="102">
        <v>4171</v>
      </c>
      <c r="G100" s="102">
        <v>548</v>
      </c>
      <c r="H100" s="102">
        <v>86</v>
      </c>
      <c r="I100" s="102">
        <v>66736</v>
      </c>
      <c r="J100" s="102">
        <v>66634</v>
      </c>
      <c r="K100" s="102">
        <v>173</v>
      </c>
      <c r="L100" s="102" t="s">
        <v>58</v>
      </c>
      <c r="M100" s="104" t="s">
        <v>38</v>
      </c>
    </row>
    <row r="101" spans="1:13" x14ac:dyDescent="0.3">
      <c r="A101" s="101" t="s">
        <v>243</v>
      </c>
      <c r="B101" s="102" t="s">
        <v>577</v>
      </c>
      <c r="C101" s="103">
        <v>45698</v>
      </c>
      <c r="D101" s="102" t="s">
        <v>69</v>
      </c>
      <c r="E101" s="102" t="s">
        <v>70</v>
      </c>
      <c r="F101" s="102">
        <v>1766</v>
      </c>
      <c r="G101" s="102">
        <v>92</v>
      </c>
      <c r="H101" s="102">
        <v>424</v>
      </c>
      <c r="I101" s="102">
        <v>24724</v>
      </c>
      <c r="J101" s="102">
        <v>24333</v>
      </c>
      <c r="K101" s="102">
        <v>52</v>
      </c>
      <c r="L101" s="102" t="s">
        <v>58</v>
      </c>
      <c r="M101" s="104" t="s">
        <v>19</v>
      </c>
    </row>
    <row r="102" spans="1:13" x14ac:dyDescent="0.3">
      <c r="A102" s="101" t="s">
        <v>245</v>
      </c>
      <c r="B102" s="102" t="s">
        <v>577</v>
      </c>
      <c r="C102" s="103">
        <v>45583</v>
      </c>
      <c r="D102" s="102" t="s">
        <v>69</v>
      </c>
      <c r="E102" s="102" t="s">
        <v>70</v>
      </c>
      <c r="F102" s="102">
        <v>4450</v>
      </c>
      <c r="G102" s="102">
        <v>983</v>
      </c>
      <c r="H102" s="102">
        <v>143</v>
      </c>
      <c r="I102" s="102">
        <v>75650</v>
      </c>
      <c r="J102" s="102">
        <v>75008</v>
      </c>
      <c r="K102" s="102">
        <v>12</v>
      </c>
      <c r="L102" s="102" t="s">
        <v>82</v>
      </c>
      <c r="M102" s="104" t="s">
        <v>25</v>
      </c>
    </row>
    <row r="103" spans="1:13" x14ac:dyDescent="0.3">
      <c r="A103" s="101" t="s">
        <v>246</v>
      </c>
      <c r="B103" s="102" t="s">
        <v>14</v>
      </c>
      <c r="C103" s="103">
        <v>45553</v>
      </c>
      <c r="D103" s="102" t="s">
        <v>16</v>
      </c>
      <c r="E103" s="102" t="s">
        <v>17</v>
      </c>
      <c r="F103" s="102">
        <v>1000</v>
      </c>
      <c r="G103" s="102">
        <v>978</v>
      </c>
      <c r="H103" s="102">
        <v>162</v>
      </c>
      <c r="I103" s="102">
        <v>6000</v>
      </c>
      <c r="J103" s="102">
        <v>5221</v>
      </c>
      <c r="K103" s="102">
        <v>223</v>
      </c>
      <c r="L103" s="102" t="s">
        <v>105</v>
      </c>
      <c r="M103" s="104" t="s">
        <v>38</v>
      </c>
    </row>
    <row r="104" spans="1:13" x14ac:dyDescent="0.3">
      <c r="A104" s="101" t="s">
        <v>248</v>
      </c>
      <c r="B104" s="102" t="s">
        <v>40</v>
      </c>
      <c r="C104" s="103">
        <v>45454</v>
      </c>
      <c r="D104" s="102" t="s">
        <v>49</v>
      </c>
      <c r="E104" s="102" t="s">
        <v>50</v>
      </c>
      <c r="F104" s="102">
        <v>3689</v>
      </c>
      <c r="G104" s="102">
        <v>48</v>
      </c>
      <c r="H104" s="102">
        <v>306</v>
      </c>
      <c r="I104" s="102">
        <v>40579</v>
      </c>
      <c r="J104" s="102">
        <v>39588</v>
      </c>
      <c r="K104" s="102">
        <v>212</v>
      </c>
      <c r="L104" s="102" t="s">
        <v>44</v>
      </c>
      <c r="M104" s="104" t="s">
        <v>19</v>
      </c>
    </row>
    <row r="105" spans="1:13" x14ac:dyDescent="0.3">
      <c r="A105" s="101" t="s">
        <v>250</v>
      </c>
      <c r="B105" s="102" t="s">
        <v>577</v>
      </c>
      <c r="C105" s="103">
        <v>45739</v>
      </c>
      <c r="D105" s="102" t="s">
        <v>33</v>
      </c>
      <c r="E105" s="102" t="s">
        <v>34</v>
      </c>
      <c r="F105" s="102">
        <v>3655</v>
      </c>
      <c r="G105" s="102">
        <v>568</v>
      </c>
      <c r="H105" s="102">
        <v>286</v>
      </c>
      <c r="I105" s="102">
        <v>32895</v>
      </c>
      <c r="J105" s="102">
        <v>32015</v>
      </c>
      <c r="K105" s="102">
        <v>199</v>
      </c>
      <c r="L105" s="102" t="s">
        <v>44</v>
      </c>
      <c r="M105" s="104" t="s">
        <v>55</v>
      </c>
    </row>
    <row r="106" spans="1:13" x14ac:dyDescent="0.3">
      <c r="A106" s="101" t="s">
        <v>252</v>
      </c>
      <c r="B106" s="102" t="s">
        <v>31</v>
      </c>
      <c r="C106" s="103">
        <v>45457</v>
      </c>
      <c r="D106" s="102" t="s">
        <v>42</v>
      </c>
      <c r="E106" s="102" t="s">
        <v>43</v>
      </c>
      <c r="F106" s="102">
        <v>498</v>
      </c>
      <c r="G106" s="102">
        <v>38</v>
      </c>
      <c r="H106" s="102">
        <v>42</v>
      </c>
      <c r="I106" s="102">
        <v>4482</v>
      </c>
      <c r="J106" s="102">
        <v>3647</v>
      </c>
      <c r="K106" s="102">
        <v>32</v>
      </c>
      <c r="L106" s="102" t="s">
        <v>162</v>
      </c>
      <c r="M106" s="104" t="s">
        <v>55</v>
      </c>
    </row>
    <row r="107" spans="1:13" x14ac:dyDescent="0.3">
      <c r="A107" s="101" t="s">
        <v>254</v>
      </c>
      <c r="B107" s="102" t="s">
        <v>31</v>
      </c>
      <c r="C107" s="103">
        <v>45692</v>
      </c>
      <c r="D107" s="102" t="s">
        <v>49</v>
      </c>
      <c r="E107" s="102" t="s">
        <v>50</v>
      </c>
      <c r="F107" s="102">
        <v>4619</v>
      </c>
      <c r="G107" s="102">
        <v>821</v>
      </c>
      <c r="H107" s="102">
        <v>499</v>
      </c>
      <c r="I107" s="102">
        <v>69285</v>
      </c>
      <c r="J107" s="102">
        <v>69141</v>
      </c>
      <c r="K107" s="102">
        <v>298</v>
      </c>
      <c r="L107" s="102" t="s">
        <v>24</v>
      </c>
      <c r="M107" s="104" t="s">
        <v>19</v>
      </c>
    </row>
    <row r="108" spans="1:13" x14ac:dyDescent="0.3">
      <c r="A108" s="101" t="s">
        <v>256</v>
      </c>
      <c r="B108" s="102" t="s">
        <v>577</v>
      </c>
      <c r="C108" s="103">
        <v>45464</v>
      </c>
      <c r="D108" s="102" t="s">
        <v>49</v>
      </c>
      <c r="E108" s="102" t="s">
        <v>50</v>
      </c>
      <c r="F108" s="102">
        <v>4832</v>
      </c>
      <c r="G108" s="102">
        <v>893</v>
      </c>
      <c r="H108" s="102">
        <v>10</v>
      </c>
      <c r="I108" s="102">
        <v>91808</v>
      </c>
      <c r="J108" s="102">
        <v>91296</v>
      </c>
      <c r="K108" s="102">
        <v>182</v>
      </c>
      <c r="L108" s="102" t="s">
        <v>82</v>
      </c>
      <c r="M108" s="104" t="s">
        <v>38</v>
      </c>
    </row>
    <row r="109" spans="1:13" x14ac:dyDescent="0.3">
      <c r="A109" s="101" t="s">
        <v>258</v>
      </c>
      <c r="B109" s="102" t="s">
        <v>14</v>
      </c>
      <c r="C109" s="103">
        <v>45741</v>
      </c>
      <c r="D109" s="102" t="s">
        <v>69</v>
      </c>
      <c r="E109" s="102" t="s">
        <v>70</v>
      </c>
      <c r="F109" s="102">
        <v>4050</v>
      </c>
      <c r="G109" s="102">
        <v>871</v>
      </c>
      <c r="H109" s="102">
        <v>347</v>
      </c>
      <c r="I109" s="102">
        <v>52650</v>
      </c>
      <c r="J109" s="102">
        <v>51755</v>
      </c>
      <c r="K109" s="102">
        <v>209</v>
      </c>
      <c r="L109" s="102" t="s">
        <v>162</v>
      </c>
      <c r="M109" s="104" t="s">
        <v>19</v>
      </c>
    </row>
    <row r="110" spans="1:13" x14ac:dyDescent="0.3">
      <c r="A110" s="101" t="s">
        <v>260</v>
      </c>
      <c r="B110" s="102" t="s">
        <v>14</v>
      </c>
      <c r="C110" s="103">
        <v>45512</v>
      </c>
      <c r="D110" s="102" t="s">
        <v>33</v>
      </c>
      <c r="E110" s="102" t="s">
        <v>34</v>
      </c>
      <c r="F110" s="102">
        <v>3649</v>
      </c>
      <c r="G110" s="102">
        <v>215</v>
      </c>
      <c r="H110" s="102">
        <v>413</v>
      </c>
      <c r="I110" s="102">
        <v>25543</v>
      </c>
      <c r="J110" s="102">
        <v>24963</v>
      </c>
      <c r="K110" s="102">
        <v>167</v>
      </c>
      <c r="L110" s="102" t="s">
        <v>146</v>
      </c>
      <c r="M110" s="104" t="s">
        <v>19</v>
      </c>
    </row>
    <row r="111" spans="1:13" x14ac:dyDescent="0.3">
      <c r="A111" s="101" t="s">
        <v>262</v>
      </c>
      <c r="B111" s="102" t="s">
        <v>31</v>
      </c>
      <c r="C111" s="103">
        <v>45502</v>
      </c>
      <c r="D111" s="102" t="s">
        <v>16</v>
      </c>
      <c r="E111" s="102" t="s">
        <v>17</v>
      </c>
      <c r="F111" s="102">
        <v>3523</v>
      </c>
      <c r="G111" s="102">
        <v>753</v>
      </c>
      <c r="H111" s="102">
        <v>482</v>
      </c>
      <c r="I111" s="102">
        <v>38753</v>
      </c>
      <c r="J111" s="102">
        <v>38579</v>
      </c>
      <c r="K111" s="102">
        <v>270</v>
      </c>
      <c r="L111" s="102" t="s">
        <v>264</v>
      </c>
      <c r="M111" s="104" t="s">
        <v>25</v>
      </c>
    </row>
    <row r="112" spans="1:13" x14ac:dyDescent="0.3">
      <c r="A112" s="101" t="s">
        <v>265</v>
      </c>
      <c r="B112" s="102" t="s">
        <v>577</v>
      </c>
      <c r="C112" s="103">
        <v>45619</v>
      </c>
      <c r="D112" s="102" t="s">
        <v>49</v>
      </c>
      <c r="E112" s="102" t="s">
        <v>50</v>
      </c>
      <c r="F112" s="102">
        <v>2719</v>
      </c>
      <c r="G112" s="102">
        <v>17</v>
      </c>
      <c r="H112" s="102">
        <v>285</v>
      </c>
      <c r="I112" s="102">
        <v>40785</v>
      </c>
      <c r="J112" s="102">
        <v>40281</v>
      </c>
      <c r="K112" s="102">
        <v>40</v>
      </c>
      <c r="L112" s="102" t="s">
        <v>146</v>
      </c>
      <c r="M112" s="104" t="s">
        <v>38</v>
      </c>
    </row>
    <row r="113" spans="1:13" x14ac:dyDescent="0.3">
      <c r="A113" s="101" t="s">
        <v>267</v>
      </c>
      <c r="B113" s="102" t="s">
        <v>14</v>
      </c>
      <c r="C113" s="103">
        <v>45570</v>
      </c>
      <c r="D113" s="102" t="s">
        <v>33</v>
      </c>
      <c r="E113" s="102" t="s">
        <v>34</v>
      </c>
      <c r="F113" s="102">
        <v>1957</v>
      </c>
      <c r="G113" s="102">
        <v>877</v>
      </c>
      <c r="H113" s="102">
        <v>238</v>
      </c>
      <c r="I113" s="102">
        <v>17613</v>
      </c>
      <c r="J113" s="102">
        <v>16865</v>
      </c>
      <c r="K113" s="102">
        <v>297</v>
      </c>
      <c r="L113" s="102" t="s">
        <v>29</v>
      </c>
      <c r="M113" s="104" t="s">
        <v>38</v>
      </c>
    </row>
    <row r="114" spans="1:13" x14ac:dyDescent="0.3">
      <c r="A114" s="101" t="s">
        <v>269</v>
      </c>
      <c r="B114" s="102" t="s">
        <v>14</v>
      </c>
      <c r="C114" s="103">
        <v>45567</v>
      </c>
      <c r="D114" s="102" t="s">
        <v>42</v>
      </c>
      <c r="E114" s="102" t="s">
        <v>43</v>
      </c>
      <c r="F114" s="102">
        <v>4419</v>
      </c>
      <c r="G114" s="102">
        <v>236</v>
      </c>
      <c r="H114" s="102">
        <v>369</v>
      </c>
      <c r="I114" s="102">
        <v>44190</v>
      </c>
      <c r="J114" s="102">
        <v>43582</v>
      </c>
      <c r="K114" s="102">
        <v>10</v>
      </c>
      <c r="L114" s="102" t="s">
        <v>44</v>
      </c>
      <c r="M114" s="104" t="s">
        <v>55</v>
      </c>
    </row>
    <row r="115" spans="1:13" x14ac:dyDescent="0.3">
      <c r="A115" s="101" t="s">
        <v>271</v>
      </c>
      <c r="B115" s="102" t="s">
        <v>14</v>
      </c>
      <c r="C115" s="103">
        <v>45610</v>
      </c>
      <c r="D115" s="102" t="s">
        <v>33</v>
      </c>
      <c r="E115" s="102" t="s">
        <v>34</v>
      </c>
      <c r="F115" s="102">
        <v>4000</v>
      </c>
      <c r="G115" s="102">
        <v>689</v>
      </c>
      <c r="H115" s="102">
        <v>488</v>
      </c>
      <c r="I115" s="102">
        <v>40000</v>
      </c>
      <c r="J115" s="102">
        <v>39569</v>
      </c>
      <c r="K115" s="102">
        <v>44</v>
      </c>
      <c r="L115" s="102" t="s">
        <v>144</v>
      </c>
      <c r="M115" s="104" t="s">
        <v>38</v>
      </c>
    </row>
    <row r="116" spans="1:13" x14ac:dyDescent="0.3">
      <c r="A116" s="101" t="s">
        <v>273</v>
      </c>
      <c r="B116" s="102" t="s">
        <v>14</v>
      </c>
      <c r="C116" s="103">
        <v>45788</v>
      </c>
      <c r="D116" s="102" t="s">
        <v>49</v>
      </c>
      <c r="E116" s="102" t="s">
        <v>50</v>
      </c>
      <c r="F116" s="102">
        <v>2493</v>
      </c>
      <c r="G116" s="102">
        <v>97</v>
      </c>
      <c r="H116" s="102">
        <v>44</v>
      </c>
      <c r="I116" s="102">
        <v>42381</v>
      </c>
      <c r="J116" s="102">
        <v>41991</v>
      </c>
      <c r="K116" s="102">
        <v>242</v>
      </c>
      <c r="L116" s="102" t="s">
        <v>82</v>
      </c>
      <c r="M116" s="104" t="s">
        <v>19</v>
      </c>
    </row>
    <row r="117" spans="1:13" x14ac:dyDescent="0.3">
      <c r="A117" s="101" t="s">
        <v>275</v>
      </c>
      <c r="B117" s="102" t="s">
        <v>577</v>
      </c>
      <c r="C117" s="103">
        <v>45734</v>
      </c>
      <c r="D117" s="102" t="s">
        <v>16</v>
      </c>
      <c r="E117" s="102" t="s">
        <v>17</v>
      </c>
      <c r="F117" s="102">
        <v>3704</v>
      </c>
      <c r="G117" s="102">
        <v>186</v>
      </c>
      <c r="H117" s="102">
        <v>458</v>
      </c>
      <c r="I117" s="102">
        <v>25928</v>
      </c>
      <c r="J117" s="102">
        <v>25081</v>
      </c>
      <c r="K117" s="102">
        <v>131</v>
      </c>
      <c r="L117" s="102" t="s">
        <v>58</v>
      </c>
      <c r="M117" s="104" t="s">
        <v>19</v>
      </c>
    </row>
    <row r="118" spans="1:13" x14ac:dyDescent="0.3">
      <c r="A118" s="101" t="s">
        <v>277</v>
      </c>
      <c r="B118" s="102" t="s">
        <v>14</v>
      </c>
      <c r="C118" s="103">
        <v>45600</v>
      </c>
      <c r="D118" s="102" t="s">
        <v>49</v>
      </c>
      <c r="E118" s="102" t="s">
        <v>50</v>
      </c>
      <c r="F118" s="102">
        <v>1606</v>
      </c>
      <c r="G118" s="102">
        <v>451</v>
      </c>
      <c r="H118" s="102">
        <v>405</v>
      </c>
      <c r="I118" s="102">
        <v>20878</v>
      </c>
      <c r="J118" s="102">
        <v>20190</v>
      </c>
      <c r="K118" s="102">
        <v>219</v>
      </c>
      <c r="L118" s="102" t="s">
        <v>82</v>
      </c>
      <c r="M118" s="104" t="s">
        <v>25</v>
      </c>
    </row>
    <row r="119" spans="1:13" x14ac:dyDescent="0.3">
      <c r="A119" s="101" t="s">
        <v>279</v>
      </c>
      <c r="B119" s="102" t="s">
        <v>40</v>
      </c>
      <c r="C119" s="103">
        <v>45600</v>
      </c>
      <c r="D119" s="102" t="s">
        <v>49</v>
      </c>
      <c r="E119" s="102" t="s">
        <v>50</v>
      </c>
      <c r="F119" s="102">
        <v>4551</v>
      </c>
      <c r="G119" s="102">
        <v>714</v>
      </c>
      <c r="H119" s="102">
        <v>207</v>
      </c>
      <c r="I119" s="102">
        <v>68265</v>
      </c>
      <c r="J119" s="102">
        <v>67754</v>
      </c>
      <c r="K119" s="102">
        <v>57</v>
      </c>
      <c r="L119" s="102" t="s">
        <v>44</v>
      </c>
      <c r="M119" s="104" t="s">
        <v>25</v>
      </c>
    </row>
    <row r="120" spans="1:13" x14ac:dyDescent="0.3">
      <c r="A120" s="101" t="s">
        <v>280</v>
      </c>
      <c r="B120" s="102" t="s">
        <v>31</v>
      </c>
      <c r="C120" s="103">
        <v>45695</v>
      </c>
      <c r="D120" s="102" t="s">
        <v>16</v>
      </c>
      <c r="E120" s="102" t="s">
        <v>17</v>
      </c>
      <c r="F120" s="102">
        <v>1970</v>
      </c>
      <c r="G120" s="102">
        <v>675</v>
      </c>
      <c r="H120" s="102">
        <v>478</v>
      </c>
      <c r="I120" s="102">
        <v>9850</v>
      </c>
      <c r="J120" s="102">
        <v>8924</v>
      </c>
      <c r="K120" s="102">
        <v>117</v>
      </c>
      <c r="L120" s="102" t="s">
        <v>44</v>
      </c>
      <c r="M120" s="104" t="s">
        <v>55</v>
      </c>
    </row>
    <row r="121" spans="1:13" x14ac:dyDescent="0.3">
      <c r="A121" s="101" t="s">
        <v>282</v>
      </c>
      <c r="B121" s="102" t="s">
        <v>40</v>
      </c>
      <c r="C121" s="103">
        <v>45586</v>
      </c>
      <c r="D121" s="102" t="s">
        <v>33</v>
      </c>
      <c r="E121" s="102" t="s">
        <v>34</v>
      </c>
      <c r="F121" s="102">
        <v>780</v>
      </c>
      <c r="G121" s="102">
        <v>928</v>
      </c>
      <c r="H121" s="102">
        <v>301</v>
      </c>
      <c r="I121" s="102">
        <v>8580</v>
      </c>
      <c r="J121" s="102">
        <v>8081</v>
      </c>
      <c r="K121" s="102">
        <v>91</v>
      </c>
      <c r="L121" s="102" t="s">
        <v>66</v>
      </c>
      <c r="M121" s="104" t="s">
        <v>55</v>
      </c>
    </row>
    <row r="122" spans="1:13" x14ac:dyDescent="0.3">
      <c r="A122" s="101" t="s">
        <v>283</v>
      </c>
      <c r="B122" s="102" t="s">
        <v>31</v>
      </c>
      <c r="C122" s="103">
        <v>45502</v>
      </c>
      <c r="D122" s="102" t="s">
        <v>33</v>
      </c>
      <c r="E122" s="102" t="s">
        <v>34</v>
      </c>
      <c r="F122" s="102">
        <v>498</v>
      </c>
      <c r="G122" s="102">
        <v>701</v>
      </c>
      <c r="H122" s="102">
        <v>412</v>
      </c>
      <c r="I122" s="102">
        <v>4980</v>
      </c>
      <c r="J122" s="102">
        <v>4185</v>
      </c>
      <c r="K122" s="102">
        <v>185</v>
      </c>
      <c r="L122" s="102" t="s">
        <v>264</v>
      </c>
      <c r="M122" s="104" t="s">
        <v>55</v>
      </c>
    </row>
    <row r="123" spans="1:13" x14ac:dyDescent="0.3">
      <c r="A123" s="101" t="s">
        <v>284</v>
      </c>
      <c r="B123" s="102" t="s">
        <v>31</v>
      </c>
      <c r="C123" s="103">
        <v>45567</v>
      </c>
      <c r="D123" s="102" t="s">
        <v>22</v>
      </c>
      <c r="E123" s="102" t="s">
        <v>23</v>
      </c>
      <c r="F123" s="102">
        <v>3432</v>
      </c>
      <c r="G123" s="102">
        <v>869</v>
      </c>
      <c r="H123" s="102">
        <v>123</v>
      </c>
      <c r="I123" s="102">
        <v>54912</v>
      </c>
      <c r="J123" s="102">
        <v>53916</v>
      </c>
      <c r="K123" s="102">
        <v>264</v>
      </c>
      <c r="L123" s="102" t="s">
        <v>285</v>
      </c>
      <c r="M123" s="104" t="s">
        <v>25</v>
      </c>
    </row>
    <row r="124" spans="1:13" x14ac:dyDescent="0.3">
      <c r="A124" s="101" t="s">
        <v>286</v>
      </c>
      <c r="B124" s="102" t="s">
        <v>31</v>
      </c>
      <c r="C124" s="103">
        <v>45457</v>
      </c>
      <c r="D124" s="102" t="s">
        <v>33</v>
      </c>
      <c r="E124" s="102" t="s">
        <v>34</v>
      </c>
      <c r="F124" s="102">
        <v>4363</v>
      </c>
      <c r="G124" s="102">
        <v>649</v>
      </c>
      <c r="H124" s="102">
        <v>140</v>
      </c>
      <c r="I124" s="102">
        <v>21815</v>
      </c>
      <c r="J124" s="102">
        <v>21481</v>
      </c>
      <c r="K124" s="102">
        <v>157</v>
      </c>
      <c r="L124" s="102" t="s">
        <v>66</v>
      </c>
      <c r="M124" s="104" t="s">
        <v>25</v>
      </c>
    </row>
    <row r="125" spans="1:13" x14ac:dyDescent="0.3">
      <c r="A125" s="101" t="s">
        <v>287</v>
      </c>
      <c r="B125" s="102" t="s">
        <v>577</v>
      </c>
      <c r="C125" s="103">
        <v>45753</v>
      </c>
      <c r="D125" s="102" t="s">
        <v>42</v>
      </c>
      <c r="E125" s="102" t="s">
        <v>43</v>
      </c>
      <c r="F125" s="102">
        <v>736</v>
      </c>
      <c r="G125" s="102">
        <v>771</v>
      </c>
      <c r="H125" s="102">
        <v>225</v>
      </c>
      <c r="I125" s="102">
        <v>5152</v>
      </c>
      <c r="J125" s="102">
        <v>4706</v>
      </c>
      <c r="K125" s="102">
        <v>19</v>
      </c>
      <c r="L125" s="102" t="s">
        <v>58</v>
      </c>
      <c r="M125" s="104" t="s">
        <v>38</v>
      </c>
    </row>
    <row r="126" spans="1:13" x14ac:dyDescent="0.3">
      <c r="A126" s="101" t="s">
        <v>289</v>
      </c>
      <c r="B126" s="102" t="s">
        <v>14</v>
      </c>
      <c r="C126" s="103">
        <v>45543</v>
      </c>
      <c r="D126" s="102" t="s">
        <v>42</v>
      </c>
      <c r="E126" s="102" t="s">
        <v>43</v>
      </c>
      <c r="F126" s="102">
        <v>3811</v>
      </c>
      <c r="G126" s="102">
        <v>866</v>
      </c>
      <c r="H126" s="102">
        <v>216</v>
      </c>
      <c r="I126" s="102">
        <v>34299</v>
      </c>
      <c r="J126" s="102">
        <v>34088</v>
      </c>
      <c r="K126" s="102">
        <v>233</v>
      </c>
      <c r="L126" s="102" t="s">
        <v>58</v>
      </c>
      <c r="M126" s="104" t="s">
        <v>38</v>
      </c>
    </row>
    <row r="127" spans="1:13" x14ac:dyDescent="0.3">
      <c r="A127" s="101" t="s">
        <v>291</v>
      </c>
      <c r="B127" s="102" t="s">
        <v>31</v>
      </c>
      <c r="C127" s="103">
        <v>45744</v>
      </c>
      <c r="D127" s="102" t="s">
        <v>42</v>
      </c>
      <c r="E127" s="102" t="s">
        <v>43</v>
      </c>
      <c r="F127" s="102">
        <v>4158</v>
      </c>
      <c r="G127" s="102">
        <v>167</v>
      </c>
      <c r="H127" s="102">
        <v>241</v>
      </c>
      <c r="I127" s="102">
        <v>45738</v>
      </c>
      <c r="J127" s="102">
        <v>45183</v>
      </c>
      <c r="K127" s="102">
        <v>142</v>
      </c>
      <c r="L127" s="102" t="s">
        <v>24</v>
      </c>
      <c r="M127" s="104" t="s">
        <v>25</v>
      </c>
    </row>
    <row r="128" spans="1:13" x14ac:dyDescent="0.3">
      <c r="A128" s="101" t="s">
        <v>292</v>
      </c>
      <c r="B128" s="102" t="s">
        <v>40</v>
      </c>
      <c r="C128" s="103">
        <v>45684</v>
      </c>
      <c r="D128" s="102" t="s">
        <v>16</v>
      </c>
      <c r="E128" s="102" t="s">
        <v>17</v>
      </c>
      <c r="F128" s="102">
        <v>3452</v>
      </c>
      <c r="G128" s="102">
        <v>652</v>
      </c>
      <c r="H128" s="102">
        <v>442</v>
      </c>
      <c r="I128" s="102">
        <v>65588</v>
      </c>
      <c r="J128" s="102">
        <v>65049</v>
      </c>
      <c r="K128" s="102">
        <v>158</v>
      </c>
      <c r="L128" s="102" t="s">
        <v>82</v>
      </c>
      <c r="M128" s="104" t="s">
        <v>19</v>
      </c>
    </row>
    <row r="129" spans="1:13" x14ac:dyDescent="0.3">
      <c r="A129" s="101" t="s">
        <v>293</v>
      </c>
      <c r="B129" s="102" t="s">
        <v>14</v>
      </c>
      <c r="C129" s="103">
        <v>45667</v>
      </c>
      <c r="D129" s="102" t="s">
        <v>49</v>
      </c>
      <c r="E129" s="102" t="s">
        <v>50</v>
      </c>
      <c r="F129" s="102">
        <v>3092</v>
      </c>
      <c r="G129" s="102">
        <v>106</v>
      </c>
      <c r="H129" s="102">
        <v>291</v>
      </c>
      <c r="I129" s="102">
        <v>27828</v>
      </c>
      <c r="J129" s="102">
        <v>27217</v>
      </c>
      <c r="K129" s="102">
        <v>102</v>
      </c>
      <c r="L129" s="102" t="s">
        <v>58</v>
      </c>
      <c r="M129" s="104" t="s">
        <v>55</v>
      </c>
    </row>
    <row r="130" spans="1:13" x14ac:dyDescent="0.3">
      <c r="A130" s="101" t="s">
        <v>294</v>
      </c>
      <c r="B130" s="102" t="s">
        <v>14</v>
      </c>
      <c r="C130" s="103">
        <v>45494</v>
      </c>
      <c r="D130" s="102" t="s">
        <v>22</v>
      </c>
      <c r="E130" s="102" t="s">
        <v>23</v>
      </c>
      <c r="F130" s="102">
        <v>2147</v>
      </c>
      <c r="G130" s="102">
        <v>430</v>
      </c>
      <c r="H130" s="102">
        <v>393</v>
      </c>
      <c r="I130" s="102">
        <v>17176</v>
      </c>
      <c r="J130" s="102">
        <v>16483</v>
      </c>
      <c r="K130" s="102">
        <v>170</v>
      </c>
      <c r="L130" s="102" t="s">
        <v>77</v>
      </c>
      <c r="M130" s="104" t="s">
        <v>55</v>
      </c>
    </row>
    <row r="131" spans="1:13" x14ac:dyDescent="0.3">
      <c r="A131" s="101" t="s">
        <v>295</v>
      </c>
      <c r="B131" s="102" t="s">
        <v>577</v>
      </c>
      <c r="C131" s="103">
        <v>45564</v>
      </c>
      <c r="D131" s="102" t="s">
        <v>16</v>
      </c>
      <c r="E131" s="102" t="s">
        <v>17</v>
      </c>
      <c r="F131" s="102">
        <v>2936</v>
      </c>
      <c r="G131" s="102">
        <v>439</v>
      </c>
      <c r="H131" s="102">
        <v>44</v>
      </c>
      <c r="I131" s="102">
        <v>38168</v>
      </c>
      <c r="J131" s="102">
        <v>37571</v>
      </c>
      <c r="K131" s="102">
        <v>22</v>
      </c>
      <c r="L131" s="102" t="s">
        <v>18</v>
      </c>
      <c r="M131" s="104" t="s">
        <v>38</v>
      </c>
    </row>
    <row r="132" spans="1:13" x14ac:dyDescent="0.3">
      <c r="A132" s="101" t="s">
        <v>297</v>
      </c>
      <c r="B132" s="102" t="s">
        <v>31</v>
      </c>
      <c r="C132" s="103">
        <v>45586</v>
      </c>
      <c r="D132" s="102" t="s">
        <v>16</v>
      </c>
      <c r="E132" s="102" t="s">
        <v>17</v>
      </c>
      <c r="F132" s="102">
        <v>4840</v>
      </c>
      <c r="G132" s="102">
        <v>658</v>
      </c>
      <c r="H132" s="102">
        <v>211</v>
      </c>
      <c r="I132" s="102">
        <v>43560</v>
      </c>
      <c r="J132" s="102">
        <v>43225</v>
      </c>
      <c r="K132" s="102">
        <v>57</v>
      </c>
      <c r="L132" s="102" t="s">
        <v>66</v>
      </c>
      <c r="M132" s="104" t="s">
        <v>25</v>
      </c>
    </row>
    <row r="133" spans="1:13" x14ac:dyDescent="0.3">
      <c r="A133" s="101" t="s">
        <v>298</v>
      </c>
      <c r="B133" s="102" t="s">
        <v>31</v>
      </c>
      <c r="C133" s="103">
        <v>45720</v>
      </c>
      <c r="D133" s="102" t="s">
        <v>33</v>
      </c>
      <c r="E133" s="102" t="s">
        <v>34</v>
      </c>
      <c r="F133" s="102">
        <v>1947</v>
      </c>
      <c r="G133" s="102">
        <v>842</v>
      </c>
      <c r="H133" s="102">
        <v>101</v>
      </c>
      <c r="I133" s="102">
        <v>21417</v>
      </c>
      <c r="J133" s="102">
        <v>20967</v>
      </c>
      <c r="K133" s="102">
        <v>186</v>
      </c>
      <c r="L133" s="102" t="s">
        <v>24</v>
      </c>
      <c r="M133" s="104" t="s">
        <v>25</v>
      </c>
    </row>
    <row r="134" spans="1:13" x14ac:dyDescent="0.3">
      <c r="A134" s="101" t="s">
        <v>299</v>
      </c>
      <c r="B134" s="102" t="s">
        <v>40</v>
      </c>
      <c r="C134" s="103">
        <v>45694</v>
      </c>
      <c r="D134" s="102" t="s">
        <v>49</v>
      </c>
      <c r="E134" s="102" t="s">
        <v>50</v>
      </c>
      <c r="F134" s="102">
        <v>2072</v>
      </c>
      <c r="G134" s="102">
        <v>532</v>
      </c>
      <c r="H134" s="102">
        <v>71</v>
      </c>
      <c r="I134" s="102">
        <v>37296</v>
      </c>
      <c r="J134" s="102">
        <v>36467</v>
      </c>
      <c r="K134" s="102">
        <v>25</v>
      </c>
      <c r="L134" s="102" t="s">
        <v>18</v>
      </c>
      <c r="M134" s="104" t="s">
        <v>38</v>
      </c>
    </row>
    <row r="135" spans="1:13" x14ac:dyDescent="0.3">
      <c r="A135" s="101" t="s">
        <v>301</v>
      </c>
      <c r="B135" s="102" t="s">
        <v>14</v>
      </c>
      <c r="C135" s="103">
        <v>45771</v>
      </c>
      <c r="D135" s="102" t="s">
        <v>16</v>
      </c>
      <c r="E135" s="102" t="s">
        <v>17</v>
      </c>
      <c r="F135" s="102">
        <v>3731</v>
      </c>
      <c r="G135" s="102">
        <v>115</v>
      </c>
      <c r="H135" s="102">
        <v>135</v>
      </c>
      <c r="I135" s="102">
        <v>55965</v>
      </c>
      <c r="J135" s="102">
        <v>55436</v>
      </c>
      <c r="K135" s="102">
        <v>103</v>
      </c>
      <c r="L135" s="102" t="s">
        <v>77</v>
      </c>
      <c r="M135" s="104" t="s">
        <v>55</v>
      </c>
    </row>
    <row r="136" spans="1:13" x14ac:dyDescent="0.3">
      <c r="A136" s="101" t="s">
        <v>303</v>
      </c>
      <c r="B136" s="102" t="s">
        <v>40</v>
      </c>
      <c r="C136" s="103">
        <v>45624</v>
      </c>
      <c r="D136" s="102" t="s">
        <v>22</v>
      </c>
      <c r="E136" s="102" t="s">
        <v>23</v>
      </c>
      <c r="F136" s="102">
        <v>4213</v>
      </c>
      <c r="G136" s="102">
        <v>253</v>
      </c>
      <c r="H136" s="102">
        <v>434</v>
      </c>
      <c r="I136" s="102">
        <v>75834</v>
      </c>
      <c r="J136" s="102">
        <v>75437</v>
      </c>
      <c r="K136" s="102">
        <v>272</v>
      </c>
      <c r="L136" s="102" t="s">
        <v>44</v>
      </c>
      <c r="M136" s="104" t="s">
        <v>38</v>
      </c>
    </row>
    <row r="137" spans="1:13" x14ac:dyDescent="0.3">
      <c r="A137" s="101" t="s">
        <v>305</v>
      </c>
      <c r="B137" s="102" t="s">
        <v>31</v>
      </c>
      <c r="C137" s="103">
        <v>45484</v>
      </c>
      <c r="D137" s="102" t="s">
        <v>22</v>
      </c>
      <c r="E137" s="102" t="s">
        <v>23</v>
      </c>
      <c r="F137" s="102">
        <v>3134</v>
      </c>
      <c r="G137" s="102">
        <v>888</v>
      </c>
      <c r="H137" s="102">
        <v>444</v>
      </c>
      <c r="I137" s="102">
        <v>21938</v>
      </c>
      <c r="J137" s="102">
        <v>21337</v>
      </c>
      <c r="K137" s="102">
        <v>130</v>
      </c>
      <c r="L137" s="102" t="s">
        <v>66</v>
      </c>
      <c r="M137" s="104" t="s">
        <v>55</v>
      </c>
    </row>
    <row r="138" spans="1:13" x14ac:dyDescent="0.3">
      <c r="A138" s="101" t="s">
        <v>307</v>
      </c>
      <c r="B138" s="102" t="s">
        <v>40</v>
      </c>
      <c r="C138" s="103">
        <v>45504</v>
      </c>
      <c r="D138" s="102" t="s">
        <v>69</v>
      </c>
      <c r="E138" s="102" t="s">
        <v>70</v>
      </c>
      <c r="F138" s="102">
        <v>3008</v>
      </c>
      <c r="G138" s="102">
        <v>94</v>
      </c>
      <c r="H138" s="102">
        <v>37</v>
      </c>
      <c r="I138" s="102">
        <v>15040</v>
      </c>
      <c r="J138" s="102">
        <v>14639</v>
      </c>
      <c r="K138" s="102">
        <v>277</v>
      </c>
      <c r="L138" s="102" t="s">
        <v>77</v>
      </c>
      <c r="M138" s="104" t="s">
        <v>19</v>
      </c>
    </row>
    <row r="139" spans="1:13" x14ac:dyDescent="0.3">
      <c r="A139" s="101" t="s">
        <v>308</v>
      </c>
      <c r="B139" s="102" t="s">
        <v>14</v>
      </c>
      <c r="C139" s="103">
        <v>45745</v>
      </c>
      <c r="D139" s="102" t="s">
        <v>49</v>
      </c>
      <c r="E139" s="102" t="s">
        <v>50</v>
      </c>
      <c r="F139" s="102">
        <v>305</v>
      </c>
      <c r="G139" s="102">
        <v>187</v>
      </c>
      <c r="H139" s="102">
        <v>243</v>
      </c>
      <c r="I139" s="102">
        <v>4575</v>
      </c>
      <c r="J139" s="102">
        <v>3704</v>
      </c>
      <c r="K139" s="102">
        <v>234</v>
      </c>
      <c r="L139" s="102" t="s">
        <v>285</v>
      </c>
      <c r="M139" s="104" t="s">
        <v>55</v>
      </c>
    </row>
    <row r="140" spans="1:13" x14ac:dyDescent="0.3">
      <c r="A140" s="101" t="s">
        <v>309</v>
      </c>
      <c r="B140" s="102" t="s">
        <v>577</v>
      </c>
      <c r="C140" s="103">
        <v>45594</v>
      </c>
      <c r="D140" s="102" t="s">
        <v>22</v>
      </c>
      <c r="E140" s="102" t="s">
        <v>23</v>
      </c>
      <c r="F140" s="102">
        <v>2746</v>
      </c>
      <c r="G140" s="102">
        <v>156</v>
      </c>
      <c r="H140" s="102">
        <v>203</v>
      </c>
      <c r="I140" s="102">
        <v>32952</v>
      </c>
      <c r="J140" s="102">
        <v>32147</v>
      </c>
      <c r="K140" s="102">
        <v>147</v>
      </c>
      <c r="L140" s="102" t="s">
        <v>146</v>
      </c>
      <c r="M140" s="104" t="s">
        <v>25</v>
      </c>
    </row>
    <row r="141" spans="1:13" x14ac:dyDescent="0.3">
      <c r="A141" s="101" t="s">
        <v>311</v>
      </c>
      <c r="B141" s="102" t="s">
        <v>40</v>
      </c>
      <c r="C141" s="103">
        <v>45488</v>
      </c>
      <c r="D141" s="102" t="s">
        <v>49</v>
      </c>
      <c r="E141" s="102" t="s">
        <v>50</v>
      </c>
      <c r="F141" s="102">
        <v>2291</v>
      </c>
      <c r="G141" s="102">
        <v>78</v>
      </c>
      <c r="H141" s="102">
        <v>485</v>
      </c>
      <c r="I141" s="102">
        <v>18328</v>
      </c>
      <c r="J141" s="102">
        <v>18101</v>
      </c>
      <c r="K141" s="102">
        <v>10</v>
      </c>
      <c r="L141" s="102" t="s">
        <v>77</v>
      </c>
      <c r="M141" s="104" t="s">
        <v>19</v>
      </c>
    </row>
    <row r="142" spans="1:13" x14ac:dyDescent="0.3">
      <c r="A142" s="101" t="s">
        <v>313</v>
      </c>
      <c r="B142" s="102" t="s">
        <v>14</v>
      </c>
      <c r="C142" s="103">
        <v>45535</v>
      </c>
      <c r="D142" s="102" t="s">
        <v>49</v>
      </c>
      <c r="E142" s="102" t="s">
        <v>50</v>
      </c>
      <c r="F142" s="102">
        <v>3170</v>
      </c>
      <c r="G142" s="102">
        <v>857</v>
      </c>
      <c r="H142" s="102">
        <v>379</v>
      </c>
      <c r="I142" s="102">
        <v>19020</v>
      </c>
      <c r="J142" s="102">
        <v>18559</v>
      </c>
      <c r="K142" s="102">
        <v>240</v>
      </c>
      <c r="L142" s="102" t="s">
        <v>18</v>
      </c>
      <c r="M142" s="104" t="s">
        <v>38</v>
      </c>
    </row>
    <row r="143" spans="1:13" x14ac:dyDescent="0.3">
      <c r="A143" s="101" t="s">
        <v>315</v>
      </c>
      <c r="B143" s="102" t="s">
        <v>577</v>
      </c>
      <c r="C143" s="103">
        <v>45741</v>
      </c>
      <c r="D143" s="102" t="s">
        <v>33</v>
      </c>
      <c r="E143" s="102" t="s">
        <v>34</v>
      </c>
      <c r="F143" s="102">
        <v>2070</v>
      </c>
      <c r="G143" s="102">
        <v>275</v>
      </c>
      <c r="H143" s="102">
        <v>386</v>
      </c>
      <c r="I143" s="102">
        <v>39330</v>
      </c>
      <c r="J143" s="102">
        <v>38627</v>
      </c>
      <c r="K143" s="102">
        <v>114</v>
      </c>
      <c r="L143" s="102" t="s">
        <v>18</v>
      </c>
      <c r="M143" s="104" t="s">
        <v>55</v>
      </c>
    </row>
    <row r="144" spans="1:13" x14ac:dyDescent="0.3">
      <c r="A144" s="101" t="s">
        <v>316</v>
      </c>
      <c r="B144" s="102" t="s">
        <v>577</v>
      </c>
      <c r="C144" s="103">
        <v>45567</v>
      </c>
      <c r="D144" s="102" t="s">
        <v>42</v>
      </c>
      <c r="E144" s="102" t="s">
        <v>43</v>
      </c>
      <c r="F144" s="102">
        <v>80</v>
      </c>
      <c r="G144" s="102">
        <v>362</v>
      </c>
      <c r="H144" s="102">
        <v>80</v>
      </c>
      <c r="I144" s="102">
        <v>1040</v>
      </c>
      <c r="J144" s="102">
        <v>349</v>
      </c>
      <c r="K144" s="102">
        <v>117</v>
      </c>
      <c r="L144" s="102" t="s">
        <v>146</v>
      </c>
      <c r="M144" s="104" t="s">
        <v>25</v>
      </c>
    </row>
    <row r="145" spans="1:13" x14ac:dyDescent="0.3">
      <c r="A145" s="101" t="s">
        <v>317</v>
      </c>
      <c r="B145" s="102" t="s">
        <v>577</v>
      </c>
      <c r="C145" s="103">
        <v>45593</v>
      </c>
      <c r="D145" s="102" t="s">
        <v>33</v>
      </c>
      <c r="E145" s="102" t="s">
        <v>34</v>
      </c>
      <c r="F145" s="102">
        <v>4929</v>
      </c>
      <c r="G145" s="102">
        <v>749</v>
      </c>
      <c r="H145" s="102">
        <v>452</v>
      </c>
      <c r="I145" s="102">
        <v>93651</v>
      </c>
      <c r="J145" s="102">
        <v>92810</v>
      </c>
      <c r="K145" s="102">
        <v>66</v>
      </c>
      <c r="L145" s="102" t="s">
        <v>214</v>
      </c>
      <c r="M145" s="104" t="s">
        <v>19</v>
      </c>
    </row>
    <row r="146" spans="1:13" x14ac:dyDescent="0.3">
      <c r="A146" s="101" t="s">
        <v>318</v>
      </c>
      <c r="B146" s="102" t="s">
        <v>31</v>
      </c>
      <c r="C146" s="103">
        <v>45516</v>
      </c>
      <c r="D146" s="102" t="s">
        <v>42</v>
      </c>
      <c r="E146" s="102" t="s">
        <v>43</v>
      </c>
      <c r="F146" s="102">
        <v>1878</v>
      </c>
      <c r="G146" s="102">
        <v>62</v>
      </c>
      <c r="H146" s="102">
        <v>179</v>
      </c>
      <c r="I146" s="102">
        <v>37560</v>
      </c>
      <c r="J146" s="102">
        <v>36874</v>
      </c>
      <c r="K146" s="102">
        <v>142</v>
      </c>
      <c r="L146" s="102" t="s">
        <v>178</v>
      </c>
      <c r="M146" s="104" t="s">
        <v>19</v>
      </c>
    </row>
    <row r="147" spans="1:13" x14ac:dyDescent="0.3">
      <c r="A147" s="101" t="s">
        <v>319</v>
      </c>
      <c r="B147" s="102" t="s">
        <v>577</v>
      </c>
      <c r="C147" s="103">
        <v>45448</v>
      </c>
      <c r="D147" s="102" t="s">
        <v>16</v>
      </c>
      <c r="E147" s="102" t="s">
        <v>17</v>
      </c>
      <c r="F147" s="102">
        <v>3065</v>
      </c>
      <c r="G147" s="102">
        <v>772</v>
      </c>
      <c r="H147" s="102">
        <v>142</v>
      </c>
      <c r="I147" s="102">
        <v>18390</v>
      </c>
      <c r="J147" s="102">
        <v>17875</v>
      </c>
      <c r="K147" s="102">
        <v>200</v>
      </c>
      <c r="L147" s="102" t="s">
        <v>58</v>
      </c>
      <c r="M147" s="104" t="s">
        <v>19</v>
      </c>
    </row>
    <row r="148" spans="1:13" x14ac:dyDescent="0.3">
      <c r="A148" s="101" t="s">
        <v>321</v>
      </c>
      <c r="B148" s="102" t="s">
        <v>31</v>
      </c>
      <c r="C148" s="103">
        <v>45586</v>
      </c>
      <c r="D148" s="102" t="s">
        <v>16</v>
      </c>
      <c r="E148" s="102" t="s">
        <v>17</v>
      </c>
      <c r="F148" s="102">
        <v>3256</v>
      </c>
      <c r="G148" s="102">
        <v>459</v>
      </c>
      <c r="H148" s="102">
        <v>266</v>
      </c>
      <c r="I148" s="102">
        <v>26048</v>
      </c>
      <c r="J148" s="102">
        <v>25529</v>
      </c>
      <c r="K148" s="102">
        <v>143</v>
      </c>
      <c r="L148" s="102" t="s">
        <v>82</v>
      </c>
      <c r="M148" s="104" t="s">
        <v>38</v>
      </c>
    </row>
    <row r="149" spans="1:13" x14ac:dyDescent="0.3">
      <c r="A149" s="101" t="s">
        <v>322</v>
      </c>
      <c r="B149" s="102" t="s">
        <v>31</v>
      </c>
      <c r="C149" s="103">
        <v>45762</v>
      </c>
      <c r="D149" s="102" t="s">
        <v>69</v>
      </c>
      <c r="E149" s="102" t="s">
        <v>70</v>
      </c>
      <c r="F149" s="102">
        <v>4133</v>
      </c>
      <c r="G149" s="102">
        <v>466</v>
      </c>
      <c r="H149" s="102">
        <v>327</v>
      </c>
      <c r="I149" s="102">
        <v>24798</v>
      </c>
      <c r="J149" s="102">
        <v>24620</v>
      </c>
      <c r="K149" s="102">
        <v>176</v>
      </c>
      <c r="L149" s="102" t="s">
        <v>58</v>
      </c>
      <c r="M149" s="104" t="s">
        <v>25</v>
      </c>
    </row>
    <row r="150" spans="1:13" x14ac:dyDescent="0.3">
      <c r="A150" s="101" t="s">
        <v>323</v>
      </c>
      <c r="B150" s="102" t="s">
        <v>14</v>
      </c>
      <c r="C150" s="103">
        <v>45459</v>
      </c>
      <c r="D150" s="102" t="s">
        <v>69</v>
      </c>
      <c r="E150" s="102" t="s">
        <v>70</v>
      </c>
      <c r="F150" s="102">
        <v>1702</v>
      </c>
      <c r="G150" s="102">
        <v>750</v>
      </c>
      <c r="H150" s="102">
        <v>179</v>
      </c>
      <c r="I150" s="102">
        <v>34040</v>
      </c>
      <c r="J150" s="102">
        <v>33174</v>
      </c>
      <c r="K150" s="102">
        <v>76</v>
      </c>
      <c r="L150" s="102" t="s">
        <v>44</v>
      </c>
      <c r="M150" s="104" t="s">
        <v>38</v>
      </c>
    </row>
    <row r="151" spans="1:13" x14ac:dyDescent="0.3">
      <c r="A151" s="101" t="s">
        <v>325</v>
      </c>
      <c r="B151" s="102" t="s">
        <v>577</v>
      </c>
      <c r="C151" s="103">
        <v>45526</v>
      </c>
      <c r="D151" s="102" t="s">
        <v>42</v>
      </c>
      <c r="E151" s="102" t="s">
        <v>43</v>
      </c>
      <c r="F151" s="102">
        <v>4295</v>
      </c>
      <c r="G151" s="102">
        <v>853</v>
      </c>
      <c r="H151" s="102">
        <v>325</v>
      </c>
      <c r="I151" s="102">
        <v>85900</v>
      </c>
      <c r="J151" s="102">
        <v>85788</v>
      </c>
      <c r="K151" s="102">
        <v>290</v>
      </c>
      <c r="L151" s="102" t="s">
        <v>209</v>
      </c>
      <c r="M151" s="104" t="s">
        <v>25</v>
      </c>
    </row>
    <row r="152" spans="1:13" x14ac:dyDescent="0.3">
      <c r="A152" s="101" t="s">
        <v>327</v>
      </c>
      <c r="B152" s="102" t="s">
        <v>31</v>
      </c>
      <c r="C152" s="103">
        <v>45499</v>
      </c>
      <c r="D152" s="102" t="s">
        <v>49</v>
      </c>
      <c r="E152" s="102" t="s">
        <v>50</v>
      </c>
      <c r="F152" s="102">
        <v>3559</v>
      </c>
      <c r="G152" s="102">
        <v>59</v>
      </c>
      <c r="H152" s="102">
        <v>289</v>
      </c>
      <c r="I152" s="102">
        <v>35590</v>
      </c>
      <c r="J152" s="102">
        <v>35105</v>
      </c>
      <c r="K152" s="102">
        <v>122</v>
      </c>
      <c r="L152" s="102" t="s">
        <v>214</v>
      </c>
      <c r="M152" s="104" t="s">
        <v>38</v>
      </c>
    </row>
    <row r="153" spans="1:13" x14ac:dyDescent="0.3">
      <c r="A153" s="101" t="s">
        <v>328</v>
      </c>
      <c r="B153" s="102" t="s">
        <v>40</v>
      </c>
      <c r="C153" s="103">
        <v>45769</v>
      </c>
      <c r="D153" s="102" t="s">
        <v>49</v>
      </c>
      <c r="E153" s="102" t="s">
        <v>50</v>
      </c>
      <c r="F153" s="102">
        <v>4804</v>
      </c>
      <c r="G153" s="102">
        <v>550</v>
      </c>
      <c r="H153" s="102">
        <v>270</v>
      </c>
      <c r="I153" s="102">
        <v>28824</v>
      </c>
      <c r="J153" s="102">
        <v>28370</v>
      </c>
      <c r="K153" s="102">
        <v>47</v>
      </c>
      <c r="L153" s="102" t="s">
        <v>82</v>
      </c>
      <c r="M153" s="104" t="s">
        <v>55</v>
      </c>
    </row>
    <row r="154" spans="1:13" x14ac:dyDescent="0.3">
      <c r="A154" s="101" t="s">
        <v>330</v>
      </c>
      <c r="B154" s="102" t="s">
        <v>14</v>
      </c>
      <c r="C154" s="103">
        <v>45658</v>
      </c>
      <c r="D154" s="102" t="s">
        <v>69</v>
      </c>
      <c r="E154" s="102" t="s">
        <v>70</v>
      </c>
      <c r="F154" s="102">
        <v>754</v>
      </c>
      <c r="G154" s="102">
        <v>197</v>
      </c>
      <c r="H154" s="102">
        <v>257</v>
      </c>
      <c r="I154" s="102">
        <v>6786</v>
      </c>
      <c r="J154" s="102">
        <v>6221</v>
      </c>
      <c r="K154" s="102">
        <v>212</v>
      </c>
      <c r="L154" s="102" t="s">
        <v>178</v>
      </c>
      <c r="M154" s="104" t="s">
        <v>38</v>
      </c>
    </row>
    <row r="155" spans="1:13" x14ac:dyDescent="0.3">
      <c r="A155" s="101" t="s">
        <v>332</v>
      </c>
      <c r="B155" s="102" t="s">
        <v>31</v>
      </c>
      <c r="C155" s="103">
        <v>45574</v>
      </c>
      <c r="D155" s="102" t="s">
        <v>42</v>
      </c>
      <c r="E155" s="102" t="s">
        <v>43</v>
      </c>
      <c r="F155" s="102">
        <v>985</v>
      </c>
      <c r="G155" s="102">
        <v>932</v>
      </c>
      <c r="H155" s="102">
        <v>287</v>
      </c>
      <c r="I155" s="102">
        <v>6895</v>
      </c>
      <c r="J155" s="102">
        <v>6757</v>
      </c>
      <c r="K155" s="102">
        <v>64</v>
      </c>
      <c r="L155" s="102" t="s">
        <v>66</v>
      </c>
      <c r="M155" s="104" t="s">
        <v>25</v>
      </c>
    </row>
    <row r="156" spans="1:13" x14ac:dyDescent="0.3">
      <c r="A156" s="101" t="s">
        <v>333</v>
      </c>
      <c r="B156" s="102" t="s">
        <v>577</v>
      </c>
      <c r="C156" s="103">
        <v>45647</v>
      </c>
      <c r="D156" s="102" t="s">
        <v>49</v>
      </c>
      <c r="E156" s="102" t="s">
        <v>50</v>
      </c>
      <c r="F156" s="102">
        <v>2283</v>
      </c>
      <c r="G156" s="102">
        <v>210</v>
      </c>
      <c r="H156" s="102">
        <v>130</v>
      </c>
      <c r="I156" s="102">
        <v>22830</v>
      </c>
      <c r="J156" s="102">
        <v>22617</v>
      </c>
      <c r="K156" s="102">
        <v>143</v>
      </c>
      <c r="L156" s="102" t="s">
        <v>146</v>
      </c>
      <c r="M156" s="104" t="s">
        <v>38</v>
      </c>
    </row>
    <row r="157" spans="1:13" x14ac:dyDescent="0.3">
      <c r="A157" s="101" t="s">
        <v>335</v>
      </c>
      <c r="B157" s="102" t="s">
        <v>40</v>
      </c>
      <c r="C157" s="103">
        <v>45587</v>
      </c>
      <c r="D157" s="102" t="s">
        <v>42</v>
      </c>
      <c r="E157" s="102" t="s">
        <v>43</v>
      </c>
      <c r="F157" s="102">
        <v>3352</v>
      </c>
      <c r="G157" s="102">
        <v>941</v>
      </c>
      <c r="H157" s="102">
        <v>482</v>
      </c>
      <c r="I157" s="102">
        <v>43576</v>
      </c>
      <c r="J157" s="102">
        <v>43338</v>
      </c>
      <c r="K157" s="102">
        <v>240</v>
      </c>
      <c r="L157" s="102" t="s">
        <v>44</v>
      </c>
      <c r="M157" s="104" t="s">
        <v>38</v>
      </c>
    </row>
    <row r="158" spans="1:13" x14ac:dyDescent="0.3">
      <c r="A158" s="101" t="s">
        <v>337</v>
      </c>
      <c r="B158" s="102" t="s">
        <v>577</v>
      </c>
      <c r="C158" s="103">
        <v>45496</v>
      </c>
      <c r="D158" s="102" t="s">
        <v>33</v>
      </c>
      <c r="E158" s="102" t="s">
        <v>34</v>
      </c>
      <c r="F158" s="102">
        <v>4775</v>
      </c>
      <c r="G158" s="102">
        <v>173</v>
      </c>
      <c r="H158" s="102">
        <v>206</v>
      </c>
      <c r="I158" s="102">
        <v>47750</v>
      </c>
      <c r="J158" s="102">
        <v>47544</v>
      </c>
      <c r="K158" s="102">
        <v>187</v>
      </c>
      <c r="L158" s="102" t="s">
        <v>87</v>
      </c>
      <c r="M158" s="104" t="s">
        <v>55</v>
      </c>
    </row>
    <row r="159" spans="1:13" x14ac:dyDescent="0.3">
      <c r="A159" s="101" t="s">
        <v>339</v>
      </c>
      <c r="B159" s="102" t="s">
        <v>31</v>
      </c>
      <c r="C159" s="103">
        <v>45515</v>
      </c>
      <c r="D159" s="102" t="s">
        <v>33</v>
      </c>
      <c r="E159" s="102" t="s">
        <v>34</v>
      </c>
      <c r="F159" s="102">
        <v>1762</v>
      </c>
      <c r="G159" s="102">
        <v>405</v>
      </c>
      <c r="H159" s="102">
        <v>423</v>
      </c>
      <c r="I159" s="102">
        <v>22906</v>
      </c>
      <c r="J159" s="102">
        <v>21925</v>
      </c>
      <c r="K159" s="102">
        <v>25</v>
      </c>
      <c r="L159" s="102" t="s">
        <v>77</v>
      </c>
      <c r="M159" s="104" t="s">
        <v>25</v>
      </c>
    </row>
    <row r="160" spans="1:13" x14ac:dyDescent="0.3">
      <c r="A160" s="101" t="s">
        <v>341</v>
      </c>
      <c r="B160" s="102" t="s">
        <v>40</v>
      </c>
      <c r="C160" s="103">
        <v>45621</v>
      </c>
      <c r="D160" s="102" t="s">
        <v>33</v>
      </c>
      <c r="E160" s="102" t="s">
        <v>34</v>
      </c>
      <c r="F160" s="102">
        <v>2120</v>
      </c>
      <c r="G160" s="102">
        <v>158</v>
      </c>
      <c r="H160" s="102">
        <v>488</v>
      </c>
      <c r="I160" s="102">
        <v>12720</v>
      </c>
      <c r="J160" s="102">
        <v>12085</v>
      </c>
      <c r="K160" s="102">
        <v>17</v>
      </c>
      <c r="L160" s="102" t="s">
        <v>87</v>
      </c>
      <c r="M160" s="104" t="s">
        <v>25</v>
      </c>
    </row>
    <row r="161" spans="1:13" x14ac:dyDescent="0.3">
      <c r="A161" s="101" t="s">
        <v>342</v>
      </c>
      <c r="B161" s="102" t="s">
        <v>14</v>
      </c>
      <c r="C161" s="103">
        <v>45528</v>
      </c>
      <c r="D161" s="102" t="s">
        <v>69</v>
      </c>
      <c r="E161" s="102" t="s">
        <v>70</v>
      </c>
      <c r="F161" s="102">
        <v>1082</v>
      </c>
      <c r="G161" s="102">
        <v>209</v>
      </c>
      <c r="H161" s="102">
        <v>484</v>
      </c>
      <c r="I161" s="102">
        <v>19476</v>
      </c>
      <c r="J161" s="102">
        <v>18654</v>
      </c>
      <c r="K161" s="102">
        <v>20</v>
      </c>
      <c r="L161" s="102" t="s">
        <v>58</v>
      </c>
      <c r="M161" s="104" t="s">
        <v>55</v>
      </c>
    </row>
    <row r="162" spans="1:13" x14ac:dyDescent="0.3">
      <c r="A162" s="101" t="s">
        <v>344</v>
      </c>
      <c r="B162" s="102" t="s">
        <v>14</v>
      </c>
      <c r="C162" s="103">
        <v>45707</v>
      </c>
      <c r="D162" s="102" t="s">
        <v>22</v>
      </c>
      <c r="E162" s="102" t="s">
        <v>23</v>
      </c>
      <c r="F162" s="102">
        <v>4671</v>
      </c>
      <c r="G162" s="102">
        <v>876</v>
      </c>
      <c r="H162" s="102">
        <v>366</v>
      </c>
      <c r="I162" s="102">
        <v>51381</v>
      </c>
      <c r="J162" s="102">
        <v>50565</v>
      </c>
      <c r="K162" s="102">
        <v>245</v>
      </c>
      <c r="L162" s="102" t="s">
        <v>18</v>
      </c>
      <c r="M162" s="104" t="s">
        <v>25</v>
      </c>
    </row>
    <row r="163" spans="1:13" x14ac:dyDescent="0.3">
      <c r="A163" s="101" t="s">
        <v>346</v>
      </c>
      <c r="B163" s="102" t="s">
        <v>40</v>
      </c>
      <c r="C163" s="103">
        <v>45748</v>
      </c>
      <c r="D163" s="102" t="s">
        <v>33</v>
      </c>
      <c r="E163" s="102" t="s">
        <v>34</v>
      </c>
      <c r="F163" s="102">
        <v>3430</v>
      </c>
      <c r="G163" s="102">
        <v>566</v>
      </c>
      <c r="H163" s="102">
        <v>164</v>
      </c>
      <c r="I163" s="102">
        <v>48020</v>
      </c>
      <c r="J163" s="102">
        <v>47305</v>
      </c>
      <c r="K163" s="102">
        <v>120</v>
      </c>
      <c r="L163" s="102" t="s">
        <v>44</v>
      </c>
      <c r="M163" s="104" t="s">
        <v>25</v>
      </c>
    </row>
    <row r="164" spans="1:13" x14ac:dyDescent="0.3">
      <c r="A164" s="101" t="s">
        <v>348</v>
      </c>
      <c r="B164" s="102" t="s">
        <v>31</v>
      </c>
      <c r="C164" s="103">
        <v>45755</v>
      </c>
      <c r="D164" s="102" t="s">
        <v>49</v>
      </c>
      <c r="E164" s="102" t="s">
        <v>50</v>
      </c>
      <c r="F164" s="102">
        <v>4501</v>
      </c>
      <c r="G164" s="102">
        <v>375</v>
      </c>
      <c r="H164" s="102">
        <v>323</v>
      </c>
      <c r="I164" s="102">
        <v>22505</v>
      </c>
      <c r="J164" s="102">
        <v>21836</v>
      </c>
      <c r="K164" s="102">
        <v>132</v>
      </c>
      <c r="L164" s="102" t="s">
        <v>24</v>
      </c>
      <c r="M164" s="104" t="s">
        <v>55</v>
      </c>
    </row>
    <row r="165" spans="1:13" x14ac:dyDescent="0.3">
      <c r="A165" s="101" t="s">
        <v>350</v>
      </c>
      <c r="B165" s="102" t="s">
        <v>577</v>
      </c>
      <c r="C165" s="103">
        <v>45715</v>
      </c>
      <c r="D165" s="102" t="s">
        <v>22</v>
      </c>
      <c r="E165" s="102" t="s">
        <v>23</v>
      </c>
      <c r="F165" s="102">
        <v>4934</v>
      </c>
      <c r="G165" s="102">
        <v>971</v>
      </c>
      <c r="H165" s="102">
        <v>156</v>
      </c>
      <c r="I165" s="102">
        <v>39472</v>
      </c>
      <c r="J165" s="102">
        <v>39025</v>
      </c>
      <c r="K165" s="102">
        <v>169</v>
      </c>
      <c r="L165" s="102" t="s">
        <v>264</v>
      </c>
      <c r="M165" s="104" t="s">
        <v>25</v>
      </c>
    </row>
    <row r="166" spans="1:13" x14ac:dyDescent="0.3">
      <c r="A166" s="101" t="s">
        <v>351</v>
      </c>
      <c r="B166" s="102" t="s">
        <v>14</v>
      </c>
      <c r="C166" s="103">
        <v>45637</v>
      </c>
      <c r="D166" s="102" t="s">
        <v>22</v>
      </c>
      <c r="E166" s="102" t="s">
        <v>23</v>
      </c>
      <c r="F166" s="102">
        <v>3239</v>
      </c>
      <c r="G166" s="102">
        <v>43</v>
      </c>
      <c r="H166" s="102">
        <v>211</v>
      </c>
      <c r="I166" s="102">
        <v>22673</v>
      </c>
      <c r="J166" s="102">
        <v>22171</v>
      </c>
      <c r="K166" s="102">
        <v>230</v>
      </c>
      <c r="L166" s="102" t="s">
        <v>214</v>
      </c>
      <c r="M166" s="104" t="s">
        <v>25</v>
      </c>
    </row>
    <row r="167" spans="1:13" x14ac:dyDescent="0.3">
      <c r="A167" s="101" t="s">
        <v>352</v>
      </c>
      <c r="B167" s="102" t="s">
        <v>14</v>
      </c>
      <c r="C167" s="103">
        <v>45704</v>
      </c>
      <c r="D167" s="102" t="s">
        <v>16</v>
      </c>
      <c r="E167" s="102" t="s">
        <v>17</v>
      </c>
      <c r="F167" s="102">
        <v>1076</v>
      </c>
      <c r="G167" s="102">
        <v>313</v>
      </c>
      <c r="H167" s="102">
        <v>306</v>
      </c>
      <c r="I167" s="102">
        <v>11836</v>
      </c>
      <c r="J167" s="102">
        <v>11596</v>
      </c>
      <c r="K167" s="102">
        <v>104</v>
      </c>
      <c r="L167" s="102" t="s">
        <v>77</v>
      </c>
      <c r="M167" s="104" t="s">
        <v>25</v>
      </c>
    </row>
    <row r="168" spans="1:13" x14ac:dyDescent="0.3">
      <c r="A168" s="101" t="s">
        <v>353</v>
      </c>
      <c r="B168" s="102" t="s">
        <v>31</v>
      </c>
      <c r="C168" s="103">
        <v>45624</v>
      </c>
      <c r="D168" s="102" t="s">
        <v>22</v>
      </c>
      <c r="E168" s="102" t="s">
        <v>23</v>
      </c>
      <c r="F168" s="102">
        <v>4771</v>
      </c>
      <c r="G168" s="102">
        <v>818</v>
      </c>
      <c r="H168" s="102">
        <v>56</v>
      </c>
      <c r="I168" s="102">
        <v>57252</v>
      </c>
      <c r="J168" s="102">
        <v>56378</v>
      </c>
      <c r="K168" s="102">
        <v>150</v>
      </c>
      <c r="L168" s="102" t="s">
        <v>18</v>
      </c>
      <c r="M168" s="104" t="s">
        <v>25</v>
      </c>
    </row>
    <row r="169" spans="1:13" x14ac:dyDescent="0.3">
      <c r="A169" s="101" t="s">
        <v>354</v>
      </c>
      <c r="B169" s="102" t="s">
        <v>40</v>
      </c>
      <c r="C169" s="103">
        <v>45608</v>
      </c>
      <c r="D169" s="102" t="s">
        <v>22</v>
      </c>
      <c r="E169" s="102" t="s">
        <v>23</v>
      </c>
      <c r="F169" s="102">
        <v>2418</v>
      </c>
      <c r="G169" s="102">
        <v>754</v>
      </c>
      <c r="H169" s="102">
        <v>54</v>
      </c>
      <c r="I169" s="102">
        <v>43524</v>
      </c>
      <c r="J169" s="102">
        <v>42743</v>
      </c>
      <c r="K169" s="102">
        <v>182</v>
      </c>
      <c r="L169" s="102" t="s">
        <v>285</v>
      </c>
      <c r="M169" s="104" t="s">
        <v>55</v>
      </c>
    </row>
    <row r="170" spans="1:13" x14ac:dyDescent="0.3">
      <c r="A170" s="101" t="s">
        <v>356</v>
      </c>
      <c r="B170" s="102" t="s">
        <v>577</v>
      </c>
      <c r="C170" s="103">
        <v>45629</v>
      </c>
      <c r="D170" s="102" t="s">
        <v>69</v>
      </c>
      <c r="E170" s="102" t="s">
        <v>70</v>
      </c>
      <c r="F170" s="102">
        <v>3809</v>
      </c>
      <c r="G170" s="102">
        <v>273</v>
      </c>
      <c r="H170" s="102">
        <v>200</v>
      </c>
      <c r="I170" s="102">
        <v>34281</v>
      </c>
      <c r="J170" s="102">
        <v>33534</v>
      </c>
      <c r="K170" s="102">
        <v>83</v>
      </c>
      <c r="L170" s="102" t="s">
        <v>44</v>
      </c>
      <c r="M170" s="104" t="s">
        <v>38</v>
      </c>
    </row>
    <row r="171" spans="1:13" x14ac:dyDescent="0.3">
      <c r="A171" s="101" t="s">
        <v>358</v>
      </c>
      <c r="B171" s="102" t="s">
        <v>14</v>
      </c>
      <c r="C171" s="103">
        <v>45775</v>
      </c>
      <c r="D171" s="102" t="s">
        <v>22</v>
      </c>
      <c r="E171" s="102" t="s">
        <v>23</v>
      </c>
      <c r="F171" s="102">
        <v>3577</v>
      </c>
      <c r="G171" s="102">
        <v>596</v>
      </c>
      <c r="H171" s="102">
        <v>493</v>
      </c>
      <c r="I171" s="102">
        <v>67963</v>
      </c>
      <c r="J171" s="102">
        <v>67839</v>
      </c>
      <c r="K171" s="102">
        <v>53</v>
      </c>
      <c r="L171" s="102" t="s">
        <v>87</v>
      </c>
      <c r="M171" s="104" t="s">
        <v>55</v>
      </c>
    </row>
    <row r="172" spans="1:13" x14ac:dyDescent="0.3">
      <c r="A172" s="101" t="s">
        <v>360</v>
      </c>
      <c r="B172" s="102" t="s">
        <v>577</v>
      </c>
      <c r="C172" s="103">
        <v>45657</v>
      </c>
      <c r="D172" s="102" t="s">
        <v>69</v>
      </c>
      <c r="E172" s="102" t="s">
        <v>70</v>
      </c>
      <c r="F172" s="102">
        <v>1018</v>
      </c>
      <c r="G172" s="102">
        <v>447</v>
      </c>
      <c r="H172" s="102">
        <v>332</v>
      </c>
      <c r="I172" s="102">
        <v>18324</v>
      </c>
      <c r="J172" s="102">
        <v>18164</v>
      </c>
      <c r="K172" s="102">
        <v>38</v>
      </c>
      <c r="L172" s="102" t="s">
        <v>66</v>
      </c>
      <c r="M172" s="104" t="s">
        <v>55</v>
      </c>
    </row>
    <row r="173" spans="1:13" x14ac:dyDescent="0.3">
      <c r="A173" s="101" t="s">
        <v>362</v>
      </c>
      <c r="B173" s="102" t="s">
        <v>40</v>
      </c>
      <c r="C173" s="103">
        <v>45518</v>
      </c>
      <c r="D173" s="102" t="s">
        <v>42</v>
      </c>
      <c r="E173" s="102" t="s">
        <v>43</v>
      </c>
      <c r="F173" s="102">
        <v>3073</v>
      </c>
      <c r="G173" s="102">
        <v>553</v>
      </c>
      <c r="H173" s="102">
        <v>174</v>
      </c>
      <c r="I173" s="102">
        <v>52241</v>
      </c>
      <c r="J173" s="102">
        <v>51605</v>
      </c>
      <c r="K173" s="102">
        <v>246</v>
      </c>
      <c r="L173" s="102" t="s">
        <v>146</v>
      </c>
      <c r="M173" s="104" t="s">
        <v>55</v>
      </c>
    </row>
    <row r="174" spans="1:13" x14ac:dyDescent="0.3">
      <c r="A174" s="101" t="s">
        <v>364</v>
      </c>
      <c r="B174" s="102" t="s">
        <v>14</v>
      </c>
      <c r="C174" s="103">
        <v>45631</v>
      </c>
      <c r="D174" s="102" t="s">
        <v>69</v>
      </c>
      <c r="E174" s="102" t="s">
        <v>70</v>
      </c>
      <c r="F174" s="102">
        <v>1330</v>
      </c>
      <c r="G174" s="102">
        <v>925</v>
      </c>
      <c r="H174" s="102">
        <v>35</v>
      </c>
      <c r="I174" s="102">
        <v>15960</v>
      </c>
      <c r="J174" s="102">
        <v>15379</v>
      </c>
      <c r="K174" s="102">
        <v>229</v>
      </c>
      <c r="L174" s="102" t="s">
        <v>178</v>
      </c>
      <c r="M174" s="104" t="s">
        <v>55</v>
      </c>
    </row>
    <row r="175" spans="1:13" x14ac:dyDescent="0.3">
      <c r="A175" s="101" t="s">
        <v>366</v>
      </c>
      <c r="B175" s="102" t="s">
        <v>40</v>
      </c>
      <c r="C175" s="103">
        <v>45465</v>
      </c>
      <c r="D175" s="102" t="s">
        <v>22</v>
      </c>
      <c r="E175" s="102" t="s">
        <v>23</v>
      </c>
      <c r="F175" s="102">
        <v>3828</v>
      </c>
      <c r="G175" s="102">
        <v>148</v>
      </c>
      <c r="H175" s="102">
        <v>253</v>
      </c>
      <c r="I175" s="102">
        <v>30624</v>
      </c>
      <c r="J175" s="102">
        <v>30229</v>
      </c>
      <c r="K175" s="102">
        <v>235</v>
      </c>
      <c r="L175" s="102" t="s">
        <v>82</v>
      </c>
      <c r="M175" s="104" t="s">
        <v>55</v>
      </c>
    </row>
    <row r="176" spans="1:13" x14ac:dyDescent="0.3">
      <c r="A176" s="101" t="s">
        <v>367</v>
      </c>
      <c r="B176" s="102" t="s">
        <v>31</v>
      </c>
      <c r="C176" s="103">
        <v>45674</v>
      </c>
      <c r="D176" s="102" t="s">
        <v>16</v>
      </c>
      <c r="E176" s="102" t="s">
        <v>17</v>
      </c>
      <c r="F176" s="102">
        <v>142</v>
      </c>
      <c r="G176" s="102">
        <v>784</v>
      </c>
      <c r="H176" s="102">
        <v>183</v>
      </c>
      <c r="I176" s="102">
        <v>1704</v>
      </c>
      <c r="J176" s="102">
        <v>995</v>
      </c>
      <c r="K176" s="102">
        <v>154</v>
      </c>
      <c r="L176" s="102" t="s">
        <v>18</v>
      </c>
      <c r="M176" s="104" t="s">
        <v>19</v>
      </c>
    </row>
    <row r="177" spans="1:13" x14ac:dyDescent="0.3">
      <c r="A177" s="101" t="s">
        <v>369</v>
      </c>
      <c r="B177" s="102" t="s">
        <v>40</v>
      </c>
      <c r="C177" s="103">
        <v>45463</v>
      </c>
      <c r="D177" s="102" t="s">
        <v>69</v>
      </c>
      <c r="E177" s="102" t="s">
        <v>70</v>
      </c>
      <c r="F177" s="102">
        <v>3798</v>
      </c>
      <c r="G177" s="102">
        <v>31</v>
      </c>
      <c r="H177" s="102">
        <v>279</v>
      </c>
      <c r="I177" s="102">
        <v>75960</v>
      </c>
      <c r="J177" s="102">
        <v>75813</v>
      </c>
      <c r="K177" s="102">
        <v>266</v>
      </c>
      <c r="L177" s="102" t="s">
        <v>24</v>
      </c>
      <c r="M177" s="104" t="s">
        <v>25</v>
      </c>
    </row>
    <row r="178" spans="1:13" x14ac:dyDescent="0.3">
      <c r="A178" s="101" t="s">
        <v>371</v>
      </c>
      <c r="B178" s="102" t="s">
        <v>31</v>
      </c>
      <c r="C178" s="103">
        <v>45483</v>
      </c>
      <c r="D178" s="102" t="s">
        <v>42</v>
      </c>
      <c r="E178" s="102" t="s">
        <v>43</v>
      </c>
      <c r="F178" s="102">
        <v>3099</v>
      </c>
      <c r="G178" s="102">
        <v>694</v>
      </c>
      <c r="H178" s="102">
        <v>171</v>
      </c>
      <c r="I178" s="102">
        <v>43386</v>
      </c>
      <c r="J178" s="102">
        <v>42921</v>
      </c>
      <c r="K178" s="102">
        <v>52</v>
      </c>
      <c r="L178" s="102" t="s">
        <v>77</v>
      </c>
      <c r="M178" s="104" t="s">
        <v>55</v>
      </c>
    </row>
    <row r="179" spans="1:13" x14ac:dyDescent="0.3">
      <c r="A179" s="101" t="s">
        <v>373</v>
      </c>
      <c r="B179" s="102" t="s">
        <v>31</v>
      </c>
      <c r="C179" s="103">
        <v>45603</v>
      </c>
      <c r="D179" s="102" t="s">
        <v>69</v>
      </c>
      <c r="E179" s="102" t="s">
        <v>70</v>
      </c>
      <c r="F179" s="102">
        <v>129</v>
      </c>
      <c r="G179" s="102">
        <v>643</v>
      </c>
      <c r="H179" s="102">
        <v>136</v>
      </c>
      <c r="I179" s="102">
        <v>1290</v>
      </c>
      <c r="J179" s="102">
        <v>839</v>
      </c>
      <c r="K179" s="102">
        <v>238</v>
      </c>
      <c r="L179" s="102" t="s">
        <v>162</v>
      </c>
      <c r="M179" s="104" t="s">
        <v>55</v>
      </c>
    </row>
    <row r="180" spans="1:13" x14ac:dyDescent="0.3">
      <c r="A180" s="101" t="s">
        <v>374</v>
      </c>
      <c r="B180" s="102" t="s">
        <v>40</v>
      </c>
      <c r="C180" s="103">
        <v>45488</v>
      </c>
      <c r="D180" s="102" t="s">
        <v>42</v>
      </c>
      <c r="E180" s="102" t="s">
        <v>43</v>
      </c>
      <c r="F180" s="102">
        <v>3796</v>
      </c>
      <c r="G180" s="102">
        <v>667</v>
      </c>
      <c r="H180" s="102">
        <v>395</v>
      </c>
      <c r="I180" s="102">
        <v>64532</v>
      </c>
      <c r="J180" s="102">
        <v>63550</v>
      </c>
      <c r="K180" s="102">
        <v>292</v>
      </c>
      <c r="L180" s="102" t="s">
        <v>58</v>
      </c>
      <c r="M180" s="104" t="s">
        <v>19</v>
      </c>
    </row>
    <row r="181" spans="1:13" x14ac:dyDescent="0.3">
      <c r="A181" s="101" t="s">
        <v>375</v>
      </c>
      <c r="B181" s="102" t="s">
        <v>577</v>
      </c>
      <c r="C181" s="103">
        <v>45629</v>
      </c>
      <c r="D181" s="102" t="s">
        <v>22</v>
      </c>
      <c r="E181" s="102" t="s">
        <v>23</v>
      </c>
      <c r="F181" s="102">
        <v>3711</v>
      </c>
      <c r="G181" s="102">
        <v>352</v>
      </c>
      <c r="H181" s="102">
        <v>290</v>
      </c>
      <c r="I181" s="102">
        <v>48243</v>
      </c>
      <c r="J181" s="102">
        <v>47579</v>
      </c>
      <c r="K181" s="102">
        <v>11</v>
      </c>
      <c r="L181" s="102" t="s">
        <v>162</v>
      </c>
      <c r="M181" s="104" t="s">
        <v>55</v>
      </c>
    </row>
    <row r="182" spans="1:13" x14ac:dyDescent="0.3">
      <c r="A182" s="101" t="s">
        <v>376</v>
      </c>
      <c r="B182" s="102" t="s">
        <v>577</v>
      </c>
      <c r="C182" s="103">
        <v>45737</v>
      </c>
      <c r="D182" s="102" t="s">
        <v>49</v>
      </c>
      <c r="E182" s="102" t="s">
        <v>50</v>
      </c>
      <c r="F182" s="102">
        <v>606</v>
      </c>
      <c r="G182" s="102">
        <v>789</v>
      </c>
      <c r="H182" s="102">
        <v>470</v>
      </c>
      <c r="I182" s="102">
        <v>7878</v>
      </c>
      <c r="J182" s="102">
        <v>7389</v>
      </c>
      <c r="K182" s="102">
        <v>239</v>
      </c>
      <c r="L182" s="102" t="s">
        <v>18</v>
      </c>
      <c r="M182" s="104" t="s">
        <v>25</v>
      </c>
    </row>
    <row r="183" spans="1:13" x14ac:dyDescent="0.3">
      <c r="A183" s="101" t="s">
        <v>378</v>
      </c>
      <c r="B183" s="102" t="s">
        <v>40</v>
      </c>
      <c r="C183" s="103">
        <v>45504</v>
      </c>
      <c r="D183" s="102" t="s">
        <v>49</v>
      </c>
      <c r="E183" s="102" t="s">
        <v>50</v>
      </c>
      <c r="F183" s="102">
        <v>4689</v>
      </c>
      <c r="G183" s="102">
        <v>134</v>
      </c>
      <c r="H183" s="102">
        <v>403</v>
      </c>
      <c r="I183" s="102">
        <v>51579</v>
      </c>
      <c r="J183" s="102">
        <v>50924</v>
      </c>
      <c r="K183" s="102">
        <v>173</v>
      </c>
      <c r="L183" s="102" t="s">
        <v>77</v>
      </c>
      <c r="M183" s="104" t="s">
        <v>19</v>
      </c>
    </row>
    <row r="184" spans="1:13" x14ac:dyDescent="0.3">
      <c r="A184" s="101" t="s">
        <v>379</v>
      </c>
      <c r="B184" s="102" t="s">
        <v>31</v>
      </c>
      <c r="C184" s="103">
        <v>45643</v>
      </c>
      <c r="D184" s="102" t="s">
        <v>33</v>
      </c>
      <c r="E184" s="102" t="s">
        <v>34</v>
      </c>
      <c r="F184" s="102">
        <v>360</v>
      </c>
      <c r="G184" s="102">
        <v>590</v>
      </c>
      <c r="H184" s="102">
        <v>393</v>
      </c>
      <c r="I184" s="102">
        <v>4680</v>
      </c>
      <c r="J184" s="102">
        <v>4322</v>
      </c>
      <c r="K184" s="102">
        <v>208</v>
      </c>
      <c r="L184" s="102" t="s">
        <v>162</v>
      </c>
      <c r="M184" s="104" t="s">
        <v>25</v>
      </c>
    </row>
    <row r="185" spans="1:13" x14ac:dyDescent="0.3">
      <c r="A185" s="101" t="s">
        <v>381</v>
      </c>
      <c r="B185" s="102" t="s">
        <v>14</v>
      </c>
      <c r="C185" s="103">
        <v>45501</v>
      </c>
      <c r="D185" s="102" t="s">
        <v>49</v>
      </c>
      <c r="E185" s="102" t="s">
        <v>50</v>
      </c>
      <c r="F185" s="102">
        <v>3215</v>
      </c>
      <c r="G185" s="102">
        <v>960</v>
      </c>
      <c r="H185" s="102">
        <v>202</v>
      </c>
      <c r="I185" s="102">
        <v>32150</v>
      </c>
      <c r="J185" s="102">
        <v>31404</v>
      </c>
      <c r="K185" s="102">
        <v>251</v>
      </c>
      <c r="L185" s="102" t="s">
        <v>58</v>
      </c>
      <c r="M185" s="104" t="s">
        <v>38</v>
      </c>
    </row>
    <row r="186" spans="1:13" x14ac:dyDescent="0.3">
      <c r="A186" s="101" t="s">
        <v>383</v>
      </c>
      <c r="B186" s="102" t="s">
        <v>31</v>
      </c>
      <c r="C186" s="103">
        <v>45668</v>
      </c>
      <c r="D186" s="102" t="s">
        <v>42</v>
      </c>
      <c r="E186" s="102" t="s">
        <v>43</v>
      </c>
      <c r="F186" s="102">
        <v>4523</v>
      </c>
      <c r="G186" s="102">
        <v>61</v>
      </c>
      <c r="H186" s="102">
        <v>157</v>
      </c>
      <c r="I186" s="102">
        <v>49753</v>
      </c>
      <c r="J186" s="102">
        <v>49329</v>
      </c>
      <c r="K186" s="102">
        <v>71</v>
      </c>
      <c r="L186" s="102" t="s">
        <v>102</v>
      </c>
      <c r="M186" s="104" t="s">
        <v>55</v>
      </c>
    </row>
    <row r="187" spans="1:13" x14ac:dyDescent="0.3">
      <c r="A187" s="101" t="s">
        <v>385</v>
      </c>
      <c r="B187" s="102" t="s">
        <v>40</v>
      </c>
      <c r="C187" s="103">
        <v>45528</v>
      </c>
      <c r="D187" s="102" t="s">
        <v>42</v>
      </c>
      <c r="E187" s="102" t="s">
        <v>43</v>
      </c>
      <c r="F187" s="102">
        <v>4292</v>
      </c>
      <c r="G187" s="102">
        <v>51</v>
      </c>
      <c r="H187" s="102">
        <v>392</v>
      </c>
      <c r="I187" s="102">
        <v>55796</v>
      </c>
      <c r="J187" s="102">
        <v>54826</v>
      </c>
      <c r="K187" s="102">
        <v>264</v>
      </c>
      <c r="L187" s="102" t="s">
        <v>214</v>
      </c>
      <c r="M187" s="104" t="s">
        <v>19</v>
      </c>
    </row>
    <row r="188" spans="1:13" x14ac:dyDescent="0.3">
      <c r="A188" s="101" t="s">
        <v>386</v>
      </c>
      <c r="B188" s="102" t="s">
        <v>14</v>
      </c>
      <c r="C188" s="103">
        <v>45648</v>
      </c>
      <c r="D188" s="102" t="s">
        <v>16</v>
      </c>
      <c r="E188" s="102" t="s">
        <v>17</v>
      </c>
      <c r="F188" s="102">
        <v>1644</v>
      </c>
      <c r="G188" s="102">
        <v>546</v>
      </c>
      <c r="H188" s="102">
        <v>150</v>
      </c>
      <c r="I188" s="102">
        <v>27948</v>
      </c>
      <c r="J188" s="102">
        <v>27184</v>
      </c>
      <c r="K188" s="102">
        <v>300</v>
      </c>
      <c r="L188" s="102" t="s">
        <v>102</v>
      </c>
      <c r="M188" s="104" t="s">
        <v>19</v>
      </c>
    </row>
    <row r="189" spans="1:13" x14ac:dyDescent="0.3">
      <c r="A189" s="101" t="s">
        <v>388</v>
      </c>
      <c r="B189" s="102" t="s">
        <v>577</v>
      </c>
      <c r="C189" s="103">
        <v>45449</v>
      </c>
      <c r="D189" s="102" t="s">
        <v>16</v>
      </c>
      <c r="E189" s="102" t="s">
        <v>17</v>
      </c>
      <c r="F189" s="102">
        <v>2728</v>
      </c>
      <c r="G189" s="102">
        <v>533</v>
      </c>
      <c r="H189" s="102">
        <v>215</v>
      </c>
      <c r="I189" s="102">
        <v>40920</v>
      </c>
      <c r="J189" s="102">
        <v>40816</v>
      </c>
      <c r="K189" s="102">
        <v>137</v>
      </c>
      <c r="L189" s="102" t="s">
        <v>18</v>
      </c>
      <c r="M189" s="104" t="s">
        <v>25</v>
      </c>
    </row>
    <row r="190" spans="1:13" x14ac:dyDescent="0.3">
      <c r="A190" s="101" t="s">
        <v>389</v>
      </c>
      <c r="B190" s="102" t="s">
        <v>40</v>
      </c>
      <c r="C190" s="103">
        <v>45740</v>
      </c>
      <c r="D190" s="102" t="s">
        <v>16</v>
      </c>
      <c r="E190" s="102" t="s">
        <v>17</v>
      </c>
      <c r="F190" s="102">
        <v>3360</v>
      </c>
      <c r="G190" s="102">
        <v>525</v>
      </c>
      <c r="H190" s="102">
        <v>500</v>
      </c>
      <c r="I190" s="102">
        <v>60480</v>
      </c>
      <c r="J190" s="102">
        <v>59610</v>
      </c>
      <c r="K190" s="102">
        <v>192</v>
      </c>
      <c r="L190" s="102" t="s">
        <v>82</v>
      </c>
      <c r="M190" s="104" t="s">
        <v>19</v>
      </c>
    </row>
    <row r="191" spans="1:13" x14ac:dyDescent="0.3">
      <c r="A191" s="101" t="s">
        <v>390</v>
      </c>
      <c r="B191" s="102" t="s">
        <v>577</v>
      </c>
      <c r="C191" s="103">
        <v>45569</v>
      </c>
      <c r="D191" s="102" t="s">
        <v>22</v>
      </c>
      <c r="E191" s="102" t="s">
        <v>23</v>
      </c>
      <c r="F191" s="102">
        <v>1963</v>
      </c>
      <c r="G191" s="102">
        <v>213</v>
      </c>
      <c r="H191" s="102">
        <v>19</v>
      </c>
      <c r="I191" s="102">
        <v>39260</v>
      </c>
      <c r="J191" s="102">
        <v>38771</v>
      </c>
      <c r="K191" s="102">
        <v>145</v>
      </c>
      <c r="L191" s="102" t="s">
        <v>58</v>
      </c>
      <c r="M191" s="104" t="s">
        <v>19</v>
      </c>
    </row>
    <row r="192" spans="1:13" x14ac:dyDescent="0.3">
      <c r="A192" s="101" t="s">
        <v>392</v>
      </c>
      <c r="B192" s="102" t="s">
        <v>577</v>
      </c>
      <c r="C192" s="103">
        <v>45629</v>
      </c>
      <c r="D192" s="102" t="s">
        <v>33</v>
      </c>
      <c r="E192" s="102" t="s">
        <v>34</v>
      </c>
      <c r="F192" s="102">
        <v>4285</v>
      </c>
      <c r="G192" s="102">
        <v>886</v>
      </c>
      <c r="H192" s="102">
        <v>376</v>
      </c>
      <c r="I192" s="102">
        <v>55705</v>
      </c>
      <c r="J192" s="102">
        <v>55556</v>
      </c>
      <c r="K192" s="102">
        <v>51</v>
      </c>
      <c r="L192" s="102" t="s">
        <v>71</v>
      </c>
      <c r="M192" s="104" t="s">
        <v>55</v>
      </c>
    </row>
    <row r="193" spans="1:13" x14ac:dyDescent="0.3">
      <c r="A193" s="101" t="s">
        <v>393</v>
      </c>
      <c r="B193" s="102" t="s">
        <v>31</v>
      </c>
      <c r="C193" s="103">
        <v>45625</v>
      </c>
      <c r="D193" s="102" t="s">
        <v>69</v>
      </c>
      <c r="E193" s="102" t="s">
        <v>70</v>
      </c>
      <c r="F193" s="102">
        <v>1176</v>
      </c>
      <c r="G193" s="102">
        <v>464</v>
      </c>
      <c r="H193" s="102">
        <v>394</v>
      </c>
      <c r="I193" s="102">
        <v>14112</v>
      </c>
      <c r="J193" s="102">
        <v>13588</v>
      </c>
      <c r="K193" s="102">
        <v>272</v>
      </c>
      <c r="L193" s="102" t="s">
        <v>77</v>
      </c>
      <c r="M193" s="104" t="s">
        <v>19</v>
      </c>
    </row>
    <row r="194" spans="1:13" x14ac:dyDescent="0.3">
      <c r="A194" s="101" t="s">
        <v>395</v>
      </c>
      <c r="B194" s="102" t="s">
        <v>14</v>
      </c>
      <c r="C194" s="103">
        <v>45546</v>
      </c>
      <c r="D194" s="102" t="s">
        <v>49</v>
      </c>
      <c r="E194" s="102" t="s">
        <v>50</v>
      </c>
      <c r="F194" s="102">
        <v>4858</v>
      </c>
      <c r="G194" s="102">
        <v>317</v>
      </c>
      <c r="H194" s="102">
        <v>129</v>
      </c>
      <c r="I194" s="102">
        <v>53438</v>
      </c>
      <c r="J194" s="102">
        <v>52687</v>
      </c>
      <c r="K194" s="102">
        <v>223</v>
      </c>
      <c r="L194" s="102" t="s">
        <v>178</v>
      </c>
      <c r="M194" s="104" t="s">
        <v>19</v>
      </c>
    </row>
    <row r="195" spans="1:13" x14ac:dyDescent="0.3">
      <c r="A195" s="101" t="s">
        <v>397</v>
      </c>
      <c r="B195" s="102" t="s">
        <v>577</v>
      </c>
      <c r="C195" s="103">
        <v>45567</v>
      </c>
      <c r="D195" s="102" t="s">
        <v>33</v>
      </c>
      <c r="E195" s="102" t="s">
        <v>34</v>
      </c>
      <c r="F195" s="102">
        <v>4350</v>
      </c>
      <c r="G195" s="102">
        <v>771</v>
      </c>
      <c r="H195" s="102">
        <v>7</v>
      </c>
      <c r="I195" s="102">
        <v>60900</v>
      </c>
      <c r="J195" s="102">
        <v>60592</v>
      </c>
      <c r="K195" s="102">
        <v>195</v>
      </c>
      <c r="L195" s="102" t="s">
        <v>264</v>
      </c>
      <c r="M195" s="104" t="s">
        <v>25</v>
      </c>
    </row>
    <row r="196" spans="1:13" x14ac:dyDescent="0.3">
      <c r="A196" s="101" t="s">
        <v>398</v>
      </c>
      <c r="B196" s="102" t="s">
        <v>31</v>
      </c>
      <c r="C196" s="103">
        <v>45519</v>
      </c>
      <c r="D196" s="102" t="s">
        <v>42</v>
      </c>
      <c r="E196" s="102" t="s">
        <v>43</v>
      </c>
      <c r="F196" s="102">
        <v>914</v>
      </c>
      <c r="G196" s="102">
        <v>464</v>
      </c>
      <c r="H196" s="102">
        <v>246</v>
      </c>
      <c r="I196" s="102">
        <v>11882</v>
      </c>
      <c r="J196" s="102">
        <v>11500</v>
      </c>
      <c r="K196" s="102">
        <v>282</v>
      </c>
      <c r="L196" s="102" t="s">
        <v>285</v>
      </c>
      <c r="M196" s="104" t="s">
        <v>38</v>
      </c>
    </row>
    <row r="197" spans="1:13" x14ac:dyDescent="0.3">
      <c r="A197" s="101" t="s">
        <v>400</v>
      </c>
      <c r="B197" s="102" t="s">
        <v>31</v>
      </c>
      <c r="C197" s="103">
        <v>45645</v>
      </c>
      <c r="D197" s="102" t="s">
        <v>22</v>
      </c>
      <c r="E197" s="102" t="s">
        <v>23</v>
      </c>
      <c r="F197" s="102">
        <v>1813</v>
      </c>
      <c r="G197" s="102">
        <v>623</v>
      </c>
      <c r="H197" s="102">
        <v>72</v>
      </c>
      <c r="I197" s="102">
        <v>19943</v>
      </c>
      <c r="J197" s="102">
        <v>18959</v>
      </c>
      <c r="K197" s="102">
        <v>85</v>
      </c>
      <c r="L197" s="102" t="s">
        <v>105</v>
      </c>
      <c r="M197" s="104" t="s">
        <v>38</v>
      </c>
    </row>
    <row r="198" spans="1:13" x14ac:dyDescent="0.3">
      <c r="A198" s="101" t="s">
        <v>402</v>
      </c>
      <c r="B198" s="102" t="s">
        <v>14</v>
      </c>
      <c r="C198" s="103">
        <v>45587</v>
      </c>
      <c r="D198" s="102" t="s">
        <v>16</v>
      </c>
      <c r="E198" s="102" t="s">
        <v>17</v>
      </c>
      <c r="F198" s="102">
        <v>4782</v>
      </c>
      <c r="G198" s="102">
        <v>721</v>
      </c>
      <c r="H198" s="102">
        <v>82</v>
      </c>
      <c r="I198" s="102">
        <v>86076</v>
      </c>
      <c r="J198" s="102">
        <v>85339</v>
      </c>
      <c r="K198" s="102">
        <v>19</v>
      </c>
      <c r="L198" s="102" t="s">
        <v>77</v>
      </c>
      <c r="M198" s="104" t="s">
        <v>25</v>
      </c>
    </row>
    <row r="199" spans="1:13" x14ac:dyDescent="0.3">
      <c r="A199" s="101" t="s">
        <v>403</v>
      </c>
      <c r="B199" s="102" t="s">
        <v>14</v>
      </c>
      <c r="C199" s="103">
        <v>45549</v>
      </c>
      <c r="D199" s="102" t="s">
        <v>49</v>
      </c>
      <c r="E199" s="102" t="s">
        <v>50</v>
      </c>
      <c r="F199" s="102">
        <v>1048</v>
      </c>
      <c r="G199" s="102">
        <v>374</v>
      </c>
      <c r="H199" s="102">
        <v>450</v>
      </c>
      <c r="I199" s="102">
        <v>9432</v>
      </c>
      <c r="J199" s="102">
        <v>8882</v>
      </c>
      <c r="K199" s="102">
        <v>158</v>
      </c>
      <c r="L199" s="102" t="s">
        <v>209</v>
      </c>
      <c r="M199" s="104" t="s">
        <v>25</v>
      </c>
    </row>
    <row r="200" spans="1:13" x14ac:dyDescent="0.3">
      <c r="A200" s="101" t="s">
        <v>405</v>
      </c>
      <c r="B200" s="102" t="s">
        <v>577</v>
      </c>
      <c r="C200" s="103">
        <v>45626</v>
      </c>
      <c r="D200" s="102" t="s">
        <v>42</v>
      </c>
      <c r="E200" s="102" t="s">
        <v>43</v>
      </c>
      <c r="F200" s="102">
        <v>2509</v>
      </c>
      <c r="G200" s="102">
        <v>324</v>
      </c>
      <c r="H200" s="102">
        <v>171</v>
      </c>
      <c r="I200" s="102">
        <v>35126</v>
      </c>
      <c r="J200" s="102">
        <v>34685</v>
      </c>
      <c r="K200" s="102">
        <v>277</v>
      </c>
      <c r="L200" s="102" t="s">
        <v>77</v>
      </c>
      <c r="M200" s="104" t="s">
        <v>25</v>
      </c>
    </row>
    <row r="201" spans="1:13" x14ac:dyDescent="0.3">
      <c r="A201" s="101" t="s">
        <v>406</v>
      </c>
      <c r="B201" s="102" t="s">
        <v>40</v>
      </c>
      <c r="C201" s="103">
        <v>45754</v>
      </c>
      <c r="D201" s="102" t="s">
        <v>16</v>
      </c>
      <c r="E201" s="102" t="s">
        <v>17</v>
      </c>
      <c r="F201" s="102">
        <v>3718</v>
      </c>
      <c r="G201" s="102">
        <v>385</v>
      </c>
      <c r="H201" s="102">
        <v>310</v>
      </c>
      <c r="I201" s="102">
        <v>70642</v>
      </c>
      <c r="J201" s="102">
        <v>69749</v>
      </c>
      <c r="K201" s="102">
        <v>233</v>
      </c>
      <c r="L201" s="102" t="s">
        <v>44</v>
      </c>
      <c r="M201" s="104" t="s">
        <v>19</v>
      </c>
    </row>
    <row r="202" spans="1:13" x14ac:dyDescent="0.3">
      <c r="A202" s="101" t="s">
        <v>408</v>
      </c>
      <c r="B202" s="102" t="s">
        <v>14</v>
      </c>
      <c r="C202" s="103">
        <v>45672</v>
      </c>
      <c r="D202" s="102" t="s">
        <v>16</v>
      </c>
      <c r="E202" s="102" t="s">
        <v>17</v>
      </c>
      <c r="F202" s="102">
        <v>802</v>
      </c>
      <c r="G202" s="102">
        <v>262</v>
      </c>
      <c r="H202" s="102">
        <v>244</v>
      </c>
      <c r="I202" s="102">
        <v>14436</v>
      </c>
      <c r="J202" s="102">
        <v>14280</v>
      </c>
      <c r="K202" s="102">
        <v>49</v>
      </c>
      <c r="L202" s="102" t="s">
        <v>74</v>
      </c>
      <c r="M202" s="104" t="s">
        <v>55</v>
      </c>
    </row>
    <row r="203" spans="1:13" x14ac:dyDescent="0.3">
      <c r="A203" s="101" t="s">
        <v>410</v>
      </c>
      <c r="B203" s="102" t="s">
        <v>40</v>
      </c>
      <c r="C203" s="103">
        <v>45445</v>
      </c>
      <c r="D203" s="102" t="s">
        <v>49</v>
      </c>
      <c r="E203" s="102" t="s">
        <v>50</v>
      </c>
      <c r="F203" s="102">
        <v>1871</v>
      </c>
      <c r="G203" s="102">
        <v>252</v>
      </c>
      <c r="H203" s="102">
        <v>335</v>
      </c>
      <c r="I203" s="102">
        <v>29936</v>
      </c>
      <c r="J203" s="102">
        <v>29576</v>
      </c>
      <c r="K203" s="102">
        <v>288</v>
      </c>
      <c r="L203" s="102" t="s">
        <v>44</v>
      </c>
      <c r="M203" s="104" t="s">
        <v>25</v>
      </c>
    </row>
    <row r="204" spans="1:13" x14ac:dyDescent="0.3">
      <c r="A204" s="101" t="s">
        <v>412</v>
      </c>
      <c r="B204" s="102" t="s">
        <v>31</v>
      </c>
      <c r="C204" s="103">
        <v>45617</v>
      </c>
      <c r="D204" s="102" t="s">
        <v>42</v>
      </c>
      <c r="E204" s="102" t="s">
        <v>43</v>
      </c>
      <c r="F204" s="102">
        <v>3773</v>
      </c>
      <c r="G204" s="102">
        <v>299</v>
      </c>
      <c r="H204" s="102">
        <v>38</v>
      </c>
      <c r="I204" s="102">
        <v>71687</v>
      </c>
      <c r="J204" s="102">
        <v>71447</v>
      </c>
      <c r="K204" s="102">
        <v>286</v>
      </c>
      <c r="L204" s="102" t="s">
        <v>44</v>
      </c>
      <c r="M204" s="104" t="s">
        <v>55</v>
      </c>
    </row>
    <row r="205" spans="1:13" x14ac:dyDescent="0.3">
      <c r="A205" s="101" t="s">
        <v>414</v>
      </c>
      <c r="B205" s="102" t="s">
        <v>31</v>
      </c>
      <c r="C205" s="103">
        <v>45658</v>
      </c>
      <c r="D205" s="102" t="s">
        <v>42</v>
      </c>
      <c r="E205" s="102" t="s">
        <v>43</v>
      </c>
      <c r="F205" s="102">
        <v>2234</v>
      </c>
      <c r="G205" s="102">
        <v>653</v>
      </c>
      <c r="H205" s="102">
        <v>432</v>
      </c>
      <c r="I205" s="102">
        <v>11170</v>
      </c>
      <c r="J205" s="102">
        <v>10569</v>
      </c>
      <c r="K205" s="102">
        <v>198</v>
      </c>
      <c r="L205" s="102" t="s">
        <v>264</v>
      </c>
      <c r="M205" s="104" t="s">
        <v>55</v>
      </c>
    </row>
    <row r="206" spans="1:13" x14ac:dyDescent="0.3">
      <c r="A206" s="101" t="s">
        <v>415</v>
      </c>
      <c r="B206" s="102" t="s">
        <v>14</v>
      </c>
      <c r="C206" s="103">
        <v>45771</v>
      </c>
      <c r="D206" s="102" t="s">
        <v>69</v>
      </c>
      <c r="E206" s="102" t="s">
        <v>70</v>
      </c>
      <c r="F206" s="102">
        <v>3820</v>
      </c>
      <c r="G206" s="102">
        <v>697</v>
      </c>
      <c r="H206" s="102">
        <v>268</v>
      </c>
      <c r="I206" s="102">
        <v>45840</v>
      </c>
      <c r="J206" s="102">
        <v>45631</v>
      </c>
      <c r="K206" s="102">
        <v>171</v>
      </c>
      <c r="L206" s="102" t="s">
        <v>162</v>
      </c>
      <c r="M206" s="104" t="s">
        <v>19</v>
      </c>
    </row>
    <row r="207" spans="1:13" x14ac:dyDescent="0.3">
      <c r="A207" s="101" t="s">
        <v>416</v>
      </c>
      <c r="B207" s="102" t="s">
        <v>14</v>
      </c>
      <c r="C207" s="103">
        <v>45467</v>
      </c>
      <c r="D207" s="102" t="s">
        <v>22</v>
      </c>
      <c r="E207" s="102" t="s">
        <v>23</v>
      </c>
      <c r="F207" s="102">
        <v>941</v>
      </c>
      <c r="G207" s="102">
        <v>121</v>
      </c>
      <c r="H207" s="102">
        <v>458</v>
      </c>
      <c r="I207" s="102">
        <v>14115</v>
      </c>
      <c r="J207" s="102">
        <v>13838</v>
      </c>
      <c r="K207" s="102">
        <v>87</v>
      </c>
      <c r="L207" s="102" t="s">
        <v>29</v>
      </c>
      <c r="M207" s="104" t="s">
        <v>25</v>
      </c>
    </row>
    <row r="208" spans="1:13" x14ac:dyDescent="0.3">
      <c r="A208" s="101" t="s">
        <v>417</v>
      </c>
      <c r="B208" s="102" t="s">
        <v>14</v>
      </c>
      <c r="C208" s="103">
        <v>45655</v>
      </c>
      <c r="D208" s="102" t="s">
        <v>42</v>
      </c>
      <c r="E208" s="102" t="s">
        <v>43</v>
      </c>
      <c r="F208" s="102">
        <v>4274</v>
      </c>
      <c r="G208" s="102">
        <v>340</v>
      </c>
      <c r="H208" s="102">
        <v>281</v>
      </c>
      <c r="I208" s="102">
        <v>34192</v>
      </c>
      <c r="J208" s="102">
        <v>33446</v>
      </c>
      <c r="K208" s="102">
        <v>129</v>
      </c>
      <c r="L208" s="102" t="s">
        <v>162</v>
      </c>
      <c r="M208" s="104" t="s">
        <v>38</v>
      </c>
    </row>
    <row r="209" spans="1:13" x14ac:dyDescent="0.3">
      <c r="A209" s="101" t="s">
        <v>419</v>
      </c>
      <c r="B209" s="102" t="s">
        <v>577</v>
      </c>
      <c r="C209" s="103">
        <v>45467</v>
      </c>
      <c r="D209" s="102" t="s">
        <v>69</v>
      </c>
      <c r="E209" s="102" t="s">
        <v>70</v>
      </c>
      <c r="F209" s="102">
        <v>2949</v>
      </c>
      <c r="G209" s="102">
        <v>476</v>
      </c>
      <c r="H209" s="102">
        <v>403</v>
      </c>
      <c r="I209" s="102">
        <v>44235</v>
      </c>
      <c r="J209" s="102">
        <v>43705</v>
      </c>
      <c r="K209" s="102">
        <v>135</v>
      </c>
      <c r="L209" s="102" t="s">
        <v>116</v>
      </c>
      <c r="M209" s="104" t="s">
        <v>19</v>
      </c>
    </row>
    <row r="210" spans="1:13" x14ac:dyDescent="0.3">
      <c r="A210" s="101" t="s">
        <v>420</v>
      </c>
      <c r="B210" s="102" t="s">
        <v>14</v>
      </c>
      <c r="C210" s="103">
        <v>45735</v>
      </c>
      <c r="D210" s="102" t="s">
        <v>69</v>
      </c>
      <c r="E210" s="102" t="s">
        <v>70</v>
      </c>
      <c r="F210" s="102">
        <v>3160</v>
      </c>
      <c r="G210" s="102">
        <v>204</v>
      </c>
      <c r="H210" s="102">
        <v>297</v>
      </c>
      <c r="I210" s="102">
        <v>44240</v>
      </c>
      <c r="J210" s="102">
        <v>43666</v>
      </c>
      <c r="K210" s="102">
        <v>49</v>
      </c>
      <c r="L210" s="102" t="s">
        <v>87</v>
      </c>
      <c r="M210" s="104" t="s">
        <v>19</v>
      </c>
    </row>
    <row r="211" spans="1:13" x14ac:dyDescent="0.3">
      <c r="A211" s="101" t="s">
        <v>422</v>
      </c>
      <c r="B211" s="102" t="s">
        <v>577</v>
      </c>
      <c r="C211" s="103">
        <v>45707</v>
      </c>
      <c r="D211" s="102" t="s">
        <v>49</v>
      </c>
      <c r="E211" s="102" t="s">
        <v>50</v>
      </c>
      <c r="F211" s="102">
        <v>257</v>
      </c>
      <c r="G211" s="102">
        <v>966</v>
      </c>
      <c r="H211" s="102">
        <v>398</v>
      </c>
      <c r="I211" s="102">
        <v>3341</v>
      </c>
      <c r="J211" s="102">
        <v>2753</v>
      </c>
      <c r="K211" s="102">
        <v>287</v>
      </c>
      <c r="L211" s="102" t="s">
        <v>209</v>
      </c>
      <c r="M211" s="104" t="s">
        <v>19</v>
      </c>
    </row>
    <row r="212" spans="1:13" x14ac:dyDescent="0.3">
      <c r="A212" s="101" t="s">
        <v>423</v>
      </c>
      <c r="B212" s="102" t="s">
        <v>14</v>
      </c>
      <c r="C212" s="103">
        <v>45491</v>
      </c>
      <c r="D212" s="102" t="s">
        <v>42</v>
      </c>
      <c r="E212" s="102" t="s">
        <v>43</v>
      </c>
      <c r="F212" s="102">
        <v>2120</v>
      </c>
      <c r="G212" s="102">
        <v>38</v>
      </c>
      <c r="H212" s="102">
        <v>212</v>
      </c>
      <c r="I212" s="102">
        <v>12720</v>
      </c>
      <c r="J212" s="102">
        <v>12564</v>
      </c>
      <c r="K212" s="102">
        <v>21</v>
      </c>
      <c r="L212" s="102" t="s">
        <v>209</v>
      </c>
      <c r="M212" s="104" t="s">
        <v>19</v>
      </c>
    </row>
    <row r="213" spans="1:13" x14ac:dyDescent="0.3">
      <c r="A213" s="101" t="s">
        <v>425</v>
      </c>
      <c r="B213" s="102" t="s">
        <v>577</v>
      </c>
      <c r="C213" s="103">
        <v>45719</v>
      </c>
      <c r="D213" s="102" t="s">
        <v>69</v>
      </c>
      <c r="E213" s="102" t="s">
        <v>70</v>
      </c>
      <c r="F213" s="102">
        <v>3874</v>
      </c>
      <c r="G213" s="102">
        <v>884</v>
      </c>
      <c r="H213" s="102">
        <v>19</v>
      </c>
      <c r="I213" s="102">
        <v>38740</v>
      </c>
      <c r="J213" s="102">
        <v>38552</v>
      </c>
      <c r="K213" s="102">
        <v>219</v>
      </c>
      <c r="L213" s="102" t="s">
        <v>58</v>
      </c>
      <c r="M213" s="104" t="s">
        <v>55</v>
      </c>
    </row>
    <row r="214" spans="1:13" x14ac:dyDescent="0.3">
      <c r="A214" s="101" t="s">
        <v>426</v>
      </c>
      <c r="B214" s="102" t="s">
        <v>40</v>
      </c>
      <c r="C214" s="103">
        <v>45778</v>
      </c>
      <c r="D214" s="102" t="s">
        <v>42</v>
      </c>
      <c r="E214" s="102" t="s">
        <v>43</v>
      </c>
      <c r="F214" s="102">
        <v>2696</v>
      </c>
      <c r="G214" s="102">
        <v>628</v>
      </c>
      <c r="H214" s="102">
        <v>443</v>
      </c>
      <c r="I214" s="102">
        <v>45832</v>
      </c>
      <c r="J214" s="102">
        <v>45632</v>
      </c>
      <c r="K214" s="102">
        <v>248</v>
      </c>
      <c r="L214" s="102" t="s">
        <v>18</v>
      </c>
      <c r="M214" s="104" t="s">
        <v>38</v>
      </c>
    </row>
    <row r="215" spans="1:13" x14ac:dyDescent="0.3">
      <c r="A215" s="101" t="s">
        <v>428</v>
      </c>
      <c r="B215" s="102" t="s">
        <v>31</v>
      </c>
      <c r="C215" s="103">
        <v>45649</v>
      </c>
      <c r="D215" s="102" t="s">
        <v>49</v>
      </c>
      <c r="E215" s="102" t="s">
        <v>50</v>
      </c>
      <c r="F215" s="102">
        <v>521</v>
      </c>
      <c r="G215" s="102">
        <v>746</v>
      </c>
      <c r="H215" s="102">
        <v>315</v>
      </c>
      <c r="I215" s="102">
        <v>4168</v>
      </c>
      <c r="J215" s="102">
        <v>3399</v>
      </c>
      <c r="K215" s="102">
        <v>282</v>
      </c>
      <c r="L215" s="102" t="s">
        <v>18</v>
      </c>
      <c r="M215" s="104" t="s">
        <v>19</v>
      </c>
    </row>
    <row r="216" spans="1:13" x14ac:dyDescent="0.3">
      <c r="A216" s="101" t="s">
        <v>429</v>
      </c>
      <c r="B216" s="102" t="s">
        <v>40</v>
      </c>
      <c r="C216" s="103">
        <v>45783</v>
      </c>
      <c r="D216" s="102" t="s">
        <v>49</v>
      </c>
      <c r="E216" s="102" t="s">
        <v>50</v>
      </c>
      <c r="F216" s="102">
        <v>4872</v>
      </c>
      <c r="G216" s="102">
        <v>925</v>
      </c>
      <c r="H216" s="102">
        <v>176</v>
      </c>
      <c r="I216" s="102">
        <v>82824</v>
      </c>
      <c r="J216" s="102">
        <v>82543</v>
      </c>
      <c r="K216" s="102">
        <v>89</v>
      </c>
      <c r="L216" s="102" t="s">
        <v>102</v>
      </c>
      <c r="M216" s="104" t="s">
        <v>19</v>
      </c>
    </row>
    <row r="217" spans="1:13" x14ac:dyDescent="0.3">
      <c r="A217" s="101" t="s">
        <v>431</v>
      </c>
      <c r="B217" s="102" t="s">
        <v>577</v>
      </c>
      <c r="C217" s="103">
        <v>45502</v>
      </c>
      <c r="D217" s="102" t="s">
        <v>33</v>
      </c>
      <c r="E217" s="102" t="s">
        <v>34</v>
      </c>
      <c r="F217" s="102">
        <v>1509</v>
      </c>
      <c r="G217" s="102">
        <v>88</v>
      </c>
      <c r="H217" s="102">
        <v>163</v>
      </c>
      <c r="I217" s="102">
        <v>30180</v>
      </c>
      <c r="J217" s="102">
        <v>29689</v>
      </c>
      <c r="K217" s="102">
        <v>119</v>
      </c>
      <c r="L217" s="102" t="s">
        <v>44</v>
      </c>
      <c r="M217" s="104" t="s">
        <v>19</v>
      </c>
    </row>
    <row r="218" spans="1:13" x14ac:dyDescent="0.3">
      <c r="A218" s="101" t="s">
        <v>432</v>
      </c>
      <c r="B218" s="102" t="s">
        <v>40</v>
      </c>
      <c r="C218" s="103">
        <v>45629</v>
      </c>
      <c r="D218" s="102" t="s">
        <v>49</v>
      </c>
      <c r="E218" s="102" t="s">
        <v>50</v>
      </c>
      <c r="F218" s="102">
        <v>4606</v>
      </c>
      <c r="G218" s="102">
        <v>931</v>
      </c>
      <c r="H218" s="102">
        <v>230</v>
      </c>
      <c r="I218" s="102">
        <v>92120</v>
      </c>
      <c r="J218" s="102">
        <v>91440</v>
      </c>
      <c r="K218" s="102">
        <v>56</v>
      </c>
      <c r="L218" s="102" t="s">
        <v>144</v>
      </c>
      <c r="M218" s="104" t="s">
        <v>38</v>
      </c>
    </row>
    <row r="219" spans="1:13" x14ac:dyDescent="0.3">
      <c r="A219" s="101" t="s">
        <v>433</v>
      </c>
      <c r="B219" s="102" t="s">
        <v>40</v>
      </c>
      <c r="C219" s="103">
        <v>45454</v>
      </c>
      <c r="D219" s="102" t="s">
        <v>42</v>
      </c>
      <c r="E219" s="102" t="s">
        <v>43</v>
      </c>
      <c r="F219" s="102">
        <v>1869</v>
      </c>
      <c r="G219" s="102">
        <v>453</v>
      </c>
      <c r="H219" s="102">
        <v>490</v>
      </c>
      <c r="I219" s="102">
        <v>14952</v>
      </c>
      <c r="J219" s="102">
        <v>14309</v>
      </c>
      <c r="K219" s="102">
        <v>275</v>
      </c>
      <c r="L219" s="102" t="s">
        <v>264</v>
      </c>
      <c r="M219" s="104" t="s">
        <v>19</v>
      </c>
    </row>
    <row r="220" spans="1:13" x14ac:dyDescent="0.3">
      <c r="A220" s="101" t="s">
        <v>434</v>
      </c>
      <c r="B220" s="102" t="s">
        <v>14</v>
      </c>
      <c r="C220" s="103">
        <v>45685</v>
      </c>
      <c r="D220" s="102" t="s">
        <v>16</v>
      </c>
      <c r="E220" s="102" t="s">
        <v>17</v>
      </c>
      <c r="F220" s="102">
        <v>1188</v>
      </c>
      <c r="G220" s="102">
        <v>470</v>
      </c>
      <c r="H220" s="102">
        <v>174</v>
      </c>
      <c r="I220" s="102">
        <v>7128</v>
      </c>
      <c r="J220" s="102">
        <v>6145</v>
      </c>
      <c r="K220" s="102">
        <v>270</v>
      </c>
      <c r="L220" s="102" t="s">
        <v>37</v>
      </c>
      <c r="M220" s="104" t="s">
        <v>25</v>
      </c>
    </row>
    <row r="221" spans="1:13" x14ac:dyDescent="0.3">
      <c r="A221" s="101" t="s">
        <v>435</v>
      </c>
      <c r="B221" s="102" t="s">
        <v>31</v>
      </c>
      <c r="C221" s="103">
        <v>45445</v>
      </c>
      <c r="D221" s="102" t="s">
        <v>33</v>
      </c>
      <c r="E221" s="102" t="s">
        <v>34</v>
      </c>
      <c r="F221" s="102">
        <v>84</v>
      </c>
      <c r="G221" s="102">
        <v>897</v>
      </c>
      <c r="H221" s="102">
        <v>85</v>
      </c>
      <c r="I221" s="102">
        <v>588</v>
      </c>
      <c r="J221" s="102">
        <v>8</v>
      </c>
      <c r="K221" s="102">
        <v>12</v>
      </c>
      <c r="L221" s="102" t="s">
        <v>58</v>
      </c>
      <c r="M221" s="104" t="s">
        <v>25</v>
      </c>
    </row>
    <row r="222" spans="1:13" x14ac:dyDescent="0.3">
      <c r="A222" s="101" t="s">
        <v>436</v>
      </c>
      <c r="B222" s="102" t="s">
        <v>40</v>
      </c>
      <c r="C222" s="103">
        <v>45739</v>
      </c>
      <c r="D222" s="102" t="s">
        <v>69</v>
      </c>
      <c r="E222" s="102" t="s">
        <v>70</v>
      </c>
      <c r="F222" s="102">
        <v>4453</v>
      </c>
      <c r="G222" s="102">
        <v>111</v>
      </c>
      <c r="H222" s="102">
        <v>420</v>
      </c>
      <c r="I222" s="102">
        <v>31171</v>
      </c>
      <c r="J222" s="102">
        <v>30565</v>
      </c>
      <c r="K222" s="102">
        <v>23</v>
      </c>
      <c r="L222" s="102" t="s">
        <v>105</v>
      </c>
      <c r="M222" s="104" t="s">
        <v>55</v>
      </c>
    </row>
    <row r="223" spans="1:13" x14ac:dyDescent="0.3">
      <c r="A223" s="101" t="s">
        <v>437</v>
      </c>
      <c r="B223" s="102" t="s">
        <v>40</v>
      </c>
      <c r="C223" s="103">
        <v>45573</v>
      </c>
      <c r="D223" s="102" t="s">
        <v>16</v>
      </c>
      <c r="E223" s="102" t="s">
        <v>17</v>
      </c>
      <c r="F223" s="102">
        <v>1814</v>
      </c>
      <c r="G223" s="102">
        <v>653</v>
      </c>
      <c r="H223" s="102">
        <v>363</v>
      </c>
      <c r="I223" s="102">
        <v>25396</v>
      </c>
      <c r="J223" s="102">
        <v>25286</v>
      </c>
      <c r="K223" s="102">
        <v>39</v>
      </c>
      <c r="L223" s="102" t="s">
        <v>58</v>
      </c>
      <c r="M223" s="104" t="s">
        <v>19</v>
      </c>
    </row>
    <row r="224" spans="1:13" x14ac:dyDescent="0.3">
      <c r="A224" s="101" t="s">
        <v>439</v>
      </c>
      <c r="B224" s="102" t="s">
        <v>14</v>
      </c>
      <c r="C224" s="103">
        <v>45608</v>
      </c>
      <c r="D224" s="102" t="s">
        <v>49</v>
      </c>
      <c r="E224" s="102" t="s">
        <v>50</v>
      </c>
      <c r="F224" s="102">
        <v>3338</v>
      </c>
      <c r="G224" s="102">
        <v>277</v>
      </c>
      <c r="H224" s="102">
        <v>118</v>
      </c>
      <c r="I224" s="102">
        <v>60084</v>
      </c>
      <c r="J224" s="102">
        <v>59842</v>
      </c>
      <c r="K224" s="102">
        <v>252</v>
      </c>
      <c r="L224" s="102" t="s">
        <v>58</v>
      </c>
      <c r="M224" s="104" t="s">
        <v>19</v>
      </c>
    </row>
    <row r="225" spans="1:13" x14ac:dyDescent="0.3">
      <c r="A225" s="101" t="s">
        <v>440</v>
      </c>
      <c r="B225" s="102" t="s">
        <v>40</v>
      </c>
      <c r="C225" s="103">
        <v>45790</v>
      </c>
      <c r="D225" s="102" t="s">
        <v>49</v>
      </c>
      <c r="E225" s="102" t="s">
        <v>50</v>
      </c>
      <c r="F225" s="102">
        <v>602</v>
      </c>
      <c r="G225" s="102">
        <v>594</v>
      </c>
      <c r="H225" s="102">
        <v>156</v>
      </c>
      <c r="I225" s="102">
        <v>4214</v>
      </c>
      <c r="J225" s="102">
        <v>3363</v>
      </c>
      <c r="K225" s="102">
        <v>164</v>
      </c>
      <c r="L225" s="102" t="s">
        <v>18</v>
      </c>
      <c r="M225" s="104" t="s">
        <v>38</v>
      </c>
    </row>
    <row r="226" spans="1:13" x14ac:dyDescent="0.3">
      <c r="A226" s="101" t="s">
        <v>442</v>
      </c>
      <c r="B226" s="102" t="s">
        <v>14</v>
      </c>
      <c r="C226" s="103">
        <v>45463</v>
      </c>
      <c r="D226" s="102" t="s">
        <v>42</v>
      </c>
      <c r="E226" s="102" t="s">
        <v>43</v>
      </c>
      <c r="F226" s="102">
        <v>4672</v>
      </c>
      <c r="G226" s="102">
        <v>325</v>
      </c>
      <c r="H226" s="102">
        <v>32</v>
      </c>
      <c r="I226" s="102">
        <v>88768</v>
      </c>
      <c r="J226" s="102">
        <v>87833</v>
      </c>
      <c r="K226" s="102">
        <v>118</v>
      </c>
      <c r="L226" s="102" t="s">
        <v>127</v>
      </c>
      <c r="M226" s="104" t="s">
        <v>38</v>
      </c>
    </row>
    <row r="227" spans="1:13" x14ac:dyDescent="0.3">
      <c r="A227" s="101" t="s">
        <v>443</v>
      </c>
      <c r="B227" s="102" t="s">
        <v>31</v>
      </c>
      <c r="C227" s="103">
        <v>45511</v>
      </c>
      <c r="D227" s="102" t="s">
        <v>42</v>
      </c>
      <c r="E227" s="102" t="s">
        <v>43</v>
      </c>
      <c r="F227" s="102">
        <v>1741</v>
      </c>
      <c r="G227" s="102">
        <v>164</v>
      </c>
      <c r="H227" s="102">
        <v>318</v>
      </c>
      <c r="I227" s="102">
        <v>8705</v>
      </c>
      <c r="J227" s="102">
        <v>8272</v>
      </c>
      <c r="K227" s="102">
        <v>121</v>
      </c>
      <c r="L227" s="102" t="s">
        <v>18</v>
      </c>
      <c r="M227" s="104" t="s">
        <v>25</v>
      </c>
    </row>
    <row r="228" spans="1:13" x14ac:dyDescent="0.3">
      <c r="A228" s="101" t="s">
        <v>445</v>
      </c>
      <c r="B228" s="102" t="s">
        <v>31</v>
      </c>
      <c r="C228" s="103">
        <v>45455</v>
      </c>
      <c r="D228" s="102" t="s">
        <v>22</v>
      </c>
      <c r="E228" s="102" t="s">
        <v>23</v>
      </c>
      <c r="F228" s="102">
        <v>246</v>
      </c>
      <c r="G228" s="102">
        <v>149</v>
      </c>
      <c r="H228" s="102">
        <v>130</v>
      </c>
      <c r="I228" s="102">
        <v>4674</v>
      </c>
      <c r="J228" s="102">
        <v>4390</v>
      </c>
      <c r="K228" s="102">
        <v>217</v>
      </c>
      <c r="L228" s="102" t="s">
        <v>116</v>
      </c>
      <c r="M228" s="104" t="s">
        <v>25</v>
      </c>
    </row>
    <row r="229" spans="1:13" x14ac:dyDescent="0.3">
      <c r="A229" s="101" t="s">
        <v>447</v>
      </c>
      <c r="B229" s="102" t="s">
        <v>31</v>
      </c>
      <c r="C229" s="103">
        <v>45474</v>
      </c>
      <c r="D229" s="102" t="s">
        <v>33</v>
      </c>
      <c r="E229" s="102" t="s">
        <v>34</v>
      </c>
      <c r="F229" s="102">
        <v>4808</v>
      </c>
      <c r="G229" s="102">
        <v>772</v>
      </c>
      <c r="H229" s="102">
        <v>320</v>
      </c>
      <c r="I229" s="102">
        <v>72120</v>
      </c>
      <c r="J229" s="102">
        <v>71696</v>
      </c>
      <c r="K229" s="102">
        <v>195</v>
      </c>
      <c r="L229" s="102" t="s">
        <v>209</v>
      </c>
      <c r="M229" s="104" t="s">
        <v>55</v>
      </c>
    </row>
    <row r="230" spans="1:13" x14ac:dyDescent="0.3">
      <c r="A230" s="101" t="s">
        <v>449</v>
      </c>
      <c r="B230" s="102" t="s">
        <v>31</v>
      </c>
      <c r="C230" s="103">
        <v>45476</v>
      </c>
      <c r="D230" s="102" t="s">
        <v>42</v>
      </c>
      <c r="E230" s="102" t="s">
        <v>43</v>
      </c>
      <c r="F230" s="102">
        <v>4799</v>
      </c>
      <c r="G230" s="102">
        <v>694</v>
      </c>
      <c r="H230" s="102">
        <v>289</v>
      </c>
      <c r="I230" s="102">
        <v>43191</v>
      </c>
      <c r="J230" s="102">
        <v>42228</v>
      </c>
      <c r="K230" s="102">
        <v>118</v>
      </c>
      <c r="L230" s="102" t="s">
        <v>44</v>
      </c>
      <c r="M230" s="104" t="s">
        <v>25</v>
      </c>
    </row>
    <row r="231" spans="1:13" x14ac:dyDescent="0.3">
      <c r="A231" s="101" t="s">
        <v>450</v>
      </c>
      <c r="B231" s="102" t="s">
        <v>40</v>
      </c>
      <c r="C231" s="103">
        <v>45488</v>
      </c>
      <c r="D231" s="102" t="s">
        <v>16</v>
      </c>
      <c r="E231" s="102" t="s">
        <v>17</v>
      </c>
      <c r="F231" s="102">
        <v>3663</v>
      </c>
      <c r="G231" s="102">
        <v>17</v>
      </c>
      <c r="H231" s="102">
        <v>295</v>
      </c>
      <c r="I231" s="102">
        <v>51282</v>
      </c>
      <c r="J231" s="102">
        <v>50567</v>
      </c>
      <c r="K231" s="102">
        <v>84</v>
      </c>
      <c r="L231" s="102" t="s">
        <v>18</v>
      </c>
      <c r="M231" s="104" t="s">
        <v>19</v>
      </c>
    </row>
    <row r="232" spans="1:13" x14ac:dyDescent="0.3">
      <c r="A232" s="101" t="s">
        <v>451</v>
      </c>
      <c r="B232" s="102" t="s">
        <v>31</v>
      </c>
      <c r="C232" s="103">
        <v>45778</v>
      </c>
      <c r="D232" s="102" t="s">
        <v>22</v>
      </c>
      <c r="E232" s="102" t="s">
        <v>23</v>
      </c>
      <c r="F232" s="102">
        <v>1430</v>
      </c>
      <c r="G232" s="102">
        <v>376</v>
      </c>
      <c r="H232" s="102">
        <v>33</v>
      </c>
      <c r="I232" s="102">
        <v>21450</v>
      </c>
      <c r="J232" s="102">
        <v>20509</v>
      </c>
      <c r="K232" s="102">
        <v>251</v>
      </c>
      <c r="L232" s="102" t="s">
        <v>77</v>
      </c>
      <c r="M232" s="104" t="s">
        <v>38</v>
      </c>
    </row>
    <row r="233" spans="1:13" x14ac:dyDescent="0.3">
      <c r="A233" s="101" t="s">
        <v>452</v>
      </c>
      <c r="B233" s="102" t="s">
        <v>14</v>
      </c>
      <c r="C233" s="103">
        <v>45776</v>
      </c>
      <c r="D233" s="102" t="s">
        <v>33</v>
      </c>
      <c r="E233" s="102" t="s">
        <v>34</v>
      </c>
      <c r="F233" s="102">
        <v>249</v>
      </c>
      <c r="G233" s="102">
        <v>592</v>
      </c>
      <c r="H233" s="102">
        <v>230</v>
      </c>
      <c r="I233" s="102">
        <v>1494</v>
      </c>
      <c r="J233" s="102">
        <v>1044</v>
      </c>
      <c r="K233" s="102">
        <v>201</v>
      </c>
      <c r="L233" s="102" t="s">
        <v>285</v>
      </c>
      <c r="M233" s="104" t="s">
        <v>55</v>
      </c>
    </row>
    <row r="234" spans="1:13" x14ac:dyDescent="0.3">
      <c r="A234" s="101" t="s">
        <v>454</v>
      </c>
      <c r="B234" s="102" t="s">
        <v>40</v>
      </c>
      <c r="C234" s="103">
        <v>45724</v>
      </c>
      <c r="D234" s="102" t="s">
        <v>49</v>
      </c>
      <c r="E234" s="102" t="s">
        <v>50</v>
      </c>
      <c r="F234" s="102">
        <v>2382</v>
      </c>
      <c r="G234" s="102">
        <v>265</v>
      </c>
      <c r="H234" s="102">
        <v>134</v>
      </c>
      <c r="I234" s="102">
        <v>38112</v>
      </c>
      <c r="J234" s="102">
        <v>37437</v>
      </c>
      <c r="K234" s="102">
        <v>249</v>
      </c>
      <c r="L234" s="102" t="s">
        <v>178</v>
      </c>
      <c r="M234" s="104" t="s">
        <v>25</v>
      </c>
    </row>
    <row r="235" spans="1:13" x14ac:dyDescent="0.3">
      <c r="A235" s="101" t="s">
        <v>455</v>
      </c>
      <c r="B235" s="102" t="s">
        <v>40</v>
      </c>
      <c r="C235" s="103">
        <v>45444</v>
      </c>
      <c r="D235" s="102" t="s">
        <v>22</v>
      </c>
      <c r="E235" s="102" t="s">
        <v>23</v>
      </c>
      <c r="F235" s="102">
        <v>1272</v>
      </c>
      <c r="G235" s="102">
        <v>465</v>
      </c>
      <c r="H235" s="102">
        <v>99</v>
      </c>
      <c r="I235" s="102">
        <v>24168</v>
      </c>
      <c r="J235" s="102">
        <v>23719</v>
      </c>
      <c r="K235" s="102">
        <v>42</v>
      </c>
      <c r="L235" s="102" t="s">
        <v>71</v>
      </c>
      <c r="M235" s="104" t="s">
        <v>25</v>
      </c>
    </row>
    <row r="236" spans="1:13" x14ac:dyDescent="0.3">
      <c r="A236" s="101" t="s">
        <v>457</v>
      </c>
      <c r="B236" s="102" t="s">
        <v>40</v>
      </c>
      <c r="C236" s="103">
        <v>45648</v>
      </c>
      <c r="D236" s="102" t="s">
        <v>49</v>
      </c>
      <c r="E236" s="102" t="s">
        <v>50</v>
      </c>
      <c r="F236" s="102">
        <v>3196</v>
      </c>
      <c r="G236" s="102">
        <v>941</v>
      </c>
      <c r="H236" s="102">
        <v>376</v>
      </c>
      <c r="I236" s="102">
        <v>35156</v>
      </c>
      <c r="J236" s="102">
        <v>34444</v>
      </c>
      <c r="K236" s="102">
        <v>241</v>
      </c>
      <c r="L236" s="102" t="s">
        <v>87</v>
      </c>
      <c r="M236" s="104" t="s">
        <v>55</v>
      </c>
    </row>
    <row r="237" spans="1:13" x14ac:dyDescent="0.3">
      <c r="A237" s="101" t="s">
        <v>458</v>
      </c>
      <c r="B237" s="102" t="s">
        <v>40</v>
      </c>
      <c r="C237" s="103">
        <v>45523</v>
      </c>
      <c r="D237" s="102" t="s">
        <v>22</v>
      </c>
      <c r="E237" s="102" t="s">
        <v>23</v>
      </c>
      <c r="F237" s="102">
        <v>1257</v>
      </c>
      <c r="G237" s="102">
        <v>19</v>
      </c>
      <c r="H237" s="102">
        <v>351</v>
      </c>
      <c r="I237" s="102">
        <v>12570</v>
      </c>
      <c r="J237" s="102">
        <v>11660</v>
      </c>
      <c r="K237" s="102">
        <v>194</v>
      </c>
      <c r="L237" s="102" t="s">
        <v>58</v>
      </c>
      <c r="M237" s="104" t="s">
        <v>19</v>
      </c>
    </row>
    <row r="238" spans="1:13" x14ac:dyDescent="0.3">
      <c r="A238" s="101" t="s">
        <v>459</v>
      </c>
      <c r="B238" s="102" t="s">
        <v>31</v>
      </c>
      <c r="C238" s="103">
        <v>45587</v>
      </c>
      <c r="D238" s="102" t="s">
        <v>33</v>
      </c>
      <c r="E238" s="102" t="s">
        <v>34</v>
      </c>
      <c r="F238" s="102">
        <v>3770</v>
      </c>
      <c r="G238" s="102">
        <v>917</v>
      </c>
      <c r="H238" s="102">
        <v>129</v>
      </c>
      <c r="I238" s="102">
        <v>71630</v>
      </c>
      <c r="J238" s="102">
        <v>71322</v>
      </c>
      <c r="K238" s="102">
        <v>76</v>
      </c>
      <c r="L238" s="102" t="s">
        <v>102</v>
      </c>
      <c r="M238" s="104" t="s">
        <v>55</v>
      </c>
    </row>
    <row r="239" spans="1:13" x14ac:dyDescent="0.3">
      <c r="A239" s="101" t="s">
        <v>460</v>
      </c>
      <c r="B239" s="102" t="s">
        <v>14</v>
      </c>
      <c r="C239" s="103">
        <v>45489</v>
      </c>
      <c r="D239" s="102" t="s">
        <v>22</v>
      </c>
      <c r="E239" s="102" t="s">
        <v>23</v>
      </c>
      <c r="F239" s="102">
        <v>4725</v>
      </c>
      <c r="G239" s="102">
        <v>400</v>
      </c>
      <c r="H239" s="102">
        <v>362</v>
      </c>
      <c r="I239" s="102">
        <v>75600</v>
      </c>
      <c r="J239" s="102">
        <v>74927</v>
      </c>
      <c r="K239" s="102">
        <v>43</v>
      </c>
      <c r="L239" s="102" t="s">
        <v>105</v>
      </c>
      <c r="M239" s="104" t="s">
        <v>19</v>
      </c>
    </row>
    <row r="240" spans="1:13" x14ac:dyDescent="0.3">
      <c r="A240" s="101" t="s">
        <v>462</v>
      </c>
      <c r="B240" s="102" t="s">
        <v>577</v>
      </c>
      <c r="C240" s="103">
        <v>45712</v>
      </c>
      <c r="D240" s="102" t="s">
        <v>22</v>
      </c>
      <c r="E240" s="102" t="s">
        <v>23</v>
      </c>
      <c r="F240" s="102">
        <v>4188</v>
      </c>
      <c r="G240" s="102">
        <v>942</v>
      </c>
      <c r="H240" s="102">
        <v>118</v>
      </c>
      <c r="I240" s="102">
        <v>20940</v>
      </c>
      <c r="J240" s="102">
        <v>20471</v>
      </c>
      <c r="K240" s="102">
        <v>102</v>
      </c>
      <c r="L240" s="102" t="s">
        <v>58</v>
      </c>
      <c r="M240" s="104" t="s">
        <v>25</v>
      </c>
    </row>
    <row r="241" spans="1:13" x14ac:dyDescent="0.3">
      <c r="A241" s="101" t="s">
        <v>463</v>
      </c>
      <c r="B241" s="102" t="s">
        <v>14</v>
      </c>
      <c r="C241" s="103">
        <v>45530</v>
      </c>
      <c r="D241" s="102" t="s">
        <v>42</v>
      </c>
      <c r="E241" s="102" t="s">
        <v>43</v>
      </c>
      <c r="F241" s="102">
        <v>929</v>
      </c>
      <c r="G241" s="102">
        <v>192</v>
      </c>
      <c r="H241" s="102">
        <v>322</v>
      </c>
      <c r="I241" s="102">
        <v>16722</v>
      </c>
      <c r="J241" s="102">
        <v>15996</v>
      </c>
      <c r="K241" s="102">
        <v>145</v>
      </c>
      <c r="L241" s="102" t="s">
        <v>24</v>
      </c>
      <c r="M241" s="104" t="s">
        <v>38</v>
      </c>
    </row>
    <row r="242" spans="1:13" x14ac:dyDescent="0.3">
      <c r="A242" s="101" t="s">
        <v>464</v>
      </c>
      <c r="B242" s="102" t="s">
        <v>40</v>
      </c>
      <c r="C242" s="103">
        <v>45675</v>
      </c>
      <c r="D242" s="102" t="s">
        <v>33</v>
      </c>
      <c r="E242" s="102" t="s">
        <v>34</v>
      </c>
      <c r="F242" s="102">
        <v>4321</v>
      </c>
      <c r="G242" s="102">
        <v>874</v>
      </c>
      <c r="H242" s="102">
        <v>172</v>
      </c>
      <c r="I242" s="102">
        <v>30247</v>
      </c>
      <c r="J242" s="102">
        <v>29254</v>
      </c>
      <c r="K242" s="102">
        <v>122</v>
      </c>
      <c r="L242" s="102" t="s">
        <v>66</v>
      </c>
      <c r="M242" s="104" t="s">
        <v>38</v>
      </c>
    </row>
    <row r="243" spans="1:13" x14ac:dyDescent="0.3">
      <c r="A243" s="101" t="s">
        <v>466</v>
      </c>
      <c r="B243" s="102" t="s">
        <v>40</v>
      </c>
      <c r="C243" s="103">
        <v>45480</v>
      </c>
      <c r="D243" s="102" t="s">
        <v>16</v>
      </c>
      <c r="E243" s="102" t="s">
        <v>17</v>
      </c>
      <c r="F243" s="102">
        <v>4767</v>
      </c>
      <c r="G243" s="102">
        <v>190</v>
      </c>
      <c r="H243" s="102">
        <v>340</v>
      </c>
      <c r="I243" s="102">
        <v>28602</v>
      </c>
      <c r="J243" s="102">
        <v>28044</v>
      </c>
      <c r="K243" s="102">
        <v>210</v>
      </c>
      <c r="L243" s="102" t="s">
        <v>77</v>
      </c>
      <c r="M243" s="104" t="s">
        <v>55</v>
      </c>
    </row>
    <row r="244" spans="1:13" x14ac:dyDescent="0.3">
      <c r="A244" s="101" t="s">
        <v>467</v>
      </c>
      <c r="B244" s="102" t="s">
        <v>14</v>
      </c>
      <c r="C244" s="103">
        <v>45722</v>
      </c>
      <c r="D244" s="102" t="s">
        <v>49</v>
      </c>
      <c r="E244" s="102" t="s">
        <v>50</v>
      </c>
      <c r="F244" s="102">
        <v>3592</v>
      </c>
      <c r="G244" s="102">
        <v>911</v>
      </c>
      <c r="H244" s="102">
        <v>375</v>
      </c>
      <c r="I244" s="102">
        <v>50288</v>
      </c>
      <c r="J244" s="102">
        <v>49490</v>
      </c>
      <c r="K244" s="102">
        <v>32</v>
      </c>
      <c r="L244" s="102" t="s">
        <v>58</v>
      </c>
      <c r="M244" s="104" t="s">
        <v>25</v>
      </c>
    </row>
    <row r="245" spans="1:13" x14ac:dyDescent="0.3">
      <c r="A245" s="101" t="s">
        <v>469</v>
      </c>
      <c r="B245" s="102" t="s">
        <v>577</v>
      </c>
      <c r="C245" s="103">
        <v>45590</v>
      </c>
      <c r="D245" s="102" t="s">
        <v>69</v>
      </c>
      <c r="E245" s="102" t="s">
        <v>70</v>
      </c>
      <c r="F245" s="102">
        <v>4661</v>
      </c>
      <c r="G245" s="102">
        <v>935</v>
      </c>
      <c r="H245" s="102">
        <v>433</v>
      </c>
      <c r="I245" s="102">
        <v>23305</v>
      </c>
      <c r="J245" s="102">
        <v>22583</v>
      </c>
      <c r="K245" s="102">
        <v>63</v>
      </c>
      <c r="L245" s="102" t="s">
        <v>162</v>
      </c>
      <c r="M245" s="104" t="s">
        <v>19</v>
      </c>
    </row>
    <row r="246" spans="1:13" x14ac:dyDescent="0.3">
      <c r="A246" s="101" t="s">
        <v>471</v>
      </c>
      <c r="B246" s="102" t="s">
        <v>40</v>
      </c>
      <c r="C246" s="103">
        <v>45669</v>
      </c>
      <c r="D246" s="102" t="s">
        <v>16</v>
      </c>
      <c r="E246" s="102" t="s">
        <v>17</v>
      </c>
      <c r="F246" s="102">
        <v>4134</v>
      </c>
      <c r="G246" s="102">
        <v>824</v>
      </c>
      <c r="H246" s="102">
        <v>99</v>
      </c>
      <c r="I246" s="102">
        <v>41340</v>
      </c>
      <c r="J246" s="102">
        <v>41050</v>
      </c>
      <c r="K246" s="102">
        <v>177</v>
      </c>
      <c r="L246" s="102" t="s">
        <v>24</v>
      </c>
      <c r="M246" s="104" t="s">
        <v>25</v>
      </c>
    </row>
    <row r="247" spans="1:13" x14ac:dyDescent="0.3">
      <c r="A247" s="101" t="s">
        <v>473</v>
      </c>
      <c r="B247" s="102" t="s">
        <v>40</v>
      </c>
      <c r="C247" s="103">
        <v>45576</v>
      </c>
      <c r="D247" s="102" t="s">
        <v>49</v>
      </c>
      <c r="E247" s="102" t="s">
        <v>50</v>
      </c>
      <c r="F247" s="102">
        <v>400</v>
      </c>
      <c r="G247" s="102">
        <v>680</v>
      </c>
      <c r="H247" s="102">
        <v>434</v>
      </c>
      <c r="I247" s="102">
        <v>6400</v>
      </c>
      <c r="J247" s="102">
        <v>5472</v>
      </c>
      <c r="K247" s="102">
        <v>160</v>
      </c>
      <c r="L247" s="102" t="s">
        <v>102</v>
      </c>
      <c r="M247" s="104" t="s">
        <v>25</v>
      </c>
    </row>
    <row r="248" spans="1:13" x14ac:dyDescent="0.3">
      <c r="A248" s="101" t="s">
        <v>475</v>
      </c>
      <c r="B248" s="102" t="s">
        <v>40</v>
      </c>
      <c r="C248" s="103">
        <v>45531</v>
      </c>
      <c r="D248" s="102" t="s">
        <v>16</v>
      </c>
      <c r="E248" s="102" t="s">
        <v>17</v>
      </c>
      <c r="F248" s="102">
        <v>3960</v>
      </c>
      <c r="G248" s="102">
        <v>266</v>
      </c>
      <c r="H248" s="102">
        <v>8</v>
      </c>
      <c r="I248" s="102">
        <v>35640</v>
      </c>
      <c r="J248" s="102">
        <v>34850</v>
      </c>
      <c r="K248" s="102">
        <v>208</v>
      </c>
      <c r="L248" s="102" t="s">
        <v>105</v>
      </c>
      <c r="M248" s="104" t="s">
        <v>55</v>
      </c>
    </row>
    <row r="249" spans="1:13" x14ac:dyDescent="0.3">
      <c r="A249" s="101" t="s">
        <v>477</v>
      </c>
      <c r="B249" s="102" t="s">
        <v>40</v>
      </c>
      <c r="C249" s="103">
        <v>45690</v>
      </c>
      <c r="D249" s="102" t="s">
        <v>33</v>
      </c>
      <c r="E249" s="102" t="s">
        <v>34</v>
      </c>
      <c r="F249" s="102">
        <v>886</v>
      </c>
      <c r="G249" s="102">
        <v>126</v>
      </c>
      <c r="H249" s="102">
        <v>153</v>
      </c>
      <c r="I249" s="102">
        <v>4430</v>
      </c>
      <c r="J249" s="102">
        <v>4037</v>
      </c>
      <c r="K249" s="102">
        <v>212</v>
      </c>
      <c r="L249" s="102" t="s">
        <v>18</v>
      </c>
      <c r="M249" s="104" t="s">
        <v>38</v>
      </c>
    </row>
    <row r="250" spans="1:13" x14ac:dyDescent="0.3">
      <c r="A250" s="101" t="s">
        <v>478</v>
      </c>
      <c r="B250" s="102" t="s">
        <v>14</v>
      </c>
      <c r="C250" s="103">
        <v>45491</v>
      </c>
      <c r="D250" s="102" t="s">
        <v>49</v>
      </c>
      <c r="E250" s="102" t="s">
        <v>50</v>
      </c>
      <c r="F250" s="102">
        <v>827</v>
      </c>
      <c r="G250" s="102">
        <v>77</v>
      </c>
      <c r="H250" s="102">
        <v>402</v>
      </c>
      <c r="I250" s="102">
        <v>14886</v>
      </c>
      <c r="J250" s="102">
        <v>14129</v>
      </c>
      <c r="K250" s="102">
        <v>254</v>
      </c>
      <c r="L250" s="102" t="s">
        <v>58</v>
      </c>
      <c r="M250" s="104" t="s">
        <v>25</v>
      </c>
    </row>
    <row r="251" spans="1:13" x14ac:dyDescent="0.3">
      <c r="A251" s="101" t="s">
        <v>479</v>
      </c>
      <c r="B251" s="102" t="s">
        <v>40</v>
      </c>
      <c r="C251" s="103">
        <v>45465</v>
      </c>
      <c r="D251" s="102" t="s">
        <v>16</v>
      </c>
      <c r="E251" s="102" t="s">
        <v>17</v>
      </c>
      <c r="F251" s="102">
        <v>3813</v>
      </c>
      <c r="G251" s="102">
        <v>935</v>
      </c>
      <c r="H251" s="102">
        <v>274</v>
      </c>
      <c r="I251" s="102">
        <v>68634</v>
      </c>
      <c r="J251" s="102">
        <v>68488</v>
      </c>
      <c r="K251" s="102">
        <v>251</v>
      </c>
      <c r="L251" s="102" t="s">
        <v>178</v>
      </c>
      <c r="M251" s="104" t="s">
        <v>19</v>
      </c>
    </row>
    <row r="252" spans="1:13" x14ac:dyDescent="0.3">
      <c r="A252" s="101" t="s">
        <v>480</v>
      </c>
      <c r="B252" s="102" t="s">
        <v>31</v>
      </c>
      <c r="C252" s="103">
        <v>45743</v>
      </c>
      <c r="D252" s="102" t="s">
        <v>42</v>
      </c>
      <c r="E252" s="102" t="s">
        <v>43</v>
      </c>
      <c r="F252" s="102">
        <v>1377</v>
      </c>
      <c r="G252" s="102">
        <v>796</v>
      </c>
      <c r="H252" s="102">
        <v>387</v>
      </c>
      <c r="I252" s="102">
        <v>22032</v>
      </c>
      <c r="J252" s="102">
        <v>21869</v>
      </c>
      <c r="K252" s="102">
        <v>189</v>
      </c>
      <c r="L252" s="102" t="s">
        <v>144</v>
      </c>
      <c r="M252" s="104" t="s">
        <v>38</v>
      </c>
    </row>
    <row r="253" spans="1:13" x14ac:dyDescent="0.3">
      <c r="A253" s="101" t="s">
        <v>482</v>
      </c>
      <c r="B253" s="102" t="s">
        <v>40</v>
      </c>
      <c r="C253" s="103">
        <v>45775</v>
      </c>
      <c r="D253" s="102" t="s">
        <v>42</v>
      </c>
      <c r="E253" s="102" t="s">
        <v>43</v>
      </c>
      <c r="F253" s="102">
        <v>2089</v>
      </c>
      <c r="G253" s="102">
        <v>476</v>
      </c>
      <c r="H253" s="102">
        <v>69</v>
      </c>
      <c r="I253" s="102">
        <v>16712</v>
      </c>
      <c r="J253" s="102">
        <v>16309</v>
      </c>
      <c r="K253" s="102">
        <v>64</v>
      </c>
      <c r="L253" s="102" t="s">
        <v>61</v>
      </c>
      <c r="M253" s="104" t="s">
        <v>19</v>
      </c>
    </row>
    <row r="254" spans="1:13" x14ac:dyDescent="0.3">
      <c r="A254" s="101" t="s">
        <v>483</v>
      </c>
      <c r="B254" s="102" t="s">
        <v>14</v>
      </c>
      <c r="C254" s="103">
        <v>45507</v>
      </c>
      <c r="D254" s="102" t="s">
        <v>16</v>
      </c>
      <c r="E254" s="102" t="s">
        <v>17</v>
      </c>
      <c r="F254" s="102">
        <v>3791</v>
      </c>
      <c r="G254" s="102">
        <v>593</v>
      </c>
      <c r="H254" s="102">
        <v>228</v>
      </c>
      <c r="I254" s="102">
        <v>53074</v>
      </c>
      <c r="J254" s="102">
        <v>52613</v>
      </c>
      <c r="K254" s="102">
        <v>205</v>
      </c>
      <c r="L254" s="102" t="s">
        <v>162</v>
      </c>
      <c r="M254" s="104" t="s">
        <v>19</v>
      </c>
    </row>
    <row r="255" spans="1:13" x14ac:dyDescent="0.3">
      <c r="A255" s="101" t="s">
        <v>485</v>
      </c>
      <c r="B255" s="102" t="s">
        <v>14</v>
      </c>
      <c r="C255" s="103">
        <v>45671</v>
      </c>
      <c r="D255" s="102" t="s">
        <v>49</v>
      </c>
      <c r="E255" s="102" t="s">
        <v>50</v>
      </c>
      <c r="F255" s="102">
        <v>2692</v>
      </c>
      <c r="G255" s="102">
        <v>115</v>
      </c>
      <c r="H255" s="102">
        <v>64</v>
      </c>
      <c r="I255" s="102">
        <v>21536</v>
      </c>
      <c r="J255" s="102">
        <v>21120</v>
      </c>
      <c r="K255" s="102">
        <v>224</v>
      </c>
      <c r="L255" s="102" t="s">
        <v>178</v>
      </c>
      <c r="M255" s="104" t="s">
        <v>55</v>
      </c>
    </row>
    <row r="256" spans="1:13" x14ac:dyDescent="0.3">
      <c r="A256" s="101" t="s">
        <v>487</v>
      </c>
      <c r="B256" s="102" t="s">
        <v>40</v>
      </c>
      <c r="C256" s="103">
        <v>45750</v>
      </c>
      <c r="D256" s="102" t="s">
        <v>33</v>
      </c>
      <c r="E256" s="102" t="s">
        <v>34</v>
      </c>
      <c r="F256" s="102">
        <v>3767</v>
      </c>
      <c r="G256" s="102">
        <v>514</v>
      </c>
      <c r="H256" s="102">
        <v>238</v>
      </c>
      <c r="I256" s="102">
        <v>37670</v>
      </c>
      <c r="J256" s="102">
        <v>36807</v>
      </c>
      <c r="K256" s="102">
        <v>226</v>
      </c>
      <c r="L256" s="102" t="s">
        <v>162</v>
      </c>
      <c r="M256" s="104" t="s">
        <v>19</v>
      </c>
    </row>
    <row r="257" spans="1:13" x14ac:dyDescent="0.3">
      <c r="A257" s="101" t="s">
        <v>488</v>
      </c>
      <c r="B257" s="102" t="s">
        <v>577</v>
      </c>
      <c r="C257" s="103">
        <v>45553</v>
      </c>
      <c r="D257" s="102" t="s">
        <v>42</v>
      </c>
      <c r="E257" s="102" t="s">
        <v>43</v>
      </c>
      <c r="F257" s="102">
        <v>2143</v>
      </c>
      <c r="G257" s="102">
        <v>12</v>
      </c>
      <c r="H257" s="102">
        <v>204</v>
      </c>
      <c r="I257" s="102">
        <v>40717</v>
      </c>
      <c r="J257" s="102">
        <v>40125</v>
      </c>
      <c r="K257" s="102">
        <v>248</v>
      </c>
      <c r="L257" s="102" t="s">
        <v>127</v>
      </c>
      <c r="M257" s="104" t="s">
        <v>55</v>
      </c>
    </row>
    <row r="258" spans="1:13" x14ac:dyDescent="0.3">
      <c r="A258" s="101" t="s">
        <v>489</v>
      </c>
      <c r="B258" s="102" t="s">
        <v>40</v>
      </c>
      <c r="C258" s="103">
        <v>45753</v>
      </c>
      <c r="D258" s="102" t="s">
        <v>49</v>
      </c>
      <c r="E258" s="102" t="s">
        <v>50</v>
      </c>
      <c r="F258" s="102">
        <v>3090</v>
      </c>
      <c r="G258" s="102">
        <v>697</v>
      </c>
      <c r="H258" s="102">
        <v>164</v>
      </c>
      <c r="I258" s="102">
        <v>49440</v>
      </c>
      <c r="J258" s="102">
        <v>48524</v>
      </c>
      <c r="K258" s="102">
        <v>25</v>
      </c>
      <c r="L258" s="102" t="s">
        <v>264</v>
      </c>
      <c r="M258" s="104" t="s">
        <v>55</v>
      </c>
    </row>
    <row r="259" spans="1:13" x14ac:dyDescent="0.3">
      <c r="A259" s="101" t="s">
        <v>490</v>
      </c>
      <c r="B259" s="102" t="s">
        <v>31</v>
      </c>
      <c r="C259" s="103">
        <v>45509</v>
      </c>
      <c r="D259" s="102" t="s">
        <v>33</v>
      </c>
      <c r="E259" s="102" t="s">
        <v>34</v>
      </c>
      <c r="F259" s="102">
        <v>3601</v>
      </c>
      <c r="G259" s="102">
        <v>695</v>
      </c>
      <c r="H259" s="102">
        <v>75</v>
      </c>
      <c r="I259" s="102">
        <v>21606</v>
      </c>
      <c r="J259" s="102">
        <v>21454</v>
      </c>
      <c r="K259" s="102">
        <v>172</v>
      </c>
      <c r="L259" s="102" t="s">
        <v>58</v>
      </c>
      <c r="M259" s="104" t="s">
        <v>25</v>
      </c>
    </row>
    <row r="260" spans="1:13" x14ac:dyDescent="0.3">
      <c r="A260" s="101" t="s">
        <v>492</v>
      </c>
      <c r="B260" s="102" t="s">
        <v>40</v>
      </c>
      <c r="C260" s="103">
        <v>45698</v>
      </c>
      <c r="D260" s="102" t="s">
        <v>22</v>
      </c>
      <c r="E260" s="102" t="s">
        <v>23</v>
      </c>
      <c r="F260" s="102">
        <v>562</v>
      </c>
      <c r="G260" s="102">
        <v>158</v>
      </c>
      <c r="H260" s="102">
        <v>149</v>
      </c>
      <c r="I260" s="102">
        <v>3372</v>
      </c>
      <c r="J260" s="102">
        <v>2940</v>
      </c>
      <c r="K260" s="102">
        <v>93</v>
      </c>
      <c r="L260" s="102" t="s">
        <v>127</v>
      </c>
      <c r="M260" s="104" t="s">
        <v>55</v>
      </c>
    </row>
    <row r="261" spans="1:13" x14ac:dyDescent="0.3">
      <c r="A261" s="101" t="s">
        <v>493</v>
      </c>
      <c r="B261" s="102" t="s">
        <v>31</v>
      </c>
      <c r="C261" s="103">
        <v>45700</v>
      </c>
      <c r="D261" s="102" t="s">
        <v>33</v>
      </c>
      <c r="E261" s="102" t="s">
        <v>34</v>
      </c>
      <c r="F261" s="102">
        <v>4332</v>
      </c>
      <c r="G261" s="102">
        <v>771</v>
      </c>
      <c r="H261" s="102">
        <v>219</v>
      </c>
      <c r="I261" s="102">
        <v>60648</v>
      </c>
      <c r="J261" s="102">
        <v>60397</v>
      </c>
      <c r="K261" s="102">
        <v>10</v>
      </c>
      <c r="L261" s="102" t="s">
        <v>24</v>
      </c>
      <c r="M261" s="104" t="s">
        <v>38</v>
      </c>
    </row>
    <row r="262" spans="1:13" x14ac:dyDescent="0.3">
      <c r="A262" s="101" t="s">
        <v>495</v>
      </c>
      <c r="B262" s="102" t="s">
        <v>31</v>
      </c>
      <c r="C262" s="103">
        <v>45592</v>
      </c>
      <c r="D262" s="102" t="s">
        <v>49</v>
      </c>
      <c r="E262" s="102" t="s">
        <v>50</v>
      </c>
      <c r="F262" s="102">
        <v>4853</v>
      </c>
      <c r="G262" s="102">
        <v>837</v>
      </c>
      <c r="H262" s="102">
        <v>340</v>
      </c>
      <c r="I262" s="102">
        <v>72795</v>
      </c>
      <c r="J262" s="102">
        <v>72237</v>
      </c>
      <c r="K262" s="102">
        <v>170</v>
      </c>
      <c r="L262" s="102" t="s">
        <v>18</v>
      </c>
      <c r="M262" s="104" t="s">
        <v>25</v>
      </c>
    </row>
    <row r="263" spans="1:13" x14ac:dyDescent="0.3">
      <c r="A263" s="101" t="s">
        <v>497</v>
      </c>
      <c r="B263" s="102" t="s">
        <v>577</v>
      </c>
      <c r="C263" s="103">
        <v>45675</v>
      </c>
      <c r="D263" s="102" t="s">
        <v>49</v>
      </c>
      <c r="E263" s="102" t="s">
        <v>50</v>
      </c>
      <c r="F263" s="102">
        <v>1206</v>
      </c>
      <c r="G263" s="102">
        <v>238</v>
      </c>
      <c r="H263" s="102">
        <v>36</v>
      </c>
      <c r="I263" s="102">
        <v>9648</v>
      </c>
      <c r="J263" s="102">
        <v>9417</v>
      </c>
      <c r="K263" s="102">
        <v>237</v>
      </c>
      <c r="L263" s="102" t="s">
        <v>82</v>
      </c>
      <c r="M263" s="104" t="s">
        <v>38</v>
      </c>
    </row>
    <row r="264" spans="1:13" x14ac:dyDescent="0.3">
      <c r="A264" s="101" t="s">
        <v>498</v>
      </c>
      <c r="B264" s="102" t="s">
        <v>31</v>
      </c>
      <c r="C264" s="103">
        <v>45524</v>
      </c>
      <c r="D264" s="102" t="s">
        <v>16</v>
      </c>
      <c r="E264" s="102" t="s">
        <v>17</v>
      </c>
      <c r="F264" s="102">
        <v>2603</v>
      </c>
      <c r="G264" s="102">
        <v>690</v>
      </c>
      <c r="H264" s="102">
        <v>205</v>
      </c>
      <c r="I264" s="102">
        <v>13015</v>
      </c>
      <c r="J264" s="102">
        <v>12130</v>
      </c>
      <c r="K264" s="102">
        <v>20</v>
      </c>
      <c r="L264" s="102" t="s">
        <v>44</v>
      </c>
      <c r="M264" s="104" t="s">
        <v>19</v>
      </c>
    </row>
    <row r="265" spans="1:13" x14ac:dyDescent="0.3">
      <c r="A265" s="101" t="s">
        <v>500</v>
      </c>
      <c r="B265" s="102" t="s">
        <v>14</v>
      </c>
      <c r="C265" s="103">
        <v>45687</v>
      </c>
      <c r="D265" s="102" t="s">
        <v>49</v>
      </c>
      <c r="E265" s="102" t="s">
        <v>50</v>
      </c>
      <c r="F265" s="102">
        <v>59</v>
      </c>
      <c r="G265" s="102">
        <v>163</v>
      </c>
      <c r="H265" s="102">
        <v>93</v>
      </c>
      <c r="I265" s="102">
        <v>590</v>
      </c>
      <c r="J265" s="102">
        <v>475</v>
      </c>
      <c r="K265" s="102">
        <v>293</v>
      </c>
      <c r="L265" s="102" t="s">
        <v>44</v>
      </c>
      <c r="M265" s="104" t="s">
        <v>55</v>
      </c>
    </row>
    <row r="266" spans="1:13" x14ac:dyDescent="0.3">
      <c r="A266" s="101" t="s">
        <v>502</v>
      </c>
      <c r="B266" s="102" t="s">
        <v>14</v>
      </c>
      <c r="C266" s="103">
        <v>45708</v>
      </c>
      <c r="D266" s="102" t="s">
        <v>42</v>
      </c>
      <c r="E266" s="102" t="s">
        <v>43</v>
      </c>
      <c r="F266" s="102">
        <v>1877</v>
      </c>
      <c r="G266" s="102">
        <v>745</v>
      </c>
      <c r="H266" s="102">
        <v>225</v>
      </c>
      <c r="I266" s="102">
        <v>11262</v>
      </c>
      <c r="J266" s="102">
        <v>10967</v>
      </c>
      <c r="K266" s="102">
        <v>41</v>
      </c>
      <c r="L266" s="102" t="s">
        <v>61</v>
      </c>
      <c r="M266" s="104" t="s">
        <v>19</v>
      </c>
    </row>
    <row r="267" spans="1:13" x14ac:dyDescent="0.3">
      <c r="A267" s="101" t="s">
        <v>504</v>
      </c>
      <c r="B267" s="102" t="s">
        <v>40</v>
      </c>
      <c r="C267" s="103">
        <v>45621</v>
      </c>
      <c r="D267" s="102" t="s">
        <v>33</v>
      </c>
      <c r="E267" s="102" t="s">
        <v>34</v>
      </c>
      <c r="F267" s="102">
        <v>4182</v>
      </c>
      <c r="G267" s="102">
        <v>640</v>
      </c>
      <c r="H267" s="102">
        <v>240</v>
      </c>
      <c r="I267" s="102">
        <v>50184</v>
      </c>
      <c r="J267" s="102">
        <v>49351</v>
      </c>
      <c r="K267" s="102">
        <v>10</v>
      </c>
      <c r="L267" s="102" t="s">
        <v>82</v>
      </c>
      <c r="M267" s="104" t="s">
        <v>38</v>
      </c>
    </row>
    <row r="268" spans="1:13" x14ac:dyDescent="0.3">
      <c r="A268" s="101" t="s">
        <v>505</v>
      </c>
      <c r="B268" s="102" t="s">
        <v>14</v>
      </c>
      <c r="C268" s="103">
        <v>45569</v>
      </c>
      <c r="D268" s="102" t="s">
        <v>16</v>
      </c>
      <c r="E268" s="102" t="s">
        <v>17</v>
      </c>
      <c r="F268" s="102">
        <v>4187</v>
      </c>
      <c r="G268" s="102">
        <v>66</v>
      </c>
      <c r="H268" s="102">
        <v>31</v>
      </c>
      <c r="I268" s="102">
        <v>66992</v>
      </c>
      <c r="J268" s="102">
        <v>66614</v>
      </c>
      <c r="K268" s="102">
        <v>62</v>
      </c>
      <c r="L268" s="102" t="s">
        <v>58</v>
      </c>
      <c r="M268" s="104" t="s">
        <v>55</v>
      </c>
    </row>
    <row r="269" spans="1:13" x14ac:dyDescent="0.3">
      <c r="A269" s="101" t="s">
        <v>506</v>
      </c>
      <c r="B269" s="102" t="s">
        <v>31</v>
      </c>
      <c r="C269" s="103">
        <v>45760</v>
      </c>
      <c r="D269" s="102" t="s">
        <v>16</v>
      </c>
      <c r="E269" s="102" t="s">
        <v>17</v>
      </c>
      <c r="F269" s="102">
        <v>4579</v>
      </c>
      <c r="G269" s="102">
        <v>125</v>
      </c>
      <c r="H269" s="102">
        <v>300</v>
      </c>
      <c r="I269" s="102">
        <v>59527</v>
      </c>
      <c r="J269" s="102">
        <v>59400</v>
      </c>
      <c r="K269" s="102">
        <v>269</v>
      </c>
      <c r="L269" s="102" t="s">
        <v>37</v>
      </c>
      <c r="M269" s="104" t="s">
        <v>19</v>
      </c>
    </row>
    <row r="270" spans="1:13" x14ac:dyDescent="0.3">
      <c r="A270" s="101" t="s">
        <v>508</v>
      </c>
      <c r="B270" s="102" t="s">
        <v>31</v>
      </c>
      <c r="C270" s="103">
        <v>45601</v>
      </c>
      <c r="D270" s="102" t="s">
        <v>69</v>
      </c>
      <c r="E270" s="102" t="s">
        <v>70</v>
      </c>
      <c r="F270" s="102">
        <v>4561</v>
      </c>
      <c r="G270" s="102">
        <v>51</v>
      </c>
      <c r="H270" s="102">
        <v>441</v>
      </c>
      <c r="I270" s="102">
        <v>22805</v>
      </c>
      <c r="J270" s="102">
        <v>21890</v>
      </c>
      <c r="K270" s="102">
        <v>45</v>
      </c>
      <c r="L270" s="102" t="s">
        <v>58</v>
      </c>
      <c r="M270" s="104" t="s">
        <v>25</v>
      </c>
    </row>
    <row r="271" spans="1:13" x14ac:dyDescent="0.3">
      <c r="A271" s="101" t="s">
        <v>510</v>
      </c>
      <c r="B271" s="102" t="s">
        <v>577</v>
      </c>
      <c r="C271" s="103">
        <v>45672</v>
      </c>
      <c r="D271" s="102" t="s">
        <v>16</v>
      </c>
      <c r="E271" s="102" t="s">
        <v>17</v>
      </c>
      <c r="F271" s="102">
        <v>3774</v>
      </c>
      <c r="G271" s="102">
        <v>239</v>
      </c>
      <c r="H271" s="102">
        <v>39</v>
      </c>
      <c r="I271" s="102">
        <v>60384</v>
      </c>
      <c r="J271" s="102">
        <v>59490</v>
      </c>
      <c r="K271" s="102">
        <v>241</v>
      </c>
      <c r="L271" s="102" t="s">
        <v>77</v>
      </c>
      <c r="M271" s="104" t="s">
        <v>38</v>
      </c>
    </row>
    <row r="272" spans="1:13" x14ac:dyDescent="0.3">
      <c r="A272" s="101" t="s">
        <v>511</v>
      </c>
      <c r="B272" s="102" t="s">
        <v>31</v>
      </c>
      <c r="C272" s="103">
        <v>45582</v>
      </c>
      <c r="D272" s="102" t="s">
        <v>69</v>
      </c>
      <c r="E272" s="102" t="s">
        <v>70</v>
      </c>
      <c r="F272" s="102">
        <v>3575</v>
      </c>
      <c r="G272" s="102">
        <v>749</v>
      </c>
      <c r="H272" s="102">
        <v>111</v>
      </c>
      <c r="I272" s="102">
        <v>21450</v>
      </c>
      <c r="J272" s="102">
        <v>20785</v>
      </c>
      <c r="K272" s="102">
        <v>195</v>
      </c>
      <c r="L272" s="102" t="s">
        <v>77</v>
      </c>
      <c r="M272" s="104" t="s">
        <v>38</v>
      </c>
    </row>
    <row r="273" spans="1:13" x14ac:dyDescent="0.3">
      <c r="A273" s="101" t="s">
        <v>513</v>
      </c>
      <c r="B273" s="102" t="s">
        <v>31</v>
      </c>
      <c r="C273" s="103">
        <v>45743</v>
      </c>
      <c r="D273" s="102" t="s">
        <v>22</v>
      </c>
      <c r="E273" s="102" t="s">
        <v>23</v>
      </c>
      <c r="F273" s="102">
        <v>4941</v>
      </c>
      <c r="G273" s="102">
        <v>414</v>
      </c>
      <c r="H273" s="102">
        <v>266</v>
      </c>
      <c r="I273" s="102">
        <v>39528</v>
      </c>
      <c r="J273" s="102">
        <v>39154</v>
      </c>
      <c r="K273" s="102">
        <v>217</v>
      </c>
      <c r="L273" s="102" t="s">
        <v>18</v>
      </c>
      <c r="M273" s="104" t="s">
        <v>25</v>
      </c>
    </row>
    <row r="274" spans="1:13" x14ac:dyDescent="0.3">
      <c r="A274" s="101" t="s">
        <v>514</v>
      </c>
      <c r="B274" s="102" t="s">
        <v>577</v>
      </c>
      <c r="C274" s="103">
        <v>45577</v>
      </c>
      <c r="D274" s="102" t="s">
        <v>33</v>
      </c>
      <c r="E274" s="102" t="s">
        <v>34</v>
      </c>
      <c r="F274" s="102">
        <v>3641</v>
      </c>
      <c r="G274" s="102">
        <v>226</v>
      </c>
      <c r="H274" s="102">
        <v>46</v>
      </c>
      <c r="I274" s="102">
        <v>40051</v>
      </c>
      <c r="J274" s="102">
        <v>39319</v>
      </c>
      <c r="K274" s="102">
        <v>296</v>
      </c>
      <c r="L274" s="102" t="s">
        <v>44</v>
      </c>
      <c r="M274" s="104" t="s">
        <v>25</v>
      </c>
    </row>
    <row r="275" spans="1:13" x14ac:dyDescent="0.3">
      <c r="A275" s="101" t="s">
        <v>516</v>
      </c>
      <c r="B275" s="102" t="s">
        <v>14</v>
      </c>
      <c r="C275" s="103">
        <v>45658</v>
      </c>
      <c r="D275" s="102" t="s">
        <v>42</v>
      </c>
      <c r="E275" s="102" t="s">
        <v>43</v>
      </c>
      <c r="F275" s="102">
        <v>3535</v>
      </c>
      <c r="G275" s="102">
        <v>494</v>
      </c>
      <c r="H275" s="102">
        <v>152</v>
      </c>
      <c r="I275" s="102">
        <v>53025</v>
      </c>
      <c r="J275" s="102">
        <v>52791</v>
      </c>
      <c r="K275" s="102">
        <v>44</v>
      </c>
      <c r="L275" s="102" t="s">
        <v>214</v>
      </c>
      <c r="M275" s="104" t="s">
        <v>25</v>
      </c>
    </row>
    <row r="276" spans="1:13" x14ac:dyDescent="0.3">
      <c r="A276" s="101" t="s">
        <v>517</v>
      </c>
      <c r="B276" s="102" t="s">
        <v>40</v>
      </c>
      <c r="C276" s="103">
        <v>45509</v>
      </c>
      <c r="D276" s="102" t="s">
        <v>16</v>
      </c>
      <c r="E276" s="102" t="s">
        <v>17</v>
      </c>
      <c r="F276" s="102">
        <v>1741</v>
      </c>
      <c r="G276" s="102">
        <v>831</v>
      </c>
      <c r="H276" s="102">
        <v>345</v>
      </c>
      <c r="I276" s="102">
        <v>17410</v>
      </c>
      <c r="J276" s="102">
        <v>16844</v>
      </c>
      <c r="K276" s="102">
        <v>58</v>
      </c>
      <c r="L276" s="102" t="s">
        <v>71</v>
      </c>
      <c r="M276" s="104" t="s">
        <v>55</v>
      </c>
    </row>
    <row r="277" spans="1:13" x14ac:dyDescent="0.3">
      <c r="A277" s="101" t="s">
        <v>518</v>
      </c>
      <c r="B277" s="102" t="s">
        <v>14</v>
      </c>
      <c r="C277" s="103">
        <v>45450</v>
      </c>
      <c r="D277" s="102" t="s">
        <v>42</v>
      </c>
      <c r="E277" s="102" t="s">
        <v>43</v>
      </c>
      <c r="F277" s="102">
        <v>1556</v>
      </c>
      <c r="G277" s="102">
        <v>195</v>
      </c>
      <c r="H277" s="102">
        <v>131</v>
      </c>
      <c r="I277" s="102">
        <v>9336</v>
      </c>
      <c r="J277" s="102">
        <v>8875</v>
      </c>
      <c r="K277" s="102">
        <v>137</v>
      </c>
      <c r="L277" s="102" t="s">
        <v>24</v>
      </c>
      <c r="M277" s="104" t="s">
        <v>25</v>
      </c>
    </row>
    <row r="278" spans="1:13" x14ac:dyDescent="0.3">
      <c r="A278" s="101" t="s">
        <v>520</v>
      </c>
      <c r="B278" s="102" t="s">
        <v>40</v>
      </c>
      <c r="C278" s="103">
        <v>45753</v>
      </c>
      <c r="D278" s="102" t="s">
        <v>49</v>
      </c>
      <c r="E278" s="102" t="s">
        <v>50</v>
      </c>
      <c r="F278" s="102">
        <v>4236</v>
      </c>
      <c r="G278" s="102">
        <v>711</v>
      </c>
      <c r="H278" s="102">
        <v>298</v>
      </c>
      <c r="I278" s="102">
        <v>21180</v>
      </c>
      <c r="J278" s="102">
        <v>20516</v>
      </c>
      <c r="K278" s="102">
        <v>238</v>
      </c>
      <c r="L278" s="102" t="s">
        <v>209</v>
      </c>
      <c r="M278" s="104" t="s">
        <v>55</v>
      </c>
    </row>
    <row r="279" spans="1:13" x14ac:dyDescent="0.3">
      <c r="A279" s="101" t="s">
        <v>521</v>
      </c>
      <c r="B279" s="102" t="s">
        <v>14</v>
      </c>
      <c r="C279" s="103">
        <v>45622</v>
      </c>
      <c r="D279" s="102" t="s">
        <v>22</v>
      </c>
      <c r="E279" s="102" t="s">
        <v>23</v>
      </c>
      <c r="F279" s="102">
        <v>4516</v>
      </c>
      <c r="G279" s="102">
        <v>836</v>
      </c>
      <c r="H279" s="102">
        <v>169</v>
      </c>
      <c r="I279" s="102">
        <v>49676</v>
      </c>
      <c r="J279" s="102">
        <v>49257</v>
      </c>
      <c r="K279" s="102">
        <v>282</v>
      </c>
      <c r="L279" s="102" t="s">
        <v>44</v>
      </c>
      <c r="M279" s="104" t="s">
        <v>19</v>
      </c>
    </row>
    <row r="280" spans="1:13" x14ac:dyDescent="0.3">
      <c r="A280" s="101" t="s">
        <v>523</v>
      </c>
      <c r="B280" s="102" t="s">
        <v>577</v>
      </c>
      <c r="C280" s="103">
        <v>45537</v>
      </c>
      <c r="D280" s="102" t="s">
        <v>49</v>
      </c>
      <c r="E280" s="102" t="s">
        <v>50</v>
      </c>
      <c r="F280" s="102">
        <v>4905</v>
      </c>
      <c r="G280" s="102">
        <v>845</v>
      </c>
      <c r="H280" s="102">
        <v>129</v>
      </c>
      <c r="I280" s="102">
        <v>98100</v>
      </c>
      <c r="J280" s="102">
        <v>97772</v>
      </c>
      <c r="K280" s="102">
        <v>279</v>
      </c>
      <c r="L280" s="102" t="s">
        <v>44</v>
      </c>
      <c r="M280" s="104" t="s">
        <v>55</v>
      </c>
    </row>
    <row r="281" spans="1:13" x14ac:dyDescent="0.3">
      <c r="A281" s="101" t="s">
        <v>524</v>
      </c>
      <c r="B281" s="102" t="s">
        <v>577</v>
      </c>
      <c r="C281" s="103">
        <v>45586</v>
      </c>
      <c r="D281" s="102" t="s">
        <v>69</v>
      </c>
      <c r="E281" s="102" t="s">
        <v>70</v>
      </c>
      <c r="F281" s="102">
        <v>4275</v>
      </c>
      <c r="G281" s="102">
        <v>680</v>
      </c>
      <c r="H281" s="102">
        <v>385</v>
      </c>
      <c r="I281" s="102">
        <v>64125</v>
      </c>
      <c r="J281" s="102">
        <v>63650</v>
      </c>
      <c r="K281" s="102">
        <v>104</v>
      </c>
      <c r="L281" s="102" t="s">
        <v>58</v>
      </c>
      <c r="M281" s="104" t="s">
        <v>55</v>
      </c>
    </row>
    <row r="282" spans="1:13" x14ac:dyDescent="0.3">
      <c r="A282" s="101" t="s">
        <v>525</v>
      </c>
      <c r="B282" s="102" t="s">
        <v>577</v>
      </c>
      <c r="C282" s="103">
        <v>45738</v>
      </c>
      <c r="D282" s="102" t="s">
        <v>49</v>
      </c>
      <c r="E282" s="102" t="s">
        <v>50</v>
      </c>
      <c r="F282" s="102">
        <v>3166</v>
      </c>
      <c r="G282" s="102">
        <v>90</v>
      </c>
      <c r="H282" s="102">
        <v>341</v>
      </c>
      <c r="I282" s="102">
        <v>56988</v>
      </c>
      <c r="J282" s="102">
        <v>56125</v>
      </c>
      <c r="K282" s="102">
        <v>135</v>
      </c>
      <c r="L282" s="102" t="s">
        <v>146</v>
      </c>
      <c r="M282" s="104" t="s">
        <v>25</v>
      </c>
    </row>
    <row r="283" spans="1:13" x14ac:dyDescent="0.3">
      <c r="A283" s="101" t="s">
        <v>527</v>
      </c>
      <c r="B283" s="102" t="s">
        <v>31</v>
      </c>
      <c r="C283" s="103">
        <v>45568</v>
      </c>
      <c r="D283" s="102" t="s">
        <v>69</v>
      </c>
      <c r="E283" s="102" t="s">
        <v>70</v>
      </c>
      <c r="F283" s="102">
        <v>1488</v>
      </c>
      <c r="G283" s="102">
        <v>417</v>
      </c>
      <c r="H283" s="102">
        <v>168</v>
      </c>
      <c r="I283" s="102">
        <v>19344</v>
      </c>
      <c r="J283" s="102">
        <v>18395</v>
      </c>
      <c r="K283" s="102">
        <v>30</v>
      </c>
      <c r="L283" s="102" t="s">
        <v>18</v>
      </c>
      <c r="M283" s="104" t="s">
        <v>19</v>
      </c>
    </row>
    <row r="284" spans="1:13" x14ac:dyDescent="0.3">
      <c r="A284" s="101" t="s">
        <v>529</v>
      </c>
      <c r="B284" s="102" t="s">
        <v>14</v>
      </c>
      <c r="C284" s="103">
        <v>45786</v>
      </c>
      <c r="D284" s="102" t="s">
        <v>16</v>
      </c>
      <c r="E284" s="102" t="s">
        <v>17</v>
      </c>
      <c r="F284" s="102">
        <v>3367</v>
      </c>
      <c r="G284" s="102">
        <v>302</v>
      </c>
      <c r="H284" s="102">
        <v>57</v>
      </c>
      <c r="I284" s="102">
        <v>63973</v>
      </c>
      <c r="J284" s="102">
        <v>63789</v>
      </c>
      <c r="K284" s="102">
        <v>157</v>
      </c>
      <c r="L284" s="102" t="s">
        <v>105</v>
      </c>
      <c r="M284" s="104" t="s">
        <v>38</v>
      </c>
    </row>
    <row r="285" spans="1:13" x14ac:dyDescent="0.3">
      <c r="A285" s="101" t="s">
        <v>531</v>
      </c>
      <c r="B285" s="102" t="s">
        <v>14</v>
      </c>
      <c r="C285" s="103">
        <v>45552</v>
      </c>
      <c r="D285" s="102" t="s">
        <v>22</v>
      </c>
      <c r="E285" s="102" t="s">
        <v>23</v>
      </c>
      <c r="F285" s="102">
        <v>571</v>
      </c>
      <c r="G285" s="102">
        <v>190</v>
      </c>
      <c r="H285" s="102">
        <v>352</v>
      </c>
      <c r="I285" s="102">
        <v>9707</v>
      </c>
      <c r="J285" s="102">
        <v>9418</v>
      </c>
      <c r="K285" s="102">
        <v>231</v>
      </c>
      <c r="L285" s="102" t="s">
        <v>77</v>
      </c>
      <c r="M285" s="104" t="s">
        <v>25</v>
      </c>
    </row>
    <row r="286" spans="1:13" x14ac:dyDescent="0.3">
      <c r="A286" s="101" t="s">
        <v>532</v>
      </c>
      <c r="B286" s="102" t="s">
        <v>577</v>
      </c>
      <c r="C286" s="103">
        <v>45491</v>
      </c>
      <c r="D286" s="102" t="s">
        <v>22</v>
      </c>
      <c r="E286" s="102" t="s">
        <v>23</v>
      </c>
      <c r="F286" s="102">
        <v>4021</v>
      </c>
      <c r="G286" s="102">
        <v>794</v>
      </c>
      <c r="H286" s="102">
        <v>77</v>
      </c>
      <c r="I286" s="102">
        <v>36189</v>
      </c>
      <c r="J286" s="102">
        <v>35505</v>
      </c>
      <c r="K286" s="102">
        <v>174</v>
      </c>
      <c r="L286" s="102" t="s">
        <v>264</v>
      </c>
      <c r="M286" s="104" t="s">
        <v>19</v>
      </c>
    </row>
    <row r="287" spans="1:13" x14ac:dyDescent="0.3">
      <c r="A287" s="101" t="s">
        <v>533</v>
      </c>
      <c r="B287" s="102" t="s">
        <v>577</v>
      </c>
      <c r="C287" s="103">
        <v>45560</v>
      </c>
      <c r="D287" s="102" t="s">
        <v>69</v>
      </c>
      <c r="E287" s="102" t="s">
        <v>70</v>
      </c>
      <c r="F287" s="102">
        <v>3389</v>
      </c>
      <c r="G287" s="102">
        <v>344</v>
      </c>
      <c r="H287" s="102">
        <v>229</v>
      </c>
      <c r="I287" s="102">
        <v>20334</v>
      </c>
      <c r="J287" s="102">
        <v>19443</v>
      </c>
      <c r="K287" s="102">
        <v>228</v>
      </c>
      <c r="L287" s="102" t="s">
        <v>29</v>
      </c>
      <c r="M287" s="104" t="s">
        <v>25</v>
      </c>
    </row>
    <row r="288" spans="1:13" x14ac:dyDescent="0.3">
      <c r="A288" s="101" t="s">
        <v>535</v>
      </c>
      <c r="B288" s="102" t="s">
        <v>31</v>
      </c>
      <c r="C288" s="103">
        <v>45519</v>
      </c>
      <c r="D288" s="102" t="s">
        <v>16</v>
      </c>
      <c r="E288" s="102" t="s">
        <v>17</v>
      </c>
      <c r="F288" s="102">
        <v>1164</v>
      </c>
      <c r="G288" s="102">
        <v>616</v>
      </c>
      <c r="H288" s="102">
        <v>324</v>
      </c>
      <c r="I288" s="102">
        <v>6984</v>
      </c>
      <c r="J288" s="102">
        <v>6636</v>
      </c>
      <c r="K288" s="102">
        <v>82</v>
      </c>
      <c r="L288" s="102" t="s">
        <v>285</v>
      </c>
      <c r="M288" s="104" t="s">
        <v>38</v>
      </c>
    </row>
    <row r="289" spans="1:13" x14ac:dyDescent="0.3">
      <c r="A289" s="101" t="s">
        <v>536</v>
      </c>
      <c r="B289" s="102" t="s">
        <v>577</v>
      </c>
      <c r="C289" s="103">
        <v>45764</v>
      </c>
      <c r="D289" s="102" t="s">
        <v>42</v>
      </c>
      <c r="E289" s="102" t="s">
        <v>43</v>
      </c>
      <c r="F289" s="102">
        <v>4780</v>
      </c>
      <c r="G289" s="102">
        <v>691</v>
      </c>
      <c r="H289" s="102">
        <v>380</v>
      </c>
      <c r="I289" s="102">
        <v>86040</v>
      </c>
      <c r="J289" s="102">
        <v>85743</v>
      </c>
      <c r="K289" s="102">
        <v>262</v>
      </c>
      <c r="L289" s="102" t="s">
        <v>71</v>
      </c>
      <c r="M289" s="104" t="s">
        <v>38</v>
      </c>
    </row>
    <row r="290" spans="1:13" x14ac:dyDescent="0.3">
      <c r="A290" s="101" t="s">
        <v>538</v>
      </c>
      <c r="B290" s="102" t="s">
        <v>40</v>
      </c>
      <c r="C290" s="103">
        <v>45624</v>
      </c>
      <c r="D290" s="102" t="s">
        <v>42</v>
      </c>
      <c r="E290" s="102" t="s">
        <v>43</v>
      </c>
      <c r="F290" s="102">
        <v>2751</v>
      </c>
      <c r="G290" s="102">
        <v>33</v>
      </c>
      <c r="H290" s="102">
        <v>430</v>
      </c>
      <c r="I290" s="102">
        <v>44016</v>
      </c>
      <c r="J290" s="102">
        <v>43415</v>
      </c>
      <c r="K290" s="102">
        <v>129</v>
      </c>
      <c r="L290" s="102" t="s">
        <v>214</v>
      </c>
      <c r="M290" s="104" t="s">
        <v>25</v>
      </c>
    </row>
    <row r="291" spans="1:13" x14ac:dyDescent="0.3">
      <c r="A291" s="101" t="s">
        <v>539</v>
      </c>
      <c r="B291" s="102" t="s">
        <v>31</v>
      </c>
      <c r="C291" s="103">
        <v>45646</v>
      </c>
      <c r="D291" s="102" t="s">
        <v>42</v>
      </c>
      <c r="E291" s="102" t="s">
        <v>43</v>
      </c>
      <c r="F291" s="102">
        <v>2107</v>
      </c>
      <c r="G291" s="102">
        <v>550</v>
      </c>
      <c r="H291" s="102">
        <v>349</v>
      </c>
      <c r="I291" s="102">
        <v>35819</v>
      </c>
      <c r="J291" s="102">
        <v>35340</v>
      </c>
      <c r="K291" s="102">
        <v>191</v>
      </c>
      <c r="L291" s="102" t="s">
        <v>44</v>
      </c>
      <c r="M291" s="104" t="s">
        <v>38</v>
      </c>
    </row>
    <row r="292" spans="1:13" x14ac:dyDescent="0.3">
      <c r="A292" s="101" t="s">
        <v>541</v>
      </c>
      <c r="B292" s="102" t="s">
        <v>40</v>
      </c>
      <c r="C292" s="103">
        <v>45602</v>
      </c>
      <c r="D292" s="102" t="s">
        <v>69</v>
      </c>
      <c r="E292" s="102" t="s">
        <v>70</v>
      </c>
      <c r="F292" s="102">
        <v>4663</v>
      </c>
      <c r="G292" s="102">
        <v>145</v>
      </c>
      <c r="H292" s="102">
        <v>225</v>
      </c>
      <c r="I292" s="102">
        <v>69945</v>
      </c>
      <c r="J292" s="102">
        <v>69596</v>
      </c>
      <c r="K292" s="102">
        <v>35</v>
      </c>
      <c r="L292" s="102" t="s">
        <v>24</v>
      </c>
      <c r="M292" s="104" t="s">
        <v>25</v>
      </c>
    </row>
    <row r="293" spans="1:13" x14ac:dyDescent="0.3">
      <c r="A293" s="101" t="s">
        <v>542</v>
      </c>
      <c r="B293" s="102" t="s">
        <v>40</v>
      </c>
      <c r="C293" s="103">
        <v>45613</v>
      </c>
      <c r="D293" s="102" t="s">
        <v>22</v>
      </c>
      <c r="E293" s="102" t="s">
        <v>23</v>
      </c>
      <c r="F293" s="102">
        <v>880</v>
      </c>
      <c r="G293" s="102">
        <v>297</v>
      </c>
      <c r="H293" s="102">
        <v>345</v>
      </c>
      <c r="I293" s="102">
        <v>12320</v>
      </c>
      <c r="J293" s="102">
        <v>11978</v>
      </c>
      <c r="K293" s="102">
        <v>238</v>
      </c>
      <c r="L293" s="102" t="s">
        <v>18</v>
      </c>
      <c r="M293" s="104" t="s">
        <v>25</v>
      </c>
    </row>
    <row r="294" spans="1:13" x14ac:dyDescent="0.3">
      <c r="A294" s="101" t="s">
        <v>544</v>
      </c>
      <c r="B294" s="102" t="s">
        <v>40</v>
      </c>
      <c r="C294" s="103">
        <v>45791</v>
      </c>
      <c r="D294" s="102" t="s">
        <v>22</v>
      </c>
      <c r="E294" s="102" t="s">
        <v>23</v>
      </c>
      <c r="F294" s="102">
        <v>2634</v>
      </c>
      <c r="G294" s="102">
        <v>726</v>
      </c>
      <c r="H294" s="102">
        <v>241</v>
      </c>
      <c r="I294" s="102">
        <v>28974</v>
      </c>
      <c r="J294" s="102">
        <v>28102</v>
      </c>
      <c r="K294" s="102">
        <v>277</v>
      </c>
      <c r="L294" s="102" t="s">
        <v>58</v>
      </c>
      <c r="M294" s="104" t="s">
        <v>38</v>
      </c>
    </row>
    <row r="295" spans="1:13" x14ac:dyDescent="0.3">
      <c r="A295" s="101" t="s">
        <v>546</v>
      </c>
      <c r="B295" s="102" t="s">
        <v>40</v>
      </c>
      <c r="C295" s="103">
        <v>45462</v>
      </c>
      <c r="D295" s="102" t="s">
        <v>42</v>
      </c>
      <c r="E295" s="102" t="s">
        <v>43</v>
      </c>
      <c r="F295" s="102">
        <v>4731</v>
      </c>
      <c r="G295" s="102">
        <v>173</v>
      </c>
      <c r="H295" s="102">
        <v>276</v>
      </c>
      <c r="I295" s="102">
        <v>28386</v>
      </c>
      <c r="J295" s="102">
        <v>28185</v>
      </c>
      <c r="K295" s="102">
        <v>89</v>
      </c>
      <c r="L295" s="102" t="s">
        <v>105</v>
      </c>
      <c r="M295" s="104" t="s">
        <v>55</v>
      </c>
    </row>
    <row r="296" spans="1:13" x14ac:dyDescent="0.3">
      <c r="A296" s="101" t="s">
        <v>548</v>
      </c>
      <c r="B296" s="102" t="s">
        <v>14</v>
      </c>
      <c r="C296" s="103">
        <v>45783</v>
      </c>
      <c r="D296" s="102" t="s">
        <v>49</v>
      </c>
      <c r="E296" s="102" t="s">
        <v>50</v>
      </c>
      <c r="F296" s="102">
        <v>1952</v>
      </c>
      <c r="G296" s="102">
        <v>344</v>
      </c>
      <c r="H296" s="102">
        <v>287</v>
      </c>
      <c r="I296" s="102">
        <v>15616</v>
      </c>
      <c r="J296" s="102">
        <v>15403</v>
      </c>
      <c r="K296" s="102">
        <v>235</v>
      </c>
      <c r="L296" s="102" t="s">
        <v>66</v>
      </c>
      <c r="M296" s="104" t="s">
        <v>38</v>
      </c>
    </row>
    <row r="297" spans="1:13" x14ac:dyDescent="0.3">
      <c r="A297" s="101" t="s">
        <v>549</v>
      </c>
      <c r="B297" s="102" t="s">
        <v>14</v>
      </c>
      <c r="C297" s="103">
        <v>45699</v>
      </c>
      <c r="D297" s="102" t="s">
        <v>69</v>
      </c>
      <c r="E297" s="102" t="s">
        <v>70</v>
      </c>
      <c r="F297" s="102">
        <v>3440</v>
      </c>
      <c r="G297" s="102">
        <v>13</v>
      </c>
      <c r="H297" s="102">
        <v>20</v>
      </c>
      <c r="I297" s="102">
        <v>58480</v>
      </c>
      <c r="J297" s="102">
        <v>58146</v>
      </c>
      <c r="K297" s="102">
        <v>210</v>
      </c>
      <c r="L297" s="102" t="s">
        <v>71</v>
      </c>
      <c r="M297" s="104" t="s">
        <v>19</v>
      </c>
    </row>
    <row r="298" spans="1:13" x14ac:dyDescent="0.3">
      <c r="A298" s="101" t="s">
        <v>551</v>
      </c>
      <c r="B298" s="102" t="s">
        <v>14</v>
      </c>
      <c r="C298" s="103">
        <v>45650</v>
      </c>
      <c r="D298" s="102" t="s">
        <v>22</v>
      </c>
      <c r="E298" s="102" t="s">
        <v>23</v>
      </c>
      <c r="F298" s="102">
        <v>2166</v>
      </c>
      <c r="G298" s="102">
        <v>354</v>
      </c>
      <c r="H298" s="102">
        <v>117</v>
      </c>
      <c r="I298" s="102">
        <v>10830</v>
      </c>
      <c r="J298" s="102">
        <v>10245</v>
      </c>
      <c r="K298" s="102">
        <v>24</v>
      </c>
      <c r="L298" s="102" t="s">
        <v>87</v>
      </c>
      <c r="M298" s="104" t="s">
        <v>19</v>
      </c>
    </row>
    <row r="299" spans="1:13" x14ac:dyDescent="0.3">
      <c r="A299" s="101" t="s">
        <v>553</v>
      </c>
      <c r="B299" s="102" t="s">
        <v>40</v>
      </c>
      <c r="C299" s="103">
        <v>45589</v>
      </c>
      <c r="D299" s="102" t="s">
        <v>49</v>
      </c>
      <c r="E299" s="102" t="s">
        <v>50</v>
      </c>
      <c r="F299" s="102">
        <v>4303</v>
      </c>
      <c r="G299" s="102">
        <v>451</v>
      </c>
      <c r="H299" s="102">
        <v>286</v>
      </c>
      <c r="I299" s="102">
        <v>86060</v>
      </c>
      <c r="J299" s="102">
        <v>85823</v>
      </c>
      <c r="K299" s="102">
        <v>14</v>
      </c>
      <c r="L299" s="102" t="s">
        <v>18</v>
      </c>
      <c r="M299" s="104" t="s">
        <v>25</v>
      </c>
    </row>
    <row r="300" spans="1:13" x14ac:dyDescent="0.3">
      <c r="A300" s="101" t="s">
        <v>554</v>
      </c>
      <c r="B300" s="102" t="s">
        <v>40</v>
      </c>
      <c r="C300" s="103">
        <v>45530</v>
      </c>
      <c r="D300" s="102" t="s">
        <v>49</v>
      </c>
      <c r="E300" s="102" t="s">
        <v>50</v>
      </c>
      <c r="F300" s="102">
        <v>2581</v>
      </c>
      <c r="G300" s="102">
        <v>517</v>
      </c>
      <c r="H300" s="102">
        <v>117</v>
      </c>
      <c r="I300" s="102">
        <v>23229</v>
      </c>
      <c r="J300" s="102">
        <v>22331</v>
      </c>
      <c r="K300" s="102">
        <v>70</v>
      </c>
      <c r="L300" s="102" t="s">
        <v>82</v>
      </c>
      <c r="M300" s="104" t="s">
        <v>25</v>
      </c>
    </row>
    <row r="301" spans="1:13" x14ac:dyDescent="0.3">
      <c r="A301" s="105" t="s">
        <v>555</v>
      </c>
      <c r="B301" s="106" t="s">
        <v>14</v>
      </c>
      <c r="C301" s="107">
        <v>45535</v>
      </c>
      <c r="D301" s="106" t="s">
        <v>42</v>
      </c>
      <c r="E301" s="106" t="s">
        <v>43</v>
      </c>
      <c r="F301" s="106">
        <v>4494</v>
      </c>
      <c r="G301" s="106">
        <v>717</v>
      </c>
      <c r="H301" s="106">
        <v>45</v>
      </c>
      <c r="I301" s="106">
        <v>62916</v>
      </c>
      <c r="J301" s="106">
        <v>62688</v>
      </c>
      <c r="K301" s="106">
        <v>191</v>
      </c>
      <c r="L301" s="106" t="s">
        <v>24</v>
      </c>
      <c r="M301" s="108" t="s">
        <v>19</v>
      </c>
    </row>
  </sheetData>
  <mergeCells count="2">
    <mergeCell ref="Q3:V3"/>
    <mergeCell ref="Q13:U13"/>
  </mergeCell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2424-AEEF-404D-83F4-6235A736AA45}">
  <dimension ref="A1:S153"/>
  <sheetViews>
    <sheetView tabSelected="1" zoomScale="109" workbookViewId="0">
      <selection activeCell="Q14" sqref="Q14"/>
    </sheetView>
  </sheetViews>
  <sheetFormatPr defaultRowHeight="14.4" x14ac:dyDescent="0.3"/>
  <cols>
    <col min="3" max="3" width="10.88671875" customWidth="1"/>
    <col min="13" max="13" width="15.109375" customWidth="1"/>
    <col min="14" max="14" width="18" customWidth="1"/>
    <col min="17" max="17" width="16.44140625" customWidth="1"/>
    <col min="18" max="18" width="14.88671875" customWidth="1"/>
    <col min="19" max="19" width="16.77734375" customWidth="1"/>
  </cols>
  <sheetData>
    <row r="1" spans="1:19" x14ac:dyDescent="0.3">
      <c r="A1" s="159" t="s">
        <v>621</v>
      </c>
      <c r="B1" s="159"/>
      <c r="C1" s="159"/>
    </row>
    <row r="2" spans="1:19" x14ac:dyDescent="0.3">
      <c r="A2" s="98" t="s">
        <v>0</v>
      </c>
      <c r="B2" s="99" t="s">
        <v>1</v>
      </c>
      <c r="C2" s="99" t="s">
        <v>2</v>
      </c>
      <c r="D2" s="99" t="s">
        <v>3</v>
      </c>
      <c r="E2" s="99" t="s">
        <v>4</v>
      </c>
      <c r="F2" s="99" t="s">
        <v>5</v>
      </c>
      <c r="G2" s="99" t="s">
        <v>6</v>
      </c>
      <c r="H2" s="99" t="s">
        <v>7</v>
      </c>
      <c r="I2" s="99" t="s">
        <v>8</v>
      </c>
      <c r="J2" s="99" t="s">
        <v>9</v>
      </c>
      <c r="K2" s="99" t="s">
        <v>10</v>
      </c>
      <c r="L2" s="99" t="s">
        <v>11</v>
      </c>
      <c r="M2" s="100" t="s">
        <v>12</v>
      </c>
      <c r="N2" s="145" t="s">
        <v>560</v>
      </c>
    </row>
    <row r="3" spans="1:19" x14ac:dyDescent="0.3">
      <c r="A3" s="101" t="s">
        <v>206</v>
      </c>
      <c r="B3" s="102" t="s">
        <v>31</v>
      </c>
      <c r="C3" s="103">
        <v>45456</v>
      </c>
      <c r="D3" s="102" t="s">
        <v>33</v>
      </c>
      <c r="E3" s="102" t="s">
        <v>34</v>
      </c>
      <c r="F3" s="102">
        <v>2103</v>
      </c>
      <c r="G3" s="102">
        <v>892</v>
      </c>
      <c r="H3" s="102">
        <v>103</v>
      </c>
      <c r="I3" s="102">
        <v>39957</v>
      </c>
      <c r="J3" s="102">
        <v>39466</v>
      </c>
      <c r="K3" s="102">
        <v>28</v>
      </c>
      <c r="L3" s="102" t="s">
        <v>144</v>
      </c>
      <c r="M3" s="104" t="s">
        <v>25</v>
      </c>
      <c r="N3" s="20">
        <f>SUM(F3,G3,H3)/I3</f>
        <v>7.7533348349475686E-2</v>
      </c>
    </row>
    <row r="4" spans="1:19" x14ac:dyDescent="0.3">
      <c r="A4" s="101" t="s">
        <v>286</v>
      </c>
      <c r="B4" s="102" t="s">
        <v>31</v>
      </c>
      <c r="C4" s="103">
        <v>45457</v>
      </c>
      <c r="D4" s="102" t="s">
        <v>33</v>
      </c>
      <c r="E4" s="102" t="s">
        <v>34</v>
      </c>
      <c r="F4" s="102">
        <v>4363</v>
      </c>
      <c r="G4" s="102">
        <v>649</v>
      </c>
      <c r="H4" s="102">
        <v>140</v>
      </c>
      <c r="I4" s="102">
        <v>21815</v>
      </c>
      <c r="J4" s="102">
        <v>21481</v>
      </c>
      <c r="K4" s="102">
        <v>157</v>
      </c>
      <c r="L4" s="102" t="s">
        <v>66</v>
      </c>
      <c r="M4" s="104" t="s">
        <v>25</v>
      </c>
      <c r="N4" s="20">
        <f t="shared" ref="N4:N8" si="0">SUM(F4,G4,H4)/I4</f>
        <v>0.23616777446710979</v>
      </c>
      <c r="Q4" s="146" t="s">
        <v>629</v>
      </c>
      <c r="R4" s="146" t="s">
        <v>618</v>
      </c>
      <c r="S4" s="146" t="s">
        <v>630</v>
      </c>
    </row>
    <row r="5" spans="1:19" x14ac:dyDescent="0.3">
      <c r="A5" s="101" t="s">
        <v>369</v>
      </c>
      <c r="B5" s="102" t="s">
        <v>40</v>
      </c>
      <c r="C5" s="103">
        <v>45463</v>
      </c>
      <c r="D5" s="102" t="s">
        <v>69</v>
      </c>
      <c r="E5" s="102" t="s">
        <v>70</v>
      </c>
      <c r="F5" s="102">
        <v>3798</v>
      </c>
      <c r="G5" s="102">
        <v>31</v>
      </c>
      <c r="H5" s="102">
        <v>279</v>
      </c>
      <c r="I5" s="102">
        <v>75960</v>
      </c>
      <c r="J5" s="102">
        <v>75813</v>
      </c>
      <c r="K5" s="102">
        <v>266</v>
      </c>
      <c r="L5" s="102" t="s">
        <v>24</v>
      </c>
      <c r="M5" s="104" t="s">
        <v>25</v>
      </c>
      <c r="N5" s="20">
        <f t="shared" si="0"/>
        <v>5.4081095313322801E-2</v>
      </c>
      <c r="Q5" s="117" t="s">
        <v>25</v>
      </c>
      <c r="R5" s="114">
        <v>0.12027717500246841</v>
      </c>
      <c r="S5" s="114">
        <v>0.36243387046213948</v>
      </c>
    </row>
    <row r="6" spans="1:19" x14ac:dyDescent="0.3">
      <c r="A6" s="101" t="s">
        <v>416</v>
      </c>
      <c r="B6" s="102" t="s">
        <v>14</v>
      </c>
      <c r="C6" s="103">
        <v>45467</v>
      </c>
      <c r="D6" s="102" t="s">
        <v>22</v>
      </c>
      <c r="E6" s="102" t="s">
        <v>23</v>
      </c>
      <c r="F6" s="102">
        <v>941</v>
      </c>
      <c r="G6" s="102">
        <v>121</v>
      </c>
      <c r="H6" s="102">
        <v>458</v>
      </c>
      <c r="I6" s="102">
        <v>14115</v>
      </c>
      <c r="J6" s="102">
        <v>13838</v>
      </c>
      <c r="K6" s="102">
        <v>87</v>
      </c>
      <c r="L6" s="102" t="s">
        <v>29</v>
      </c>
      <c r="M6" s="104" t="s">
        <v>25</v>
      </c>
      <c r="N6" s="20">
        <f t="shared" si="0"/>
        <v>0.10768685795253277</v>
      </c>
      <c r="Q6" s="117" t="s">
        <v>19</v>
      </c>
      <c r="R6" s="114">
        <v>0.12855150630297563</v>
      </c>
      <c r="S6" s="114">
        <v>0.11784200972263299</v>
      </c>
    </row>
    <row r="7" spans="1:19" x14ac:dyDescent="0.3">
      <c r="A7" s="101" t="s">
        <v>445</v>
      </c>
      <c r="B7" s="102" t="s">
        <v>31</v>
      </c>
      <c r="C7" s="103">
        <v>45455</v>
      </c>
      <c r="D7" s="102" t="s">
        <v>22</v>
      </c>
      <c r="E7" s="102" t="s">
        <v>23</v>
      </c>
      <c r="F7" s="102">
        <v>246</v>
      </c>
      <c r="G7" s="102">
        <v>149</v>
      </c>
      <c r="H7" s="102">
        <v>130</v>
      </c>
      <c r="I7" s="102">
        <v>4674</v>
      </c>
      <c r="J7" s="102">
        <v>4390</v>
      </c>
      <c r="K7" s="102">
        <v>217</v>
      </c>
      <c r="L7" s="102" t="s">
        <v>116</v>
      </c>
      <c r="M7" s="104" t="s">
        <v>25</v>
      </c>
      <c r="N7" s="20">
        <f t="shared" si="0"/>
        <v>0.11232349165596919</v>
      </c>
      <c r="Q7" s="117" t="s">
        <v>38</v>
      </c>
      <c r="R7" s="113">
        <v>0.14000000000000001</v>
      </c>
      <c r="S7" s="113">
        <v>0.12</v>
      </c>
    </row>
    <row r="8" spans="1:19" x14ac:dyDescent="0.3">
      <c r="A8" s="101" t="s">
        <v>449</v>
      </c>
      <c r="B8" s="102" t="s">
        <v>31</v>
      </c>
      <c r="C8" s="103">
        <v>45476</v>
      </c>
      <c r="D8" s="102" t="s">
        <v>42</v>
      </c>
      <c r="E8" s="102" t="s">
        <v>43</v>
      </c>
      <c r="F8" s="102">
        <v>4799</v>
      </c>
      <c r="G8" s="102">
        <v>694</v>
      </c>
      <c r="H8" s="102">
        <v>289</v>
      </c>
      <c r="I8" s="102">
        <v>43191</v>
      </c>
      <c r="J8" s="102">
        <v>42228</v>
      </c>
      <c r="K8" s="102">
        <v>118</v>
      </c>
      <c r="L8" s="102" t="s">
        <v>44</v>
      </c>
      <c r="M8" s="104" t="s">
        <v>25</v>
      </c>
      <c r="N8" s="20">
        <f t="shared" si="0"/>
        <v>0.13387048227640017</v>
      </c>
      <c r="Q8" s="117" t="s">
        <v>55</v>
      </c>
      <c r="R8" s="113">
        <v>0.22</v>
      </c>
      <c r="S8" s="113">
        <v>0.15</v>
      </c>
    </row>
    <row r="9" spans="1:19" x14ac:dyDescent="0.3">
      <c r="M9" s="147" t="s">
        <v>627</v>
      </c>
      <c r="N9" s="148">
        <f>AVERAGE(N3:N8)</f>
        <v>0.12027717500246841</v>
      </c>
    </row>
    <row r="11" spans="1:19" x14ac:dyDescent="0.3">
      <c r="A11" s="160" t="s">
        <v>620</v>
      </c>
      <c r="B11" s="160"/>
      <c r="C11" s="160"/>
    </row>
    <row r="12" spans="1:19" x14ac:dyDescent="0.3">
      <c r="A12" s="98" t="s">
        <v>0</v>
      </c>
      <c r="B12" s="99" t="s">
        <v>1</v>
      </c>
      <c r="C12" s="99" t="s">
        <v>2</v>
      </c>
      <c r="D12" s="99" t="s">
        <v>3</v>
      </c>
      <c r="E12" s="99" t="s">
        <v>4</v>
      </c>
      <c r="F12" s="99" t="s">
        <v>5</v>
      </c>
      <c r="G12" s="99" t="s">
        <v>6</v>
      </c>
      <c r="H12" s="99" t="s">
        <v>7</v>
      </c>
      <c r="I12" s="99" t="s">
        <v>8</v>
      </c>
      <c r="J12" s="99" t="s">
        <v>9</v>
      </c>
      <c r="K12" s="99" t="s">
        <v>10</v>
      </c>
      <c r="L12" s="99" t="s">
        <v>11</v>
      </c>
      <c r="M12" s="100" t="s">
        <v>12</v>
      </c>
      <c r="N12" s="145" t="s">
        <v>560</v>
      </c>
    </row>
    <row r="13" spans="1:19" x14ac:dyDescent="0.3">
      <c r="A13" s="101" t="s">
        <v>220</v>
      </c>
      <c r="B13" s="102" t="s">
        <v>14</v>
      </c>
      <c r="C13" s="103">
        <v>45449</v>
      </c>
      <c r="D13" s="102" t="s">
        <v>69</v>
      </c>
      <c r="E13" s="102" t="s">
        <v>70</v>
      </c>
      <c r="F13" s="102">
        <v>1436</v>
      </c>
      <c r="G13" s="102">
        <v>765</v>
      </c>
      <c r="H13" s="102">
        <v>496</v>
      </c>
      <c r="I13" s="102">
        <v>12924</v>
      </c>
      <c r="J13" s="102">
        <v>12701</v>
      </c>
      <c r="K13" s="102">
        <v>197</v>
      </c>
      <c r="L13" s="102" t="s">
        <v>209</v>
      </c>
      <c r="M13" s="104" t="s">
        <v>25</v>
      </c>
      <c r="N13" s="20">
        <f>SUM(F13,G13,H13)/I13</f>
        <v>0.20868152274837512</v>
      </c>
    </row>
    <row r="14" spans="1:19" x14ac:dyDescent="0.3">
      <c r="A14" s="101" t="s">
        <v>226</v>
      </c>
      <c r="B14" s="102" t="s">
        <v>31</v>
      </c>
      <c r="C14" s="103">
        <v>45446</v>
      </c>
      <c r="D14" s="102" t="s">
        <v>49</v>
      </c>
      <c r="E14" s="102" t="s">
        <v>50</v>
      </c>
      <c r="F14" s="102">
        <v>3861</v>
      </c>
      <c r="G14" s="102">
        <v>960</v>
      </c>
      <c r="H14" s="102">
        <v>101</v>
      </c>
      <c r="I14" s="102">
        <v>69498</v>
      </c>
      <c r="J14" s="102">
        <v>68817</v>
      </c>
      <c r="K14" s="102">
        <v>297</v>
      </c>
      <c r="L14" s="102" t="s">
        <v>24</v>
      </c>
      <c r="M14" s="104" t="s">
        <v>25</v>
      </c>
      <c r="N14" s="20">
        <f t="shared" ref="N14:N19" si="1">SUM(F14,G14,H14)/I14</f>
        <v>7.0822181933293038E-2</v>
      </c>
    </row>
    <row r="15" spans="1:19" x14ac:dyDescent="0.3">
      <c r="A15" s="101" t="s">
        <v>388</v>
      </c>
      <c r="B15" s="102" t="s">
        <v>577</v>
      </c>
      <c r="C15" s="103">
        <v>45449</v>
      </c>
      <c r="D15" s="102" t="s">
        <v>16</v>
      </c>
      <c r="E15" s="102" t="s">
        <v>17</v>
      </c>
      <c r="F15" s="102">
        <v>2728</v>
      </c>
      <c r="G15" s="102">
        <v>533</v>
      </c>
      <c r="H15" s="102">
        <v>215</v>
      </c>
      <c r="I15" s="102">
        <v>40920</v>
      </c>
      <c r="J15" s="102">
        <v>40816</v>
      </c>
      <c r="K15" s="102">
        <v>137</v>
      </c>
      <c r="L15" s="102" t="s">
        <v>18</v>
      </c>
      <c r="M15" s="104" t="s">
        <v>25</v>
      </c>
      <c r="N15" s="20">
        <f t="shared" si="1"/>
        <v>8.4946236559139784E-2</v>
      </c>
    </row>
    <row r="16" spans="1:19" x14ac:dyDescent="0.3">
      <c r="A16" s="101" t="s">
        <v>410</v>
      </c>
      <c r="B16" s="102" t="s">
        <v>40</v>
      </c>
      <c r="C16" s="103">
        <v>45445</v>
      </c>
      <c r="D16" s="102" t="s">
        <v>49</v>
      </c>
      <c r="E16" s="102" t="s">
        <v>50</v>
      </c>
      <c r="F16" s="102">
        <v>1871</v>
      </c>
      <c r="G16" s="102">
        <v>252</v>
      </c>
      <c r="H16" s="102">
        <v>335</v>
      </c>
      <c r="I16" s="102">
        <v>29936</v>
      </c>
      <c r="J16" s="102">
        <v>29576</v>
      </c>
      <c r="K16" s="102">
        <v>288</v>
      </c>
      <c r="L16" s="102" t="s">
        <v>44</v>
      </c>
      <c r="M16" s="104" t="s">
        <v>25</v>
      </c>
      <c r="N16" s="20">
        <f t="shared" si="1"/>
        <v>8.2108498129342594E-2</v>
      </c>
    </row>
    <row r="17" spans="1:14" x14ac:dyDescent="0.3">
      <c r="A17" s="101" t="s">
        <v>435</v>
      </c>
      <c r="B17" s="102" t="s">
        <v>31</v>
      </c>
      <c r="C17" s="103">
        <v>45445</v>
      </c>
      <c r="D17" s="102" t="s">
        <v>33</v>
      </c>
      <c r="E17" s="102" t="s">
        <v>34</v>
      </c>
      <c r="F17" s="102">
        <v>84</v>
      </c>
      <c r="G17" s="102">
        <v>897</v>
      </c>
      <c r="H17" s="102">
        <v>85</v>
      </c>
      <c r="I17" s="102">
        <v>588</v>
      </c>
      <c r="J17" s="102">
        <v>8</v>
      </c>
      <c r="K17" s="102">
        <v>12</v>
      </c>
      <c r="L17" s="102" t="s">
        <v>58</v>
      </c>
      <c r="M17" s="104" t="s">
        <v>25</v>
      </c>
      <c r="N17" s="20">
        <f t="shared" si="1"/>
        <v>1.8129251700680271</v>
      </c>
    </row>
    <row r="18" spans="1:14" x14ac:dyDescent="0.3">
      <c r="A18" s="101" t="s">
        <v>455</v>
      </c>
      <c r="B18" s="102" t="s">
        <v>40</v>
      </c>
      <c r="C18" s="103">
        <v>45444</v>
      </c>
      <c r="D18" s="102" t="s">
        <v>22</v>
      </c>
      <c r="E18" s="102" t="s">
        <v>23</v>
      </c>
      <c r="F18" s="102">
        <v>1272</v>
      </c>
      <c r="G18" s="102">
        <v>465</v>
      </c>
      <c r="H18" s="102">
        <v>99</v>
      </c>
      <c r="I18" s="102">
        <v>24168</v>
      </c>
      <c r="J18" s="102">
        <v>23719</v>
      </c>
      <c r="K18" s="102">
        <v>42</v>
      </c>
      <c r="L18" s="102" t="s">
        <v>71</v>
      </c>
      <c r="M18" s="104" t="s">
        <v>25</v>
      </c>
      <c r="N18" s="20">
        <f t="shared" si="1"/>
        <v>7.5968222442899705E-2</v>
      </c>
    </row>
    <row r="19" spans="1:14" x14ac:dyDescent="0.3">
      <c r="A19" s="101" t="s">
        <v>518</v>
      </c>
      <c r="B19" s="102" t="s">
        <v>14</v>
      </c>
      <c r="C19" s="103">
        <v>45450</v>
      </c>
      <c r="D19" s="102" t="s">
        <v>42</v>
      </c>
      <c r="E19" s="102" t="s">
        <v>43</v>
      </c>
      <c r="F19" s="102">
        <v>1556</v>
      </c>
      <c r="G19" s="102">
        <v>195</v>
      </c>
      <c r="H19" s="102">
        <v>131</v>
      </c>
      <c r="I19" s="102">
        <v>9336</v>
      </c>
      <c r="J19" s="102">
        <v>8875</v>
      </c>
      <c r="K19" s="102">
        <v>137</v>
      </c>
      <c r="L19" s="102" t="s">
        <v>24</v>
      </c>
      <c r="M19" s="104" t="s">
        <v>25</v>
      </c>
      <c r="N19" s="20">
        <f t="shared" si="1"/>
        <v>0.2015852613538989</v>
      </c>
    </row>
    <row r="20" spans="1:14" x14ac:dyDescent="0.3">
      <c r="M20" s="147" t="s">
        <v>628</v>
      </c>
      <c r="N20" s="148">
        <f>AVERAGE(N13:N19)</f>
        <v>0.36243387046213948</v>
      </c>
    </row>
    <row r="22" spans="1:14" x14ac:dyDescent="0.3">
      <c r="A22" s="159" t="s">
        <v>622</v>
      </c>
      <c r="B22" s="159"/>
      <c r="C22" s="159"/>
    </row>
    <row r="23" spans="1:14" x14ac:dyDescent="0.3">
      <c r="A23" s="98" t="s">
        <v>0</v>
      </c>
      <c r="B23" s="99" t="s">
        <v>1</v>
      </c>
      <c r="C23" s="99" t="s">
        <v>2</v>
      </c>
      <c r="D23" s="99" t="s">
        <v>3</v>
      </c>
      <c r="E23" s="99" t="s">
        <v>4</v>
      </c>
      <c r="F23" s="99" t="s">
        <v>5</v>
      </c>
      <c r="G23" s="99" t="s">
        <v>6</v>
      </c>
      <c r="H23" s="99" t="s">
        <v>7</v>
      </c>
      <c r="I23" s="99" t="s">
        <v>8</v>
      </c>
      <c r="J23" s="99" t="s">
        <v>9</v>
      </c>
      <c r="K23" s="99" t="s">
        <v>10</v>
      </c>
      <c r="L23" s="99" t="s">
        <v>11</v>
      </c>
      <c r="M23" s="100" t="s">
        <v>12</v>
      </c>
      <c r="N23" s="145" t="s">
        <v>560</v>
      </c>
    </row>
    <row r="24" spans="1:14" x14ac:dyDescent="0.3">
      <c r="A24" s="101" t="s">
        <v>30</v>
      </c>
      <c r="B24" s="102" t="s">
        <v>31</v>
      </c>
      <c r="C24" s="103">
        <v>45516</v>
      </c>
      <c r="D24" s="102" t="s">
        <v>33</v>
      </c>
      <c r="E24" s="102" t="s">
        <v>34</v>
      </c>
      <c r="F24" s="102">
        <v>2404</v>
      </c>
      <c r="G24" s="102">
        <v>363</v>
      </c>
      <c r="H24" s="102">
        <v>138</v>
      </c>
      <c r="I24" s="102">
        <v>19232</v>
      </c>
      <c r="J24" s="102">
        <v>18636</v>
      </c>
      <c r="K24" s="102">
        <v>128</v>
      </c>
      <c r="L24" s="102" t="s">
        <v>18</v>
      </c>
      <c r="M24" s="104" t="s">
        <v>19</v>
      </c>
      <c r="N24" s="20">
        <f>SUM(F24,G24,H24)/I24</f>
        <v>0.15105033277870217</v>
      </c>
    </row>
    <row r="25" spans="1:14" x14ac:dyDescent="0.3">
      <c r="A25" s="101" t="s">
        <v>260</v>
      </c>
      <c r="B25" s="102" t="s">
        <v>14</v>
      </c>
      <c r="C25" s="103">
        <v>45512</v>
      </c>
      <c r="D25" s="102" t="s">
        <v>33</v>
      </c>
      <c r="E25" s="102" t="s">
        <v>34</v>
      </c>
      <c r="F25" s="102">
        <v>3649</v>
      </c>
      <c r="G25" s="102">
        <v>215</v>
      </c>
      <c r="H25" s="102">
        <v>413</v>
      </c>
      <c r="I25" s="102">
        <v>25543</v>
      </c>
      <c r="J25" s="102">
        <v>24963</v>
      </c>
      <c r="K25" s="102">
        <v>167</v>
      </c>
      <c r="L25" s="102" t="s">
        <v>146</v>
      </c>
      <c r="M25" s="104" t="s">
        <v>19</v>
      </c>
      <c r="N25" s="20">
        <f t="shared" ref="N25:N31" si="2">SUM(F25,G25,H25)/I25</f>
        <v>0.16744313510550835</v>
      </c>
    </row>
    <row r="26" spans="1:14" x14ac:dyDescent="0.3">
      <c r="A26" s="101" t="s">
        <v>318</v>
      </c>
      <c r="B26" s="102" t="s">
        <v>31</v>
      </c>
      <c r="C26" s="103">
        <v>45516</v>
      </c>
      <c r="D26" s="102" t="s">
        <v>42</v>
      </c>
      <c r="E26" s="102" t="s">
        <v>43</v>
      </c>
      <c r="F26" s="102">
        <v>1878</v>
      </c>
      <c r="G26" s="102">
        <v>62</v>
      </c>
      <c r="H26" s="102">
        <v>179</v>
      </c>
      <c r="I26" s="102">
        <v>37560</v>
      </c>
      <c r="J26" s="102">
        <v>36874</v>
      </c>
      <c r="K26" s="102">
        <v>142</v>
      </c>
      <c r="L26" s="102" t="s">
        <v>178</v>
      </c>
      <c r="M26" s="104" t="s">
        <v>19</v>
      </c>
      <c r="N26" s="20">
        <f t="shared" si="2"/>
        <v>5.6416400425985093E-2</v>
      </c>
    </row>
    <row r="27" spans="1:14" x14ac:dyDescent="0.3">
      <c r="A27" s="101" t="s">
        <v>385</v>
      </c>
      <c r="B27" s="102" t="s">
        <v>40</v>
      </c>
      <c r="C27" s="103">
        <v>45528</v>
      </c>
      <c r="D27" s="102" t="s">
        <v>42</v>
      </c>
      <c r="E27" s="102" t="s">
        <v>43</v>
      </c>
      <c r="F27" s="102">
        <v>4292</v>
      </c>
      <c r="G27" s="102">
        <v>51</v>
      </c>
      <c r="H27" s="102">
        <v>392</v>
      </c>
      <c r="I27" s="102">
        <v>55796</v>
      </c>
      <c r="J27" s="102">
        <v>54826</v>
      </c>
      <c r="K27" s="102">
        <v>264</v>
      </c>
      <c r="L27" s="102" t="s">
        <v>214</v>
      </c>
      <c r="M27" s="104" t="s">
        <v>19</v>
      </c>
      <c r="N27" s="20">
        <f t="shared" si="2"/>
        <v>8.4862714173059003E-2</v>
      </c>
    </row>
    <row r="28" spans="1:14" x14ac:dyDescent="0.3">
      <c r="A28" s="101" t="s">
        <v>458</v>
      </c>
      <c r="B28" s="102" t="s">
        <v>40</v>
      </c>
      <c r="C28" s="103">
        <v>45523</v>
      </c>
      <c r="D28" s="102" t="s">
        <v>22</v>
      </c>
      <c r="E28" s="102" t="s">
        <v>23</v>
      </c>
      <c r="F28" s="102">
        <v>1257</v>
      </c>
      <c r="G28" s="102">
        <v>19</v>
      </c>
      <c r="H28" s="102">
        <v>351</v>
      </c>
      <c r="I28" s="102">
        <v>12570</v>
      </c>
      <c r="J28" s="102">
        <v>11660</v>
      </c>
      <c r="K28" s="102">
        <v>194</v>
      </c>
      <c r="L28" s="102" t="s">
        <v>58</v>
      </c>
      <c r="M28" s="104" t="s">
        <v>19</v>
      </c>
      <c r="N28" s="20">
        <f t="shared" si="2"/>
        <v>0.12943516308671441</v>
      </c>
    </row>
    <row r="29" spans="1:14" x14ac:dyDescent="0.3">
      <c r="A29" s="101" t="s">
        <v>483</v>
      </c>
      <c r="B29" s="102" t="s">
        <v>14</v>
      </c>
      <c r="C29" s="103">
        <v>45507</v>
      </c>
      <c r="D29" s="102" t="s">
        <v>16</v>
      </c>
      <c r="E29" s="102" t="s">
        <v>17</v>
      </c>
      <c r="F29" s="102">
        <v>3791</v>
      </c>
      <c r="G29" s="102">
        <v>593</v>
      </c>
      <c r="H29" s="102">
        <v>228</v>
      </c>
      <c r="I29" s="102">
        <v>53074</v>
      </c>
      <c r="J29" s="102">
        <v>52613</v>
      </c>
      <c r="K29" s="102">
        <v>205</v>
      </c>
      <c r="L29" s="102" t="s">
        <v>162</v>
      </c>
      <c r="M29" s="104" t="s">
        <v>19</v>
      </c>
      <c r="N29" s="20">
        <f t="shared" si="2"/>
        <v>8.6897539284772202E-2</v>
      </c>
    </row>
    <row r="30" spans="1:14" x14ac:dyDescent="0.3">
      <c r="A30" s="101" t="s">
        <v>498</v>
      </c>
      <c r="B30" s="102" t="s">
        <v>31</v>
      </c>
      <c r="C30" s="103">
        <v>45524</v>
      </c>
      <c r="D30" s="102" t="s">
        <v>16</v>
      </c>
      <c r="E30" s="102" t="s">
        <v>17</v>
      </c>
      <c r="F30" s="102">
        <v>2603</v>
      </c>
      <c r="G30" s="102">
        <v>690</v>
      </c>
      <c r="H30" s="102">
        <v>205</v>
      </c>
      <c r="I30" s="102">
        <v>13015</v>
      </c>
      <c r="J30" s="102">
        <v>12130</v>
      </c>
      <c r="K30" s="102">
        <v>20</v>
      </c>
      <c r="L30" s="102" t="s">
        <v>44</v>
      </c>
      <c r="M30" s="104" t="s">
        <v>19</v>
      </c>
      <c r="N30" s="20">
        <f t="shared" si="2"/>
        <v>0.26876680752977333</v>
      </c>
    </row>
    <row r="31" spans="1:14" x14ac:dyDescent="0.3">
      <c r="A31" s="105" t="s">
        <v>555</v>
      </c>
      <c r="B31" s="106" t="s">
        <v>14</v>
      </c>
      <c r="C31" s="107">
        <v>45535</v>
      </c>
      <c r="D31" s="106" t="s">
        <v>42</v>
      </c>
      <c r="E31" s="106" t="s">
        <v>43</v>
      </c>
      <c r="F31" s="106">
        <v>4494</v>
      </c>
      <c r="G31" s="106">
        <v>717</v>
      </c>
      <c r="H31" s="106">
        <v>45</v>
      </c>
      <c r="I31" s="106">
        <v>62916</v>
      </c>
      <c r="J31" s="106">
        <v>62688</v>
      </c>
      <c r="K31" s="106">
        <v>191</v>
      </c>
      <c r="L31" s="106" t="s">
        <v>24</v>
      </c>
      <c r="M31" s="108" t="s">
        <v>19</v>
      </c>
      <c r="N31" s="20">
        <f t="shared" si="2"/>
        <v>8.3539958039290485E-2</v>
      </c>
    </row>
    <row r="32" spans="1:14" x14ac:dyDescent="0.3">
      <c r="M32" s="147" t="s">
        <v>628</v>
      </c>
      <c r="N32" s="148">
        <f>AVERAGE(N24:N31)</f>
        <v>0.12855150630297563</v>
      </c>
    </row>
    <row r="34" spans="1:14" x14ac:dyDescent="0.3">
      <c r="A34" s="160" t="s">
        <v>619</v>
      </c>
      <c r="B34" s="160"/>
      <c r="C34" s="160"/>
    </row>
    <row r="35" spans="1:14" x14ac:dyDescent="0.3">
      <c r="A35" s="98" t="s">
        <v>0</v>
      </c>
      <c r="B35" s="99" t="s">
        <v>1</v>
      </c>
      <c r="C35" s="99" t="s">
        <v>2</v>
      </c>
      <c r="D35" s="99" t="s">
        <v>3</v>
      </c>
      <c r="E35" s="99" t="s">
        <v>4</v>
      </c>
      <c r="F35" s="99" t="s">
        <v>5</v>
      </c>
      <c r="G35" s="99" t="s">
        <v>6</v>
      </c>
      <c r="H35" s="99" t="s">
        <v>7</v>
      </c>
      <c r="I35" s="99" t="s">
        <v>8</v>
      </c>
      <c r="J35" s="99" t="s">
        <v>9</v>
      </c>
      <c r="K35" s="99" t="s">
        <v>10</v>
      </c>
      <c r="L35" s="99" t="s">
        <v>11</v>
      </c>
      <c r="M35" s="100" t="s">
        <v>12</v>
      </c>
      <c r="N35" s="145" t="s">
        <v>560</v>
      </c>
    </row>
    <row r="36" spans="1:14" x14ac:dyDescent="0.3">
      <c r="A36" s="101" t="s">
        <v>147</v>
      </c>
      <c r="B36" s="102" t="s">
        <v>14</v>
      </c>
      <c r="C36" s="103">
        <v>45453</v>
      </c>
      <c r="D36" s="102" t="s">
        <v>33</v>
      </c>
      <c r="E36" s="102" t="s">
        <v>34</v>
      </c>
      <c r="F36" s="102">
        <v>2164</v>
      </c>
      <c r="G36" s="102">
        <v>549</v>
      </c>
      <c r="H36" s="102">
        <v>274</v>
      </c>
      <c r="I36" s="102">
        <v>28132</v>
      </c>
      <c r="J36" s="102">
        <v>27361</v>
      </c>
      <c r="K36" s="102">
        <v>177</v>
      </c>
      <c r="L36" s="102" t="s">
        <v>58</v>
      </c>
      <c r="M36" s="104" t="s">
        <v>19</v>
      </c>
      <c r="N36" s="20">
        <f>SUM(F36,G36,H36)/I36</f>
        <v>0.10617801791554102</v>
      </c>
    </row>
    <row r="37" spans="1:14" x14ac:dyDescent="0.3">
      <c r="A37" s="101" t="s">
        <v>149</v>
      </c>
      <c r="B37" s="102" t="s">
        <v>577</v>
      </c>
      <c r="C37" s="103">
        <v>45476</v>
      </c>
      <c r="D37" s="102" t="s">
        <v>33</v>
      </c>
      <c r="E37" s="102" t="s">
        <v>34</v>
      </c>
      <c r="F37" s="102">
        <v>2754</v>
      </c>
      <c r="G37" s="102">
        <v>130</v>
      </c>
      <c r="H37" s="102">
        <v>90</v>
      </c>
      <c r="I37" s="102">
        <v>22032</v>
      </c>
      <c r="J37" s="102">
        <v>21288</v>
      </c>
      <c r="K37" s="102">
        <v>112</v>
      </c>
      <c r="L37" s="102" t="s">
        <v>24</v>
      </c>
      <c r="M37" s="104" t="s">
        <v>19</v>
      </c>
      <c r="N37" s="20">
        <f t="shared" ref="N37:N53" si="3">SUM(F37,G37,H37)/I37</f>
        <v>0.13498547567175018</v>
      </c>
    </row>
    <row r="38" spans="1:14" x14ac:dyDescent="0.3">
      <c r="A38" s="101" t="s">
        <v>167</v>
      </c>
      <c r="B38" s="102" t="s">
        <v>31</v>
      </c>
      <c r="C38" s="103">
        <v>45465</v>
      </c>
      <c r="D38" s="102" t="s">
        <v>22</v>
      </c>
      <c r="E38" s="102" t="s">
        <v>23</v>
      </c>
      <c r="F38" s="102">
        <v>2180</v>
      </c>
      <c r="G38" s="102">
        <v>263</v>
      </c>
      <c r="H38" s="102">
        <v>387</v>
      </c>
      <c r="I38" s="102">
        <v>30520</v>
      </c>
      <c r="J38" s="102">
        <v>30059</v>
      </c>
      <c r="K38" s="102">
        <v>174</v>
      </c>
      <c r="L38" s="102" t="s">
        <v>77</v>
      </c>
      <c r="M38" s="104" t="s">
        <v>19</v>
      </c>
      <c r="N38" s="20">
        <f t="shared" si="3"/>
        <v>9.2726081258191345E-2</v>
      </c>
    </row>
    <row r="39" spans="1:14" x14ac:dyDescent="0.3">
      <c r="A39" s="101" t="s">
        <v>175</v>
      </c>
      <c r="B39" s="102" t="s">
        <v>14</v>
      </c>
      <c r="C39" s="103">
        <v>45504</v>
      </c>
      <c r="D39" s="102" t="s">
        <v>42</v>
      </c>
      <c r="E39" s="102" t="s">
        <v>43</v>
      </c>
      <c r="F39" s="102">
        <v>4507</v>
      </c>
      <c r="G39" s="102">
        <v>217</v>
      </c>
      <c r="H39" s="102">
        <v>13</v>
      </c>
      <c r="I39" s="102">
        <v>90140</v>
      </c>
      <c r="J39" s="102">
        <v>89591</v>
      </c>
      <c r="K39" s="102">
        <v>125</v>
      </c>
      <c r="L39" s="102" t="s">
        <v>18</v>
      </c>
      <c r="M39" s="104" t="s">
        <v>19</v>
      </c>
      <c r="N39" s="20">
        <f t="shared" si="3"/>
        <v>5.2551586421122697E-2</v>
      </c>
    </row>
    <row r="40" spans="1:14" x14ac:dyDescent="0.3">
      <c r="A40" s="101" t="s">
        <v>248</v>
      </c>
      <c r="B40" s="102" t="s">
        <v>40</v>
      </c>
      <c r="C40" s="103">
        <v>45454</v>
      </c>
      <c r="D40" s="102" t="s">
        <v>49</v>
      </c>
      <c r="E40" s="102" t="s">
        <v>50</v>
      </c>
      <c r="F40" s="102">
        <v>3689</v>
      </c>
      <c r="G40" s="102">
        <v>48</v>
      </c>
      <c r="H40" s="102">
        <v>306</v>
      </c>
      <c r="I40" s="102">
        <v>40579</v>
      </c>
      <c r="J40" s="102">
        <v>39588</v>
      </c>
      <c r="K40" s="102">
        <v>212</v>
      </c>
      <c r="L40" s="102" t="s">
        <v>44</v>
      </c>
      <c r="M40" s="104" t="s">
        <v>19</v>
      </c>
      <c r="N40" s="20">
        <f t="shared" si="3"/>
        <v>9.9632815002833983E-2</v>
      </c>
    </row>
    <row r="41" spans="1:14" x14ac:dyDescent="0.3">
      <c r="A41" s="101" t="s">
        <v>307</v>
      </c>
      <c r="B41" s="102" t="s">
        <v>40</v>
      </c>
      <c r="C41" s="103">
        <v>45504</v>
      </c>
      <c r="D41" s="102" t="s">
        <v>69</v>
      </c>
      <c r="E41" s="102" t="s">
        <v>70</v>
      </c>
      <c r="F41" s="102">
        <v>3008</v>
      </c>
      <c r="G41" s="102">
        <v>94</v>
      </c>
      <c r="H41" s="102">
        <v>37</v>
      </c>
      <c r="I41" s="102">
        <v>15040</v>
      </c>
      <c r="J41" s="102">
        <v>14639</v>
      </c>
      <c r="K41" s="102">
        <v>277</v>
      </c>
      <c r="L41" s="102" t="s">
        <v>77</v>
      </c>
      <c r="M41" s="104" t="s">
        <v>19</v>
      </c>
      <c r="N41" s="20">
        <f t="shared" si="3"/>
        <v>0.20871010638297871</v>
      </c>
    </row>
    <row r="42" spans="1:14" x14ac:dyDescent="0.3">
      <c r="A42" s="101" t="s">
        <v>311</v>
      </c>
      <c r="B42" s="102" t="s">
        <v>40</v>
      </c>
      <c r="C42" s="103">
        <v>45488</v>
      </c>
      <c r="D42" s="102" t="s">
        <v>49</v>
      </c>
      <c r="E42" s="102" t="s">
        <v>50</v>
      </c>
      <c r="F42" s="102">
        <v>2291</v>
      </c>
      <c r="G42" s="102">
        <v>78</v>
      </c>
      <c r="H42" s="102">
        <v>485</v>
      </c>
      <c r="I42" s="102">
        <v>18328</v>
      </c>
      <c r="J42" s="102">
        <v>18101</v>
      </c>
      <c r="K42" s="102">
        <v>10</v>
      </c>
      <c r="L42" s="102" t="s">
        <v>77</v>
      </c>
      <c r="M42" s="104" t="s">
        <v>19</v>
      </c>
      <c r="N42" s="20">
        <f t="shared" si="3"/>
        <v>0.15571802706241816</v>
      </c>
    </row>
    <row r="43" spans="1:14" x14ac:dyDescent="0.3">
      <c r="A43" s="101" t="s">
        <v>319</v>
      </c>
      <c r="B43" s="102" t="s">
        <v>577</v>
      </c>
      <c r="C43" s="103">
        <v>45448</v>
      </c>
      <c r="D43" s="102" t="s">
        <v>16</v>
      </c>
      <c r="E43" s="102" t="s">
        <v>17</v>
      </c>
      <c r="F43" s="102">
        <v>3065</v>
      </c>
      <c r="G43" s="102">
        <v>772</v>
      </c>
      <c r="H43" s="102">
        <v>142</v>
      </c>
      <c r="I43" s="102">
        <v>18390</v>
      </c>
      <c r="J43" s="102">
        <v>17875</v>
      </c>
      <c r="K43" s="102">
        <v>200</v>
      </c>
      <c r="L43" s="102" t="s">
        <v>58</v>
      </c>
      <c r="M43" s="104" t="s">
        <v>19</v>
      </c>
      <c r="N43" s="20">
        <f t="shared" si="3"/>
        <v>0.21636759108210984</v>
      </c>
    </row>
    <row r="44" spans="1:14" x14ac:dyDescent="0.3">
      <c r="A44" s="101" t="s">
        <v>374</v>
      </c>
      <c r="B44" s="102" t="s">
        <v>40</v>
      </c>
      <c r="C44" s="103">
        <v>45488</v>
      </c>
      <c r="D44" s="102" t="s">
        <v>42</v>
      </c>
      <c r="E44" s="102" t="s">
        <v>43</v>
      </c>
      <c r="F44" s="102">
        <v>3796</v>
      </c>
      <c r="G44" s="102">
        <v>667</v>
      </c>
      <c r="H44" s="102">
        <v>395</v>
      </c>
      <c r="I44" s="102">
        <v>64532</v>
      </c>
      <c r="J44" s="102">
        <v>63550</v>
      </c>
      <c r="K44" s="102">
        <v>292</v>
      </c>
      <c r="L44" s="102" t="s">
        <v>58</v>
      </c>
      <c r="M44" s="104" t="s">
        <v>19</v>
      </c>
      <c r="N44" s="20">
        <f t="shared" si="3"/>
        <v>7.5280481001673588E-2</v>
      </c>
    </row>
    <row r="45" spans="1:14" x14ac:dyDescent="0.3">
      <c r="A45" s="101" t="s">
        <v>378</v>
      </c>
      <c r="B45" s="102" t="s">
        <v>40</v>
      </c>
      <c r="C45" s="103">
        <v>45504</v>
      </c>
      <c r="D45" s="102" t="s">
        <v>49</v>
      </c>
      <c r="E45" s="102" t="s">
        <v>50</v>
      </c>
      <c r="F45" s="102">
        <v>4689</v>
      </c>
      <c r="G45" s="102">
        <v>134</v>
      </c>
      <c r="H45" s="102">
        <v>403</v>
      </c>
      <c r="I45" s="102">
        <v>51579</v>
      </c>
      <c r="J45" s="102">
        <v>50924</v>
      </c>
      <c r="K45" s="102">
        <v>173</v>
      </c>
      <c r="L45" s="102" t="s">
        <v>77</v>
      </c>
      <c r="M45" s="104" t="s">
        <v>19</v>
      </c>
      <c r="N45" s="20">
        <f t="shared" si="3"/>
        <v>0.10132030477519921</v>
      </c>
    </row>
    <row r="46" spans="1:14" x14ac:dyDescent="0.3">
      <c r="A46" s="101" t="s">
        <v>419</v>
      </c>
      <c r="B46" s="102" t="s">
        <v>577</v>
      </c>
      <c r="C46" s="103">
        <v>45467</v>
      </c>
      <c r="D46" s="102" t="s">
        <v>69</v>
      </c>
      <c r="E46" s="102" t="s">
        <v>70</v>
      </c>
      <c r="F46" s="102">
        <v>2949</v>
      </c>
      <c r="G46" s="102">
        <v>476</v>
      </c>
      <c r="H46" s="102">
        <v>403</v>
      </c>
      <c r="I46" s="102">
        <v>44235</v>
      </c>
      <c r="J46" s="102">
        <v>43705</v>
      </c>
      <c r="K46" s="102">
        <v>135</v>
      </c>
      <c r="L46" s="102" t="s">
        <v>116</v>
      </c>
      <c r="M46" s="104" t="s">
        <v>19</v>
      </c>
      <c r="N46" s="20">
        <f t="shared" si="3"/>
        <v>8.6537809426924378E-2</v>
      </c>
    </row>
    <row r="47" spans="1:14" x14ac:dyDescent="0.3">
      <c r="A47" s="101" t="s">
        <v>423</v>
      </c>
      <c r="B47" s="102" t="s">
        <v>14</v>
      </c>
      <c r="C47" s="103">
        <v>45491</v>
      </c>
      <c r="D47" s="102" t="s">
        <v>42</v>
      </c>
      <c r="E47" s="102" t="s">
        <v>43</v>
      </c>
      <c r="F47" s="102">
        <v>2120</v>
      </c>
      <c r="G47" s="102">
        <v>38</v>
      </c>
      <c r="H47" s="102">
        <v>212</v>
      </c>
      <c r="I47" s="102">
        <v>12720</v>
      </c>
      <c r="J47" s="102">
        <v>12564</v>
      </c>
      <c r="K47" s="102">
        <v>21</v>
      </c>
      <c r="L47" s="102" t="s">
        <v>209</v>
      </c>
      <c r="M47" s="104" t="s">
        <v>19</v>
      </c>
      <c r="N47" s="20">
        <f t="shared" si="3"/>
        <v>0.18632075471698112</v>
      </c>
    </row>
    <row r="48" spans="1:14" x14ac:dyDescent="0.3">
      <c r="A48" s="101" t="s">
        <v>431</v>
      </c>
      <c r="B48" s="102" t="s">
        <v>577</v>
      </c>
      <c r="C48" s="103">
        <v>45502</v>
      </c>
      <c r="D48" s="102" t="s">
        <v>33</v>
      </c>
      <c r="E48" s="102" t="s">
        <v>34</v>
      </c>
      <c r="F48" s="102">
        <v>1509</v>
      </c>
      <c r="G48" s="102">
        <v>88</v>
      </c>
      <c r="H48" s="102">
        <v>163</v>
      </c>
      <c r="I48" s="102">
        <v>30180</v>
      </c>
      <c r="J48" s="102">
        <v>29689</v>
      </c>
      <c r="K48" s="102">
        <v>119</v>
      </c>
      <c r="L48" s="102" t="s">
        <v>44</v>
      </c>
      <c r="M48" s="104" t="s">
        <v>19</v>
      </c>
      <c r="N48" s="20">
        <f t="shared" si="3"/>
        <v>5.8316766070245198E-2</v>
      </c>
    </row>
    <row r="49" spans="1:14" x14ac:dyDescent="0.3">
      <c r="A49" s="101" t="s">
        <v>433</v>
      </c>
      <c r="B49" s="102" t="s">
        <v>40</v>
      </c>
      <c r="C49" s="103">
        <v>45454</v>
      </c>
      <c r="D49" s="102" t="s">
        <v>42</v>
      </c>
      <c r="E49" s="102" t="s">
        <v>43</v>
      </c>
      <c r="F49" s="102">
        <v>1869</v>
      </c>
      <c r="G49" s="102">
        <v>453</v>
      </c>
      <c r="H49" s="102">
        <v>490</v>
      </c>
      <c r="I49" s="102">
        <v>14952</v>
      </c>
      <c r="J49" s="102">
        <v>14309</v>
      </c>
      <c r="K49" s="102">
        <v>275</v>
      </c>
      <c r="L49" s="102" t="s">
        <v>264</v>
      </c>
      <c r="M49" s="104" t="s">
        <v>19</v>
      </c>
      <c r="N49" s="20">
        <f t="shared" si="3"/>
        <v>0.18806848582129482</v>
      </c>
    </row>
    <row r="50" spans="1:14" x14ac:dyDescent="0.3">
      <c r="A50" s="101" t="s">
        <v>450</v>
      </c>
      <c r="B50" s="102" t="s">
        <v>40</v>
      </c>
      <c r="C50" s="103">
        <v>45488</v>
      </c>
      <c r="D50" s="102" t="s">
        <v>16</v>
      </c>
      <c r="E50" s="102" t="s">
        <v>17</v>
      </c>
      <c r="F50" s="102">
        <v>3663</v>
      </c>
      <c r="G50" s="102">
        <v>17</v>
      </c>
      <c r="H50" s="102">
        <v>295</v>
      </c>
      <c r="I50" s="102">
        <v>51282</v>
      </c>
      <c r="J50" s="102">
        <v>50567</v>
      </c>
      <c r="K50" s="102">
        <v>84</v>
      </c>
      <c r="L50" s="102" t="s">
        <v>18</v>
      </c>
      <c r="M50" s="104" t="s">
        <v>19</v>
      </c>
      <c r="N50" s="20">
        <f t="shared" si="3"/>
        <v>7.7512577512577507E-2</v>
      </c>
    </row>
    <row r="51" spans="1:14" x14ac:dyDescent="0.3">
      <c r="A51" s="101" t="s">
        <v>460</v>
      </c>
      <c r="B51" s="102" t="s">
        <v>14</v>
      </c>
      <c r="C51" s="103">
        <v>45489</v>
      </c>
      <c r="D51" s="102" t="s">
        <v>22</v>
      </c>
      <c r="E51" s="102" t="s">
        <v>23</v>
      </c>
      <c r="F51" s="102">
        <v>4725</v>
      </c>
      <c r="G51" s="102">
        <v>400</v>
      </c>
      <c r="H51" s="102">
        <v>362</v>
      </c>
      <c r="I51" s="102">
        <v>75600</v>
      </c>
      <c r="J51" s="102">
        <v>74927</v>
      </c>
      <c r="K51" s="102">
        <v>43</v>
      </c>
      <c r="L51" s="102" t="s">
        <v>105</v>
      </c>
      <c r="M51" s="104" t="s">
        <v>19</v>
      </c>
      <c r="N51" s="20">
        <f t="shared" si="3"/>
        <v>7.2579365079365077E-2</v>
      </c>
    </row>
    <row r="52" spans="1:14" x14ac:dyDescent="0.3">
      <c r="A52" s="101" t="s">
        <v>479</v>
      </c>
      <c r="B52" s="102" t="s">
        <v>40</v>
      </c>
      <c r="C52" s="103">
        <v>45465</v>
      </c>
      <c r="D52" s="102" t="s">
        <v>16</v>
      </c>
      <c r="E52" s="102" t="s">
        <v>17</v>
      </c>
      <c r="F52" s="102">
        <v>3813</v>
      </c>
      <c r="G52" s="102">
        <v>935</v>
      </c>
      <c r="H52" s="102">
        <v>274</v>
      </c>
      <c r="I52" s="102">
        <v>68634</v>
      </c>
      <c r="J52" s="102">
        <v>68488</v>
      </c>
      <c r="K52" s="102">
        <v>251</v>
      </c>
      <c r="L52" s="102" t="s">
        <v>178</v>
      </c>
      <c r="M52" s="104" t="s">
        <v>19</v>
      </c>
      <c r="N52" s="20">
        <f t="shared" si="3"/>
        <v>7.3170731707317069E-2</v>
      </c>
    </row>
    <row r="53" spans="1:14" x14ac:dyDescent="0.3">
      <c r="A53" s="101" t="s">
        <v>532</v>
      </c>
      <c r="B53" s="102" t="s">
        <v>577</v>
      </c>
      <c r="C53" s="103">
        <v>45491</v>
      </c>
      <c r="D53" s="102" t="s">
        <v>22</v>
      </c>
      <c r="E53" s="102" t="s">
        <v>23</v>
      </c>
      <c r="F53" s="102">
        <v>4021</v>
      </c>
      <c r="G53" s="102">
        <v>794</v>
      </c>
      <c r="H53" s="102">
        <v>77</v>
      </c>
      <c r="I53" s="102">
        <v>36189</v>
      </c>
      <c r="J53" s="102">
        <v>35505</v>
      </c>
      <c r="K53" s="102">
        <v>174</v>
      </c>
      <c r="L53" s="102" t="s">
        <v>264</v>
      </c>
      <c r="M53" s="104" t="s">
        <v>19</v>
      </c>
      <c r="N53" s="20">
        <f t="shared" si="3"/>
        <v>0.13517919809886983</v>
      </c>
    </row>
    <row r="54" spans="1:14" x14ac:dyDescent="0.3">
      <c r="M54" s="147" t="s">
        <v>627</v>
      </c>
      <c r="N54" s="148">
        <f>AVERAGE(N36:N53)</f>
        <v>0.11784200972263299</v>
      </c>
    </row>
    <row r="56" spans="1:14" x14ac:dyDescent="0.3">
      <c r="A56" s="159" t="s">
        <v>623</v>
      </c>
      <c r="B56" s="159"/>
      <c r="C56" s="159"/>
    </row>
    <row r="57" spans="1:14" x14ac:dyDescent="0.3">
      <c r="A57" s="98" t="s">
        <v>0</v>
      </c>
      <c r="B57" s="99" t="s">
        <v>1</v>
      </c>
      <c r="C57" s="99" t="s">
        <v>2</v>
      </c>
      <c r="D57" s="99" t="s">
        <v>3</v>
      </c>
      <c r="E57" s="99" t="s">
        <v>4</v>
      </c>
      <c r="F57" s="99" t="s">
        <v>5</v>
      </c>
      <c r="G57" s="99" t="s">
        <v>6</v>
      </c>
      <c r="H57" s="99" t="s">
        <v>7</v>
      </c>
      <c r="I57" s="99" t="s">
        <v>8</v>
      </c>
      <c r="J57" s="99" t="s">
        <v>9</v>
      </c>
      <c r="K57" s="99" t="s">
        <v>10</v>
      </c>
      <c r="L57" s="99" t="s">
        <v>11</v>
      </c>
      <c r="M57" s="100" t="s">
        <v>12</v>
      </c>
      <c r="N57" s="145" t="s">
        <v>560</v>
      </c>
    </row>
    <row r="58" spans="1:14" x14ac:dyDescent="0.3">
      <c r="A58" s="101" t="s">
        <v>196</v>
      </c>
      <c r="B58" s="102" t="s">
        <v>577</v>
      </c>
      <c r="C58" s="103">
        <v>45593</v>
      </c>
      <c r="D58" s="102" t="s">
        <v>16</v>
      </c>
      <c r="E58" s="102" t="s">
        <v>17</v>
      </c>
      <c r="F58" s="102">
        <v>1855</v>
      </c>
      <c r="G58" s="102">
        <v>200</v>
      </c>
      <c r="H58" s="102">
        <v>174</v>
      </c>
      <c r="I58" s="102">
        <v>16695</v>
      </c>
      <c r="J58" s="102">
        <v>16330</v>
      </c>
      <c r="K58" s="102">
        <v>123</v>
      </c>
      <c r="L58" s="102" t="s">
        <v>24</v>
      </c>
      <c r="M58" s="104" t="s">
        <v>38</v>
      </c>
      <c r="N58" s="20">
        <f>SUM(F58,G58,H58)/I58</f>
        <v>0.13351302785265048</v>
      </c>
    </row>
    <row r="59" spans="1:14" x14ac:dyDescent="0.3">
      <c r="A59" s="101" t="s">
        <v>204</v>
      </c>
      <c r="B59" s="102" t="s">
        <v>31</v>
      </c>
      <c r="C59" s="103">
        <v>45574</v>
      </c>
      <c r="D59" s="102" t="s">
        <v>42</v>
      </c>
      <c r="E59" s="102" t="s">
        <v>43</v>
      </c>
      <c r="F59" s="102">
        <v>3068</v>
      </c>
      <c r="G59" s="102">
        <v>137</v>
      </c>
      <c r="H59" s="102">
        <v>329</v>
      </c>
      <c r="I59" s="102">
        <v>39884</v>
      </c>
      <c r="J59" s="102">
        <v>39404</v>
      </c>
      <c r="K59" s="102">
        <v>266</v>
      </c>
      <c r="L59" s="102" t="s">
        <v>102</v>
      </c>
      <c r="M59" s="104" t="s">
        <v>38</v>
      </c>
      <c r="N59" s="20">
        <f t="shared" ref="N59:N65" si="4">SUM(F59,G59,H59)/I59</f>
        <v>8.860696018453515E-2</v>
      </c>
    </row>
    <row r="60" spans="1:14" x14ac:dyDescent="0.3">
      <c r="A60" s="101" t="s">
        <v>207</v>
      </c>
      <c r="B60" s="102" t="s">
        <v>31</v>
      </c>
      <c r="C60" s="103">
        <v>45584</v>
      </c>
      <c r="D60" s="102" t="s">
        <v>33</v>
      </c>
      <c r="E60" s="102" t="s">
        <v>34</v>
      </c>
      <c r="F60" s="102">
        <v>1816</v>
      </c>
      <c r="G60" s="102">
        <v>29</v>
      </c>
      <c r="H60" s="102">
        <v>41</v>
      </c>
      <c r="I60" s="102">
        <v>19976</v>
      </c>
      <c r="J60" s="102">
        <v>19262</v>
      </c>
      <c r="K60" s="102">
        <v>283</v>
      </c>
      <c r="L60" s="102" t="s">
        <v>209</v>
      </c>
      <c r="M60" s="104" t="s">
        <v>38</v>
      </c>
      <c r="N60" s="20">
        <f t="shared" si="4"/>
        <v>9.4413295955146179E-2</v>
      </c>
    </row>
    <row r="61" spans="1:14" x14ac:dyDescent="0.3">
      <c r="A61" s="101" t="s">
        <v>212</v>
      </c>
      <c r="B61" s="102" t="s">
        <v>577</v>
      </c>
      <c r="C61" s="103">
        <v>45580</v>
      </c>
      <c r="D61" s="102" t="s">
        <v>69</v>
      </c>
      <c r="E61" s="102" t="s">
        <v>70</v>
      </c>
      <c r="F61" s="102">
        <v>1094</v>
      </c>
      <c r="G61" s="102">
        <v>472</v>
      </c>
      <c r="H61" s="102">
        <v>21</v>
      </c>
      <c r="I61" s="102">
        <v>9846</v>
      </c>
      <c r="J61" s="102">
        <v>9609</v>
      </c>
      <c r="K61" s="102">
        <v>112</v>
      </c>
      <c r="L61" s="102" t="s">
        <v>214</v>
      </c>
      <c r="M61" s="104" t="s">
        <v>38</v>
      </c>
      <c r="N61" s="20">
        <f t="shared" si="4"/>
        <v>0.16118220597196831</v>
      </c>
    </row>
    <row r="62" spans="1:14" x14ac:dyDescent="0.3">
      <c r="A62" s="101" t="s">
        <v>267</v>
      </c>
      <c r="B62" s="102" t="s">
        <v>14</v>
      </c>
      <c r="C62" s="103">
        <v>45570</v>
      </c>
      <c r="D62" s="102" t="s">
        <v>33</v>
      </c>
      <c r="E62" s="102" t="s">
        <v>34</v>
      </c>
      <c r="F62" s="102">
        <v>1957</v>
      </c>
      <c r="G62" s="102">
        <v>877</v>
      </c>
      <c r="H62" s="102">
        <v>238</v>
      </c>
      <c r="I62" s="102">
        <v>17613</v>
      </c>
      <c r="J62" s="102">
        <v>16865</v>
      </c>
      <c r="K62" s="102">
        <v>297</v>
      </c>
      <c r="L62" s="102" t="s">
        <v>29</v>
      </c>
      <c r="M62" s="104" t="s">
        <v>38</v>
      </c>
      <c r="N62" s="20">
        <f t="shared" si="4"/>
        <v>0.17441662408448305</v>
      </c>
    </row>
    <row r="63" spans="1:14" x14ac:dyDescent="0.3">
      <c r="A63" s="101" t="s">
        <v>321</v>
      </c>
      <c r="B63" s="102" t="s">
        <v>31</v>
      </c>
      <c r="C63" s="103">
        <v>45586</v>
      </c>
      <c r="D63" s="102" t="s">
        <v>16</v>
      </c>
      <c r="E63" s="102" t="s">
        <v>17</v>
      </c>
      <c r="F63" s="102">
        <v>3256</v>
      </c>
      <c r="G63" s="102">
        <v>459</v>
      </c>
      <c r="H63" s="102">
        <v>266</v>
      </c>
      <c r="I63" s="102">
        <v>26048</v>
      </c>
      <c r="J63" s="102">
        <v>25529</v>
      </c>
      <c r="K63" s="102">
        <v>143</v>
      </c>
      <c r="L63" s="102" t="s">
        <v>82</v>
      </c>
      <c r="M63" s="104" t="s">
        <v>38</v>
      </c>
      <c r="N63" s="20">
        <f t="shared" si="4"/>
        <v>0.15283323095823095</v>
      </c>
    </row>
    <row r="64" spans="1:14" x14ac:dyDescent="0.3">
      <c r="A64" s="101" t="s">
        <v>335</v>
      </c>
      <c r="B64" s="102" t="s">
        <v>40</v>
      </c>
      <c r="C64" s="103">
        <v>45587</v>
      </c>
      <c r="D64" s="102" t="s">
        <v>42</v>
      </c>
      <c r="E64" s="102" t="s">
        <v>43</v>
      </c>
      <c r="F64" s="102">
        <v>3352</v>
      </c>
      <c r="G64" s="102">
        <v>941</v>
      </c>
      <c r="H64" s="102">
        <v>482</v>
      </c>
      <c r="I64" s="102">
        <v>43576</v>
      </c>
      <c r="J64" s="102">
        <v>43338</v>
      </c>
      <c r="K64" s="102">
        <v>240</v>
      </c>
      <c r="L64" s="102" t="s">
        <v>44</v>
      </c>
      <c r="M64" s="104" t="s">
        <v>38</v>
      </c>
      <c r="N64" s="20">
        <f t="shared" si="4"/>
        <v>0.1095786671562328</v>
      </c>
    </row>
    <row r="65" spans="1:14" x14ac:dyDescent="0.3">
      <c r="A65" s="101" t="s">
        <v>511</v>
      </c>
      <c r="B65" s="102" t="s">
        <v>31</v>
      </c>
      <c r="C65" s="103">
        <v>45582</v>
      </c>
      <c r="D65" s="102" t="s">
        <v>69</v>
      </c>
      <c r="E65" s="102" t="s">
        <v>70</v>
      </c>
      <c r="F65" s="102">
        <v>3575</v>
      </c>
      <c r="G65" s="102">
        <v>749</v>
      </c>
      <c r="H65" s="102">
        <v>111</v>
      </c>
      <c r="I65" s="102">
        <v>21450</v>
      </c>
      <c r="J65" s="102">
        <v>20785</v>
      </c>
      <c r="K65" s="102">
        <v>195</v>
      </c>
      <c r="L65" s="102" t="s">
        <v>77</v>
      </c>
      <c r="M65" s="104" t="s">
        <v>38</v>
      </c>
      <c r="N65" s="20">
        <f t="shared" si="4"/>
        <v>0.20675990675990677</v>
      </c>
    </row>
    <row r="66" spans="1:14" x14ac:dyDescent="0.3">
      <c r="M66" s="147" t="s">
        <v>627</v>
      </c>
      <c r="N66" s="148">
        <f>AVERAGE(N58:N65)</f>
        <v>0.14016298986539422</v>
      </c>
    </row>
    <row r="68" spans="1:14" x14ac:dyDescent="0.3">
      <c r="A68" s="160" t="s">
        <v>624</v>
      </c>
      <c r="B68" s="160"/>
      <c r="C68" s="160"/>
    </row>
    <row r="69" spans="1:14" x14ac:dyDescent="0.3">
      <c r="A69" s="98" t="s">
        <v>0</v>
      </c>
      <c r="B69" s="99" t="s">
        <v>1</v>
      </c>
      <c r="C69" s="99" t="s">
        <v>2</v>
      </c>
      <c r="D69" s="99" t="s">
        <v>3</v>
      </c>
      <c r="E69" s="99" t="s">
        <v>4</v>
      </c>
      <c r="F69" s="99" t="s">
        <v>5</v>
      </c>
      <c r="G69" s="99" t="s">
        <v>6</v>
      </c>
      <c r="H69" s="99" t="s">
        <v>7</v>
      </c>
      <c r="I69" s="99" t="s">
        <v>8</v>
      </c>
      <c r="J69" s="99" t="s">
        <v>9</v>
      </c>
      <c r="K69" s="99" t="s">
        <v>10</v>
      </c>
      <c r="L69" s="99" t="s">
        <v>11</v>
      </c>
      <c r="M69" s="100" t="s">
        <v>12</v>
      </c>
      <c r="N69" s="145" t="s">
        <v>560</v>
      </c>
    </row>
    <row r="70" spans="1:14" x14ac:dyDescent="0.3">
      <c r="A70" s="101" t="s">
        <v>35</v>
      </c>
      <c r="B70" s="102" t="s">
        <v>577</v>
      </c>
      <c r="C70" s="103">
        <v>45469</v>
      </c>
      <c r="D70" s="102" t="s">
        <v>16</v>
      </c>
      <c r="E70" s="102" t="s">
        <v>17</v>
      </c>
      <c r="F70" s="102">
        <v>3557</v>
      </c>
      <c r="G70" s="102">
        <v>687</v>
      </c>
      <c r="H70" s="102">
        <v>424</v>
      </c>
      <c r="I70" s="102">
        <v>71140</v>
      </c>
      <c r="J70" s="102">
        <v>70701</v>
      </c>
      <c r="K70" s="102">
        <v>224</v>
      </c>
      <c r="L70" s="102" t="s">
        <v>37</v>
      </c>
      <c r="M70" s="104" t="s">
        <v>38</v>
      </c>
      <c r="N70" s="20">
        <f>SUM(F70,G70,H70)/I70</f>
        <v>6.5617093055946027E-2</v>
      </c>
    </row>
    <row r="71" spans="1:14" x14ac:dyDescent="0.3">
      <c r="A71" s="101" t="s">
        <v>45</v>
      </c>
      <c r="B71" s="102" t="s">
        <v>14</v>
      </c>
      <c r="C71" s="103">
        <v>45467</v>
      </c>
      <c r="D71" s="102" t="s">
        <v>42</v>
      </c>
      <c r="E71" s="102" t="s">
        <v>43</v>
      </c>
      <c r="F71" s="102">
        <v>3860</v>
      </c>
      <c r="G71" s="102">
        <v>201</v>
      </c>
      <c r="H71" s="102">
        <v>279</v>
      </c>
      <c r="I71" s="102">
        <v>61760</v>
      </c>
      <c r="J71" s="102">
        <v>61660</v>
      </c>
      <c r="K71" s="102">
        <v>235</v>
      </c>
      <c r="L71" s="102" t="s">
        <v>44</v>
      </c>
      <c r="M71" s="104" t="s">
        <v>38</v>
      </c>
      <c r="N71" s="20">
        <f t="shared" ref="N71:N98" si="5">SUM(F71,G71,H71)/I71</f>
        <v>7.0272020725388601E-2</v>
      </c>
    </row>
    <row r="72" spans="1:14" x14ac:dyDescent="0.3">
      <c r="A72" s="101" t="s">
        <v>47</v>
      </c>
      <c r="B72" s="102" t="s">
        <v>577</v>
      </c>
      <c r="C72" s="103">
        <v>45486</v>
      </c>
      <c r="D72" s="102" t="s">
        <v>49</v>
      </c>
      <c r="E72" s="102" t="s">
        <v>50</v>
      </c>
      <c r="F72" s="102">
        <v>3929</v>
      </c>
      <c r="G72" s="102">
        <v>262</v>
      </c>
      <c r="H72" s="102">
        <v>278</v>
      </c>
      <c r="I72" s="102">
        <v>43219</v>
      </c>
      <c r="J72" s="102">
        <v>42841</v>
      </c>
      <c r="K72" s="102">
        <v>39</v>
      </c>
      <c r="L72" s="102" t="s">
        <v>29</v>
      </c>
      <c r="M72" s="104" t="s">
        <v>38</v>
      </c>
      <c r="N72" s="20">
        <f t="shared" si="5"/>
        <v>0.10340359564080613</v>
      </c>
    </row>
    <row r="73" spans="1:14" x14ac:dyDescent="0.3">
      <c r="A73" s="101" t="s">
        <v>51</v>
      </c>
      <c r="B73" s="102" t="s">
        <v>40</v>
      </c>
      <c r="C73" s="103">
        <v>45534</v>
      </c>
      <c r="D73" s="102" t="s">
        <v>22</v>
      </c>
      <c r="E73" s="102" t="s">
        <v>23</v>
      </c>
      <c r="F73" s="102">
        <v>3784</v>
      </c>
      <c r="G73" s="102">
        <v>808</v>
      </c>
      <c r="H73" s="102">
        <v>404</v>
      </c>
      <c r="I73" s="102">
        <v>56760</v>
      </c>
      <c r="J73" s="102">
        <v>56343</v>
      </c>
      <c r="K73" s="102">
        <v>131</v>
      </c>
      <c r="L73" s="102" t="s">
        <v>29</v>
      </c>
      <c r="M73" s="104" t="s">
        <v>38</v>
      </c>
      <c r="N73" s="20">
        <f t="shared" si="5"/>
        <v>8.8019732205778717E-2</v>
      </c>
    </row>
    <row r="74" spans="1:14" x14ac:dyDescent="0.3">
      <c r="A74" s="101" t="s">
        <v>59</v>
      </c>
      <c r="B74" s="102" t="s">
        <v>40</v>
      </c>
      <c r="C74" s="103">
        <v>45494</v>
      </c>
      <c r="D74" s="102" t="s">
        <v>16</v>
      </c>
      <c r="E74" s="102" t="s">
        <v>17</v>
      </c>
      <c r="F74" s="102">
        <v>1946</v>
      </c>
      <c r="G74" s="102">
        <v>686</v>
      </c>
      <c r="H74" s="102">
        <v>377</v>
      </c>
      <c r="I74" s="102">
        <v>23352</v>
      </c>
      <c r="J74" s="102">
        <v>22982</v>
      </c>
      <c r="K74" s="102">
        <v>213</v>
      </c>
      <c r="L74" s="102" t="s">
        <v>61</v>
      </c>
      <c r="M74" s="104" t="s">
        <v>38</v>
      </c>
      <c r="N74" s="20">
        <f t="shared" si="5"/>
        <v>0.12885405960945528</v>
      </c>
    </row>
    <row r="75" spans="1:14" x14ac:dyDescent="0.3">
      <c r="A75" s="101" t="s">
        <v>72</v>
      </c>
      <c r="B75" s="102" t="s">
        <v>40</v>
      </c>
      <c r="C75" s="103">
        <v>45530</v>
      </c>
      <c r="D75" s="102" t="s">
        <v>22</v>
      </c>
      <c r="E75" s="102" t="s">
        <v>23</v>
      </c>
      <c r="F75" s="102">
        <v>3452</v>
      </c>
      <c r="G75" s="102">
        <v>377</v>
      </c>
      <c r="H75" s="102">
        <v>360</v>
      </c>
      <c r="I75" s="102">
        <v>55232</v>
      </c>
      <c r="J75" s="102">
        <v>55075</v>
      </c>
      <c r="K75" s="102">
        <v>87</v>
      </c>
      <c r="L75" s="102" t="s">
        <v>74</v>
      </c>
      <c r="M75" s="104" t="s">
        <v>38</v>
      </c>
      <c r="N75" s="20">
        <f t="shared" si="5"/>
        <v>7.5843713789107758E-2</v>
      </c>
    </row>
    <row r="76" spans="1:14" x14ac:dyDescent="0.3">
      <c r="A76" s="101" t="s">
        <v>80</v>
      </c>
      <c r="B76" s="102" t="s">
        <v>31</v>
      </c>
      <c r="C76" s="103">
        <v>45466</v>
      </c>
      <c r="D76" s="102" t="s">
        <v>69</v>
      </c>
      <c r="E76" s="102" t="s">
        <v>70</v>
      </c>
      <c r="F76" s="102">
        <v>1071</v>
      </c>
      <c r="G76" s="102">
        <v>519</v>
      </c>
      <c r="H76" s="102">
        <v>22</v>
      </c>
      <c r="I76" s="102">
        <v>16065</v>
      </c>
      <c r="J76" s="102">
        <v>15865</v>
      </c>
      <c r="K76" s="102">
        <v>103</v>
      </c>
      <c r="L76" s="102" t="s">
        <v>82</v>
      </c>
      <c r="M76" s="104" t="s">
        <v>38</v>
      </c>
      <c r="N76" s="20">
        <f t="shared" si="5"/>
        <v>0.10034235916588857</v>
      </c>
    </row>
    <row r="77" spans="1:14" x14ac:dyDescent="0.3">
      <c r="A77" s="101" t="s">
        <v>83</v>
      </c>
      <c r="B77" s="102" t="s">
        <v>31</v>
      </c>
      <c r="C77" s="103">
        <v>45544</v>
      </c>
      <c r="D77" s="102" t="s">
        <v>42</v>
      </c>
      <c r="E77" s="102" t="s">
        <v>43</v>
      </c>
      <c r="F77" s="102">
        <v>4054</v>
      </c>
      <c r="G77" s="102">
        <v>488</v>
      </c>
      <c r="H77" s="102">
        <v>373</v>
      </c>
      <c r="I77" s="102">
        <v>77026</v>
      </c>
      <c r="J77" s="102">
        <v>76881</v>
      </c>
      <c r="K77" s="102">
        <v>25</v>
      </c>
      <c r="L77" s="102" t="s">
        <v>29</v>
      </c>
      <c r="M77" s="104" t="s">
        <v>38</v>
      </c>
      <c r="N77" s="20">
        <f t="shared" si="5"/>
        <v>6.3809622724794221E-2</v>
      </c>
    </row>
    <row r="78" spans="1:14" x14ac:dyDescent="0.3">
      <c r="A78" s="101" t="s">
        <v>112</v>
      </c>
      <c r="B78" s="102" t="s">
        <v>40</v>
      </c>
      <c r="C78" s="103">
        <v>45525</v>
      </c>
      <c r="D78" s="102" t="s">
        <v>49</v>
      </c>
      <c r="E78" s="102" t="s">
        <v>50</v>
      </c>
      <c r="F78" s="102">
        <v>1407</v>
      </c>
      <c r="G78" s="102">
        <v>400</v>
      </c>
      <c r="H78" s="102">
        <v>351</v>
      </c>
      <c r="I78" s="102">
        <v>16884</v>
      </c>
      <c r="J78" s="102">
        <v>15954</v>
      </c>
      <c r="K78" s="102">
        <v>113</v>
      </c>
      <c r="L78" s="102" t="s">
        <v>71</v>
      </c>
      <c r="M78" s="104" t="s">
        <v>38</v>
      </c>
      <c r="N78" s="20">
        <f t="shared" si="5"/>
        <v>0.12781331438047855</v>
      </c>
    </row>
    <row r="79" spans="1:14" x14ac:dyDescent="0.3">
      <c r="A79" s="101" t="s">
        <v>151</v>
      </c>
      <c r="B79" s="102" t="s">
        <v>40</v>
      </c>
      <c r="C79" s="103">
        <v>45456</v>
      </c>
      <c r="D79" s="102" t="s">
        <v>42</v>
      </c>
      <c r="E79" s="102" t="s">
        <v>43</v>
      </c>
      <c r="F79" s="102">
        <v>2200</v>
      </c>
      <c r="G79" s="102">
        <v>504</v>
      </c>
      <c r="H79" s="102">
        <v>239</v>
      </c>
      <c r="I79" s="102">
        <v>37400</v>
      </c>
      <c r="J79" s="102">
        <v>36938</v>
      </c>
      <c r="K79" s="102">
        <v>225</v>
      </c>
      <c r="L79" s="102" t="s">
        <v>18</v>
      </c>
      <c r="M79" s="104" t="s">
        <v>38</v>
      </c>
      <c r="N79" s="20">
        <f t="shared" si="5"/>
        <v>7.8689839572192513E-2</v>
      </c>
    </row>
    <row r="80" spans="1:14" x14ac:dyDescent="0.3">
      <c r="A80" s="101" t="s">
        <v>181</v>
      </c>
      <c r="B80" s="102" t="s">
        <v>14</v>
      </c>
      <c r="C80" s="103">
        <v>45499</v>
      </c>
      <c r="D80" s="102" t="s">
        <v>42</v>
      </c>
      <c r="E80" s="102" t="s">
        <v>43</v>
      </c>
      <c r="F80" s="102">
        <v>432</v>
      </c>
      <c r="G80" s="102">
        <v>171</v>
      </c>
      <c r="H80" s="102">
        <v>280</v>
      </c>
      <c r="I80" s="102">
        <v>3024</v>
      </c>
      <c r="J80" s="102">
        <v>2285</v>
      </c>
      <c r="K80" s="102">
        <v>184</v>
      </c>
      <c r="L80" s="102" t="s">
        <v>24</v>
      </c>
      <c r="M80" s="104" t="s">
        <v>38</v>
      </c>
      <c r="N80" s="20">
        <f t="shared" si="5"/>
        <v>0.29199735449735448</v>
      </c>
    </row>
    <row r="81" spans="1:14" x14ac:dyDescent="0.3">
      <c r="A81" s="101" t="s">
        <v>198</v>
      </c>
      <c r="B81" s="102" t="s">
        <v>31</v>
      </c>
      <c r="C81" s="103">
        <v>45505</v>
      </c>
      <c r="D81" s="102" t="s">
        <v>16</v>
      </c>
      <c r="E81" s="102" t="s">
        <v>17</v>
      </c>
      <c r="F81" s="102">
        <v>1674</v>
      </c>
      <c r="G81" s="102">
        <v>929</v>
      </c>
      <c r="H81" s="102">
        <v>37</v>
      </c>
      <c r="I81" s="102">
        <v>21762</v>
      </c>
      <c r="J81" s="102">
        <v>20998</v>
      </c>
      <c r="K81" s="102">
        <v>255</v>
      </c>
      <c r="L81" s="102" t="s">
        <v>162</v>
      </c>
      <c r="M81" s="104" t="s">
        <v>38</v>
      </c>
      <c r="N81" s="20">
        <f t="shared" si="5"/>
        <v>0.12131237937689551</v>
      </c>
    </row>
    <row r="82" spans="1:14" x14ac:dyDescent="0.3">
      <c r="A82" s="101" t="s">
        <v>203</v>
      </c>
      <c r="B82" s="102" t="s">
        <v>14</v>
      </c>
      <c r="C82" s="103">
        <v>45460</v>
      </c>
      <c r="D82" s="102" t="s">
        <v>49</v>
      </c>
      <c r="E82" s="102" t="s">
        <v>50</v>
      </c>
      <c r="F82" s="102">
        <v>954</v>
      </c>
      <c r="G82" s="102">
        <v>324</v>
      </c>
      <c r="H82" s="102">
        <v>288</v>
      </c>
      <c r="I82" s="102">
        <v>19080</v>
      </c>
      <c r="J82" s="102">
        <v>18859</v>
      </c>
      <c r="K82" s="102">
        <v>21</v>
      </c>
      <c r="L82" s="102" t="s">
        <v>44</v>
      </c>
      <c r="M82" s="104" t="s">
        <v>38</v>
      </c>
      <c r="N82" s="20">
        <f t="shared" si="5"/>
        <v>8.2075471698113203E-2</v>
      </c>
    </row>
    <row r="83" spans="1:14" x14ac:dyDescent="0.3">
      <c r="A83" s="101" t="s">
        <v>210</v>
      </c>
      <c r="B83" s="102" t="s">
        <v>31</v>
      </c>
      <c r="C83" s="103">
        <v>45497</v>
      </c>
      <c r="D83" s="102" t="s">
        <v>49</v>
      </c>
      <c r="E83" s="102" t="s">
        <v>50</v>
      </c>
      <c r="F83" s="102">
        <v>725</v>
      </c>
      <c r="G83" s="102">
        <v>88</v>
      </c>
      <c r="H83" s="102">
        <v>428</v>
      </c>
      <c r="I83" s="102">
        <v>14500</v>
      </c>
      <c r="J83" s="102">
        <v>13637</v>
      </c>
      <c r="K83" s="102">
        <v>200</v>
      </c>
      <c r="L83" s="102" t="s">
        <v>44</v>
      </c>
      <c r="M83" s="104" t="s">
        <v>38</v>
      </c>
      <c r="N83" s="20">
        <f t="shared" si="5"/>
        <v>8.558620689655172E-2</v>
      </c>
    </row>
    <row r="84" spans="1:14" x14ac:dyDescent="0.3">
      <c r="A84" s="101" t="s">
        <v>236</v>
      </c>
      <c r="B84" s="102" t="s">
        <v>14</v>
      </c>
      <c r="C84" s="103">
        <v>45545</v>
      </c>
      <c r="D84" s="102" t="s">
        <v>49</v>
      </c>
      <c r="E84" s="102" t="s">
        <v>50</v>
      </c>
      <c r="F84" s="102">
        <v>1238</v>
      </c>
      <c r="G84" s="102">
        <v>366</v>
      </c>
      <c r="H84" s="102">
        <v>444</v>
      </c>
      <c r="I84" s="102">
        <v>19808</v>
      </c>
      <c r="J84" s="102">
        <v>19334</v>
      </c>
      <c r="K84" s="102">
        <v>123</v>
      </c>
      <c r="L84" s="102" t="s">
        <v>77</v>
      </c>
      <c r="M84" s="104" t="s">
        <v>38</v>
      </c>
      <c r="N84" s="20">
        <f t="shared" si="5"/>
        <v>0.10339256865912763</v>
      </c>
    </row>
    <row r="85" spans="1:14" x14ac:dyDescent="0.3">
      <c r="A85" s="101" t="s">
        <v>240</v>
      </c>
      <c r="B85" s="102" t="s">
        <v>14</v>
      </c>
      <c r="C85" s="103">
        <v>45453</v>
      </c>
      <c r="D85" s="102" t="s">
        <v>33</v>
      </c>
      <c r="E85" s="102" t="s">
        <v>34</v>
      </c>
      <c r="F85" s="102">
        <v>1575</v>
      </c>
      <c r="G85" s="102">
        <v>771</v>
      </c>
      <c r="H85" s="102">
        <v>486</v>
      </c>
      <c r="I85" s="102">
        <v>25200</v>
      </c>
      <c r="J85" s="102">
        <v>24826</v>
      </c>
      <c r="K85" s="102">
        <v>17</v>
      </c>
      <c r="L85" s="102" t="s">
        <v>58</v>
      </c>
      <c r="M85" s="104" t="s">
        <v>38</v>
      </c>
      <c r="N85" s="20">
        <f t="shared" si="5"/>
        <v>0.11238095238095239</v>
      </c>
    </row>
    <row r="86" spans="1:14" x14ac:dyDescent="0.3">
      <c r="A86" s="101" t="s">
        <v>241</v>
      </c>
      <c r="B86" s="102" t="s">
        <v>577</v>
      </c>
      <c r="C86" s="103">
        <v>45475</v>
      </c>
      <c r="D86" s="102" t="s">
        <v>42</v>
      </c>
      <c r="E86" s="102" t="s">
        <v>43</v>
      </c>
      <c r="F86" s="102">
        <v>4171</v>
      </c>
      <c r="G86" s="102">
        <v>548</v>
      </c>
      <c r="H86" s="102">
        <v>86</v>
      </c>
      <c r="I86" s="102">
        <v>66736</v>
      </c>
      <c r="J86" s="102">
        <v>66634</v>
      </c>
      <c r="K86" s="102">
        <v>173</v>
      </c>
      <c r="L86" s="102" t="s">
        <v>58</v>
      </c>
      <c r="M86" s="104" t="s">
        <v>38</v>
      </c>
      <c r="N86" s="20">
        <f t="shared" si="5"/>
        <v>7.2000119875329657E-2</v>
      </c>
    </row>
    <row r="87" spans="1:14" x14ac:dyDescent="0.3">
      <c r="A87" s="101" t="s">
        <v>246</v>
      </c>
      <c r="B87" s="102" t="s">
        <v>14</v>
      </c>
      <c r="C87" s="103">
        <v>45553</v>
      </c>
      <c r="D87" s="102" t="s">
        <v>16</v>
      </c>
      <c r="E87" s="102" t="s">
        <v>17</v>
      </c>
      <c r="F87" s="102">
        <v>1000</v>
      </c>
      <c r="G87" s="102">
        <v>978</v>
      </c>
      <c r="H87" s="102">
        <v>162</v>
      </c>
      <c r="I87" s="102">
        <v>6000</v>
      </c>
      <c r="J87" s="102">
        <v>5221</v>
      </c>
      <c r="K87" s="102">
        <v>223</v>
      </c>
      <c r="L87" s="102" t="s">
        <v>105</v>
      </c>
      <c r="M87" s="104" t="s">
        <v>38</v>
      </c>
      <c r="N87" s="20">
        <f t="shared" si="5"/>
        <v>0.35666666666666669</v>
      </c>
    </row>
    <row r="88" spans="1:14" x14ac:dyDescent="0.3">
      <c r="A88" s="101" t="s">
        <v>256</v>
      </c>
      <c r="B88" s="102" t="s">
        <v>577</v>
      </c>
      <c r="C88" s="103">
        <v>45464</v>
      </c>
      <c r="D88" s="102" t="s">
        <v>49</v>
      </c>
      <c r="E88" s="102" t="s">
        <v>50</v>
      </c>
      <c r="F88" s="102">
        <v>4832</v>
      </c>
      <c r="G88" s="102">
        <v>893</v>
      </c>
      <c r="H88" s="102">
        <v>10</v>
      </c>
      <c r="I88" s="102">
        <v>91808</v>
      </c>
      <c r="J88" s="102">
        <v>91296</v>
      </c>
      <c r="K88" s="102">
        <v>182</v>
      </c>
      <c r="L88" s="102" t="s">
        <v>82</v>
      </c>
      <c r="M88" s="104" t="s">
        <v>38</v>
      </c>
      <c r="N88" s="20">
        <f t="shared" si="5"/>
        <v>6.2467323109097243E-2</v>
      </c>
    </row>
    <row r="89" spans="1:14" x14ac:dyDescent="0.3">
      <c r="A89" s="101" t="s">
        <v>289</v>
      </c>
      <c r="B89" s="102" t="s">
        <v>14</v>
      </c>
      <c r="C89" s="103">
        <v>45543</v>
      </c>
      <c r="D89" s="102" t="s">
        <v>42</v>
      </c>
      <c r="E89" s="102" t="s">
        <v>43</v>
      </c>
      <c r="F89" s="102">
        <v>3811</v>
      </c>
      <c r="G89" s="102">
        <v>866</v>
      </c>
      <c r="H89" s="102">
        <v>216</v>
      </c>
      <c r="I89" s="102">
        <v>34299</v>
      </c>
      <c r="J89" s="102">
        <v>34088</v>
      </c>
      <c r="K89" s="102">
        <v>233</v>
      </c>
      <c r="L89" s="102" t="s">
        <v>58</v>
      </c>
      <c r="M89" s="104" t="s">
        <v>38</v>
      </c>
      <c r="N89" s="20">
        <f t="shared" si="5"/>
        <v>0.14265722032712325</v>
      </c>
    </row>
    <row r="90" spans="1:14" x14ac:dyDescent="0.3">
      <c r="A90" s="101" t="s">
        <v>295</v>
      </c>
      <c r="B90" s="102" t="s">
        <v>577</v>
      </c>
      <c r="C90" s="103">
        <v>45564</v>
      </c>
      <c r="D90" s="102" t="s">
        <v>16</v>
      </c>
      <c r="E90" s="102" t="s">
        <v>17</v>
      </c>
      <c r="F90" s="102">
        <v>2936</v>
      </c>
      <c r="G90" s="102">
        <v>439</v>
      </c>
      <c r="H90" s="102">
        <v>44</v>
      </c>
      <c r="I90" s="102">
        <v>38168</v>
      </c>
      <c r="J90" s="102">
        <v>37571</v>
      </c>
      <c r="K90" s="102">
        <v>22</v>
      </c>
      <c r="L90" s="102" t="s">
        <v>18</v>
      </c>
      <c r="M90" s="104" t="s">
        <v>38</v>
      </c>
      <c r="N90" s="20">
        <f t="shared" si="5"/>
        <v>8.9577656675749323E-2</v>
      </c>
    </row>
    <row r="91" spans="1:14" x14ac:dyDescent="0.3">
      <c r="A91" s="101" t="s">
        <v>313</v>
      </c>
      <c r="B91" s="102" t="s">
        <v>14</v>
      </c>
      <c r="C91" s="103">
        <v>45535</v>
      </c>
      <c r="D91" s="102" t="s">
        <v>49</v>
      </c>
      <c r="E91" s="102" t="s">
        <v>50</v>
      </c>
      <c r="F91" s="102">
        <v>3170</v>
      </c>
      <c r="G91" s="102">
        <v>857</v>
      </c>
      <c r="H91" s="102">
        <v>379</v>
      </c>
      <c r="I91" s="102">
        <v>19020</v>
      </c>
      <c r="J91" s="102">
        <v>18559</v>
      </c>
      <c r="K91" s="102">
        <v>240</v>
      </c>
      <c r="L91" s="102" t="s">
        <v>18</v>
      </c>
      <c r="M91" s="104" t="s">
        <v>38</v>
      </c>
      <c r="N91" s="20">
        <f t="shared" si="5"/>
        <v>0.2316508937960042</v>
      </c>
    </row>
    <row r="92" spans="1:14" x14ac:dyDescent="0.3">
      <c r="A92" s="101" t="s">
        <v>323</v>
      </c>
      <c r="B92" s="102" t="s">
        <v>14</v>
      </c>
      <c r="C92" s="103">
        <v>45459</v>
      </c>
      <c r="D92" s="102" t="s">
        <v>69</v>
      </c>
      <c r="E92" s="102" t="s">
        <v>70</v>
      </c>
      <c r="F92" s="102">
        <v>1702</v>
      </c>
      <c r="G92" s="102">
        <v>750</v>
      </c>
      <c r="H92" s="102">
        <v>179</v>
      </c>
      <c r="I92" s="102">
        <v>34040</v>
      </c>
      <c r="J92" s="102">
        <v>33174</v>
      </c>
      <c r="K92" s="102">
        <v>76</v>
      </c>
      <c r="L92" s="102" t="s">
        <v>44</v>
      </c>
      <c r="M92" s="104" t="s">
        <v>38</v>
      </c>
      <c r="N92" s="20">
        <f t="shared" si="5"/>
        <v>7.7291421856639245E-2</v>
      </c>
    </row>
    <row r="93" spans="1:14" x14ac:dyDescent="0.3">
      <c r="A93" s="101" t="s">
        <v>327</v>
      </c>
      <c r="B93" s="102" t="s">
        <v>31</v>
      </c>
      <c r="C93" s="103">
        <v>45499</v>
      </c>
      <c r="D93" s="102" t="s">
        <v>49</v>
      </c>
      <c r="E93" s="102" t="s">
        <v>50</v>
      </c>
      <c r="F93" s="102">
        <v>3559</v>
      </c>
      <c r="G93" s="102">
        <v>59</v>
      </c>
      <c r="H93" s="102">
        <v>289</v>
      </c>
      <c r="I93" s="102">
        <v>35590</v>
      </c>
      <c r="J93" s="102">
        <v>35105</v>
      </c>
      <c r="K93" s="102">
        <v>122</v>
      </c>
      <c r="L93" s="102" t="s">
        <v>214</v>
      </c>
      <c r="M93" s="104" t="s">
        <v>38</v>
      </c>
      <c r="N93" s="20">
        <f t="shared" si="5"/>
        <v>0.10977802753582468</v>
      </c>
    </row>
    <row r="94" spans="1:14" x14ac:dyDescent="0.3">
      <c r="A94" s="101" t="s">
        <v>381</v>
      </c>
      <c r="B94" s="102" t="s">
        <v>14</v>
      </c>
      <c r="C94" s="103">
        <v>45501</v>
      </c>
      <c r="D94" s="102" t="s">
        <v>49</v>
      </c>
      <c r="E94" s="102" t="s">
        <v>50</v>
      </c>
      <c r="F94" s="102">
        <v>3215</v>
      </c>
      <c r="G94" s="102">
        <v>960</v>
      </c>
      <c r="H94" s="102">
        <v>202</v>
      </c>
      <c r="I94" s="102">
        <v>32150</v>
      </c>
      <c r="J94" s="102">
        <v>31404</v>
      </c>
      <c r="K94" s="102">
        <v>251</v>
      </c>
      <c r="L94" s="102" t="s">
        <v>58</v>
      </c>
      <c r="M94" s="104" t="s">
        <v>38</v>
      </c>
      <c r="N94" s="20">
        <f t="shared" si="5"/>
        <v>0.13614307931570763</v>
      </c>
    </row>
    <row r="95" spans="1:14" x14ac:dyDescent="0.3">
      <c r="A95" s="101" t="s">
        <v>398</v>
      </c>
      <c r="B95" s="102" t="s">
        <v>31</v>
      </c>
      <c r="C95" s="103">
        <v>45519</v>
      </c>
      <c r="D95" s="102" t="s">
        <v>42</v>
      </c>
      <c r="E95" s="102" t="s">
        <v>43</v>
      </c>
      <c r="F95" s="102">
        <v>914</v>
      </c>
      <c r="G95" s="102">
        <v>464</v>
      </c>
      <c r="H95" s="102">
        <v>246</v>
      </c>
      <c r="I95" s="102">
        <v>11882</v>
      </c>
      <c r="J95" s="102">
        <v>11500</v>
      </c>
      <c r="K95" s="102">
        <v>282</v>
      </c>
      <c r="L95" s="102" t="s">
        <v>285</v>
      </c>
      <c r="M95" s="104" t="s">
        <v>38</v>
      </c>
      <c r="N95" s="20">
        <f t="shared" si="5"/>
        <v>0.13667732704931829</v>
      </c>
    </row>
    <row r="96" spans="1:14" x14ac:dyDescent="0.3">
      <c r="A96" s="101" t="s">
        <v>442</v>
      </c>
      <c r="B96" s="102" t="s">
        <v>14</v>
      </c>
      <c r="C96" s="103">
        <v>45463</v>
      </c>
      <c r="D96" s="102" t="s">
        <v>42</v>
      </c>
      <c r="E96" s="102" t="s">
        <v>43</v>
      </c>
      <c r="F96" s="102">
        <v>4672</v>
      </c>
      <c r="G96" s="102">
        <v>325</v>
      </c>
      <c r="H96" s="102">
        <v>32</v>
      </c>
      <c r="I96" s="102">
        <v>88768</v>
      </c>
      <c r="J96" s="102">
        <v>87833</v>
      </c>
      <c r="K96" s="102">
        <v>118</v>
      </c>
      <c r="L96" s="102" t="s">
        <v>127</v>
      </c>
      <c r="M96" s="104" t="s">
        <v>38</v>
      </c>
      <c r="N96" s="20">
        <f t="shared" si="5"/>
        <v>5.6653298485940883E-2</v>
      </c>
    </row>
    <row r="97" spans="1:14" x14ac:dyDescent="0.3">
      <c r="A97" s="101" t="s">
        <v>463</v>
      </c>
      <c r="B97" s="102" t="s">
        <v>14</v>
      </c>
      <c r="C97" s="103">
        <v>45530</v>
      </c>
      <c r="D97" s="102" t="s">
        <v>42</v>
      </c>
      <c r="E97" s="102" t="s">
        <v>43</v>
      </c>
      <c r="F97" s="102">
        <v>929</v>
      </c>
      <c r="G97" s="102">
        <v>192</v>
      </c>
      <c r="H97" s="102">
        <v>322</v>
      </c>
      <c r="I97" s="102">
        <v>16722</v>
      </c>
      <c r="J97" s="102">
        <v>15996</v>
      </c>
      <c r="K97" s="102">
        <v>145</v>
      </c>
      <c r="L97" s="102" t="s">
        <v>24</v>
      </c>
      <c r="M97" s="104" t="s">
        <v>38</v>
      </c>
      <c r="N97" s="20">
        <f t="shared" si="5"/>
        <v>8.6293505561535699E-2</v>
      </c>
    </row>
    <row r="98" spans="1:14" x14ac:dyDescent="0.3">
      <c r="A98" s="101" t="s">
        <v>535</v>
      </c>
      <c r="B98" s="102" t="s">
        <v>31</v>
      </c>
      <c r="C98" s="103">
        <v>45519</v>
      </c>
      <c r="D98" s="102" t="s">
        <v>16</v>
      </c>
      <c r="E98" s="102" t="s">
        <v>17</v>
      </c>
      <c r="F98" s="102">
        <v>1164</v>
      </c>
      <c r="G98" s="102">
        <v>616</v>
      </c>
      <c r="H98" s="102">
        <v>324</v>
      </c>
      <c r="I98" s="102">
        <v>6984</v>
      </c>
      <c r="J98" s="102">
        <v>6636</v>
      </c>
      <c r="K98" s="102">
        <v>82</v>
      </c>
      <c r="L98" s="102" t="s">
        <v>285</v>
      </c>
      <c r="M98" s="104" t="s">
        <v>38</v>
      </c>
      <c r="N98" s="20">
        <f t="shared" si="5"/>
        <v>0.30126002290950743</v>
      </c>
    </row>
    <row r="99" spans="1:14" x14ac:dyDescent="0.3">
      <c r="M99" s="147" t="s">
        <v>627</v>
      </c>
      <c r="N99" s="148">
        <f>AVERAGE(N70:N98)</f>
        <v>0.12270782232907843</v>
      </c>
    </row>
    <row r="101" spans="1:14" x14ac:dyDescent="0.3">
      <c r="A101" s="159" t="s">
        <v>625</v>
      </c>
      <c r="B101" s="159"/>
      <c r="C101" s="159"/>
    </row>
    <row r="102" spans="1:14" x14ac:dyDescent="0.3">
      <c r="A102" s="98" t="s">
        <v>0</v>
      </c>
      <c r="B102" s="99" t="s">
        <v>1</v>
      </c>
      <c r="C102" s="99" t="s">
        <v>2</v>
      </c>
      <c r="D102" s="99" t="s">
        <v>3</v>
      </c>
      <c r="E102" s="99" t="s">
        <v>4</v>
      </c>
      <c r="F102" s="99" t="s">
        <v>5</v>
      </c>
      <c r="G102" s="99" t="s">
        <v>6</v>
      </c>
      <c r="H102" s="99" t="s">
        <v>7</v>
      </c>
      <c r="I102" s="99" t="s">
        <v>8</v>
      </c>
      <c r="J102" s="99" t="s">
        <v>9</v>
      </c>
      <c r="K102" s="99" t="s">
        <v>10</v>
      </c>
      <c r="L102" s="99" t="s">
        <v>11</v>
      </c>
      <c r="M102" s="100" t="s">
        <v>12</v>
      </c>
      <c r="N102" s="145" t="s">
        <v>560</v>
      </c>
    </row>
    <row r="103" spans="1:14" x14ac:dyDescent="0.3">
      <c r="A103" s="101" t="s">
        <v>280</v>
      </c>
      <c r="B103" s="102" t="s">
        <v>31</v>
      </c>
      <c r="C103" s="103">
        <v>45695</v>
      </c>
      <c r="D103" s="102" t="s">
        <v>16</v>
      </c>
      <c r="E103" s="102" t="s">
        <v>17</v>
      </c>
      <c r="F103" s="102">
        <v>1970</v>
      </c>
      <c r="G103" s="102">
        <v>675</v>
      </c>
      <c r="H103" s="102">
        <v>478</v>
      </c>
      <c r="I103" s="102">
        <v>9850</v>
      </c>
      <c r="J103" s="102">
        <v>8924</v>
      </c>
      <c r="K103" s="102">
        <v>117</v>
      </c>
      <c r="L103" s="102" t="s">
        <v>44</v>
      </c>
      <c r="M103" s="104" t="s">
        <v>55</v>
      </c>
      <c r="N103" s="20">
        <f>SUM(F103,G103,H103)/I103</f>
        <v>0.31705583756345179</v>
      </c>
    </row>
    <row r="104" spans="1:14" x14ac:dyDescent="0.3">
      <c r="A104" s="101" t="s">
        <v>293</v>
      </c>
      <c r="B104" s="102" t="s">
        <v>14</v>
      </c>
      <c r="C104" s="103">
        <v>45667</v>
      </c>
      <c r="D104" s="102" t="s">
        <v>49</v>
      </c>
      <c r="E104" s="102" t="s">
        <v>50</v>
      </c>
      <c r="F104" s="102">
        <v>3092</v>
      </c>
      <c r="G104" s="102">
        <v>106</v>
      </c>
      <c r="H104" s="102">
        <v>291</v>
      </c>
      <c r="I104" s="102">
        <v>27828</v>
      </c>
      <c r="J104" s="102">
        <v>27217</v>
      </c>
      <c r="K104" s="102">
        <v>102</v>
      </c>
      <c r="L104" s="102" t="s">
        <v>58</v>
      </c>
      <c r="M104" s="104" t="s">
        <v>55</v>
      </c>
      <c r="N104" s="20">
        <f t="shared" ref="N104:N109" si="6">SUM(F104,G104,H104)/I104</f>
        <v>0.12537731780940059</v>
      </c>
    </row>
    <row r="105" spans="1:14" x14ac:dyDescent="0.3">
      <c r="A105" s="101" t="s">
        <v>383</v>
      </c>
      <c r="B105" s="102" t="s">
        <v>31</v>
      </c>
      <c r="C105" s="103">
        <v>45668</v>
      </c>
      <c r="D105" s="102" t="s">
        <v>42</v>
      </c>
      <c r="E105" s="102" t="s">
        <v>43</v>
      </c>
      <c r="F105" s="102">
        <v>4523</v>
      </c>
      <c r="G105" s="102">
        <v>61</v>
      </c>
      <c r="H105" s="102">
        <v>157</v>
      </c>
      <c r="I105" s="102">
        <v>49753</v>
      </c>
      <c r="J105" s="102">
        <v>49329</v>
      </c>
      <c r="K105" s="102">
        <v>71</v>
      </c>
      <c r="L105" s="102" t="s">
        <v>102</v>
      </c>
      <c r="M105" s="104" t="s">
        <v>55</v>
      </c>
      <c r="N105" s="20">
        <f t="shared" si="6"/>
        <v>9.5290736237010829E-2</v>
      </c>
    </row>
    <row r="106" spans="1:14" x14ac:dyDescent="0.3">
      <c r="A106" s="101" t="s">
        <v>408</v>
      </c>
      <c r="B106" s="102" t="s">
        <v>14</v>
      </c>
      <c r="C106" s="103">
        <v>45672</v>
      </c>
      <c r="D106" s="102" t="s">
        <v>16</v>
      </c>
      <c r="E106" s="102" t="s">
        <v>17</v>
      </c>
      <c r="F106" s="102">
        <v>802</v>
      </c>
      <c r="G106" s="102">
        <v>262</v>
      </c>
      <c r="H106" s="102">
        <v>244</v>
      </c>
      <c r="I106" s="102">
        <v>14436</v>
      </c>
      <c r="J106" s="102">
        <v>14280</v>
      </c>
      <c r="K106" s="102">
        <v>49</v>
      </c>
      <c r="L106" s="102" t="s">
        <v>74</v>
      </c>
      <c r="M106" s="104" t="s">
        <v>55</v>
      </c>
      <c r="N106" s="20">
        <f t="shared" si="6"/>
        <v>9.0606816292601824E-2</v>
      </c>
    </row>
    <row r="107" spans="1:14" x14ac:dyDescent="0.3">
      <c r="A107" s="101" t="s">
        <v>485</v>
      </c>
      <c r="B107" s="102" t="s">
        <v>14</v>
      </c>
      <c r="C107" s="103">
        <v>45671</v>
      </c>
      <c r="D107" s="102" t="s">
        <v>49</v>
      </c>
      <c r="E107" s="102" t="s">
        <v>50</v>
      </c>
      <c r="F107" s="102">
        <v>2692</v>
      </c>
      <c r="G107" s="102">
        <v>115</v>
      </c>
      <c r="H107" s="102">
        <v>64</v>
      </c>
      <c r="I107" s="102">
        <v>21536</v>
      </c>
      <c r="J107" s="102">
        <v>21120</v>
      </c>
      <c r="K107" s="102">
        <v>224</v>
      </c>
      <c r="L107" s="102" t="s">
        <v>178</v>
      </c>
      <c r="M107" s="104" t="s">
        <v>55</v>
      </c>
      <c r="N107" s="20">
        <f t="shared" si="6"/>
        <v>0.13331166419019316</v>
      </c>
    </row>
    <row r="108" spans="1:14" x14ac:dyDescent="0.3">
      <c r="A108" s="101" t="s">
        <v>492</v>
      </c>
      <c r="B108" s="102" t="s">
        <v>40</v>
      </c>
      <c r="C108" s="103">
        <v>45698</v>
      </c>
      <c r="D108" s="102" t="s">
        <v>22</v>
      </c>
      <c r="E108" s="102" t="s">
        <v>23</v>
      </c>
      <c r="F108" s="102">
        <v>562</v>
      </c>
      <c r="G108" s="102">
        <v>158</v>
      </c>
      <c r="H108" s="102">
        <v>149</v>
      </c>
      <c r="I108" s="102">
        <v>3372</v>
      </c>
      <c r="J108" s="102">
        <v>2940</v>
      </c>
      <c r="K108" s="102">
        <v>93</v>
      </c>
      <c r="L108" s="102" t="s">
        <v>127</v>
      </c>
      <c r="M108" s="104" t="s">
        <v>55</v>
      </c>
      <c r="N108" s="20">
        <f t="shared" si="6"/>
        <v>0.25771055753262156</v>
      </c>
    </row>
    <row r="109" spans="1:14" x14ac:dyDescent="0.3">
      <c r="A109" s="101" t="s">
        <v>500</v>
      </c>
      <c r="B109" s="102" t="s">
        <v>14</v>
      </c>
      <c r="C109" s="103">
        <v>45687</v>
      </c>
      <c r="D109" s="102" t="s">
        <v>49</v>
      </c>
      <c r="E109" s="102" t="s">
        <v>50</v>
      </c>
      <c r="F109" s="102">
        <v>59</v>
      </c>
      <c r="G109" s="102">
        <v>163</v>
      </c>
      <c r="H109" s="102">
        <v>93</v>
      </c>
      <c r="I109" s="102">
        <v>590</v>
      </c>
      <c r="J109" s="102">
        <v>475</v>
      </c>
      <c r="K109" s="102">
        <v>293</v>
      </c>
      <c r="L109" s="102" t="s">
        <v>44</v>
      </c>
      <c r="M109" s="104" t="s">
        <v>55</v>
      </c>
      <c r="N109" s="20">
        <f t="shared" si="6"/>
        <v>0.53389830508474578</v>
      </c>
    </row>
    <row r="110" spans="1:14" x14ac:dyDescent="0.3">
      <c r="M110" s="147" t="s">
        <v>627</v>
      </c>
      <c r="N110" s="148">
        <f>AVERAGE(N103:N109)</f>
        <v>0.22189303353000364</v>
      </c>
    </row>
    <row r="112" spans="1:14" x14ac:dyDescent="0.3">
      <c r="A112" s="160" t="s">
        <v>626</v>
      </c>
      <c r="B112" s="160"/>
      <c r="C112" s="160"/>
    </row>
    <row r="113" spans="1:14" x14ac:dyDescent="0.3">
      <c r="A113" s="98" t="s">
        <v>0</v>
      </c>
      <c r="B113" s="99" t="s">
        <v>1</v>
      </c>
      <c r="C113" s="99" t="s">
        <v>2</v>
      </c>
      <c r="D113" s="99" t="s">
        <v>3</v>
      </c>
      <c r="E113" s="99" t="s">
        <v>4</v>
      </c>
      <c r="F113" s="99" t="s">
        <v>5</v>
      </c>
      <c r="G113" s="99" t="s">
        <v>6</v>
      </c>
      <c r="H113" s="99" t="s">
        <v>7</v>
      </c>
      <c r="I113" s="99" t="s">
        <v>8</v>
      </c>
      <c r="J113" s="99" t="s">
        <v>9</v>
      </c>
      <c r="K113" s="99" t="s">
        <v>10</v>
      </c>
      <c r="L113" s="99" t="s">
        <v>11</v>
      </c>
      <c r="M113" s="100" t="s">
        <v>12</v>
      </c>
      <c r="N113" s="145" t="s">
        <v>560</v>
      </c>
    </row>
    <row r="114" spans="1:14" x14ac:dyDescent="0.3">
      <c r="A114" s="101" t="s">
        <v>62</v>
      </c>
      <c r="B114" s="102" t="s">
        <v>577</v>
      </c>
      <c r="C114" s="103">
        <v>45614</v>
      </c>
      <c r="D114" s="102" t="s">
        <v>42</v>
      </c>
      <c r="E114" s="102" t="s">
        <v>43</v>
      </c>
      <c r="F114" s="102">
        <v>1171</v>
      </c>
      <c r="G114" s="102">
        <v>286</v>
      </c>
      <c r="H114" s="102">
        <v>231</v>
      </c>
      <c r="I114" s="102">
        <v>22249</v>
      </c>
      <c r="J114" s="102">
        <v>21282</v>
      </c>
      <c r="K114" s="102">
        <v>114</v>
      </c>
      <c r="L114" s="102" t="s">
        <v>24</v>
      </c>
      <c r="M114" s="104" t="s">
        <v>55</v>
      </c>
      <c r="N114" s="20">
        <f>SUM(F114,G114,H114)/I114</f>
        <v>7.5868578363072495E-2</v>
      </c>
    </row>
    <row r="115" spans="1:14" x14ac:dyDescent="0.3">
      <c r="A115" s="101" t="s">
        <v>98</v>
      </c>
      <c r="B115" s="102" t="s">
        <v>577</v>
      </c>
      <c r="C115" s="103">
        <v>45552</v>
      </c>
      <c r="D115" s="102" t="s">
        <v>22</v>
      </c>
      <c r="E115" s="102" t="s">
        <v>23</v>
      </c>
      <c r="F115" s="102">
        <v>2076</v>
      </c>
      <c r="G115" s="102">
        <v>195</v>
      </c>
      <c r="H115" s="102">
        <v>104</v>
      </c>
      <c r="I115" s="102">
        <v>33216</v>
      </c>
      <c r="J115" s="102">
        <v>32244</v>
      </c>
      <c r="K115" s="102">
        <v>51</v>
      </c>
      <c r="L115" s="102" t="s">
        <v>44</v>
      </c>
      <c r="M115" s="104" t="s">
        <v>55</v>
      </c>
      <c r="N115" s="20">
        <f t="shared" ref="N115:N152" si="7">SUM(F115,G115,H115)/I115</f>
        <v>7.1501685934489398E-2</v>
      </c>
    </row>
    <row r="116" spans="1:14" x14ac:dyDescent="0.3">
      <c r="A116" s="101" t="s">
        <v>108</v>
      </c>
      <c r="B116" s="102" t="s">
        <v>31</v>
      </c>
      <c r="C116" s="103">
        <v>45642</v>
      </c>
      <c r="D116" s="102" t="s">
        <v>22</v>
      </c>
      <c r="E116" s="102" t="s">
        <v>23</v>
      </c>
      <c r="F116" s="102">
        <v>438</v>
      </c>
      <c r="G116" s="102">
        <v>153</v>
      </c>
      <c r="H116" s="102">
        <v>275</v>
      </c>
      <c r="I116" s="102">
        <v>3066</v>
      </c>
      <c r="J116" s="102">
        <v>2701</v>
      </c>
      <c r="K116" s="102">
        <v>282</v>
      </c>
      <c r="L116" s="102" t="s">
        <v>44</v>
      </c>
      <c r="M116" s="104" t="s">
        <v>55</v>
      </c>
      <c r="N116" s="20">
        <f t="shared" si="7"/>
        <v>0.28245270711024134</v>
      </c>
    </row>
    <row r="117" spans="1:14" x14ac:dyDescent="0.3">
      <c r="A117" s="101" t="s">
        <v>110</v>
      </c>
      <c r="B117" s="102" t="s">
        <v>14</v>
      </c>
      <c r="C117" s="103">
        <v>45504</v>
      </c>
      <c r="D117" s="102" t="s">
        <v>42</v>
      </c>
      <c r="E117" s="102" t="s">
        <v>43</v>
      </c>
      <c r="F117" s="102">
        <v>2278</v>
      </c>
      <c r="G117" s="102">
        <v>10</v>
      </c>
      <c r="H117" s="102">
        <v>321</v>
      </c>
      <c r="I117" s="102">
        <v>13668</v>
      </c>
      <c r="J117" s="102">
        <v>12676</v>
      </c>
      <c r="K117" s="102">
        <v>275</v>
      </c>
      <c r="L117" s="102" t="s">
        <v>105</v>
      </c>
      <c r="M117" s="104" t="s">
        <v>55</v>
      </c>
      <c r="N117" s="20">
        <f t="shared" si="7"/>
        <v>0.19088381621305239</v>
      </c>
    </row>
    <row r="118" spans="1:14" x14ac:dyDescent="0.3">
      <c r="A118" s="101" t="s">
        <v>134</v>
      </c>
      <c r="B118" s="102" t="s">
        <v>31</v>
      </c>
      <c r="C118" s="103">
        <v>45640</v>
      </c>
      <c r="D118" s="102" t="s">
        <v>42</v>
      </c>
      <c r="E118" s="102" t="s">
        <v>43</v>
      </c>
      <c r="F118" s="102">
        <v>2174</v>
      </c>
      <c r="G118" s="102">
        <v>658</v>
      </c>
      <c r="H118" s="102">
        <v>15</v>
      </c>
      <c r="I118" s="102">
        <v>13044</v>
      </c>
      <c r="J118" s="102">
        <v>12206</v>
      </c>
      <c r="K118" s="102">
        <v>137</v>
      </c>
      <c r="L118" s="102" t="s">
        <v>66</v>
      </c>
      <c r="M118" s="104" t="s">
        <v>55</v>
      </c>
      <c r="N118" s="20">
        <f t="shared" si="7"/>
        <v>0.21826126954921804</v>
      </c>
    </row>
    <row r="119" spans="1:14" x14ac:dyDescent="0.3">
      <c r="A119" s="101" t="s">
        <v>138</v>
      </c>
      <c r="B119" s="102" t="s">
        <v>40</v>
      </c>
      <c r="C119" s="103">
        <v>45597</v>
      </c>
      <c r="D119" s="102" t="s">
        <v>69</v>
      </c>
      <c r="E119" s="102" t="s">
        <v>70</v>
      </c>
      <c r="F119" s="102">
        <v>3371</v>
      </c>
      <c r="G119" s="102">
        <v>106</v>
      </c>
      <c r="H119" s="102">
        <v>327</v>
      </c>
      <c r="I119" s="102">
        <v>50565</v>
      </c>
      <c r="J119" s="102">
        <v>49816</v>
      </c>
      <c r="K119" s="102">
        <v>176</v>
      </c>
      <c r="L119" s="102" t="s">
        <v>77</v>
      </c>
      <c r="M119" s="104" t="s">
        <v>55</v>
      </c>
      <c r="N119" s="20">
        <f t="shared" si="7"/>
        <v>7.5229902106199939E-2</v>
      </c>
    </row>
    <row r="120" spans="1:14" x14ac:dyDescent="0.3">
      <c r="A120" s="101" t="s">
        <v>158</v>
      </c>
      <c r="B120" s="102" t="s">
        <v>40</v>
      </c>
      <c r="C120" s="103">
        <v>45460</v>
      </c>
      <c r="D120" s="102" t="s">
        <v>49</v>
      </c>
      <c r="E120" s="102" t="s">
        <v>50</v>
      </c>
      <c r="F120" s="102">
        <v>1226</v>
      </c>
      <c r="G120" s="102">
        <v>119</v>
      </c>
      <c r="H120" s="102">
        <v>7</v>
      </c>
      <c r="I120" s="102">
        <v>14712</v>
      </c>
      <c r="J120" s="102">
        <v>14049</v>
      </c>
      <c r="K120" s="102">
        <v>123</v>
      </c>
      <c r="L120" s="102" t="s">
        <v>102</v>
      </c>
      <c r="M120" s="104" t="s">
        <v>55</v>
      </c>
      <c r="N120" s="20">
        <f t="shared" si="7"/>
        <v>9.1897770527460579E-2</v>
      </c>
    </row>
    <row r="121" spans="1:14" x14ac:dyDescent="0.3">
      <c r="A121" s="101" t="s">
        <v>200</v>
      </c>
      <c r="B121" s="102" t="s">
        <v>14</v>
      </c>
      <c r="C121" s="103">
        <v>45603</v>
      </c>
      <c r="D121" s="102" t="s">
        <v>33</v>
      </c>
      <c r="E121" s="102" t="s">
        <v>34</v>
      </c>
      <c r="F121" s="102">
        <v>1121</v>
      </c>
      <c r="G121" s="102">
        <v>135</v>
      </c>
      <c r="H121" s="102">
        <v>18</v>
      </c>
      <c r="I121" s="102">
        <v>15694</v>
      </c>
      <c r="J121" s="102">
        <v>14957</v>
      </c>
      <c r="K121" s="102">
        <v>99</v>
      </c>
      <c r="L121" s="102" t="s">
        <v>66</v>
      </c>
      <c r="M121" s="104" t="s">
        <v>55</v>
      </c>
      <c r="N121" s="20">
        <f t="shared" si="7"/>
        <v>8.1177520071364848E-2</v>
      </c>
    </row>
    <row r="122" spans="1:14" x14ac:dyDescent="0.3">
      <c r="A122" s="101" t="s">
        <v>230</v>
      </c>
      <c r="B122" s="102" t="s">
        <v>14</v>
      </c>
      <c r="C122" s="103">
        <v>45586</v>
      </c>
      <c r="D122" s="102" t="s">
        <v>33</v>
      </c>
      <c r="E122" s="102" t="s">
        <v>34</v>
      </c>
      <c r="F122" s="102">
        <v>3801</v>
      </c>
      <c r="G122" s="102">
        <v>967</v>
      </c>
      <c r="H122" s="102">
        <v>401</v>
      </c>
      <c r="I122" s="102">
        <v>38010</v>
      </c>
      <c r="J122" s="102">
        <v>37625</v>
      </c>
      <c r="K122" s="102">
        <v>236</v>
      </c>
      <c r="L122" s="102" t="s">
        <v>58</v>
      </c>
      <c r="M122" s="104" t="s">
        <v>55</v>
      </c>
      <c r="N122" s="20">
        <f t="shared" si="7"/>
        <v>0.13599052880820836</v>
      </c>
    </row>
    <row r="123" spans="1:14" x14ac:dyDescent="0.3">
      <c r="A123" s="101" t="s">
        <v>252</v>
      </c>
      <c r="B123" s="102" t="s">
        <v>31</v>
      </c>
      <c r="C123" s="103">
        <v>45457</v>
      </c>
      <c r="D123" s="102" t="s">
        <v>42</v>
      </c>
      <c r="E123" s="102" t="s">
        <v>43</v>
      </c>
      <c r="F123" s="102">
        <v>498</v>
      </c>
      <c r="G123" s="102">
        <v>38</v>
      </c>
      <c r="H123" s="102">
        <v>42</v>
      </c>
      <c r="I123" s="102">
        <v>4482</v>
      </c>
      <c r="J123" s="102">
        <v>3647</v>
      </c>
      <c r="K123" s="102">
        <v>32</v>
      </c>
      <c r="L123" s="102" t="s">
        <v>162</v>
      </c>
      <c r="M123" s="104" t="s">
        <v>55</v>
      </c>
      <c r="N123" s="20">
        <f t="shared" si="7"/>
        <v>0.12896028558679162</v>
      </c>
    </row>
    <row r="124" spans="1:14" x14ac:dyDescent="0.3">
      <c r="A124" s="101" t="s">
        <v>269</v>
      </c>
      <c r="B124" s="102" t="s">
        <v>14</v>
      </c>
      <c r="C124" s="103">
        <v>45567</v>
      </c>
      <c r="D124" s="102" t="s">
        <v>42</v>
      </c>
      <c r="E124" s="102" t="s">
        <v>43</v>
      </c>
      <c r="F124" s="102">
        <v>4419</v>
      </c>
      <c r="G124" s="102">
        <v>236</v>
      </c>
      <c r="H124" s="102">
        <v>369</v>
      </c>
      <c r="I124" s="102">
        <v>44190</v>
      </c>
      <c r="J124" s="102">
        <v>43582</v>
      </c>
      <c r="K124" s="102">
        <v>10</v>
      </c>
      <c r="L124" s="102" t="s">
        <v>44</v>
      </c>
      <c r="M124" s="104" t="s">
        <v>55</v>
      </c>
      <c r="N124" s="20">
        <f t="shared" si="7"/>
        <v>0.11369088028965829</v>
      </c>
    </row>
    <row r="125" spans="1:14" x14ac:dyDescent="0.3">
      <c r="A125" s="101" t="s">
        <v>282</v>
      </c>
      <c r="B125" s="102" t="s">
        <v>40</v>
      </c>
      <c r="C125" s="103">
        <v>45586</v>
      </c>
      <c r="D125" s="102" t="s">
        <v>33</v>
      </c>
      <c r="E125" s="102" t="s">
        <v>34</v>
      </c>
      <c r="F125" s="102">
        <v>780</v>
      </c>
      <c r="G125" s="102">
        <v>928</v>
      </c>
      <c r="H125" s="102">
        <v>301</v>
      </c>
      <c r="I125" s="102">
        <v>8580</v>
      </c>
      <c r="J125" s="102">
        <v>8081</v>
      </c>
      <c r="K125" s="102">
        <v>91</v>
      </c>
      <c r="L125" s="102" t="s">
        <v>66</v>
      </c>
      <c r="M125" s="104" t="s">
        <v>55</v>
      </c>
      <c r="N125" s="20">
        <f t="shared" si="7"/>
        <v>0.23414918414918415</v>
      </c>
    </row>
    <row r="126" spans="1:14" x14ac:dyDescent="0.3">
      <c r="A126" s="101" t="s">
        <v>283</v>
      </c>
      <c r="B126" s="102" t="s">
        <v>31</v>
      </c>
      <c r="C126" s="103">
        <v>45502</v>
      </c>
      <c r="D126" s="102" t="s">
        <v>33</v>
      </c>
      <c r="E126" s="102" t="s">
        <v>34</v>
      </c>
      <c r="F126" s="102">
        <v>498</v>
      </c>
      <c r="G126" s="102">
        <v>701</v>
      </c>
      <c r="H126" s="102">
        <v>412</v>
      </c>
      <c r="I126" s="102">
        <v>4980</v>
      </c>
      <c r="J126" s="102">
        <v>4185</v>
      </c>
      <c r="K126" s="102">
        <v>185</v>
      </c>
      <c r="L126" s="102" t="s">
        <v>264</v>
      </c>
      <c r="M126" s="104" t="s">
        <v>55</v>
      </c>
      <c r="N126" s="20">
        <f t="shared" si="7"/>
        <v>0.32349397590361445</v>
      </c>
    </row>
    <row r="127" spans="1:14" x14ac:dyDescent="0.3">
      <c r="A127" s="101" t="s">
        <v>294</v>
      </c>
      <c r="B127" s="102" t="s">
        <v>14</v>
      </c>
      <c r="C127" s="103">
        <v>45494</v>
      </c>
      <c r="D127" s="102" t="s">
        <v>22</v>
      </c>
      <c r="E127" s="102" t="s">
        <v>23</v>
      </c>
      <c r="F127" s="102">
        <v>2147</v>
      </c>
      <c r="G127" s="102">
        <v>430</v>
      </c>
      <c r="H127" s="102">
        <v>393</v>
      </c>
      <c r="I127" s="102">
        <v>17176</v>
      </c>
      <c r="J127" s="102">
        <v>16483</v>
      </c>
      <c r="K127" s="102">
        <v>170</v>
      </c>
      <c r="L127" s="102" t="s">
        <v>77</v>
      </c>
      <c r="M127" s="104" t="s">
        <v>55</v>
      </c>
      <c r="N127" s="20">
        <f t="shared" si="7"/>
        <v>0.17291569632044715</v>
      </c>
    </row>
    <row r="128" spans="1:14" x14ac:dyDescent="0.3">
      <c r="A128" s="101" t="s">
        <v>305</v>
      </c>
      <c r="B128" s="102" t="s">
        <v>31</v>
      </c>
      <c r="C128" s="103">
        <v>45484</v>
      </c>
      <c r="D128" s="102" t="s">
        <v>22</v>
      </c>
      <c r="E128" s="102" t="s">
        <v>23</v>
      </c>
      <c r="F128" s="102">
        <v>3134</v>
      </c>
      <c r="G128" s="102">
        <v>888</v>
      </c>
      <c r="H128" s="102">
        <v>444</v>
      </c>
      <c r="I128" s="102">
        <v>21938</v>
      </c>
      <c r="J128" s="102">
        <v>21337</v>
      </c>
      <c r="K128" s="102">
        <v>130</v>
      </c>
      <c r="L128" s="102" t="s">
        <v>66</v>
      </c>
      <c r="M128" s="104" t="s">
        <v>55</v>
      </c>
      <c r="N128" s="20">
        <f t="shared" si="7"/>
        <v>0.20357370772176134</v>
      </c>
    </row>
    <row r="129" spans="1:14" x14ac:dyDescent="0.3">
      <c r="A129" s="101" t="s">
        <v>337</v>
      </c>
      <c r="B129" s="102" t="s">
        <v>577</v>
      </c>
      <c r="C129" s="103">
        <v>45496</v>
      </c>
      <c r="D129" s="102" t="s">
        <v>33</v>
      </c>
      <c r="E129" s="102" t="s">
        <v>34</v>
      </c>
      <c r="F129" s="102">
        <v>4775</v>
      </c>
      <c r="G129" s="102">
        <v>173</v>
      </c>
      <c r="H129" s="102">
        <v>206</v>
      </c>
      <c r="I129" s="102">
        <v>47750</v>
      </c>
      <c r="J129" s="102">
        <v>47544</v>
      </c>
      <c r="K129" s="102">
        <v>187</v>
      </c>
      <c r="L129" s="102" t="s">
        <v>87</v>
      </c>
      <c r="M129" s="104" t="s">
        <v>55</v>
      </c>
      <c r="N129" s="20">
        <f t="shared" si="7"/>
        <v>0.10793717277486911</v>
      </c>
    </row>
    <row r="130" spans="1:14" x14ac:dyDescent="0.3">
      <c r="A130" s="101" t="s">
        <v>342</v>
      </c>
      <c r="B130" s="102" t="s">
        <v>14</v>
      </c>
      <c r="C130" s="103">
        <v>45528</v>
      </c>
      <c r="D130" s="102" t="s">
        <v>69</v>
      </c>
      <c r="E130" s="102" t="s">
        <v>70</v>
      </c>
      <c r="F130" s="102">
        <v>1082</v>
      </c>
      <c r="G130" s="102">
        <v>209</v>
      </c>
      <c r="H130" s="102">
        <v>484</v>
      </c>
      <c r="I130" s="102">
        <v>19476</v>
      </c>
      <c r="J130" s="102">
        <v>18654</v>
      </c>
      <c r="K130" s="102">
        <v>20</v>
      </c>
      <c r="L130" s="102" t="s">
        <v>58</v>
      </c>
      <c r="M130" s="104" t="s">
        <v>55</v>
      </c>
      <c r="N130" s="20">
        <f t="shared" si="7"/>
        <v>9.1137810638734856E-2</v>
      </c>
    </row>
    <row r="131" spans="1:14" x14ac:dyDescent="0.3">
      <c r="A131" s="101" t="s">
        <v>354</v>
      </c>
      <c r="B131" s="102" t="s">
        <v>40</v>
      </c>
      <c r="C131" s="103">
        <v>45608</v>
      </c>
      <c r="D131" s="102" t="s">
        <v>22</v>
      </c>
      <c r="E131" s="102" t="s">
        <v>23</v>
      </c>
      <c r="F131" s="102">
        <v>2418</v>
      </c>
      <c r="G131" s="102">
        <v>754</v>
      </c>
      <c r="H131" s="102">
        <v>54</v>
      </c>
      <c r="I131" s="102">
        <v>43524</v>
      </c>
      <c r="J131" s="102">
        <v>42743</v>
      </c>
      <c r="K131" s="102">
        <v>182</v>
      </c>
      <c r="L131" s="102" t="s">
        <v>285</v>
      </c>
      <c r="M131" s="104" t="s">
        <v>55</v>
      </c>
      <c r="N131" s="20">
        <f t="shared" si="7"/>
        <v>7.412002573292896E-2</v>
      </c>
    </row>
    <row r="132" spans="1:14" x14ac:dyDescent="0.3">
      <c r="A132" s="101" t="s">
        <v>360</v>
      </c>
      <c r="B132" s="102" t="s">
        <v>577</v>
      </c>
      <c r="C132" s="103">
        <v>45657</v>
      </c>
      <c r="D132" s="102" t="s">
        <v>69</v>
      </c>
      <c r="E132" s="102" t="s">
        <v>70</v>
      </c>
      <c r="F132" s="102">
        <v>1018</v>
      </c>
      <c r="G132" s="102">
        <v>447</v>
      </c>
      <c r="H132" s="102">
        <v>332</v>
      </c>
      <c r="I132" s="102">
        <v>18324</v>
      </c>
      <c r="J132" s="102">
        <v>18164</v>
      </c>
      <c r="K132" s="102">
        <v>38</v>
      </c>
      <c r="L132" s="102" t="s">
        <v>66</v>
      </c>
      <c r="M132" s="104" t="s">
        <v>55</v>
      </c>
      <c r="N132" s="20">
        <f t="shared" si="7"/>
        <v>9.8068107400130972E-2</v>
      </c>
    </row>
    <row r="133" spans="1:14" x14ac:dyDescent="0.3">
      <c r="A133" s="101" t="s">
        <v>362</v>
      </c>
      <c r="B133" s="102" t="s">
        <v>40</v>
      </c>
      <c r="C133" s="103">
        <v>45518</v>
      </c>
      <c r="D133" s="102" t="s">
        <v>42</v>
      </c>
      <c r="E133" s="102" t="s">
        <v>43</v>
      </c>
      <c r="F133" s="102">
        <v>3073</v>
      </c>
      <c r="G133" s="102">
        <v>553</v>
      </c>
      <c r="H133" s="102">
        <v>174</v>
      </c>
      <c r="I133" s="102">
        <v>52241</v>
      </c>
      <c r="J133" s="102">
        <v>51605</v>
      </c>
      <c r="K133" s="102">
        <v>246</v>
      </c>
      <c r="L133" s="102" t="s">
        <v>146</v>
      </c>
      <c r="M133" s="104" t="s">
        <v>55</v>
      </c>
      <c r="N133" s="20">
        <f t="shared" si="7"/>
        <v>7.2739802071170159E-2</v>
      </c>
    </row>
    <row r="134" spans="1:14" x14ac:dyDescent="0.3">
      <c r="A134" s="101" t="s">
        <v>364</v>
      </c>
      <c r="B134" s="102" t="s">
        <v>14</v>
      </c>
      <c r="C134" s="103">
        <v>45631</v>
      </c>
      <c r="D134" s="102" t="s">
        <v>69</v>
      </c>
      <c r="E134" s="102" t="s">
        <v>70</v>
      </c>
      <c r="F134" s="102">
        <v>1330</v>
      </c>
      <c r="G134" s="102">
        <v>925</v>
      </c>
      <c r="H134" s="102">
        <v>35</v>
      </c>
      <c r="I134" s="102">
        <v>15960</v>
      </c>
      <c r="J134" s="102">
        <v>15379</v>
      </c>
      <c r="K134" s="102">
        <v>229</v>
      </c>
      <c r="L134" s="102" t="s">
        <v>178</v>
      </c>
      <c r="M134" s="104" t="s">
        <v>55</v>
      </c>
      <c r="N134" s="20">
        <f t="shared" si="7"/>
        <v>0.14348370927318296</v>
      </c>
    </row>
    <row r="135" spans="1:14" x14ac:dyDescent="0.3">
      <c r="A135" s="101" t="s">
        <v>366</v>
      </c>
      <c r="B135" s="102" t="s">
        <v>40</v>
      </c>
      <c r="C135" s="103">
        <v>45465</v>
      </c>
      <c r="D135" s="102" t="s">
        <v>22</v>
      </c>
      <c r="E135" s="102" t="s">
        <v>23</v>
      </c>
      <c r="F135" s="102">
        <v>3828</v>
      </c>
      <c r="G135" s="102">
        <v>148</v>
      </c>
      <c r="H135" s="102">
        <v>253</v>
      </c>
      <c r="I135" s="102">
        <v>30624</v>
      </c>
      <c r="J135" s="102">
        <v>30229</v>
      </c>
      <c r="K135" s="102">
        <v>235</v>
      </c>
      <c r="L135" s="102" t="s">
        <v>82</v>
      </c>
      <c r="M135" s="104" t="s">
        <v>55</v>
      </c>
      <c r="N135" s="20">
        <f t="shared" si="7"/>
        <v>0.13809430512016718</v>
      </c>
    </row>
    <row r="136" spans="1:14" x14ac:dyDescent="0.3">
      <c r="A136" s="101" t="s">
        <v>371</v>
      </c>
      <c r="B136" s="102" t="s">
        <v>31</v>
      </c>
      <c r="C136" s="103">
        <v>45483</v>
      </c>
      <c r="D136" s="102" t="s">
        <v>42</v>
      </c>
      <c r="E136" s="102" t="s">
        <v>43</v>
      </c>
      <c r="F136" s="102">
        <v>3099</v>
      </c>
      <c r="G136" s="102">
        <v>694</v>
      </c>
      <c r="H136" s="102">
        <v>171</v>
      </c>
      <c r="I136" s="102">
        <v>43386</v>
      </c>
      <c r="J136" s="102">
        <v>42921</v>
      </c>
      <c r="K136" s="102">
        <v>52</v>
      </c>
      <c r="L136" s="102" t="s">
        <v>77</v>
      </c>
      <c r="M136" s="104" t="s">
        <v>55</v>
      </c>
      <c r="N136" s="20">
        <f t="shared" si="7"/>
        <v>9.1365878393951966E-2</v>
      </c>
    </row>
    <row r="137" spans="1:14" x14ac:dyDescent="0.3">
      <c r="A137" s="101" t="s">
        <v>373</v>
      </c>
      <c r="B137" s="102" t="s">
        <v>31</v>
      </c>
      <c r="C137" s="103">
        <v>45603</v>
      </c>
      <c r="D137" s="102" t="s">
        <v>69</v>
      </c>
      <c r="E137" s="102" t="s">
        <v>70</v>
      </c>
      <c r="F137" s="102">
        <v>129</v>
      </c>
      <c r="G137" s="102">
        <v>643</v>
      </c>
      <c r="H137" s="102">
        <v>136</v>
      </c>
      <c r="I137" s="102">
        <v>1290</v>
      </c>
      <c r="J137" s="102">
        <v>839</v>
      </c>
      <c r="K137" s="102">
        <v>238</v>
      </c>
      <c r="L137" s="102" t="s">
        <v>162</v>
      </c>
      <c r="M137" s="104" t="s">
        <v>55</v>
      </c>
      <c r="N137" s="20">
        <f t="shared" si="7"/>
        <v>0.70387596899224802</v>
      </c>
    </row>
    <row r="138" spans="1:14" x14ac:dyDescent="0.3">
      <c r="A138" s="101" t="s">
        <v>375</v>
      </c>
      <c r="B138" s="102" t="s">
        <v>577</v>
      </c>
      <c r="C138" s="103">
        <v>45629</v>
      </c>
      <c r="D138" s="102" t="s">
        <v>22</v>
      </c>
      <c r="E138" s="102" t="s">
        <v>23</v>
      </c>
      <c r="F138" s="102">
        <v>3711</v>
      </c>
      <c r="G138" s="102">
        <v>352</v>
      </c>
      <c r="H138" s="102">
        <v>290</v>
      </c>
      <c r="I138" s="102">
        <v>48243</v>
      </c>
      <c r="J138" s="102">
        <v>47579</v>
      </c>
      <c r="K138" s="102">
        <v>11</v>
      </c>
      <c r="L138" s="102" t="s">
        <v>162</v>
      </c>
      <c r="M138" s="104" t="s">
        <v>55</v>
      </c>
      <c r="N138" s="20">
        <f t="shared" si="7"/>
        <v>9.023070704558174E-2</v>
      </c>
    </row>
    <row r="139" spans="1:14" x14ac:dyDescent="0.3">
      <c r="A139" s="101" t="s">
        <v>392</v>
      </c>
      <c r="B139" s="102" t="s">
        <v>577</v>
      </c>
      <c r="C139" s="103">
        <v>45629</v>
      </c>
      <c r="D139" s="102" t="s">
        <v>33</v>
      </c>
      <c r="E139" s="102" t="s">
        <v>34</v>
      </c>
      <c r="F139" s="102">
        <v>4285</v>
      </c>
      <c r="G139" s="102">
        <v>886</v>
      </c>
      <c r="H139" s="102">
        <v>376</v>
      </c>
      <c r="I139" s="102">
        <v>55705</v>
      </c>
      <c r="J139" s="102">
        <v>55556</v>
      </c>
      <c r="K139" s="102">
        <v>51</v>
      </c>
      <c r="L139" s="102" t="s">
        <v>71</v>
      </c>
      <c r="M139" s="104" t="s">
        <v>55</v>
      </c>
      <c r="N139" s="20">
        <f t="shared" si="7"/>
        <v>9.9578134817341346E-2</v>
      </c>
    </row>
    <row r="140" spans="1:14" x14ac:dyDescent="0.3">
      <c r="A140" s="101" t="s">
        <v>412</v>
      </c>
      <c r="B140" s="102" t="s">
        <v>31</v>
      </c>
      <c r="C140" s="103">
        <v>45617</v>
      </c>
      <c r="D140" s="102" t="s">
        <v>42</v>
      </c>
      <c r="E140" s="102" t="s">
        <v>43</v>
      </c>
      <c r="F140" s="102">
        <v>3773</v>
      </c>
      <c r="G140" s="102">
        <v>299</v>
      </c>
      <c r="H140" s="102">
        <v>38</v>
      </c>
      <c r="I140" s="102">
        <v>71687</v>
      </c>
      <c r="J140" s="102">
        <v>71447</v>
      </c>
      <c r="K140" s="102">
        <v>286</v>
      </c>
      <c r="L140" s="102" t="s">
        <v>44</v>
      </c>
      <c r="M140" s="104" t="s">
        <v>55</v>
      </c>
      <c r="N140" s="20">
        <f t="shared" si="7"/>
        <v>5.7332570758993957E-2</v>
      </c>
    </row>
    <row r="141" spans="1:14" x14ac:dyDescent="0.3">
      <c r="A141" s="101" t="s">
        <v>414</v>
      </c>
      <c r="B141" s="102" t="s">
        <v>31</v>
      </c>
      <c r="C141" s="103">
        <v>45658</v>
      </c>
      <c r="D141" s="102" t="s">
        <v>42</v>
      </c>
      <c r="E141" s="102" t="s">
        <v>43</v>
      </c>
      <c r="F141" s="102">
        <v>2234</v>
      </c>
      <c r="G141" s="102">
        <v>653</v>
      </c>
      <c r="H141" s="102">
        <v>432</v>
      </c>
      <c r="I141" s="102">
        <v>11170</v>
      </c>
      <c r="J141" s="102">
        <v>10569</v>
      </c>
      <c r="K141" s="102">
        <v>198</v>
      </c>
      <c r="L141" s="102" t="s">
        <v>264</v>
      </c>
      <c r="M141" s="104" t="s">
        <v>55</v>
      </c>
      <c r="N141" s="20">
        <f t="shared" si="7"/>
        <v>0.29713518352730528</v>
      </c>
    </row>
    <row r="142" spans="1:14" x14ac:dyDescent="0.3">
      <c r="A142" s="101" t="s">
        <v>447</v>
      </c>
      <c r="B142" s="102" t="s">
        <v>31</v>
      </c>
      <c r="C142" s="103">
        <v>45474</v>
      </c>
      <c r="D142" s="102" t="s">
        <v>33</v>
      </c>
      <c r="E142" s="102" t="s">
        <v>34</v>
      </c>
      <c r="F142" s="102">
        <v>4808</v>
      </c>
      <c r="G142" s="102">
        <v>772</v>
      </c>
      <c r="H142" s="102">
        <v>320</v>
      </c>
      <c r="I142" s="102">
        <v>72120</v>
      </c>
      <c r="J142" s="102">
        <v>71696</v>
      </c>
      <c r="K142" s="102">
        <v>195</v>
      </c>
      <c r="L142" s="102" t="s">
        <v>209</v>
      </c>
      <c r="M142" s="104" t="s">
        <v>55</v>
      </c>
      <c r="N142" s="20">
        <f t="shared" si="7"/>
        <v>8.1808097615085965E-2</v>
      </c>
    </row>
    <row r="143" spans="1:14" x14ac:dyDescent="0.3">
      <c r="A143" s="101" t="s">
        <v>457</v>
      </c>
      <c r="B143" s="102" t="s">
        <v>40</v>
      </c>
      <c r="C143" s="103">
        <v>45648</v>
      </c>
      <c r="D143" s="102" t="s">
        <v>49</v>
      </c>
      <c r="E143" s="102" t="s">
        <v>50</v>
      </c>
      <c r="F143" s="102">
        <v>3196</v>
      </c>
      <c r="G143" s="102">
        <v>941</v>
      </c>
      <c r="H143" s="102">
        <v>376</v>
      </c>
      <c r="I143" s="102">
        <v>35156</v>
      </c>
      <c r="J143" s="102">
        <v>34444</v>
      </c>
      <c r="K143" s="102">
        <v>241</v>
      </c>
      <c r="L143" s="102" t="s">
        <v>87</v>
      </c>
      <c r="M143" s="104" t="s">
        <v>55</v>
      </c>
      <c r="N143" s="20">
        <f t="shared" si="7"/>
        <v>0.1283706906360223</v>
      </c>
    </row>
    <row r="144" spans="1:14" x14ac:dyDescent="0.3">
      <c r="A144" s="101" t="s">
        <v>459</v>
      </c>
      <c r="B144" s="102" t="s">
        <v>31</v>
      </c>
      <c r="C144" s="103">
        <v>45587</v>
      </c>
      <c r="D144" s="102" t="s">
        <v>33</v>
      </c>
      <c r="E144" s="102" t="s">
        <v>34</v>
      </c>
      <c r="F144" s="102">
        <v>3770</v>
      </c>
      <c r="G144" s="102">
        <v>917</v>
      </c>
      <c r="H144" s="102">
        <v>129</v>
      </c>
      <c r="I144" s="102">
        <v>71630</v>
      </c>
      <c r="J144" s="102">
        <v>71322</v>
      </c>
      <c r="K144" s="102">
        <v>76</v>
      </c>
      <c r="L144" s="102" t="s">
        <v>102</v>
      </c>
      <c r="M144" s="104" t="s">
        <v>55</v>
      </c>
      <c r="N144" s="20">
        <f t="shared" si="7"/>
        <v>6.7234398994834563E-2</v>
      </c>
    </row>
    <row r="145" spans="1:14" x14ac:dyDescent="0.3">
      <c r="A145" s="101" t="s">
        <v>466</v>
      </c>
      <c r="B145" s="102" t="s">
        <v>40</v>
      </c>
      <c r="C145" s="103">
        <v>45480</v>
      </c>
      <c r="D145" s="102" t="s">
        <v>16</v>
      </c>
      <c r="E145" s="102" t="s">
        <v>17</v>
      </c>
      <c r="F145" s="102">
        <v>4767</v>
      </c>
      <c r="G145" s="102">
        <v>190</v>
      </c>
      <c r="H145" s="102">
        <v>340</v>
      </c>
      <c r="I145" s="102">
        <v>28602</v>
      </c>
      <c r="J145" s="102">
        <v>28044</v>
      </c>
      <c r="K145" s="102">
        <v>210</v>
      </c>
      <c r="L145" s="102" t="s">
        <v>77</v>
      </c>
      <c r="M145" s="104" t="s">
        <v>55</v>
      </c>
      <c r="N145" s="20">
        <f t="shared" si="7"/>
        <v>0.18519683938186141</v>
      </c>
    </row>
    <row r="146" spans="1:14" x14ac:dyDescent="0.3">
      <c r="A146" s="101" t="s">
        <v>475</v>
      </c>
      <c r="B146" s="102" t="s">
        <v>40</v>
      </c>
      <c r="C146" s="103">
        <v>45531</v>
      </c>
      <c r="D146" s="102" t="s">
        <v>16</v>
      </c>
      <c r="E146" s="102" t="s">
        <v>17</v>
      </c>
      <c r="F146" s="102">
        <v>3960</v>
      </c>
      <c r="G146" s="102">
        <v>266</v>
      </c>
      <c r="H146" s="102">
        <v>8</v>
      </c>
      <c r="I146" s="102">
        <v>35640</v>
      </c>
      <c r="J146" s="102">
        <v>34850</v>
      </c>
      <c r="K146" s="102">
        <v>208</v>
      </c>
      <c r="L146" s="102" t="s">
        <v>105</v>
      </c>
      <c r="M146" s="104" t="s">
        <v>55</v>
      </c>
      <c r="N146" s="20">
        <f t="shared" si="7"/>
        <v>0.11879910213243547</v>
      </c>
    </row>
    <row r="147" spans="1:14" x14ac:dyDescent="0.3">
      <c r="A147" s="101" t="s">
        <v>488</v>
      </c>
      <c r="B147" s="102" t="s">
        <v>577</v>
      </c>
      <c r="C147" s="103">
        <v>45553</v>
      </c>
      <c r="D147" s="102" t="s">
        <v>42</v>
      </c>
      <c r="E147" s="102" t="s">
        <v>43</v>
      </c>
      <c r="F147" s="102">
        <v>2143</v>
      </c>
      <c r="G147" s="102">
        <v>12</v>
      </c>
      <c r="H147" s="102">
        <v>204</v>
      </c>
      <c r="I147" s="102">
        <v>40717</v>
      </c>
      <c r="J147" s="102">
        <v>40125</v>
      </c>
      <c r="K147" s="102">
        <v>248</v>
      </c>
      <c r="L147" s="102" t="s">
        <v>127</v>
      </c>
      <c r="M147" s="104" t="s">
        <v>55</v>
      </c>
      <c r="N147" s="20">
        <f t="shared" si="7"/>
        <v>5.7936488444630008E-2</v>
      </c>
    </row>
    <row r="148" spans="1:14" x14ac:dyDescent="0.3">
      <c r="A148" s="101" t="s">
        <v>505</v>
      </c>
      <c r="B148" s="102" t="s">
        <v>14</v>
      </c>
      <c r="C148" s="103">
        <v>45569</v>
      </c>
      <c r="D148" s="102" t="s">
        <v>16</v>
      </c>
      <c r="E148" s="102" t="s">
        <v>17</v>
      </c>
      <c r="F148" s="102">
        <v>4187</v>
      </c>
      <c r="G148" s="102">
        <v>66</v>
      </c>
      <c r="H148" s="102">
        <v>31</v>
      </c>
      <c r="I148" s="102">
        <v>66992</v>
      </c>
      <c r="J148" s="102">
        <v>66614</v>
      </c>
      <c r="K148" s="102">
        <v>62</v>
      </c>
      <c r="L148" s="102" t="s">
        <v>58</v>
      </c>
      <c r="M148" s="104" t="s">
        <v>55</v>
      </c>
      <c r="N148" s="20">
        <f t="shared" si="7"/>
        <v>6.3947934081681396E-2</v>
      </c>
    </row>
    <row r="149" spans="1:14" x14ac:dyDescent="0.3">
      <c r="A149" s="101" t="s">
        <v>517</v>
      </c>
      <c r="B149" s="102" t="s">
        <v>40</v>
      </c>
      <c r="C149" s="103">
        <v>45509</v>
      </c>
      <c r="D149" s="102" t="s">
        <v>16</v>
      </c>
      <c r="E149" s="102" t="s">
        <v>17</v>
      </c>
      <c r="F149" s="102">
        <v>1741</v>
      </c>
      <c r="G149" s="102">
        <v>831</v>
      </c>
      <c r="H149" s="102">
        <v>345</v>
      </c>
      <c r="I149" s="102">
        <v>17410</v>
      </c>
      <c r="J149" s="102">
        <v>16844</v>
      </c>
      <c r="K149" s="102">
        <v>58</v>
      </c>
      <c r="L149" s="102" t="s">
        <v>71</v>
      </c>
      <c r="M149" s="104" t="s">
        <v>55</v>
      </c>
      <c r="N149" s="20">
        <f t="shared" si="7"/>
        <v>0.16754738655944859</v>
      </c>
    </row>
    <row r="150" spans="1:14" x14ac:dyDescent="0.3">
      <c r="A150" s="101" t="s">
        <v>523</v>
      </c>
      <c r="B150" s="102" t="s">
        <v>577</v>
      </c>
      <c r="C150" s="103">
        <v>45537</v>
      </c>
      <c r="D150" s="102" t="s">
        <v>49</v>
      </c>
      <c r="E150" s="102" t="s">
        <v>50</v>
      </c>
      <c r="F150" s="102">
        <v>4905</v>
      </c>
      <c r="G150" s="102">
        <v>845</v>
      </c>
      <c r="H150" s="102">
        <v>129</v>
      </c>
      <c r="I150" s="102">
        <v>98100</v>
      </c>
      <c r="J150" s="102">
        <v>97772</v>
      </c>
      <c r="K150" s="102">
        <v>279</v>
      </c>
      <c r="L150" s="102" t="s">
        <v>44</v>
      </c>
      <c r="M150" s="104" t="s">
        <v>55</v>
      </c>
      <c r="N150" s="20">
        <f t="shared" si="7"/>
        <v>5.9928644240570844E-2</v>
      </c>
    </row>
    <row r="151" spans="1:14" x14ac:dyDescent="0.3">
      <c r="A151" s="101" t="s">
        <v>524</v>
      </c>
      <c r="B151" s="102" t="s">
        <v>577</v>
      </c>
      <c r="C151" s="103">
        <v>45586</v>
      </c>
      <c r="D151" s="102" t="s">
        <v>69</v>
      </c>
      <c r="E151" s="102" t="s">
        <v>70</v>
      </c>
      <c r="F151" s="102">
        <v>4275</v>
      </c>
      <c r="G151" s="102">
        <v>680</v>
      </c>
      <c r="H151" s="102">
        <v>385</v>
      </c>
      <c r="I151" s="102">
        <v>64125</v>
      </c>
      <c r="J151" s="102">
        <v>63650</v>
      </c>
      <c r="K151" s="102">
        <v>104</v>
      </c>
      <c r="L151" s="102" t="s">
        <v>58</v>
      </c>
      <c r="M151" s="104" t="s">
        <v>55</v>
      </c>
      <c r="N151" s="20">
        <f t="shared" si="7"/>
        <v>8.3274853801169585E-2</v>
      </c>
    </row>
    <row r="152" spans="1:14" x14ac:dyDescent="0.3">
      <c r="A152" s="101" t="s">
        <v>546</v>
      </c>
      <c r="B152" s="102" t="s">
        <v>40</v>
      </c>
      <c r="C152" s="103">
        <v>45462</v>
      </c>
      <c r="D152" s="102" t="s">
        <v>42</v>
      </c>
      <c r="E152" s="102" t="s">
        <v>43</v>
      </c>
      <c r="F152" s="102">
        <v>4731</v>
      </c>
      <c r="G152" s="102">
        <v>173</v>
      </c>
      <c r="H152" s="102">
        <v>276</v>
      </c>
      <c r="I152" s="102">
        <v>28386</v>
      </c>
      <c r="J152" s="102">
        <v>28185</v>
      </c>
      <c r="K152" s="102">
        <v>89</v>
      </c>
      <c r="L152" s="102" t="s">
        <v>105</v>
      </c>
      <c r="M152" s="104" t="s">
        <v>55</v>
      </c>
      <c r="N152" s="20">
        <f t="shared" si="7"/>
        <v>0.18248432325794406</v>
      </c>
    </row>
    <row r="153" spans="1:14" x14ac:dyDescent="0.3">
      <c r="M153" s="147" t="s">
        <v>627</v>
      </c>
      <c r="N153" s="148">
        <f>AVERAGE(N114:N152)</f>
        <v>0.14517117036787319</v>
      </c>
    </row>
  </sheetData>
  <mergeCells count="8">
    <mergeCell ref="A101:C101"/>
    <mergeCell ref="A112:C112"/>
    <mergeCell ref="A1:C1"/>
    <mergeCell ref="A11:C11"/>
    <mergeCell ref="A22:C22"/>
    <mergeCell ref="A34:C34"/>
    <mergeCell ref="A56:C56"/>
    <mergeCell ref="A68:C6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7F3EC1-669E-45AC-AF0C-FF96329EA7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Post</vt:lpstr>
      <vt:lpstr>Engagment Summary</vt:lpstr>
      <vt:lpstr>Campaign Data</vt:lpstr>
      <vt:lpstr>TASK1.1</vt:lpstr>
      <vt:lpstr>TASK 1.2</vt:lpstr>
      <vt:lpstr>TASK 1.3</vt:lpstr>
      <vt:lpstr>optinal</vt:lpstr>
      <vt:lpstr>TASK 2.1</vt:lpstr>
      <vt:lpstr>TASK 2.2</vt:lpstr>
      <vt:lpstr>TASK 3</vt:lpstr>
      <vt:lpstr>TASK4.1</vt:lpstr>
      <vt:lpstr>TASK 5</vt:lpstr>
      <vt:lpstr>task5.1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Tella Vaishnavi</cp:lastModifiedBy>
  <dcterms:created xsi:type="dcterms:W3CDTF">2025-11-20T05:25:56Z</dcterms:created>
  <dcterms:modified xsi:type="dcterms:W3CDTF">2025-12-07T10:01:30Z</dcterms:modified>
</cp:coreProperties>
</file>
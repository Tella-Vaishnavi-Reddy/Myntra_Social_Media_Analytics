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13_ncr:1_{D6B754EE-4477-4138-80A7-1D30C0E79A25}" xr6:coauthVersionLast="47" xr6:coauthVersionMax="47" xr10:uidLastSave="{00000000-0000-0000-0000-000000000000}"/>
  <bookViews>
    <workbookView xWindow="-108" yWindow="-108" windowWidth="23256" windowHeight="12456" activeTab="3" xr2:uid="{A011A309-5E1F-4E1B-A3D8-12E642E6C5B7}"/>
  </bookViews>
  <sheets>
    <sheet name="Weekly_follower_growth" sheetId="1" r:id="rId1"/>
    <sheet name="peek_week_of_follower_gain" sheetId="2" r:id="rId2"/>
    <sheet name="adSpend Vs Follower_growth" sheetId="4" r:id="rId3"/>
    <sheet name="Moving_Average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4" l="1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9" i="3"/>
  <c r="G7" i="3"/>
  <c r="G17" i="3"/>
  <c r="G18" i="3"/>
  <c r="G19" i="3"/>
  <c r="G20" i="3"/>
  <c r="G21" i="3"/>
  <c r="G22" i="3"/>
  <c r="G23" i="3"/>
  <c r="G24" i="3"/>
  <c r="G25" i="3"/>
  <c r="G26" i="3"/>
  <c r="G27" i="3"/>
  <c r="G28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15" i="3"/>
  <c r="G16" i="3"/>
  <c r="G12" i="3"/>
  <c r="G13" i="3"/>
  <c r="G14" i="3"/>
  <c r="G8" i="3"/>
  <c r="G9" i="3"/>
  <c r="G10" i="3"/>
  <c r="G11" i="3"/>
  <c r="G6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<sst xmlns="http://schemas.openxmlformats.org/spreadsheetml/2006/main" count="452" uniqueCount="27">
  <si>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</si>
  <si>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</si>
  <si>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</si>
  <si>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</si>
  <si>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</si>
  <si>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</si>
  <si>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</si>
  <si>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</si>
  <si>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</si>
  <si>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</si>
  <si>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</si>
  <si>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Net_Follower_growth</t>
  </si>
  <si>
    <t>Row Labels</t>
  </si>
  <si>
    <t>Grand Total</t>
  </si>
  <si>
    <t>Column Labels</t>
  </si>
  <si>
    <t>Sum of Net_Follower_growth</t>
  </si>
  <si>
    <t>Weekly_follower_growth per platform</t>
  </si>
  <si>
    <t>Week_dates</t>
  </si>
  <si>
    <t>4-Week Moving Avg</t>
  </si>
  <si>
    <t xml:space="preserve"> </t>
  </si>
  <si>
    <t>Correlate ad spend vs. follower growth using scatter plots.</t>
  </si>
  <si>
    <t>Follower growth varies widely at similar spend levels.</t>
  </si>
  <si>
    <r>
      <t xml:space="preserve">Ad spend shows </t>
    </r>
    <r>
      <rPr>
        <b/>
        <sz val="12"/>
        <color theme="1"/>
        <rFont val="Calibri"/>
        <family val="2"/>
        <scheme val="minor"/>
      </rPr>
      <t>weak correlation</t>
    </r>
    <r>
      <rPr>
        <sz val="12"/>
        <color theme="1"/>
        <rFont val="Calibri"/>
        <family val="2"/>
        <scheme val="minor"/>
      </rPr>
      <t xml:space="preserve"> with follower growth.</t>
    </r>
  </si>
  <si>
    <r>
      <t xml:space="preserve">Higher spend does </t>
    </r>
    <r>
      <rPr>
        <b/>
        <sz val="12"/>
        <color theme="1"/>
        <rFont val="Calibri"/>
        <family val="2"/>
        <scheme val="minor"/>
      </rPr>
      <t>not consistently lead to higher growth</t>
    </r>
    <r>
      <rPr>
        <sz val="12"/>
        <color theme="1"/>
        <rFont val="Calibri"/>
        <family val="2"/>
        <scheme val="minor"/>
      </rPr>
      <t>.</t>
    </r>
  </si>
  <si>
    <t>&gt;&gt;&gt;&gt;&gt;</t>
  </si>
  <si>
    <t>peak week of follower gain.</t>
  </si>
  <si>
    <t>moving averages to smooth growth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</si>
</sst>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2" fillId="2" borderId="0" xfId="0" applyNumberFormat="1" applyFont="1" applyFill="1"/>
    <xf numFmtId="49" fontId="2" fillId="2" borderId="0" xfId="0" applyNumberFormat="1" applyFont="1" applyFill="1"/>
    <xf numFmtId="1" fontId="2" fillId="2" borderId="0" xfId="0" applyNumberFormat="1" applyFont="1" applyFill="1"/>
    <xf numFmtId="0" fontId="2" fillId="2" borderId="0" xfId="0" applyFont="1" applyFill="1"/>
    <xf numFmtId="14" fontId="3" fillId="0" borderId="0" xfId="0" applyNumberFormat="1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1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1" fillId="4" borderId="0" xfId="0" applyNumberFormat="1" applyFont="1" applyFill="1" applyAlignment="1">
      <alignment horizontal="left"/>
    </xf>
    <xf numFmtId="1" fontId="1" fillId="0" borderId="0" xfId="0" applyNumberFormat="1" applyFont="1"/>
    <xf numFmtId="14" fontId="0" fillId="0" borderId="0" xfId="0" applyNumberFormat="1"/>
    <xf numFmtId="0" fontId="1" fillId="5" borderId="0" xfId="0" applyFont="1" applyFill="1"/>
    <xf numFmtId="0" fontId="4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4" fontId="5" fillId="2" borderId="0" xfId="0" applyNumberFormat="1" applyFont="1" applyFill="1"/>
    <xf numFmtId="49" fontId="5" fillId="2" borderId="0" xfId="0" applyNumberFormat="1" applyFont="1" applyFill="1"/>
    <xf numFmtId="1" fontId="5" fillId="2" borderId="0" xfId="0" applyNumberFormat="1" applyFont="1" applyFill="1"/>
    <xf numFmtId="0" fontId="5" fillId="2" borderId="0" xfId="0" applyFont="1" applyFill="1"/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 vertical="center" indent="1"/>
    </xf>
    <xf numFmtId="0" fontId="7" fillId="6" borderId="0" xfId="0" applyFont="1" applyFill="1" applyAlignment="1">
      <alignment horizontal="center" vertical="center"/>
    </xf>
    <xf numFmtId="0" fontId="9" fillId="0" borderId="0" xfId="0" applyFont="1"/>
    <xf numFmtId="0" fontId="8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</font>
    </dxf>
    <dxf>
      <fill>
        <patternFill patternType="solid">
          <bgColor theme="9" tint="0.39997558519241921"/>
        </patternFill>
      </fill>
    </dxf>
    <dxf>
      <font>
        <b/>
      </font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[TASK6.xlsx]Weekly_follower_growth!PivotTable1</c:name>
    <c:fmtId val="5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Weekly_follower_growth!$L$3:$L$4</c:f>
              <c:strCache>
                <c:ptCount val="1"/>
                <c:pt idx="0">
                  <c:v>Facebook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Weekly_follower_growth!$K$5:$K$55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Weekly_follower_growth!$L$5:$L$55</c:f>
              <c:numCache>
                <c:formatCode>0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A-4919-859F-930A5FB4798E}"/>
            </c:ext>
          </c:extLst>
        </c:ser>
        <c:ser>
          <c:idx val="1"/>
          <c:order val="1"/>
          <c:tx>
            <c:strRef>
              <c:f>Weekly_follower_growth!$M$3:$M$4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Weekly_follower_growth!$K$5:$K$55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Weekly_follower_growth!$M$5:$M$55</c:f>
              <c:numCache>
                <c:formatCode>0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A-4919-859F-930A5FB4798E}"/>
            </c:ext>
          </c:extLst>
        </c:ser>
        <c:ser>
          <c:idx val="2"/>
          <c:order val="2"/>
          <c:tx>
            <c:strRef>
              <c:f>Weekly_follower_growth!$N$3:$N$4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Weekly_follower_growth!$K$5:$K$55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Weekly_follower_growth!$N$5:$N$55</c:f>
              <c:numCache>
                <c:formatCode>0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CA-4919-859F-930A5FB4798E}"/>
            </c:ext>
          </c:extLst>
        </c:ser>
        <c:ser>
          <c:idx val="3"/>
          <c:order val="3"/>
          <c:tx>
            <c:strRef>
              <c:f>Weekly_follower_growth!$O$3:$O$4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Weekly_follower_growth!$K$5:$K$55</c:f>
              <c:strCache>
                <c:ptCount val="50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</c:strCache>
            </c:strRef>
          </c:cat>
          <c:val>
            <c:numRef>
              <c:f>Weekly_follower_growth!$O$5:$O$55</c:f>
              <c:numCache>
                <c:formatCode>0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CA-4919-859F-930A5FB4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057375"/>
        <c:axId val="230057855"/>
      </c:lineChart>
      <c:catAx>
        <c:axId val="2300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7855"/>
        <c:crosses val="autoZero"/>
        <c:auto val="1"/>
        <c:lblAlgn val="ctr"/>
        <c:lblOffset val="100"/>
        <c:noMultiLvlLbl val="0"/>
      </c:catAx>
      <c:valAx>
        <c:axId val="2300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05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2449839382785"/>
          <c:y val="0.11987638847695678"/>
          <c:w val="0.84586351706036744"/>
          <c:h val="0.829526123936816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'adSpend Vs Follower_growth'!$H$1</c:f>
              <c:strCache>
                <c:ptCount val="1"/>
                <c:pt idx="0">
                  <c:v>Net_Follower_growth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'adSpend Vs Follower_growth'!$G$2:$G$201</c:f>
              <c:numCache>
                <c:formatCode>0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'adSpend Vs Follower_growth'!$H$2:$H$201</c:f>
              <c:numCache>
                <c:formatCode>0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9-4C39-8D5D-2957169DCC8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93384399"/>
        <c:axId val="1693386799"/>
      </c:scatterChart>
      <c:valAx>
        <c:axId val="169338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Follower_growth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86799"/>
        <c:crosses val="autoZero"/>
        <c:crossBetween val="midCat"/>
      </c:valAx>
      <c:valAx>
        <c:axId val="16933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/>
                  <a:t>AdSpend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84399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Moving_Average!$F$2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Moving_Average!$F$3:$F$52</c:f>
              <c:numCache>
                <c:formatCode>General</c:formatCode>
                <c:ptCount val="50"/>
                <c:pt idx="0">
                  <c:v>3554</c:v>
                </c:pt>
                <c:pt idx="1">
                  <c:v>2980</c:v>
                </c:pt>
                <c:pt idx="2">
                  <c:v>3907</c:v>
                </c:pt>
                <c:pt idx="3">
                  <c:v>3011</c:v>
                </c:pt>
                <c:pt idx="4">
                  <c:v>1293</c:v>
                </c:pt>
                <c:pt idx="5">
                  <c:v>3042</c:v>
                </c:pt>
                <c:pt idx="6">
                  <c:v>2270</c:v>
                </c:pt>
                <c:pt idx="7">
                  <c:v>2753</c:v>
                </c:pt>
                <c:pt idx="8">
                  <c:v>2193</c:v>
                </c:pt>
                <c:pt idx="9">
                  <c:v>802</c:v>
                </c:pt>
                <c:pt idx="10">
                  <c:v>3728</c:v>
                </c:pt>
                <c:pt idx="11">
                  <c:v>2989</c:v>
                </c:pt>
                <c:pt idx="12">
                  <c:v>2903</c:v>
                </c:pt>
                <c:pt idx="13">
                  <c:v>2822</c:v>
                </c:pt>
                <c:pt idx="14">
                  <c:v>4360</c:v>
                </c:pt>
                <c:pt idx="15">
                  <c:v>1568</c:v>
                </c:pt>
                <c:pt idx="16">
                  <c:v>3333</c:v>
                </c:pt>
                <c:pt idx="17">
                  <c:v>3151</c:v>
                </c:pt>
                <c:pt idx="18">
                  <c:v>3759</c:v>
                </c:pt>
                <c:pt idx="19">
                  <c:v>1856</c:v>
                </c:pt>
                <c:pt idx="20">
                  <c:v>2821</c:v>
                </c:pt>
                <c:pt idx="21">
                  <c:v>2656</c:v>
                </c:pt>
                <c:pt idx="22">
                  <c:v>4584</c:v>
                </c:pt>
                <c:pt idx="23">
                  <c:v>2295</c:v>
                </c:pt>
                <c:pt idx="24">
                  <c:v>528</c:v>
                </c:pt>
                <c:pt idx="25">
                  <c:v>4008</c:v>
                </c:pt>
                <c:pt idx="26">
                  <c:v>4795</c:v>
                </c:pt>
                <c:pt idx="27">
                  <c:v>4792</c:v>
                </c:pt>
                <c:pt idx="28">
                  <c:v>5044</c:v>
                </c:pt>
                <c:pt idx="29">
                  <c:v>3914</c:v>
                </c:pt>
                <c:pt idx="30">
                  <c:v>6530</c:v>
                </c:pt>
                <c:pt idx="31">
                  <c:v>3557</c:v>
                </c:pt>
                <c:pt idx="32">
                  <c:v>2777</c:v>
                </c:pt>
                <c:pt idx="33">
                  <c:v>3614</c:v>
                </c:pt>
                <c:pt idx="34">
                  <c:v>3383</c:v>
                </c:pt>
                <c:pt idx="35">
                  <c:v>2194</c:v>
                </c:pt>
                <c:pt idx="36">
                  <c:v>5281</c:v>
                </c:pt>
                <c:pt idx="37">
                  <c:v>3693</c:v>
                </c:pt>
                <c:pt idx="38">
                  <c:v>4806</c:v>
                </c:pt>
                <c:pt idx="39">
                  <c:v>2410</c:v>
                </c:pt>
                <c:pt idx="40">
                  <c:v>3712</c:v>
                </c:pt>
                <c:pt idx="41">
                  <c:v>4042</c:v>
                </c:pt>
                <c:pt idx="42">
                  <c:v>1616</c:v>
                </c:pt>
                <c:pt idx="43">
                  <c:v>4298</c:v>
                </c:pt>
                <c:pt idx="44">
                  <c:v>2412</c:v>
                </c:pt>
                <c:pt idx="45">
                  <c:v>-137</c:v>
                </c:pt>
                <c:pt idx="46">
                  <c:v>4040</c:v>
                </c:pt>
                <c:pt idx="47">
                  <c:v>3577</c:v>
                </c:pt>
                <c:pt idx="48">
                  <c:v>4594</c:v>
                </c:pt>
                <c:pt idx="49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2-497C-A632-A723BC9AB91D}"/>
            </c:ext>
          </c:extLst>
        </c:ser>
        <c:ser>
          <c:idx val="1"/>
          <c:order val="1"/>
          <c:tx>
            <c:strRef>
              <c:f>Moving_Average!$G$2</c:f>
              <c:strCache>
                <c:ptCount val="1"/>
                <c:pt idx="0">
                  <c:v>4-Week Moving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Moving_Average!$G$3:$G$52</c:f>
              <c:numCache>
                <c:formatCode>General</c:formatCode>
                <c:ptCount val="50"/>
                <c:pt idx="3">
                  <c:v>3363</c:v>
                </c:pt>
                <c:pt idx="4" formatCode="0">
                  <c:v>2797.75</c:v>
                </c:pt>
                <c:pt idx="5" formatCode="0">
                  <c:v>2813.25</c:v>
                </c:pt>
                <c:pt idx="6">
                  <c:v>2404</c:v>
                </c:pt>
                <c:pt idx="7" formatCode="0">
                  <c:v>2339.5</c:v>
                </c:pt>
                <c:pt idx="8" formatCode="0">
                  <c:v>2564.5</c:v>
                </c:pt>
                <c:pt idx="9" formatCode="0">
                  <c:v>2004.5</c:v>
                </c:pt>
                <c:pt idx="10" formatCode="0">
                  <c:v>2369</c:v>
                </c:pt>
                <c:pt idx="11" formatCode="0">
                  <c:v>2428</c:v>
                </c:pt>
                <c:pt idx="12" formatCode="0">
                  <c:v>2605.5</c:v>
                </c:pt>
                <c:pt idx="13" formatCode="0">
                  <c:v>3110.5</c:v>
                </c:pt>
                <c:pt idx="14" formatCode="0">
                  <c:v>3268.5</c:v>
                </c:pt>
                <c:pt idx="15" formatCode="0">
                  <c:v>2913.25</c:v>
                </c:pt>
                <c:pt idx="16" formatCode="0">
                  <c:v>3020.75</c:v>
                </c:pt>
                <c:pt idx="17" formatCode="0">
                  <c:v>3103</c:v>
                </c:pt>
                <c:pt idx="18" formatCode="0">
                  <c:v>2952.75</c:v>
                </c:pt>
                <c:pt idx="19" formatCode="0">
                  <c:v>3024.75</c:v>
                </c:pt>
                <c:pt idx="20" formatCode="0">
                  <c:v>2896.75</c:v>
                </c:pt>
                <c:pt idx="21" formatCode="0">
                  <c:v>2773</c:v>
                </c:pt>
                <c:pt idx="22" formatCode="0">
                  <c:v>2979.25</c:v>
                </c:pt>
                <c:pt idx="23" formatCode="0">
                  <c:v>3089</c:v>
                </c:pt>
                <c:pt idx="24" formatCode="0">
                  <c:v>2515.75</c:v>
                </c:pt>
                <c:pt idx="25" formatCode="0">
                  <c:v>2853.75</c:v>
                </c:pt>
                <c:pt idx="26" formatCode="0">
                  <c:v>2906.5</c:v>
                </c:pt>
                <c:pt idx="27" formatCode="0">
                  <c:v>3530.75</c:v>
                </c:pt>
                <c:pt idx="28" formatCode="0">
                  <c:v>4659.75</c:v>
                </c:pt>
                <c:pt idx="29" formatCode="0">
                  <c:v>4636.25</c:v>
                </c:pt>
                <c:pt idx="30" formatCode="0">
                  <c:v>5070</c:v>
                </c:pt>
                <c:pt idx="31" formatCode="0">
                  <c:v>4761.25</c:v>
                </c:pt>
                <c:pt idx="32" formatCode="0">
                  <c:v>4194.5</c:v>
                </c:pt>
                <c:pt idx="33" formatCode="0">
                  <c:v>4119.5</c:v>
                </c:pt>
                <c:pt idx="34" formatCode="0">
                  <c:v>3332.75</c:v>
                </c:pt>
                <c:pt idx="35" formatCode="0">
                  <c:v>2992</c:v>
                </c:pt>
                <c:pt idx="36" formatCode="0">
                  <c:v>3618</c:v>
                </c:pt>
                <c:pt idx="37" formatCode="0">
                  <c:v>3637.75</c:v>
                </c:pt>
                <c:pt idx="38" formatCode="0">
                  <c:v>3993.5</c:v>
                </c:pt>
                <c:pt idx="39" formatCode="0">
                  <c:v>4047.5</c:v>
                </c:pt>
                <c:pt idx="40" formatCode="0">
                  <c:v>3655.25</c:v>
                </c:pt>
                <c:pt idx="41" formatCode="0">
                  <c:v>3742.5</c:v>
                </c:pt>
                <c:pt idx="42" formatCode="0">
                  <c:v>2945</c:v>
                </c:pt>
                <c:pt idx="43" formatCode="0">
                  <c:v>3417</c:v>
                </c:pt>
                <c:pt idx="44" formatCode="0">
                  <c:v>3092</c:v>
                </c:pt>
                <c:pt idx="45" formatCode="0">
                  <c:v>2047.25</c:v>
                </c:pt>
                <c:pt idx="46" formatCode="0">
                  <c:v>2653.25</c:v>
                </c:pt>
                <c:pt idx="47" formatCode="0">
                  <c:v>2473</c:v>
                </c:pt>
                <c:pt idx="48" formatCode="0">
                  <c:v>3018.5</c:v>
                </c:pt>
                <c:pt idx="49" formatCode="0">
                  <c:v>3551.5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2-497C-A632-A723BC9A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728431"/>
        <c:axId val="1723728911"/>
      </c:lineChart>
      <c:catAx>
        <c:axId val="172372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28911"/>
        <c:crosses val="autoZero"/>
        <c:auto val="1"/>
        <c:lblAlgn val="ctr"/>
        <c:lblOffset val="100"/>
        <c:noMultiLvlLbl val="0"/>
      </c:catAx>
      <c:valAx>
        <c:axId val="17237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2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1</xdr:row>
      <xdr:rowOff>72390</xdr:rowOff>
    </xdr:from>
    <xdr:to>
      <xdr:col>34</xdr:col>
      <xdr:colOff>571500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7604C7-A969-B006-ED2E-361402C2F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3</xdr:row>
      <xdr:rowOff>95250</xdr:rowOff>
    </xdr:from>
    <xdr:to>
      <xdr:col>20</xdr:col>
      <xdr:colOff>167640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B4CD1-5E80-BFEC-168F-4CD27C1D1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3</xdr:row>
      <xdr:rowOff>87630</xdr:rowOff>
    </xdr:from>
    <xdr:to>
      <xdr:col>27</xdr:col>
      <xdr:colOff>144780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F8679-7C92-B8E3-03A7-4A854E76A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9.454264930559" createdVersion="8" refreshedVersion="8" minRefreshableVersion="3" recordCount="200" xr:uid="{9788B854-F57D-4899-8E4E-5C11F1DB6B43}">
  <cacheSource type="worksheet">
    <worksheetSource ref="A1:H201" sheet="Weekly_follower_growth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49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Net_Follower_growth" numFmtId="1">
      <sharedItems containsSemiMixedTypes="0" containsString="0" containsNumber="1" containsInteger="1" minValue="-337" maxValue="188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</r>
  <r>
    <x v="0"/>
    <x v="1"/>
    <n v="1312"/>
    <n v="310"/>
    <n v="42654"/>
    <n v="4.9800000000000004"/>
    <n v="9566"/>
    <n v="1002"/>
  </r>
  <r>
    <x v="0"/>
    <x v="2"/>
    <n v="584"/>
    <n v="169"/>
    <n v="146834"/>
    <n v="8.31"/>
    <n v="26752"/>
    <n v="415"/>
  </r>
  <r>
    <x v="0"/>
    <x v="3"/>
    <n v="1535"/>
    <n v="445"/>
    <n v="395536"/>
    <n v="4.1100000000000003"/>
    <n v="30671"/>
    <n v="1090"/>
  </r>
  <r>
    <x v="1"/>
    <x v="0"/>
    <n v="656"/>
    <n v="139"/>
    <n v="49157"/>
    <n v="9.0500000000000007"/>
    <n v="9920"/>
    <n v="517"/>
  </r>
  <r>
    <x v="1"/>
    <x v="1"/>
    <n v="1697"/>
    <n v="414"/>
    <n v="316555"/>
    <n v="2.37"/>
    <n v="7924"/>
    <n v="1283"/>
  </r>
  <r>
    <x v="1"/>
    <x v="2"/>
    <n v="436"/>
    <n v="250"/>
    <n v="254347"/>
    <n v="4.01"/>
    <n v="8912"/>
    <n v="186"/>
  </r>
  <r>
    <x v="1"/>
    <x v="3"/>
    <n v="1197"/>
    <n v="203"/>
    <n v="413878"/>
    <n v="3.16"/>
    <n v="21205"/>
    <n v="994"/>
  </r>
  <r>
    <x v="2"/>
    <x v="0"/>
    <n v="1048"/>
    <n v="155"/>
    <n v="456946"/>
    <n v="2.46"/>
    <n v="11329"/>
    <n v="893"/>
  </r>
  <r>
    <x v="2"/>
    <x v="1"/>
    <n v="1753"/>
    <n v="371"/>
    <n v="169496"/>
    <n v="8.11"/>
    <n v="46670"/>
    <n v="1382"/>
  </r>
  <r>
    <x v="2"/>
    <x v="2"/>
    <n v="1335"/>
    <n v="40"/>
    <n v="122732"/>
    <n v="8.19"/>
    <n v="22482"/>
    <n v="1295"/>
  </r>
  <r>
    <x v="2"/>
    <x v="3"/>
    <n v="403"/>
    <n v="66"/>
    <n v="382851"/>
    <n v="3.49"/>
    <n v="24313"/>
    <n v="337"/>
  </r>
  <r>
    <x v="3"/>
    <x v="0"/>
    <n v="911"/>
    <n v="282"/>
    <n v="35664"/>
    <n v="6.92"/>
    <n v="18050"/>
    <n v="629"/>
  </r>
  <r>
    <x v="3"/>
    <x v="1"/>
    <n v="1779"/>
    <n v="109"/>
    <n v="26295"/>
    <n v="9.1199999999999992"/>
    <n v="30635"/>
    <n v="1670"/>
  </r>
  <r>
    <x v="3"/>
    <x v="2"/>
    <n v="1238"/>
    <n v="403"/>
    <n v="298421"/>
    <n v="3.5"/>
    <n v="31280"/>
    <n v="835"/>
  </r>
  <r>
    <x v="3"/>
    <x v="3"/>
    <n v="308"/>
    <n v="431"/>
    <n v="426184"/>
    <n v="2.62"/>
    <n v="1783"/>
    <n v="-123"/>
  </r>
  <r>
    <x v="4"/>
    <x v="0"/>
    <n v="226"/>
    <n v="445"/>
    <n v="419447"/>
    <n v="9.36"/>
    <n v="9566"/>
    <n v="-219"/>
  </r>
  <r>
    <x v="4"/>
    <x v="1"/>
    <n v="505"/>
    <n v="441"/>
    <n v="220020"/>
    <n v="4.4800000000000004"/>
    <n v="42307"/>
    <n v="64"/>
  </r>
  <r>
    <x v="4"/>
    <x v="2"/>
    <n v="1420"/>
    <n v="63"/>
    <n v="315305"/>
    <n v="6.19"/>
    <n v="5914"/>
    <n v="1357"/>
  </r>
  <r>
    <x v="4"/>
    <x v="3"/>
    <n v="144"/>
    <n v="53"/>
    <n v="113678"/>
    <n v="8.7200000000000006"/>
    <n v="30060"/>
    <n v="91"/>
  </r>
  <r>
    <x v="5"/>
    <x v="0"/>
    <n v="1757"/>
    <n v="85"/>
    <n v="58223"/>
    <n v="8.74"/>
    <n v="22728"/>
    <n v="1672"/>
  </r>
  <r>
    <x v="5"/>
    <x v="1"/>
    <n v="350"/>
    <n v="41"/>
    <n v="251694"/>
    <n v="1.91"/>
    <n v="38610"/>
    <n v="309"/>
  </r>
  <r>
    <x v="5"/>
    <x v="2"/>
    <n v="987"/>
    <n v="440"/>
    <n v="389810"/>
    <n v="4.66"/>
    <n v="2932"/>
    <n v="547"/>
  </r>
  <r>
    <x v="5"/>
    <x v="3"/>
    <n v="883"/>
    <n v="369"/>
    <n v="233694"/>
    <n v="2.88"/>
    <n v="15071"/>
    <n v="514"/>
  </r>
  <r>
    <x v="6"/>
    <x v="0"/>
    <n v="1960"/>
    <n v="115"/>
    <n v="154169"/>
    <n v="3.74"/>
    <n v="10740"/>
    <n v="1845"/>
  </r>
  <r>
    <x v="6"/>
    <x v="1"/>
    <n v="170"/>
    <n v="334"/>
    <n v="334626"/>
    <n v="6.44"/>
    <n v="43420"/>
    <n v="-164"/>
  </r>
  <r>
    <x v="6"/>
    <x v="2"/>
    <n v="704"/>
    <n v="275"/>
    <n v="226002"/>
    <n v="8.56"/>
    <n v="32393"/>
    <n v="429"/>
  </r>
  <r>
    <x v="6"/>
    <x v="3"/>
    <n v="224"/>
    <n v="64"/>
    <n v="156683"/>
    <n v="4.5599999999999996"/>
    <n v="28474"/>
    <n v="160"/>
  </r>
  <r>
    <x v="7"/>
    <x v="0"/>
    <n v="508"/>
    <n v="349"/>
    <n v="473812"/>
    <n v="7.88"/>
    <n v="17328"/>
    <n v="159"/>
  </r>
  <r>
    <x v="7"/>
    <x v="1"/>
    <n v="1391"/>
    <n v="430"/>
    <n v="295032"/>
    <n v="7.86"/>
    <n v="26067"/>
    <n v="961"/>
  </r>
  <r>
    <x v="7"/>
    <x v="2"/>
    <n v="1701"/>
    <n v="385"/>
    <n v="198278"/>
    <n v="5.34"/>
    <n v="32763"/>
    <n v="1316"/>
  </r>
  <r>
    <x v="7"/>
    <x v="3"/>
    <n v="804"/>
    <n v="487"/>
    <n v="306564"/>
    <n v="5.52"/>
    <n v="26452"/>
    <n v="317"/>
  </r>
  <r>
    <x v="8"/>
    <x v="0"/>
    <n v="653"/>
    <n v="112"/>
    <n v="23664"/>
    <n v="4.05"/>
    <n v="15353"/>
    <n v="541"/>
  </r>
  <r>
    <x v="8"/>
    <x v="1"/>
    <n v="160"/>
    <n v="478"/>
    <n v="435034"/>
    <n v="7.73"/>
    <n v="4839"/>
    <n v="-318"/>
  </r>
  <r>
    <x v="8"/>
    <x v="2"/>
    <n v="1756"/>
    <n v="261"/>
    <n v="287574"/>
    <n v="4.3600000000000003"/>
    <n v="39272"/>
    <n v="1495"/>
  </r>
  <r>
    <x v="8"/>
    <x v="3"/>
    <n v="576"/>
    <n v="101"/>
    <n v="62499"/>
    <n v="3.48"/>
    <n v="16804"/>
    <n v="475"/>
  </r>
  <r>
    <x v="9"/>
    <x v="0"/>
    <n v="645"/>
    <n v="293"/>
    <n v="437968"/>
    <n v="7.83"/>
    <n v="49303"/>
    <n v="352"/>
  </r>
  <r>
    <x v="9"/>
    <x v="1"/>
    <n v="214"/>
    <n v="411"/>
    <n v="125034"/>
    <n v="6.11"/>
    <n v="26455"/>
    <n v="-197"/>
  </r>
  <r>
    <x v="9"/>
    <x v="2"/>
    <n v="826"/>
    <n v="498"/>
    <n v="449994"/>
    <n v="9.43"/>
    <n v="12384"/>
    <n v="328"/>
  </r>
  <r>
    <x v="9"/>
    <x v="3"/>
    <n v="460"/>
    <n v="141"/>
    <n v="320650"/>
    <n v="4.04"/>
    <n v="49372"/>
    <n v="319"/>
  </r>
  <r>
    <x v="10"/>
    <x v="0"/>
    <n v="1528"/>
    <n v="203"/>
    <n v="489188"/>
    <n v="6.23"/>
    <n v="47101"/>
    <n v="1325"/>
  </r>
  <r>
    <x v="10"/>
    <x v="1"/>
    <n v="1534"/>
    <n v="200"/>
    <n v="307612"/>
    <n v="6.01"/>
    <n v="37903"/>
    <n v="1334"/>
  </r>
  <r>
    <x v="10"/>
    <x v="2"/>
    <n v="485"/>
    <n v="448"/>
    <n v="434883"/>
    <n v="8.5500000000000007"/>
    <n v="33258"/>
    <n v="37"/>
  </r>
  <r>
    <x v="10"/>
    <x v="3"/>
    <n v="1210"/>
    <n v="178"/>
    <n v="102042"/>
    <n v="5.42"/>
    <n v="6915"/>
    <n v="1032"/>
  </r>
  <r>
    <x v="11"/>
    <x v="0"/>
    <n v="215"/>
    <n v="139"/>
    <n v="325444"/>
    <n v="3.25"/>
    <n v="35501"/>
    <n v="76"/>
  </r>
  <r>
    <x v="11"/>
    <x v="1"/>
    <n v="1078"/>
    <n v="20"/>
    <n v="183924"/>
    <n v="8.84"/>
    <n v="14203"/>
    <n v="1058"/>
  </r>
  <r>
    <x v="11"/>
    <x v="2"/>
    <n v="1751"/>
    <n v="86"/>
    <n v="188655"/>
    <n v="7.24"/>
    <n v="22206"/>
    <n v="1665"/>
  </r>
  <r>
    <x v="11"/>
    <x v="3"/>
    <n v="221"/>
    <n v="31"/>
    <n v="87443"/>
    <n v="6.19"/>
    <n v="10283"/>
    <n v="190"/>
  </r>
  <r>
    <x v="12"/>
    <x v="0"/>
    <n v="1685"/>
    <n v="76"/>
    <n v="453799"/>
    <n v="5.71"/>
    <n v="24913"/>
    <n v="1609"/>
  </r>
  <r>
    <x v="12"/>
    <x v="1"/>
    <n v="248"/>
    <n v="211"/>
    <n v="379380"/>
    <n v="9.0399999999999991"/>
    <n v="26925"/>
    <n v="37"/>
  </r>
  <r>
    <x v="12"/>
    <x v="2"/>
    <n v="1300"/>
    <n v="71"/>
    <n v="186454"/>
    <n v="3.91"/>
    <n v="9942"/>
    <n v="1229"/>
  </r>
  <r>
    <x v="12"/>
    <x v="3"/>
    <n v="422"/>
    <n v="394"/>
    <n v="239044"/>
    <n v="7.83"/>
    <n v="32929"/>
    <n v="28"/>
  </r>
  <r>
    <x v="13"/>
    <x v="0"/>
    <n v="1429"/>
    <n v="182"/>
    <n v="101332"/>
    <n v="7.16"/>
    <n v="37829"/>
    <n v="1247"/>
  </r>
  <r>
    <x v="13"/>
    <x v="1"/>
    <n v="1520"/>
    <n v="475"/>
    <n v="496982"/>
    <n v="6.41"/>
    <n v="24384"/>
    <n v="1045"/>
  </r>
  <r>
    <x v="13"/>
    <x v="2"/>
    <n v="557"/>
    <n v="360"/>
    <n v="318779"/>
    <n v="8.02"/>
    <n v="25797"/>
    <n v="197"/>
  </r>
  <r>
    <x v="13"/>
    <x v="3"/>
    <n v="728"/>
    <n v="395"/>
    <n v="370971"/>
    <n v="3.86"/>
    <n v="12646"/>
    <n v="333"/>
  </r>
  <r>
    <x v="14"/>
    <x v="0"/>
    <n v="1592"/>
    <n v="20"/>
    <n v="378054"/>
    <n v="9.09"/>
    <n v="26663"/>
    <n v="1572"/>
  </r>
  <r>
    <x v="14"/>
    <x v="1"/>
    <n v="1842"/>
    <n v="414"/>
    <n v="307524"/>
    <n v="1.76"/>
    <n v="40478"/>
    <n v="1428"/>
  </r>
  <r>
    <x v="14"/>
    <x v="2"/>
    <n v="751"/>
    <n v="491"/>
    <n v="434047"/>
    <n v="9.24"/>
    <n v="15476"/>
    <n v="260"/>
  </r>
  <r>
    <x v="14"/>
    <x v="3"/>
    <n v="1409"/>
    <n v="309"/>
    <n v="64583"/>
    <n v="8.99"/>
    <n v="10217"/>
    <n v="1100"/>
  </r>
  <r>
    <x v="15"/>
    <x v="0"/>
    <n v="778"/>
    <n v="401"/>
    <n v="50793"/>
    <n v="3.4"/>
    <n v="21939"/>
    <n v="377"/>
  </r>
  <r>
    <x v="15"/>
    <x v="1"/>
    <n v="443"/>
    <n v="345"/>
    <n v="474162"/>
    <n v="9.1999999999999993"/>
    <n v="47462"/>
    <n v="98"/>
  </r>
  <r>
    <x v="15"/>
    <x v="2"/>
    <n v="1472"/>
    <n v="347"/>
    <n v="392355"/>
    <n v="8.59"/>
    <n v="30270"/>
    <n v="1125"/>
  </r>
  <r>
    <x v="15"/>
    <x v="3"/>
    <n v="123"/>
    <n v="155"/>
    <n v="119934"/>
    <n v="3.5"/>
    <n v="5442"/>
    <n v="-32"/>
  </r>
  <r>
    <x v="16"/>
    <x v="0"/>
    <n v="817"/>
    <n v="151"/>
    <n v="422625"/>
    <n v="2.36"/>
    <n v="1083"/>
    <n v="666"/>
  </r>
  <r>
    <x v="16"/>
    <x v="1"/>
    <n v="198"/>
    <n v="217"/>
    <n v="239753"/>
    <n v="7.36"/>
    <n v="11901"/>
    <n v="-19"/>
  </r>
  <r>
    <x v="16"/>
    <x v="2"/>
    <n v="1911"/>
    <n v="231"/>
    <n v="268516"/>
    <n v="8.5500000000000007"/>
    <n v="24018"/>
    <n v="1680"/>
  </r>
  <r>
    <x v="16"/>
    <x v="3"/>
    <n v="1218"/>
    <n v="212"/>
    <n v="63177"/>
    <n v="8.1300000000000008"/>
    <n v="38883"/>
    <n v="1006"/>
  </r>
  <r>
    <x v="17"/>
    <x v="0"/>
    <n v="1433"/>
    <n v="408"/>
    <n v="370269"/>
    <n v="3.3"/>
    <n v="30575"/>
    <n v="1025"/>
  </r>
  <r>
    <x v="17"/>
    <x v="1"/>
    <n v="250"/>
    <n v="429"/>
    <n v="453423"/>
    <n v="1.77"/>
    <n v="2315"/>
    <n v="-179"/>
  </r>
  <r>
    <x v="17"/>
    <x v="2"/>
    <n v="752"/>
    <n v="153"/>
    <n v="64906"/>
    <n v="2.09"/>
    <n v="12148"/>
    <n v="599"/>
  </r>
  <r>
    <x v="17"/>
    <x v="3"/>
    <n v="1918"/>
    <n v="212"/>
    <n v="94360"/>
    <n v="7.36"/>
    <n v="36851"/>
    <n v="1706"/>
  </r>
  <r>
    <x v="18"/>
    <x v="0"/>
    <n v="1939"/>
    <n v="67"/>
    <n v="187183"/>
    <n v="6.25"/>
    <n v="41215"/>
    <n v="1872"/>
  </r>
  <r>
    <x v="18"/>
    <x v="1"/>
    <n v="1929"/>
    <n v="267"/>
    <n v="379363"/>
    <n v="1.75"/>
    <n v="43836"/>
    <n v="1662"/>
  </r>
  <r>
    <x v="18"/>
    <x v="2"/>
    <n v="437"/>
    <n v="330"/>
    <n v="476486"/>
    <n v="4.97"/>
    <n v="4509"/>
    <n v="107"/>
  </r>
  <r>
    <x v="18"/>
    <x v="3"/>
    <n v="307"/>
    <n v="189"/>
    <n v="117767"/>
    <n v="9.3000000000000007"/>
    <n v="27822"/>
    <n v="118"/>
  </r>
  <r>
    <x v="19"/>
    <x v="0"/>
    <n v="1527"/>
    <n v="303"/>
    <n v="388555"/>
    <n v="8.9"/>
    <n v="36397"/>
    <n v="1224"/>
  </r>
  <r>
    <x v="19"/>
    <x v="1"/>
    <n v="643"/>
    <n v="358"/>
    <n v="157599"/>
    <n v="3.88"/>
    <n v="7285"/>
    <n v="285"/>
  </r>
  <r>
    <x v="19"/>
    <x v="2"/>
    <n v="201"/>
    <n v="221"/>
    <n v="309772"/>
    <n v="5.9"/>
    <n v="33174"/>
    <n v="-20"/>
  </r>
  <r>
    <x v="19"/>
    <x v="3"/>
    <n v="414"/>
    <n v="47"/>
    <n v="199178"/>
    <n v="1.53"/>
    <n v="6742"/>
    <n v="367"/>
  </r>
  <r>
    <x v="20"/>
    <x v="0"/>
    <n v="703"/>
    <n v="441"/>
    <n v="357089"/>
    <n v="6.5"/>
    <n v="32478"/>
    <n v="262"/>
  </r>
  <r>
    <x v="20"/>
    <x v="1"/>
    <n v="508"/>
    <n v="69"/>
    <n v="23492"/>
    <n v="3.16"/>
    <n v="42824"/>
    <n v="439"/>
  </r>
  <r>
    <x v="20"/>
    <x v="2"/>
    <n v="697"/>
    <n v="61"/>
    <n v="258287"/>
    <n v="8.25"/>
    <n v="21208"/>
    <n v="636"/>
  </r>
  <r>
    <x v="20"/>
    <x v="3"/>
    <n v="1707"/>
    <n v="223"/>
    <n v="256910"/>
    <n v="5.41"/>
    <n v="44321"/>
    <n v="1484"/>
  </r>
  <r>
    <x v="21"/>
    <x v="0"/>
    <n v="642"/>
    <n v="66"/>
    <n v="346522"/>
    <n v="5.85"/>
    <n v="13116"/>
    <n v="576"/>
  </r>
  <r>
    <x v="21"/>
    <x v="1"/>
    <n v="859"/>
    <n v="473"/>
    <n v="209987"/>
    <n v="4.46"/>
    <n v="30214"/>
    <n v="386"/>
  </r>
  <r>
    <x v="21"/>
    <x v="2"/>
    <n v="191"/>
    <n v="154"/>
    <n v="240550"/>
    <n v="5.22"/>
    <n v="15827"/>
    <n v="37"/>
  </r>
  <r>
    <x v="21"/>
    <x v="3"/>
    <n v="1814"/>
    <n v="157"/>
    <n v="305827"/>
    <n v="1.99"/>
    <n v="46643"/>
    <n v="1657"/>
  </r>
  <r>
    <x v="22"/>
    <x v="0"/>
    <n v="1466"/>
    <n v="69"/>
    <n v="54935"/>
    <n v="6.85"/>
    <n v="36484"/>
    <n v="1397"/>
  </r>
  <r>
    <x v="22"/>
    <x v="1"/>
    <n v="947"/>
    <n v="407"/>
    <n v="319186"/>
    <n v="3.32"/>
    <n v="4996"/>
    <n v="540"/>
  </r>
  <r>
    <x v="22"/>
    <x v="2"/>
    <n v="1821"/>
    <n v="218"/>
    <n v="439080"/>
    <n v="5.68"/>
    <n v="36095"/>
    <n v="1603"/>
  </r>
  <r>
    <x v="22"/>
    <x v="3"/>
    <n v="1507"/>
    <n v="463"/>
    <n v="258944"/>
    <n v="6.08"/>
    <n v="16443"/>
    <n v="1044"/>
  </r>
  <r>
    <x v="23"/>
    <x v="0"/>
    <n v="1075"/>
    <n v="173"/>
    <n v="51395"/>
    <n v="4.66"/>
    <n v="47812"/>
    <n v="902"/>
  </r>
  <r>
    <x v="23"/>
    <x v="1"/>
    <n v="171"/>
    <n v="277"/>
    <n v="309483"/>
    <n v="8.6999999999999993"/>
    <n v="38452"/>
    <n v="-106"/>
  </r>
  <r>
    <x v="23"/>
    <x v="2"/>
    <n v="1487"/>
    <n v="337"/>
    <n v="87305"/>
    <n v="2.46"/>
    <n v="30428"/>
    <n v="1150"/>
  </r>
  <r>
    <x v="23"/>
    <x v="3"/>
    <n v="454"/>
    <n v="105"/>
    <n v="121091"/>
    <n v="7.97"/>
    <n v="9269"/>
    <n v="349"/>
  </r>
  <r>
    <x v="24"/>
    <x v="0"/>
    <n v="187"/>
    <n v="236"/>
    <n v="51087"/>
    <n v="9.41"/>
    <n v="29533"/>
    <n v="-49"/>
  </r>
  <r>
    <x v="24"/>
    <x v="1"/>
    <n v="513"/>
    <n v="441"/>
    <n v="338847"/>
    <n v="2.68"/>
    <n v="39997"/>
    <n v="72"/>
  </r>
  <r>
    <x v="24"/>
    <x v="2"/>
    <n v="628"/>
    <n v="183"/>
    <n v="487523"/>
    <n v="7.32"/>
    <n v="5391"/>
    <n v="445"/>
  </r>
  <r>
    <x v="24"/>
    <x v="3"/>
    <n v="278"/>
    <n v="218"/>
    <n v="301695"/>
    <n v="4.68"/>
    <n v="22373"/>
    <n v="60"/>
  </r>
  <r>
    <x v="25"/>
    <x v="0"/>
    <n v="1854"/>
    <n v="161"/>
    <n v="282466"/>
    <n v="5.17"/>
    <n v="1810"/>
    <n v="1693"/>
  </r>
  <r>
    <x v="25"/>
    <x v="1"/>
    <n v="1710"/>
    <n v="378"/>
    <n v="336661"/>
    <n v="6.2"/>
    <n v="28498"/>
    <n v="1332"/>
  </r>
  <r>
    <x v="25"/>
    <x v="2"/>
    <n v="330"/>
    <n v="232"/>
    <n v="88455"/>
    <n v="2.69"/>
    <n v="39530"/>
    <n v="98"/>
  </r>
  <r>
    <x v="25"/>
    <x v="3"/>
    <n v="1293"/>
    <n v="408"/>
    <n v="62535"/>
    <n v="8.9"/>
    <n v="37876"/>
    <n v="885"/>
  </r>
  <r>
    <x v="26"/>
    <x v="0"/>
    <n v="1696"/>
    <n v="71"/>
    <n v="421957"/>
    <n v="3.79"/>
    <n v="36103"/>
    <n v="1625"/>
  </r>
  <r>
    <x v="26"/>
    <x v="1"/>
    <n v="1902"/>
    <n v="196"/>
    <n v="470269"/>
    <n v="4.79"/>
    <n v="26103"/>
    <n v="1706"/>
  </r>
  <r>
    <x v="26"/>
    <x v="2"/>
    <n v="1441"/>
    <n v="268"/>
    <n v="309904"/>
    <n v="6.37"/>
    <n v="3455"/>
    <n v="1173"/>
  </r>
  <r>
    <x v="26"/>
    <x v="3"/>
    <n v="452"/>
    <n v="161"/>
    <n v="221274"/>
    <n v="2.65"/>
    <n v="40888"/>
    <n v="291"/>
  </r>
  <r>
    <x v="27"/>
    <x v="0"/>
    <n v="1494"/>
    <n v="375"/>
    <n v="220616"/>
    <n v="1.81"/>
    <n v="22724"/>
    <n v="1119"/>
  </r>
  <r>
    <x v="27"/>
    <x v="1"/>
    <n v="1514"/>
    <n v="141"/>
    <n v="35842"/>
    <n v="7.47"/>
    <n v="18601"/>
    <n v="1373"/>
  </r>
  <r>
    <x v="27"/>
    <x v="2"/>
    <n v="1937"/>
    <n v="210"/>
    <n v="20607"/>
    <n v="4.2"/>
    <n v="20861"/>
    <n v="1727"/>
  </r>
  <r>
    <x v="27"/>
    <x v="3"/>
    <n v="736"/>
    <n v="163"/>
    <n v="451894"/>
    <n v="5.43"/>
    <n v="46625"/>
    <n v="573"/>
  </r>
  <r>
    <x v="28"/>
    <x v="0"/>
    <n v="1502"/>
    <n v="70"/>
    <n v="465553"/>
    <n v="3.32"/>
    <n v="20692"/>
    <n v="1432"/>
  </r>
  <r>
    <x v="28"/>
    <x v="1"/>
    <n v="1623"/>
    <n v="246"/>
    <n v="415815"/>
    <n v="8.11"/>
    <n v="18656"/>
    <n v="1377"/>
  </r>
  <r>
    <x v="28"/>
    <x v="2"/>
    <n v="1592"/>
    <n v="233"/>
    <n v="327183"/>
    <n v="6.66"/>
    <n v="13316"/>
    <n v="1359"/>
  </r>
  <r>
    <x v="28"/>
    <x v="3"/>
    <n v="1004"/>
    <n v="128"/>
    <n v="488901"/>
    <n v="8.09"/>
    <n v="49558"/>
    <n v="876"/>
  </r>
  <r>
    <x v="29"/>
    <x v="0"/>
    <n v="1092"/>
    <n v="408"/>
    <n v="280795"/>
    <n v="8.44"/>
    <n v="4683"/>
    <n v="684"/>
  </r>
  <r>
    <x v="29"/>
    <x v="1"/>
    <n v="1155"/>
    <n v="425"/>
    <n v="93347"/>
    <n v="2.02"/>
    <n v="47502"/>
    <n v="730"/>
  </r>
  <r>
    <x v="29"/>
    <x v="2"/>
    <n v="1137"/>
    <n v="226"/>
    <n v="81119"/>
    <n v="7.74"/>
    <n v="35359"/>
    <n v="911"/>
  </r>
  <r>
    <x v="29"/>
    <x v="3"/>
    <n v="1900"/>
    <n v="311"/>
    <n v="25177"/>
    <n v="2.89"/>
    <n v="14154"/>
    <n v="1589"/>
  </r>
  <r>
    <x v="30"/>
    <x v="0"/>
    <n v="1814"/>
    <n v="49"/>
    <n v="140804"/>
    <n v="1.76"/>
    <n v="4313"/>
    <n v="1765"/>
  </r>
  <r>
    <x v="30"/>
    <x v="1"/>
    <n v="1980"/>
    <n v="204"/>
    <n v="379431"/>
    <n v="3.09"/>
    <n v="25140"/>
    <n v="1776"/>
  </r>
  <r>
    <x v="30"/>
    <x v="2"/>
    <n v="1786"/>
    <n v="257"/>
    <n v="274831"/>
    <n v="4.68"/>
    <n v="9118"/>
    <n v="1529"/>
  </r>
  <r>
    <x v="30"/>
    <x v="3"/>
    <n v="1495"/>
    <n v="35"/>
    <n v="136845"/>
    <n v="4.4800000000000004"/>
    <n v="39931"/>
    <n v="1460"/>
  </r>
  <r>
    <x v="31"/>
    <x v="0"/>
    <n v="1013"/>
    <n v="110"/>
    <n v="466382"/>
    <n v="5.3"/>
    <n v="37132"/>
    <n v="903"/>
  </r>
  <r>
    <x v="31"/>
    <x v="1"/>
    <n v="816"/>
    <n v="196"/>
    <n v="95728"/>
    <n v="8.1999999999999993"/>
    <n v="17951"/>
    <n v="620"/>
  </r>
  <r>
    <x v="31"/>
    <x v="2"/>
    <n v="1633"/>
    <n v="445"/>
    <n v="371156"/>
    <n v="2.2200000000000002"/>
    <n v="2798"/>
    <n v="1188"/>
  </r>
  <r>
    <x v="31"/>
    <x v="3"/>
    <n v="891"/>
    <n v="45"/>
    <n v="95410"/>
    <n v="8.33"/>
    <n v="15045"/>
    <n v="846"/>
  </r>
  <r>
    <x v="32"/>
    <x v="0"/>
    <n v="1855"/>
    <n v="133"/>
    <n v="349413"/>
    <n v="3.3"/>
    <n v="14548"/>
    <n v="1722"/>
  </r>
  <r>
    <x v="32"/>
    <x v="1"/>
    <n v="651"/>
    <n v="353"/>
    <n v="224699"/>
    <n v="5.61"/>
    <n v="45708"/>
    <n v="298"/>
  </r>
  <r>
    <x v="32"/>
    <x v="2"/>
    <n v="118"/>
    <n v="262"/>
    <n v="487896"/>
    <n v="2.56"/>
    <n v="12350"/>
    <n v="-144"/>
  </r>
  <r>
    <x v="32"/>
    <x v="3"/>
    <n v="1331"/>
    <n v="430"/>
    <n v="14437"/>
    <n v="3.29"/>
    <n v="40868"/>
    <n v="901"/>
  </r>
  <r>
    <x v="33"/>
    <x v="0"/>
    <n v="1748"/>
    <n v="176"/>
    <n v="383681"/>
    <n v="9.24"/>
    <n v="43122"/>
    <n v="1572"/>
  </r>
  <r>
    <x v="33"/>
    <x v="1"/>
    <n v="663"/>
    <n v="236"/>
    <n v="479490"/>
    <n v="4.51"/>
    <n v="23853"/>
    <n v="427"/>
  </r>
  <r>
    <x v="33"/>
    <x v="2"/>
    <n v="1040"/>
    <n v="149"/>
    <n v="124404"/>
    <n v="5.23"/>
    <n v="45380"/>
    <n v="891"/>
  </r>
  <r>
    <x v="33"/>
    <x v="3"/>
    <n v="1166"/>
    <n v="442"/>
    <n v="336949"/>
    <n v="4.68"/>
    <n v="7705"/>
    <n v="724"/>
  </r>
  <r>
    <x v="34"/>
    <x v="0"/>
    <n v="115"/>
    <n v="281"/>
    <n v="357265"/>
    <n v="9.23"/>
    <n v="25525"/>
    <n v="-166"/>
  </r>
  <r>
    <x v="34"/>
    <x v="1"/>
    <n v="1249"/>
    <n v="351"/>
    <n v="321307"/>
    <n v="6.37"/>
    <n v="20560"/>
    <n v="898"/>
  </r>
  <r>
    <x v="34"/>
    <x v="2"/>
    <n v="1501"/>
    <n v="75"/>
    <n v="262569"/>
    <n v="2.0099999999999998"/>
    <n v="19119"/>
    <n v="1426"/>
  </r>
  <r>
    <x v="34"/>
    <x v="3"/>
    <n v="1411"/>
    <n v="186"/>
    <n v="461669"/>
    <n v="3.72"/>
    <n v="43999"/>
    <n v="1225"/>
  </r>
  <r>
    <x v="35"/>
    <x v="0"/>
    <n v="1556"/>
    <n v="476"/>
    <n v="351556"/>
    <n v="3.89"/>
    <n v="10825"/>
    <n v="1080"/>
  </r>
  <r>
    <x v="35"/>
    <x v="1"/>
    <n v="1159"/>
    <n v="411"/>
    <n v="135987"/>
    <n v="8.6999999999999993"/>
    <n v="40323"/>
    <n v="748"/>
  </r>
  <r>
    <x v="35"/>
    <x v="2"/>
    <n v="927"/>
    <n v="358"/>
    <n v="177554"/>
    <n v="6.95"/>
    <n v="48270"/>
    <n v="569"/>
  </r>
  <r>
    <x v="35"/>
    <x v="3"/>
    <n v="152"/>
    <n v="355"/>
    <n v="270766"/>
    <n v="9.48"/>
    <n v="18001"/>
    <n v="-203"/>
  </r>
  <r>
    <x v="36"/>
    <x v="0"/>
    <n v="1957"/>
    <n v="234"/>
    <n v="222126"/>
    <n v="4.6100000000000003"/>
    <n v="3314"/>
    <n v="1723"/>
  </r>
  <r>
    <x v="36"/>
    <x v="1"/>
    <n v="1294"/>
    <n v="382"/>
    <n v="309914"/>
    <n v="8.0299999999999994"/>
    <n v="23489"/>
    <n v="912"/>
  </r>
  <r>
    <x v="36"/>
    <x v="2"/>
    <n v="1587"/>
    <n v="385"/>
    <n v="126582"/>
    <n v="6.99"/>
    <n v="42832"/>
    <n v="1202"/>
  </r>
  <r>
    <x v="36"/>
    <x v="3"/>
    <n v="1707"/>
    <n v="263"/>
    <n v="485280"/>
    <n v="9.0299999999999994"/>
    <n v="24494"/>
    <n v="1444"/>
  </r>
  <r>
    <x v="37"/>
    <x v="0"/>
    <n v="1138"/>
    <n v="173"/>
    <n v="453243"/>
    <n v="2.86"/>
    <n v="44097"/>
    <n v="965"/>
  </r>
  <r>
    <x v="37"/>
    <x v="1"/>
    <n v="1895"/>
    <n v="305"/>
    <n v="104967"/>
    <n v="3.85"/>
    <n v="31853"/>
    <n v="1590"/>
  </r>
  <r>
    <x v="37"/>
    <x v="2"/>
    <n v="362"/>
    <n v="399"/>
    <n v="145608"/>
    <n v="7.3"/>
    <n v="37636"/>
    <n v="-37"/>
  </r>
  <r>
    <x v="37"/>
    <x v="3"/>
    <n v="1662"/>
    <n v="487"/>
    <n v="105980"/>
    <n v="9.08"/>
    <n v="22996"/>
    <n v="1175"/>
  </r>
  <r>
    <x v="38"/>
    <x v="0"/>
    <n v="1440"/>
    <n v="65"/>
    <n v="126524"/>
    <n v="4.34"/>
    <n v="49772"/>
    <n v="1375"/>
  </r>
  <r>
    <x v="38"/>
    <x v="1"/>
    <n v="1884"/>
    <n v="177"/>
    <n v="230448"/>
    <n v="7.8"/>
    <n v="22713"/>
    <n v="1707"/>
  </r>
  <r>
    <x v="38"/>
    <x v="2"/>
    <n v="861"/>
    <n v="153"/>
    <n v="317007"/>
    <n v="3.85"/>
    <n v="8718"/>
    <n v="708"/>
  </r>
  <r>
    <x v="38"/>
    <x v="3"/>
    <n v="1063"/>
    <n v="47"/>
    <n v="464239"/>
    <n v="6.58"/>
    <n v="39031"/>
    <n v="1016"/>
  </r>
  <r>
    <x v="39"/>
    <x v="0"/>
    <n v="1371"/>
    <n v="56"/>
    <n v="257579"/>
    <n v="8.6199999999999992"/>
    <n v="33799"/>
    <n v="1315"/>
  </r>
  <r>
    <x v="39"/>
    <x v="1"/>
    <n v="345"/>
    <n v="464"/>
    <n v="366881"/>
    <n v="4.55"/>
    <n v="20553"/>
    <n v="-119"/>
  </r>
  <r>
    <x v="39"/>
    <x v="2"/>
    <n v="946"/>
    <n v="47"/>
    <n v="466575"/>
    <n v="8.33"/>
    <n v="10002"/>
    <n v="899"/>
  </r>
  <r>
    <x v="39"/>
    <x v="3"/>
    <n v="510"/>
    <n v="195"/>
    <n v="224534"/>
    <n v="9.4"/>
    <n v="30987"/>
    <n v="315"/>
  </r>
  <r>
    <x v="40"/>
    <x v="0"/>
    <n v="393"/>
    <n v="181"/>
    <n v="462142"/>
    <n v="7.23"/>
    <n v="6296"/>
    <n v="212"/>
  </r>
  <r>
    <x v="40"/>
    <x v="1"/>
    <n v="1098"/>
    <n v="190"/>
    <n v="340842"/>
    <n v="9.39"/>
    <n v="21539"/>
    <n v="908"/>
  </r>
  <r>
    <x v="40"/>
    <x v="2"/>
    <n v="1399"/>
    <n v="49"/>
    <n v="12471"/>
    <n v="5.12"/>
    <n v="14722"/>
    <n v="1350"/>
  </r>
  <r>
    <x v="40"/>
    <x v="3"/>
    <n v="1658"/>
    <n v="416"/>
    <n v="98397"/>
    <n v="6.11"/>
    <n v="11383"/>
    <n v="1242"/>
  </r>
  <r>
    <x v="41"/>
    <x v="0"/>
    <n v="1102"/>
    <n v="422"/>
    <n v="410330"/>
    <n v="7.74"/>
    <n v="9480"/>
    <n v="680"/>
  </r>
  <r>
    <x v="41"/>
    <x v="1"/>
    <n v="1358"/>
    <n v="242"/>
    <n v="342129"/>
    <n v="4.9400000000000004"/>
    <n v="29116"/>
    <n v="1116"/>
  </r>
  <r>
    <x v="41"/>
    <x v="2"/>
    <n v="1077"/>
    <n v="216"/>
    <n v="12447"/>
    <n v="1.8"/>
    <n v="14068"/>
    <n v="861"/>
  </r>
  <r>
    <x v="41"/>
    <x v="3"/>
    <n v="1596"/>
    <n v="211"/>
    <n v="17380"/>
    <n v="8.64"/>
    <n v="35801"/>
    <n v="1385"/>
  </r>
  <r>
    <x v="42"/>
    <x v="0"/>
    <n v="490"/>
    <n v="29"/>
    <n v="364810"/>
    <n v="1.53"/>
    <n v="49077"/>
    <n v="461"/>
  </r>
  <r>
    <x v="42"/>
    <x v="1"/>
    <n v="609"/>
    <n v="135"/>
    <n v="373606"/>
    <n v="8.52"/>
    <n v="21453"/>
    <n v="474"/>
  </r>
  <r>
    <x v="42"/>
    <x v="2"/>
    <n v="364"/>
    <n v="72"/>
    <n v="211090"/>
    <n v="5.53"/>
    <n v="21061"/>
    <n v="292"/>
  </r>
  <r>
    <x v="42"/>
    <x v="3"/>
    <n v="442"/>
    <n v="53"/>
    <n v="441931"/>
    <n v="1.87"/>
    <n v="20059"/>
    <n v="389"/>
  </r>
  <r>
    <x v="43"/>
    <x v="0"/>
    <n v="1033"/>
    <n v="392"/>
    <n v="282780"/>
    <n v="6.27"/>
    <n v="23140"/>
    <n v="641"/>
  </r>
  <r>
    <x v="43"/>
    <x v="1"/>
    <n v="988"/>
    <n v="474"/>
    <n v="370070"/>
    <n v="9.4600000000000009"/>
    <n v="23461"/>
    <n v="514"/>
  </r>
  <r>
    <x v="43"/>
    <x v="2"/>
    <n v="1946"/>
    <n v="270"/>
    <n v="198350"/>
    <n v="7.5"/>
    <n v="11805"/>
    <n v="1676"/>
  </r>
  <r>
    <x v="43"/>
    <x v="3"/>
    <n v="1957"/>
    <n v="490"/>
    <n v="435726"/>
    <n v="4.7300000000000004"/>
    <n v="15969"/>
    <n v="1467"/>
  </r>
  <r>
    <x v="44"/>
    <x v="0"/>
    <n v="559"/>
    <n v="392"/>
    <n v="78789"/>
    <n v="3.19"/>
    <n v="2436"/>
    <n v="167"/>
  </r>
  <r>
    <x v="44"/>
    <x v="1"/>
    <n v="1307"/>
    <n v="278"/>
    <n v="98596"/>
    <n v="2.4900000000000002"/>
    <n v="47603"/>
    <n v="1029"/>
  </r>
  <r>
    <x v="44"/>
    <x v="2"/>
    <n v="1432"/>
    <n v="425"/>
    <n v="29589"/>
    <n v="4.5"/>
    <n v="42964"/>
    <n v="1007"/>
  </r>
  <r>
    <x v="44"/>
    <x v="3"/>
    <n v="623"/>
    <n v="414"/>
    <n v="290354"/>
    <n v="6.49"/>
    <n v="39923"/>
    <n v="209"/>
  </r>
  <r>
    <x v="45"/>
    <x v="0"/>
    <n v="198"/>
    <n v="358"/>
    <n v="66682"/>
    <n v="6.73"/>
    <n v="2293"/>
    <n v="-160"/>
  </r>
  <r>
    <x v="45"/>
    <x v="1"/>
    <n v="198"/>
    <n v="373"/>
    <n v="70707"/>
    <n v="4.83"/>
    <n v="25920"/>
    <n v="-175"/>
  </r>
  <r>
    <x v="45"/>
    <x v="2"/>
    <n v="353"/>
    <n v="300"/>
    <n v="142507"/>
    <n v="5.3"/>
    <n v="11035"/>
    <n v="53"/>
  </r>
  <r>
    <x v="45"/>
    <x v="3"/>
    <n v="520"/>
    <n v="375"/>
    <n v="369525"/>
    <n v="6.54"/>
    <n v="20733"/>
    <n v="145"/>
  </r>
  <r>
    <x v="46"/>
    <x v="0"/>
    <n v="961"/>
    <n v="358"/>
    <n v="62942"/>
    <n v="6.8"/>
    <n v="18693"/>
    <n v="603"/>
  </r>
  <r>
    <x v="46"/>
    <x v="1"/>
    <n v="1375"/>
    <n v="330"/>
    <n v="377382"/>
    <n v="2.6"/>
    <n v="7875"/>
    <n v="1045"/>
  </r>
  <r>
    <x v="46"/>
    <x v="2"/>
    <n v="1147"/>
    <n v="388"/>
    <n v="333851"/>
    <n v="2.44"/>
    <n v="8471"/>
    <n v="759"/>
  </r>
  <r>
    <x v="46"/>
    <x v="3"/>
    <n v="1707"/>
    <n v="74"/>
    <n v="270958"/>
    <n v="3.09"/>
    <n v="14090"/>
    <n v="1633"/>
  </r>
  <r>
    <x v="47"/>
    <x v="0"/>
    <n v="1693"/>
    <n v="154"/>
    <n v="445944"/>
    <n v="5.69"/>
    <n v="14216"/>
    <n v="1539"/>
  </r>
  <r>
    <x v="47"/>
    <x v="1"/>
    <n v="833"/>
    <n v="380"/>
    <n v="224830"/>
    <n v="3.86"/>
    <n v="3582"/>
    <n v="453"/>
  </r>
  <r>
    <x v="47"/>
    <x v="2"/>
    <n v="1222"/>
    <n v="274"/>
    <n v="487289"/>
    <n v="3.16"/>
    <n v="32500"/>
    <n v="948"/>
  </r>
  <r>
    <x v="47"/>
    <x v="3"/>
    <n v="777"/>
    <n v="140"/>
    <n v="11435"/>
    <n v="1.6"/>
    <n v="6832"/>
    <n v="637"/>
  </r>
  <r>
    <x v="48"/>
    <x v="0"/>
    <n v="1957"/>
    <n v="76"/>
    <n v="447902"/>
    <n v="6.09"/>
    <n v="33381"/>
    <n v="1881"/>
  </r>
  <r>
    <x v="48"/>
    <x v="1"/>
    <n v="405"/>
    <n v="66"/>
    <n v="418696"/>
    <n v="5.59"/>
    <n v="48419"/>
    <n v="339"/>
  </r>
  <r>
    <x v="48"/>
    <x v="2"/>
    <n v="1581"/>
    <n v="71"/>
    <n v="484364"/>
    <n v="3.55"/>
    <n v="16149"/>
    <n v="1510"/>
  </r>
  <r>
    <x v="48"/>
    <x v="3"/>
    <n v="1035"/>
    <n v="171"/>
    <n v="148477"/>
    <n v="5.21"/>
    <n v="7541"/>
    <n v="864"/>
  </r>
  <r>
    <x v="49"/>
    <x v="0"/>
    <n v="1765"/>
    <n v="109"/>
    <n v="468301"/>
    <n v="1.82"/>
    <n v="20042"/>
    <n v="1656"/>
  </r>
  <r>
    <x v="49"/>
    <x v="1"/>
    <n v="837"/>
    <n v="430"/>
    <n v="364820"/>
    <n v="4"/>
    <n v="49400"/>
    <n v="407"/>
  </r>
  <r>
    <x v="49"/>
    <x v="2"/>
    <n v="337"/>
    <n v="68"/>
    <n v="456298"/>
    <n v="7.57"/>
    <n v="4007"/>
    <n v="269"/>
  </r>
  <r>
    <x v="49"/>
    <x v="3"/>
    <n v="119"/>
    <n v="456"/>
    <n v="82558"/>
    <n v="6.81"/>
    <n v="12174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E2E7F-E2DE-4C11-BB85-C2B7B5CED9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3:P55" firstHeaderRow="1" firstDataRow="2" firstDataCol="1"/>
  <pivotFields count="11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showAll="0"/>
    <pivotField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_growth" fld="7" baseField="0" baseItem="0" numFmtId="1"/>
  </dataFields>
  <formats count="2">
    <format dxfId="5">
      <pivotArea dataOnly="0" labelOnly="1" fieldPosition="0">
        <references count="1">
          <reference field="0" count="1">
            <x v="30"/>
          </reference>
        </references>
      </pivotArea>
    </format>
    <format dxfId="4">
      <pivotArea dataOnly="0" fieldPosition="0">
        <references count="1">
          <reference field="0" count="1">
            <x v="3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5C6A5-66CE-4787-AB2A-D5F0F2EB3E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53" firstHeaderRow="1" firstDataRow="2" firstDataCol="1"/>
  <pivotFields count="11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showAll="0"/>
    <pivotField numFmtId="1" showAll="0"/>
    <pivotField dataField="1" numFmtI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_growth" fld="7" baseField="0" baseItem="0" numFmtId="1"/>
  </dataFields>
  <formats count="2">
    <format dxfId="3">
      <pivotArea dataOnly="0" labelOnly="1" fieldPosition="0">
        <references count="1">
          <reference field="0" count="1">
            <x v="30"/>
          </reference>
        </references>
      </pivotArea>
    </format>
    <format dxfId="2">
      <pivotArea dataOnly="0" labelOnly="1" fieldPosition="0">
        <references count="1">
          <reference field="0" count="1">
            <x v="3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723E-1A29-46CB-A705-08BA05C21C05}">
  <dimension ref="A1:BS201"/>
  <sheetViews>
    <sheetView topLeftCell="O1" workbookViewId="0">
      <selection activeCell="J12" sqref="J12"/>
    </sheetView>
  </sheetViews>
  <sheetFormatPr defaultRowHeight="14.4" x14ac:dyDescent="0.3"/>
  <cols>
    <col min="1" max="1" width="14.77734375" customWidth="1"/>
    <col min="8" max="8" width="19.6640625" customWidth="1"/>
    <col min="11" max="11" width="12.88671875" customWidth="1"/>
    <col min="12" max="12" width="10.77734375" customWidth="1"/>
    <col min="13" max="13" width="10.21875" customWidth="1"/>
    <col min="14" max="14" width="7.88671875" customWidth="1"/>
    <col min="15" max="15" width="8.5546875" customWidth="1"/>
    <col min="16" max="16" width="11.33203125" customWidth="1"/>
    <col min="17" max="17" width="10.77734375" bestFit="1" customWidth="1"/>
    <col min="19" max="19" width="11.33203125" customWidth="1"/>
    <col min="20" max="20" width="10.33203125" customWidth="1"/>
    <col min="21" max="21" width="7.77734375" customWidth="1"/>
  </cols>
  <sheetData>
    <row r="1" spans="1:1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11</v>
      </c>
    </row>
    <row r="2" spans="1:16" x14ac:dyDescent="0.3">
      <c r="A2" s="5">
        <v>45446</v>
      </c>
      <c r="B2" s="6" t="s">
        <v>7</v>
      </c>
      <c r="C2" s="7">
        <v>1135</v>
      </c>
      <c r="D2" s="7">
        <v>88</v>
      </c>
      <c r="E2" s="7">
        <v>344084</v>
      </c>
      <c r="F2" s="8">
        <v>8.06</v>
      </c>
      <c r="G2" s="7">
        <v>5904</v>
      </c>
      <c r="H2" s="9">
        <f>C2-D2</f>
        <v>1047</v>
      </c>
      <c r="K2" s="16" t="s">
        <v>16</v>
      </c>
      <c r="L2" s="16"/>
      <c r="M2" s="16"/>
    </row>
    <row r="3" spans="1:16" x14ac:dyDescent="0.3">
      <c r="A3" s="5">
        <v>45446</v>
      </c>
      <c r="B3" s="6" t="s">
        <v>8</v>
      </c>
      <c r="C3" s="7">
        <v>1312</v>
      </c>
      <c r="D3" s="7">
        <v>310</v>
      </c>
      <c r="E3" s="7">
        <v>42654</v>
      </c>
      <c r="F3" s="8">
        <v>4.9800000000000004</v>
      </c>
      <c r="G3" s="7">
        <v>9566</v>
      </c>
      <c r="H3" s="9">
        <f t="shared" ref="H3:H66" si="0">C3-D3</f>
        <v>1002</v>
      </c>
      <c r="K3" s="10" t="s">
        <v>15</v>
      </c>
      <c r="L3" s="10" t="s">
        <v>14</v>
      </c>
    </row>
    <row r="4" spans="1:16" x14ac:dyDescent="0.3">
      <c r="A4" s="5">
        <v>45446</v>
      </c>
      <c r="B4" s="6" t="s">
        <v>9</v>
      </c>
      <c r="C4" s="7">
        <v>584</v>
      </c>
      <c r="D4" s="7">
        <v>169</v>
      </c>
      <c r="E4" s="7">
        <v>146834</v>
      </c>
      <c r="F4" s="8">
        <v>8.31</v>
      </c>
      <c r="G4" s="7">
        <v>26752</v>
      </c>
      <c r="H4" s="9">
        <f t="shared" si="0"/>
        <v>415</v>
      </c>
      <c r="K4" s="10" t="s">
        <v>12</v>
      </c>
      <c r="L4" t="s">
        <v>8</v>
      </c>
      <c r="M4" t="s">
        <v>7</v>
      </c>
      <c r="N4" t="s">
        <v>9</v>
      </c>
      <c r="O4" t="s">
        <v>10</v>
      </c>
      <c r="P4" t="s">
        <v>13</v>
      </c>
    </row>
    <row r="5" spans="1:16" x14ac:dyDescent="0.3">
      <c r="A5" s="5">
        <v>45446</v>
      </c>
      <c r="B5" s="6" t="s">
        <v>10</v>
      </c>
      <c r="C5" s="7">
        <v>1535</v>
      </c>
      <c r="D5" s="7">
        <v>445</v>
      </c>
      <c r="E5" s="7">
        <v>395536</v>
      </c>
      <c r="F5" s="8">
        <v>4.1100000000000003</v>
      </c>
      <c r="G5" s="7">
        <v>30671</v>
      </c>
      <c r="H5" s="9">
        <f t="shared" si="0"/>
        <v>1090</v>
      </c>
      <c r="K5" s="11">
        <v>45446</v>
      </c>
      <c r="L5" s="9">
        <v>1002</v>
      </c>
      <c r="M5" s="9">
        <v>1047</v>
      </c>
      <c r="N5" s="9">
        <v>415</v>
      </c>
      <c r="O5" s="9">
        <v>1090</v>
      </c>
      <c r="P5" s="9">
        <v>3554</v>
      </c>
    </row>
    <row r="6" spans="1:16" x14ac:dyDescent="0.3">
      <c r="A6" s="5">
        <v>45453</v>
      </c>
      <c r="B6" s="6" t="s">
        <v>7</v>
      </c>
      <c r="C6" s="7">
        <v>656</v>
      </c>
      <c r="D6" s="7">
        <v>139</v>
      </c>
      <c r="E6" s="7">
        <v>49157</v>
      </c>
      <c r="F6" s="8">
        <v>9.0500000000000007</v>
      </c>
      <c r="G6" s="7">
        <v>9920</v>
      </c>
      <c r="H6" s="9">
        <f t="shared" si="0"/>
        <v>517</v>
      </c>
      <c r="K6" s="11">
        <v>45453</v>
      </c>
      <c r="L6" s="9">
        <v>1283</v>
      </c>
      <c r="M6" s="9">
        <v>517</v>
      </c>
      <c r="N6" s="9">
        <v>186</v>
      </c>
      <c r="O6" s="9">
        <v>994</v>
      </c>
      <c r="P6" s="9">
        <v>2980</v>
      </c>
    </row>
    <row r="7" spans="1:16" x14ac:dyDescent="0.3">
      <c r="A7" s="5">
        <v>45453</v>
      </c>
      <c r="B7" s="6" t="s">
        <v>8</v>
      </c>
      <c r="C7" s="7">
        <v>1697</v>
      </c>
      <c r="D7" s="7">
        <v>414</v>
      </c>
      <c r="E7" s="7">
        <v>316555</v>
      </c>
      <c r="F7" s="8">
        <v>2.37</v>
      </c>
      <c r="G7" s="7">
        <v>7924</v>
      </c>
      <c r="H7" s="9">
        <f t="shared" si="0"/>
        <v>1283</v>
      </c>
      <c r="K7" s="11">
        <v>45460</v>
      </c>
      <c r="L7" s="9">
        <v>1382</v>
      </c>
      <c r="M7" s="9">
        <v>893</v>
      </c>
      <c r="N7" s="9">
        <v>1295</v>
      </c>
      <c r="O7" s="9">
        <v>337</v>
      </c>
      <c r="P7" s="9">
        <v>3907</v>
      </c>
    </row>
    <row r="8" spans="1:16" x14ac:dyDescent="0.3">
      <c r="A8" s="5">
        <v>45453</v>
      </c>
      <c r="B8" s="6" t="s">
        <v>9</v>
      </c>
      <c r="C8" s="7">
        <v>436</v>
      </c>
      <c r="D8" s="7">
        <v>250</v>
      </c>
      <c r="E8" s="7">
        <v>254347</v>
      </c>
      <c r="F8" s="8">
        <v>4.01</v>
      </c>
      <c r="G8" s="7">
        <v>8912</v>
      </c>
      <c r="H8" s="9">
        <f t="shared" si="0"/>
        <v>186</v>
      </c>
      <c r="K8" s="11">
        <v>45467</v>
      </c>
      <c r="L8" s="9">
        <v>1670</v>
      </c>
      <c r="M8" s="9">
        <v>629</v>
      </c>
      <c r="N8" s="9">
        <v>835</v>
      </c>
      <c r="O8" s="9">
        <v>-123</v>
      </c>
      <c r="P8" s="9">
        <v>3011</v>
      </c>
    </row>
    <row r="9" spans="1:16" x14ac:dyDescent="0.3">
      <c r="A9" s="5">
        <v>45453</v>
      </c>
      <c r="B9" s="6" t="s">
        <v>10</v>
      </c>
      <c r="C9" s="7">
        <v>1197</v>
      </c>
      <c r="D9" s="7">
        <v>203</v>
      </c>
      <c r="E9" s="7">
        <v>413878</v>
      </c>
      <c r="F9" s="8">
        <v>3.16</v>
      </c>
      <c r="G9" s="7">
        <v>21205</v>
      </c>
      <c r="H9" s="9">
        <f t="shared" si="0"/>
        <v>994</v>
      </c>
      <c r="K9" s="11">
        <v>45474</v>
      </c>
      <c r="L9" s="9">
        <v>64</v>
      </c>
      <c r="M9" s="9">
        <v>-219</v>
      </c>
      <c r="N9" s="9">
        <v>1357</v>
      </c>
      <c r="O9" s="9">
        <v>91</v>
      </c>
      <c r="P9" s="9">
        <v>1293</v>
      </c>
    </row>
    <row r="10" spans="1:16" x14ac:dyDescent="0.3">
      <c r="A10" s="5">
        <v>45460</v>
      </c>
      <c r="B10" s="6" t="s">
        <v>7</v>
      </c>
      <c r="C10" s="7">
        <v>1048</v>
      </c>
      <c r="D10" s="7">
        <v>155</v>
      </c>
      <c r="E10" s="7">
        <v>456946</v>
      </c>
      <c r="F10" s="8">
        <v>2.46</v>
      </c>
      <c r="G10" s="7">
        <v>11329</v>
      </c>
      <c r="H10" s="9">
        <f t="shared" si="0"/>
        <v>893</v>
      </c>
      <c r="J10" t="s">
        <v>19</v>
      </c>
      <c r="K10" s="11">
        <v>45481</v>
      </c>
      <c r="L10" s="9">
        <v>309</v>
      </c>
      <c r="M10" s="9">
        <v>1672</v>
      </c>
      <c r="N10" s="9">
        <v>547</v>
      </c>
      <c r="O10" s="9">
        <v>514</v>
      </c>
      <c r="P10" s="9">
        <v>3042</v>
      </c>
    </row>
    <row r="11" spans="1:16" x14ac:dyDescent="0.3">
      <c r="A11" s="5">
        <v>45460</v>
      </c>
      <c r="B11" s="6" t="s">
        <v>8</v>
      </c>
      <c r="C11" s="7">
        <v>1753</v>
      </c>
      <c r="D11" s="7">
        <v>371</v>
      </c>
      <c r="E11" s="7">
        <v>169496</v>
      </c>
      <c r="F11" s="8">
        <v>8.11</v>
      </c>
      <c r="G11" s="7">
        <v>46670</v>
      </c>
      <c r="H11" s="9">
        <f t="shared" si="0"/>
        <v>1382</v>
      </c>
      <c r="K11" s="11">
        <v>45488</v>
      </c>
      <c r="L11" s="9">
        <v>-164</v>
      </c>
      <c r="M11" s="9">
        <v>1845</v>
      </c>
      <c r="N11" s="9">
        <v>429</v>
      </c>
      <c r="O11" s="9">
        <v>160</v>
      </c>
      <c r="P11" s="9">
        <v>2270</v>
      </c>
    </row>
    <row r="12" spans="1:16" x14ac:dyDescent="0.3">
      <c r="A12" s="5">
        <v>45460</v>
      </c>
      <c r="B12" s="6" t="s">
        <v>9</v>
      </c>
      <c r="C12" s="7">
        <v>1335</v>
      </c>
      <c r="D12" s="7">
        <v>40</v>
      </c>
      <c r="E12" s="7">
        <v>122732</v>
      </c>
      <c r="F12" s="8">
        <v>8.19</v>
      </c>
      <c r="G12" s="7">
        <v>22482</v>
      </c>
      <c r="H12" s="9">
        <f t="shared" si="0"/>
        <v>1295</v>
      </c>
      <c r="K12" s="11">
        <v>45495</v>
      </c>
      <c r="L12" s="9">
        <v>961</v>
      </c>
      <c r="M12" s="9">
        <v>159</v>
      </c>
      <c r="N12" s="9">
        <v>1316</v>
      </c>
      <c r="O12" s="9">
        <v>317</v>
      </c>
      <c r="P12" s="9">
        <v>2753</v>
      </c>
    </row>
    <row r="13" spans="1:16" x14ac:dyDescent="0.3">
      <c r="A13" s="5">
        <v>45460</v>
      </c>
      <c r="B13" s="6" t="s">
        <v>10</v>
      </c>
      <c r="C13" s="7">
        <v>403</v>
      </c>
      <c r="D13" s="7">
        <v>66</v>
      </c>
      <c r="E13" s="7">
        <v>382851</v>
      </c>
      <c r="F13" s="8">
        <v>3.49</v>
      </c>
      <c r="G13" s="7">
        <v>24313</v>
      </c>
      <c r="H13" s="9">
        <f t="shared" si="0"/>
        <v>337</v>
      </c>
      <c r="K13" s="11">
        <v>45502</v>
      </c>
      <c r="L13" s="9">
        <v>-318</v>
      </c>
      <c r="M13" s="9">
        <v>541</v>
      </c>
      <c r="N13" s="9">
        <v>1495</v>
      </c>
      <c r="O13" s="9">
        <v>475</v>
      </c>
      <c r="P13" s="9">
        <v>2193</v>
      </c>
    </row>
    <row r="14" spans="1:16" x14ac:dyDescent="0.3">
      <c r="A14" s="5">
        <v>45467</v>
      </c>
      <c r="B14" s="6" t="s">
        <v>7</v>
      </c>
      <c r="C14" s="7">
        <v>911</v>
      </c>
      <c r="D14" s="7">
        <v>282</v>
      </c>
      <c r="E14" s="7">
        <v>35664</v>
      </c>
      <c r="F14" s="8">
        <v>6.92</v>
      </c>
      <c r="G14" s="7">
        <v>18050</v>
      </c>
      <c r="H14" s="9">
        <f t="shared" si="0"/>
        <v>629</v>
      </c>
      <c r="K14" s="11">
        <v>45509</v>
      </c>
      <c r="L14" s="9">
        <v>-197</v>
      </c>
      <c r="M14" s="9">
        <v>352</v>
      </c>
      <c r="N14" s="9">
        <v>328</v>
      </c>
      <c r="O14" s="9">
        <v>319</v>
      </c>
      <c r="P14" s="9">
        <v>802</v>
      </c>
    </row>
    <row r="15" spans="1:16" x14ac:dyDescent="0.3">
      <c r="A15" s="5">
        <v>45467</v>
      </c>
      <c r="B15" s="6" t="s">
        <v>8</v>
      </c>
      <c r="C15" s="7">
        <v>1779</v>
      </c>
      <c r="D15" s="7">
        <v>109</v>
      </c>
      <c r="E15" s="7">
        <v>26295</v>
      </c>
      <c r="F15" s="8">
        <v>9.1199999999999992</v>
      </c>
      <c r="G15" s="7">
        <v>30635</v>
      </c>
      <c r="H15" s="9">
        <f t="shared" si="0"/>
        <v>1670</v>
      </c>
      <c r="K15" s="11">
        <v>45516</v>
      </c>
      <c r="L15" s="9">
        <v>1334</v>
      </c>
      <c r="M15" s="9">
        <v>1325</v>
      </c>
      <c r="N15" s="9">
        <v>37</v>
      </c>
      <c r="O15" s="9">
        <v>1032</v>
      </c>
      <c r="P15" s="9">
        <v>3728</v>
      </c>
    </row>
    <row r="16" spans="1:16" x14ac:dyDescent="0.3">
      <c r="A16" s="5">
        <v>45467</v>
      </c>
      <c r="B16" s="6" t="s">
        <v>9</v>
      </c>
      <c r="C16" s="7">
        <v>1238</v>
      </c>
      <c r="D16" s="7">
        <v>403</v>
      </c>
      <c r="E16" s="7">
        <v>298421</v>
      </c>
      <c r="F16" s="8">
        <v>3.5</v>
      </c>
      <c r="G16" s="7">
        <v>31280</v>
      </c>
      <c r="H16" s="9">
        <f t="shared" si="0"/>
        <v>835</v>
      </c>
      <c r="K16" s="11">
        <v>45523</v>
      </c>
      <c r="L16" s="9">
        <v>1058</v>
      </c>
      <c r="M16" s="9">
        <v>76</v>
      </c>
      <c r="N16" s="9">
        <v>1665</v>
      </c>
      <c r="O16" s="9">
        <v>190</v>
      </c>
      <c r="P16" s="9">
        <v>2989</v>
      </c>
    </row>
    <row r="17" spans="1:71" x14ac:dyDescent="0.3">
      <c r="A17" s="5">
        <v>45467</v>
      </c>
      <c r="B17" s="6" t="s">
        <v>10</v>
      </c>
      <c r="C17" s="7">
        <v>308</v>
      </c>
      <c r="D17" s="7">
        <v>431</v>
      </c>
      <c r="E17" s="7">
        <v>426184</v>
      </c>
      <c r="F17" s="8">
        <v>2.62</v>
      </c>
      <c r="G17" s="7">
        <v>1783</v>
      </c>
      <c r="H17" s="9">
        <f t="shared" si="0"/>
        <v>-123</v>
      </c>
      <c r="K17" s="11">
        <v>45530</v>
      </c>
      <c r="L17" s="9">
        <v>37</v>
      </c>
      <c r="M17" s="9">
        <v>1609</v>
      </c>
      <c r="N17" s="9">
        <v>1229</v>
      </c>
      <c r="O17" s="9">
        <v>28</v>
      </c>
      <c r="P17" s="9">
        <v>2903</v>
      </c>
    </row>
    <row r="18" spans="1:71" x14ac:dyDescent="0.3">
      <c r="A18" s="5">
        <v>45474</v>
      </c>
      <c r="B18" s="6" t="s">
        <v>7</v>
      </c>
      <c r="C18" s="7">
        <v>226</v>
      </c>
      <c r="D18" s="7">
        <v>445</v>
      </c>
      <c r="E18" s="7">
        <v>419447</v>
      </c>
      <c r="F18" s="8">
        <v>9.36</v>
      </c>
      <c r="G18" s="7">
        <v>9566</v>
      </c>
      <c r="H18" s="9">
        <f t="shared" si="0"/>
        <v>-219</v>
      </c>
      <c r="K18" s="11">
        <v>45537</v>
      </c>
      <c r="L18" s="9">
        <v>1045</v>
      </c>
      <c r="M18" s="9">
        <v>1247</v>
      </c>
      <c r="N18" s="9">
        <v>197</v>
      </c>
      <c r="O18" s="9">
        <v>333</v>
      </c>
      <c r="P18" s="9">
        <v>2822</v>
      </c>
    </row>
    <row r="19" spans="1:71" x14ac:dyDescent="0.3">
      <c r="A19" s="5">
        <v>45474</v>
      </c>
      <c r="B19" s="6" t="s">
        <v>8</v>
      </c>
      <c r="C19" s="7">
        <v>505</v>
      </c>
      <c r="D19" s="7">
        <v>441</v>
      </c>
      <c r="E19" s="7">
        <v>220020</v>
      </c>
      <c r="F19" s="8">
        <v>4.4800000000000004</v>
      </c>
      <c r="G19" s="7">
        <v>42307</v>
      </c>
      <c r="H19" s="9">
        <f t="shared" si="0"/>
        <v>64</v>
      </c>
      <c r="K19" s="11">
        <v>45544</v>
      </c>
      <c r="L19" s="9">
        <v>1428</v>
      </c>
      <c r="M19" s="9">
        <v>1572</v>
      </c>
      <c r="N19" s="9">
        <v>260</v>
      </c>
      <c r="O19" s="9">
        <v>1100</v>
      </c>
      <c r="P19" s="9">
        <v>4360</v>
      </c>
    </row>
    <row r="20" spans="1:71" x14ac:dyDescent="0.3">
      <c r="A20" s="5">
        <v>45474</v>
      </c>
      <c r="B20" s="6" t="s">
        <v>9</v>
      </c>
      <c r="C20" s="7">
        <v>1420</v>
      </c>
      <c r="D20" s="7">
        <v>63</v>
      </c>
      <c r="E20" s="7">
        <v>315305</v>
      </c>
      <c r="F20" s="8">
        <v>6.19</v>
      </c>
      <c r="G20" s="7">
        <v>5914</v>
      </c>
      <c r="H20" s="9">
        <f t="shared" si="0"/>
        <v>1357</v>
      </c>
      <c r="K20" s="11">
        <v>45551</v>
      </c>
      <c r="L20" s="9">
        <v>98</v>
      </c>
      <c r="M20" s="9">
        <v>377</v>
      </c>
      <c r="N20" s="9">
        <v>1125</v>
      </c>
      <c r="O20" s="9">
        <v>-32</v>
      </c>
      <c r="P20" s="9">
        <v>1568</v>
      </c>
    </row>
    <row r="21" spans="1:71" x14ac:dyDescent="0.3">
      <c r="A21" s="5">
        <v>45474</v>
      </c>
      <c r="B21" s="6" t="s">
        <v>10</v>
      </c>
      <c r="C21" s="7">
        <v>144</v>
      </c>
      <c r="D21" s="7">
        <v>53</v>
      </c>
      <c r="E21" s="7">
        <v>113678</v>
      </c>
      <c r="F21" s="8">
        <v>8.7200000000000006</v>
      </c>
      <c r="G21" s="7">
        <v>30060</v>
      </c>
      <c r="H21" s="9">
        <f t="shared" si="0"/>
        <v>91</v>
      </c>
      <c r="K21" s="11">
        <v>45558</v>
      </c>
      <c r="L21" s="9">
        <v>-19</v>
      </c>
      <c r="M21" s="9">
        <v>666</v>
      </c>
      <c r="N21" s="9">
        <v>1680</v>
      </c>
      <c r="O21" s="9">
        <v>1006</v>
      </c>
      <c r="P21" s="9">
        <v>3333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</row>
    <row r="22" spans="1:71" x14ac:dyDescent="0.3">
      <c r="A22" s="5">
        <v>45481</v>
      </c>
      <c r="B22" s="6" t="s">
        <v>7</v>
      </c>
      <c r="C22" s="7">
        <v>1757</v>
      </c>
      <c r="D22" s="7">
        <v>85</v>
      </c>
      <c r="E22" s="7">
        <v>58223</v>
      </c>
      <c r="F22" s="8">
        <v>8.74</v>
      </c>
      <c r="G22" s="7">
        <v>22728</v>
      </c>
      <c r="H22" s="9">
        <f t="shared" si="0"/>
        <v>1672</v>
      </c>
      <c r="K22" s="11">
        <v>45565</v>
      </c>
      <c r="L22" s="9">
        <v>-179</v>
      </c>
      <c r="M22" s="9">
        <v>1025</v>
      </c>
      <c r="N22" s="9">
        <v>599</v>
      </c>
      <c r="O22" s="9">
        <v>1706</v>
      </c>
      <c r="P22" s="9">
        <v>3151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</row>
    <row r="23" spans="1:71" x14ac:dyDescent="0.3">
      <c r="A23" s="5">
        <v>45481</v>
      </c>
      <c r="B23" s="6" t="s">
        <v>8</v>
      </c>
      <c r="C23" s="7">
        <v>350</v>
      </c>
      <c r="D23" s="7">
        <v>41</v>
      </c>
      <c r="E23" s="7">
        <v>251694</v>
      </c>
      <c r="F23" s="8">
        <v>1.91</v>
      </c>
      <c r="G23" s="7">
        <v>38610</v>
      </c>
      <c r="H23" s="9">
        <f t="shared" si="0"/>
        <v>309</v>
      </c>
      <c r="K23" s="11">
        <v>45572</v>
      </c>
      <c r="L23" s="9">
        <v>1662</v>
      </c>
      <c r="M23" s="9">
        <v>1872</v>
      </c>
      <c r="N23" s="9">
        <v>107</v>
      </c>
      <c r="O23" s="9">
        <v>118</v>
      </c>
      <c r="P23" s="9">
        <v>3759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</row>
    <row r="24" spans="1:71" x14ac:dyDescent="0.3">
      <c r="A24" s="5">
        <v>45481</v>
      </c>
      <c r="B24" s="6" t="s">
        <v>9</v>
      </c>
      <c r="C24" s="7">
        <v>987</v>
      </c>
      <c r="D24" s="7">
        <v>440</v>
      </c>
      <c r="E24" s="7">
        <v>389810</v>
      </c>
      <c r="F24" s="8">
        <v>4.66</v>
      </c>
      <c r="G24" s="7">
        <v>2932</v>
      </c>
      <c r="H24" s="9">
        <f t="shared" si="0"/>
        <v>547</v>
      </c>
      <c r="K24" s="11">
        <v>45579</v>
      </c>
      <c r="L24" s="9">
        <v>285</v>
      </c>
      <c r="M24" s="9">
        <v>1224</v>
      </c>
      <c r="N24" s="9">
        <v>-20</v>
      </c>
      <c r="O24" s="9">
        <v>367</v>
      </c>
      <c r="P24" s="9">
        <v>1856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</row>
    <row r="25" spans="1:71" x14ac:dyDescent="0.3">
      <c r="A25" s="5">
        <v>45481</v>
      </c>
      <c r="B25" s="6" t="s">
        <v>10</v>
      </c>
      <c r="C25" s="7">
        <v>883</v>
      </c>
      <c r="D25" s="7">
        <v>369</v>
      </c>
      <c r="E25" s="7">
        <v>233694</v>
      </c>
      <c r="F25" s="8">
        <v>2.88</v>
      </c>
      <c r="G25" s="7">
        <v>15071</v>
      </c>
      <c r="H25" s="9">
        <f t="shared" si="0"/>
        <v>514</v>
      </c>
      <c r="K25" s="11">
        <v>45586</v>
      </c>
      <c r="L25" s="9">
        <v>439</v>
      </c>
      <c r="M25" s="9">
        <v>262</v>
      </c>
      <c r="N25" s="9">
        <v>636</v>
      </c>
      <c r="O25" s="9">
        <v>1484</v>
      </c>
      <c r="P25" s="9">
        <v>2821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</row>
    <row r="26" spans="1:71" x14ac:dyDescent="0.3">
      <c r="A26" s="5">
        <v>45488</v>
      </c>
      <c r="B26" s="6" t="s">
        <v>7</v>
      </c>
      <c r="C26" s="7">
        <v>1960</v>
      </c>
      <c r="D26" s="7">
        <v>115</v>
      </c>
      <c r="E26" s="7">
        <v>154169</v>
      </c>
      <c r="F26" s="8">
        <v>3.74</v>
      </c>
      <c r="G26" s="7">
        <v>10740</v>
      </c>
      <c r="H26" s="9">
        <f t="shared" si="0"/>
        <v>1845</v>
      </c>
      <c r="K26" s="11">
        <v>45593</v>
      </c>
      <c r="L26" s="9">
        <v>386</v>
      </c>
      <c r="M26" s="9">
        <v>576</v>
      </c>
      <c r="N26" s="9">
        <v>37</v>
      </c>
      <c r="O26" s="9">
        <v>1657</v>
      </c>
      <c r="P26" s="9">
        <v>2656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</row>
    <row r="27" spans="1:71" x14ac:dyDescent="0.3">
      <c r="A27" s="5">
        <v>45488</v>
      </c>
      <c r="B27" s="6" t="s">
        <v>8</v>
      </c>
      <c r="C27" s="7">
        <v>170</v>
      </c>
      <c r="D27" s="7">
        <v>334</v>
      </c>
      <c r="E27" s="7">
        <v>334626</v>
      </c>
      <c r="F27" s="8">
        <v>6.44</v>
      </c>
      <c r="G27" s="7">
        <v>43420</v>
      </c>
      <c r="H27" s="9">
        <f t="shared" si="0"/>
        <v>-164</v>
      </c>
      <c r="K27" s="11">
        <v>45600</v>
      </c>
      <c r="L27" s="9">
        <v>540</v>
      </c>
      <c r="M27" s="9">
        <v>1397</v>
      </c>
      <c r="N27" s="9">
        <v>1603</v>
      </c>
      <c r="O27" s="9">
        <v>1044</v>
      </c>
      <c r="P27" s="9">
        <v>4584</v>
      </c>
    </row>
    <row r="28" spans="1:71" x14ac:dyDescent="0.3">
      <c r="A28" s="5">
        <v>45488</v>
      </c>
      <c r="B28" s="6" t="s">
        <v>9</v>
      </c>
      <c r="C28" s="7">
        <v>704</v>
      </c>
      <c r="D28" s="7">
        <v>275</v>
      </c>
      <c r="E28" s="7">
        <v>226002</v>
      </c>
      <c r="F28" s="8">
        <v>8.56</v>
      </c>
      <c r="G28" s="7">
        <v>32393</v>
      </c>
      <c r="H28" s="9">
        <f t="shared" si="0"/>
        <v>429</v>
      </c>
      <c r="K28" s="11">
        <v>45607</v>
      </c>
      <c r="L28" s="9">
        <v>-106</v>
      </c>
      <c r="M28" s="9">
        <v>902</v>
      </c>
      <c r="N28" s="9">
        <v>1150</v>
      </c>
      <c r="O28" s="9">
        <v>349</v>
      </c>
      <c r="P28" s="9">
        <v>2295</v>
      </c>
    </row>
    <row r="29" spans="1:71" x14ac:dyDescent="0.3">
      <c r="A29" s="5">
        <v>45488</v>
      </c>
      <c r="B29" s="6" t="s">
        <v>10</v>
      </c>
      <c r="C29" s="7">
        <v>224</v>
      </c>
      <c r="D29" s="7">
        <v>64</v>
      </c>
      <c r="E29" s="7">
        <v>156683</v>
      </c>
      <c r="F29" s="8">
        <v>4.5599999999999996</v>
      </c>
      <c r="G29" s="7">
        <v>28474</v>
      </c>
      <c r="H29" s="9">
        <f t="shared" si="0"/>
        <v>160</v>
      </c>
      <c r="K29" s="11">
        <v>45614</v>
      </c>
      <c r="L29" s="9">
        <v>72</v>
      </c>
      <c r="M29" s="9">
        <v>-49</v>
      </c>
      <c r="N29" s="9">
        <v>445</v>
      </c>
      <c r="O29" s="9">
        <v>60</v>
      </c>
      <c r="P29" s="9">
        <v>528</v>
      </c>
    </row>
    <row r="30" spans="1:71" x14ac:dyDescent="0.3">
      <c r="A30" s="5">
        <v>45495</v>
      </c>
      <c r="B30" s="6" t="s">
        <v>7</v>
      </c>
      <c r="C30" s="7">
        <v>508</v>
      </c>
      <c r="D30" s="7">
        <v>349</v>
      </c>
      <c r="E30" s="7">
        <v>473812</v>
      </c>
      <c r="F30" s="8">
        <v>7.88</v>
      </c>
      <c r="G30" s="7">
        <v>17328</v>
      </c>
      <c r="H30" s="9">
        <f t="shared" si="0"/>
        <v>159</v>
      </c>
      <c r="K30" s="11">
        <v>45621</v>
      </c>
      <c r="L30" s="9">
        <v>1332</v>
      </c>
      <c r="M30" s="9">
        <v>1693</v>
      </c>
      <c r="N30" s="9">
        <v>98</v>
      </c>
      <c r="O30" s="9">
        <v>885</v>
      </c>
      <c r="P30" s="9">
        <v>4008</v>
      </c>
    </row>
    <row r="31" spans="1:71" x14ac:dyDescent="0.3">
      <c r="A31" s="5">
        <v>45495</v>
      </c>
      <c r="B31" s="6" t="s">
        <v>8</v>
      </c>
      <c r="C31" s="7">
        <v>1391</v>
      </c>
      <c r="D31" s="7">
        <v>430</v>
      </c>
      <c r="E31" s="7">
        <v>295032</v>
      </c>
      <c r="F31" s="8">
        <v>7.86</v>
      </c>
      <c r="G31" s="7">
        <v>26067</v>
      </c>
      <c r="H31" s="9">
        <f t="shared" si="0"/>
        <v>961</v>
      </c>
      <c r="K31" s="11">
        <v>45628</v>
      </c>
      <c r="L31" s="9">
        <v>1706</v>
      </c>
      <c r="M31" s="9">
        <v>1625</v>
      </c>
      <c r="N31" s="9">
        <v>1173</v>
      </c>
      <c r="O31" s="9">
        <v>291</v>
      </c>
      <c r="P31" s="9">
        <v>4795</v>
      </c>
    </row>
    <row r="32" spans="1:71" x14ac:dyDescent="0.3">
      <c r="A32" s="5">
        <v>45495</v>
      </c>
      <c r="B32" s="6" t="s">
        <v>9</v>
      </c>
      <c r="C32" s="7">
        <v>1701</v>
      </c>
      <c r="D32" s="7">
        <v>385</v>
      </c>
      <c r="E32" s="7">
        <v>198278</v>
      </c>
      <c r="F32" s="8">
        <v>5.34</v>
      </c>
      <c r="G32" s="7">
        <v>32763</v>
      </c>
      <c r="H32" s="9">
        <f t="shared" si="0"/>
        <v>1316</v>
      </c>
      <c r="K32" s="11">
        <v>45635</v>
      </c>
      <c r="L32" s="9">
        <v>1373</v>
      </c>
      <c r="M32" s="9">
        <v>1119</v>
      </c>
      <c r="N32" s="9">
        <v>1727</v>
      </c>
      <c r="O32" s="9">
        <v>573</v>
      </c>
      <c r="P32" s="9">
        <v>4792</v>
      </c>
    </row>
    <row r="33" spans="1:16" x14ac:dyDescent="0.3">
      <c r="A33" s="5">
        <v>45495</v>
      </c>
      <c r="B33" s="6" t="s">
        <v>10</v>
      </c>
      <c r="C33" s="7">
        <v>804</v>
      </c>
      <c r="D33" s="7">
        <v>487</v>
      </c>
      <c r="E33" s="7">
        <v>306564</v>
      </c>
      <c r="F33" s="8">
        <v>5.52</v>
      </c>
      <c r="G33" s="7">
        <v>26452</v>
      </c>
      <c r="H33" s="9">
        <f t="shared" si="0"/>
        <v>317</v>
      </c>
      <c r="K33" s="11">
        <v>45642</v>
      </c>
      <c r="L33" s="9">
        <v>1377</v>
      </c>
      <c r="M33" s="9">
        <v>1432</v>
      </c>
      <c r="N33" s="9">
        <v>1359</v>
      </c>
      <c r="O33" s="9">
        <v>876</v>
      </c>
      <c r="P33" s="9">
        <v>5044</v>
      </c>
    </row>
    <row r="34" spans="1:16" x14ac:dyDescent="0.3">
      <c r="A34" s="5">
        <v>45502</v>
      </c>
      <c r="B34" s="6" t="s">
        <v>7</v>
      </c>
      <c r="C34" s="7">
        <v>653</v>
      </c>
      <c r="D34" s="7">
        <v>112</v>
      </c>
      <c r="E34" s="7">
        <v>23664</v>
      </c>
      <c r="F34" s="8">
        <v>4.05</v>
      </c>
      <c r="G34" s="7">
        <v>15353</v>
      </c>
      <c r="H34" s="9">
        <f t="shared" si="0"/>
        <v>541</v>
      </c>
      <c r="K34" s="11">
        <v>45649</v>
      </c>
      <c r="L34" s="9">
        <v>730</v>
      </c>
      <c r="M34" s="9">
        <v>684</v>
      </c>
      <c r="N34" s="9">
        <v>911</v>
      </c>
      <c r="O34" s="9">
        <v>1589</v>
      </c>
      <c r="P34" s="9">
        <v>3914</v>
      </c>
    </row>
    <row r="35" spans="1:16" x14ac:dyDescent="0.3">
      <c r="A35" s="5">
        <v>45502</v>
      </c>
      <c r="B35" s="6" t="s">
        <v>8</v>
      </c>
      <c r="C35" s="7">
        <v>160</v>
      </c>
      <c r="D35" s="7">
        <v>478</v>
      </c>
      <c r="E35" s="7">
        <v>435034</v>
      </c>
      <c r="F35" s="8">
        <v>7.73</v>
      </c>
      <c r="G35" s="7">
        <v>4839</v>
      </c>
      <c r="H35" s="9">
        <f t="shared" si="0"/>
        <v>-318</v>
      </c>
      <c r="K35" s="12">
        <v>45656</v>
      </c>
      <c r="L35" s="13">
        <v>1776</v>
      </c>
      <c r="M35" s="13">
        <v>1765</v>
      </c>
      <c r="N35" s="13">
        <v>1529</v>
      </c>
      <c r="O35" s="13">
        <v>1460</v>
      </c>
      <c r="P35" s="13">
        <v>6530</v>
      </c>
    </row>
    <row r="36" spans="1:16" x14ac:dyDescent="0.3">
      <c r="A36" s="5">
        <v>45502</v>
      </c>
      <c r="B36" s="6" t="s">
        <v>9</v>
      </c>
      <c r="C36" s="7">
        <v>1756</v>
      </c>
      <c r="D36" s="7">
        <v>261</v>
      </c>
      <c r="E36" s="7">
        <v>287574</v>
      </c>
      <c r="F36" s="8">
        <v>4.3600000000000003</v>
      </c>
      <c r="G36" s="7">
        <v>39272</v>
      </c>
      <c r="H36" s="9">
        <f t="shared" si="0"/>
        <v>1495</v>
      </c>
      <c r="K36" s="11">
        <v>45663</v>
      </c>
      <c r="L36" s="9">
        <v>620</v>
      </c>
      <c r="M36" s="9">
        <v>903</v>
      </c>
      <c r="N36" s="9">
        <v>1188</v>
      </c>
      <c r="O36" s="9">
        <v>846</v>
      </c>
      <c r="P36" s="9">
        <v>3557</v>
      </c>
    </row>
    <row r="37" spans="1:16" x14ac:dyDescent="0.3">
      <c r="A37" s="5">
        <v>45502</v>
      </c>
      <c r="B37" s="6" t="s">
        <v>10</v>
      </c>
      <c r="C37" s="7">
        <v>576</v>
      </c>
      <c r="D37" s="7">
        <v>101</v>
      </c>
      <c r="E37" s="7">
        <v>62499</v>
      </c>
      <c r="F37" s="8">
        <v>3.48</v>
      </c>
      <c r="G37" s="7">
        <v>16804</v>
      </c>
      <c r="H37" s="9">
        <f t="shared" si="0"/>
        <v>475</v>
      </c>
      <c r="K37" s="11">
        <v>45670</v>
      </c>
      <c r="L37" s="9">
        <v>298</v>
      </c>
      <c r="M37" s="9">
        <v>1722</v>
      </c>
      <c r="N37" s="9">
        <v>-144</v>
      </c>
      <c r="O37" s="9">
        <v>901</v>
      </c>
      <c r="P37" s="9">
        <v>2777</v>
      </c>
    </row>
    <row r="38" spans="1:16" x14ac:dyDescent="0.3">
      <c r="A38" s="5">
        <v>45509</v>
      </c>
      <c r="B38" s="6" t="s">
        <v>7</v>
      </c>
      <c r="C38" s="7">
        <v>645</v>
      </c>
      <c r="D38" s="7">
        <v>293</v>
      </c>
      <c r="E38" s="7">
        <v>437968</v>
      </c>
      <c r="F38" s="8">
        <v>7.83</v>
      </c>
      <c r="G38" s="7">
        <v>49303</v>
      </c>
      <c r="H38" s="9">
        <f t="shared" si="0"/>
        <v>352</v>
      </c>
      <c r="K38" s="11">
        <v>45677</v>
      </c>
      <c r="L38" s="9">
        <v>427</v>
      </c>
      <c r="M38" s="9">
        <v>1572</v>
      </c>
      <c r="N38" s="9">
        <v>891</v>
      </c>
      <c r="O38" s="9">
        <v>724</v>
      </c>
      <c r="P38" s="9">
        <v>3614</v>
      </c>
    </row>
    <row r="39" spans="1:16" x14ac:dyDescent="0.3">
      <c r="A39" s="5">
        <v>45509</v>
      </c>
      <c r="B39" s="6" t="s">
        <v>8</v>
      </c>
      <c r="C39" s="7">
        <v>214</v>
      </c>
      <c r="D39" s="7">
        <v>411</v>
      </c>
      <c r="E39" s="7">
        <v>125034</v>
      </c>
      <c r="F39" s="8">
        <v>6.11</v>
      </c>
      <c r="G39" s="7">
        <v>26455</v>
      </c>
      <c r="H39" s="9">
        <f t="shared" si="0"/>
        <v>-197</v>
      </c>
      <c r="K39" s="11">
        <v>45684</v>
      </c>
      <c r="L39" s="9">
        <v>898</v>
      </c>
      <c r="M39" s="9">
        <v>-166</v>
      </c>
      <c r="N39" s="9">
        <v>1426</v>
      </c>
      <c r="O39" s="9">
        <v>1225</v>
      </c>
      <c r="P39" s="9">
        <v>3383</v>
      </c>
    </row>
    <row r="40" spans="1:16" x14ac:dyDescent="0.3">
      <c r="A40" s="5">
        <v>45509</v>
      </c>
      <c r="B40" s="6" t="s">
        <v>9</v>
      </c>
      <c r="C40" s="7">
        <v>826</v>
      </c>
      <c r="D40" s="7">
        <v>498</v>
      </c>
      <c r="E40" s="7">
        <v>449994</v>
      </c>
      <c r="F40" s="8">
        <v>9.43</v>
      </c>
      <c r="G40" s="7">
        <v>12384</v>
      </c>
      <c r="H40" s="9">
        <f t="shared" si="0"/>
        <v>328</v>
      </c>
      <c r="K40" s="11">
        <v>45691</v>
      </c>
      <c r="L40" s="9">
        <v>748</v>
      </c>
      <c r="M40" s="9">
        <v>1080</v>
      </c>
      <c r="N40" s="9">
        <v>569</v>
      </c>
      <c r="O40" s="9">
        <v>-203</v>
      </c>
      <c r="P40" s="9">
        <v>2194</v>
      </c>
    </row>
    <row r="41" spans="1:16" x14ac:dyDescent="0.3">
      <c r="A41" s="5">
        <v>45509</v>
      </c>
      <c r="B41" s="6" t="s">
        <v>10</v>
      </c>
      <c r="C41" s="7">
        <v>460</v>
      </c>
      <c r="D41" s="7">
        <v>141</v>
      </c>
      <c r="E41" s="7">
        <v>320650</v>
      </c>
      <c r="F41" s="8">
        <v>4.04</v>
      </c>
      <c r="G41" s="7">
        <v>49372</v>
      </c>
      <c r="H41" s="9">
        <f t="shared" si="0"/>
        <v>319</v>
      </c>
      <c r="K41" s="11">
        <v>45698</v>
      </c>
      <c r="L41" s="9">
        <v>912</v>
      </c>
      <c r="M41" s="9">
        <v>1723</v>
      </c>
      <c r="N41" s="9">
        <v>1202</v>
      </c>
      <c r="O41" s="9">
        <v>1444</v>
      </c>
      <c r="P41" s="9">
        <v>5281</v>
      </c>
    </row>
    <row r="42" spans="1:16" x14ac:dyDescent="0.3">
      <c r="A42" s="5">
        <v>45516</v>
      </c>
      <c r="B42" s="6" t="s">
        <v>7</v>
      </c>
      <c r="C42" s="7">
        <v>1528</v>
      </c>
      <c r="D42" s="7">
        <v>203</v>
      </c>
      <c r="E42" s="7">
        <v>489188</v>
      </c>
      <c r="F42" s="8">
        <v>6.23</v>
      </c>
      <c r="G42" s="7">
        <v>47101</v>
      </c>
      <c r="H42" s="9">
        <f t="shared" si="0"/>
        <v>1325</v>
      </c>
      <c r="K42" s="11">
        <v>45705</v>
      </c>
      <c r="L42" s="9">
        <v>1590</v>
      </c>
      <c r="M42" s="9">
        <v>965</v>
      </c>
      <c r="N42" s="9">
        <v>-37</v>
      </c>
      <c r="O42" s="9">
        <v>1175</v>
      </c>
      <c r="P42" s="9">
        <v>3693</v>
      </c>
    </row>
    <row r="43" spans="1:16" x14ac:dyDescent="0.3">
      <c r="A43" s="5">
        <v>45516</v>
      </c>
      <c r="B43" s="6" t="s">
        <v>8</v>
      </c>
      <c r="C43" s="7">
        <v>1534</v>
      </c>
      <c r="D43" s="7">
        <v>200</v>
      </c>
      <c r="E43" s="7">
        <v>307612</v>
      </c>
      <c r="F43" s="8">
        <v>6.01</v>
      </c>
      <c r="G43" s="7">
        <v>37903</v>
      </c>
      <c r="H43" s="9">
        <f t="shared" si="0"/>
        <v>1334</v>
      </c>
      <c r="K43" s="11">
        <v>45712</v>
      </c>
      <c r="L43" s="9">
        <v>1707</v>
      </c>
      <c r="M43" s="9">
        <v>1375</v>
      </c>
      <c r="N43" s="9">
        <v>708</v>
      </c>
      <c r="O43" s="9">
        <v>1016</v>
      </c>
      <c r="P43" s="9">
        <v>4806</v>
      </c>
    </row>
    <row r="44" spans="1:16" x14ac:dyDescent="0.3">
      <c r="A44" s="5">
        <v>45516</v>
      </c>
      <c r="B44" s="6" t="s">
        <v>9</v>
      </c>
      <c r="C44" s="7">
        <v>485</v>
      </c>
      <c r="D44" s="7">
        <v>448</v>
      </c>
      <c r="E44" s="7">
        <v>434883</v>
      </c>
      <c r="F44" s="8">
        <v>8.5500000000000007</v>
      </c>
      <c r="G44" s="7">
        <v>33258</v>
      </c>
      <c r="H44" s="9">
        <f t="shared" si="0"/>
        <v>37</v>
      </c>
      <c r="K44" s="11">
        <v>45719</v>
      </c>
      <c r="L44" s="9">
        <v>-119</v>
      </c>
      <c r="M44" s="9">
        <v>1315</v>
      </c>
      <c r="N44" s="9">
        <v>899</v>
      </c>
      <c r="O44" s="9">
        <v>315</v>
      </c>
      <c r="P44" s="9">
        <v>2410</v>
      </c>
    </row>
    <row r="45" spans="1:16" x14ac:dyDescent="0.3">
      <c r="A45" s="5">
        <v>45516</v>
      </c>
      <c r="B45" s="6" t="s">
        <v>10</v>
      </c>
      <c r="C45" s="7">
        <v>1210</v>
      </c>
      <c r="D45" s="7">
        <v>178</v>
      </c>
      <c r="E45" s="7">
        <v>102042</v>
      </c>
      <c r="F45" s="8">
        <v>5.42</v>
      </c>
      <c r="G45" s="7">
        <v>6915</v>
      </c>
      <c r="H45" s="9">
        <f t="shared" si="0"/>
        <v>1032</v>
      </c>
      <c r="K45" s="11">
        <v>45726</v>
      </c>
      <c r="L45" s="9">
        <v>908</v>
      </c>
      <c r="M45" s="9">
        <v>212</v>
      </c>
      <c r="N45" s="9">
        <v>1350</v>
      </c>
      <c r="O45" s="9">
        <v>1242</v>
      </c>
      <c r="P45" s="9">
        <v>3712</v>
      </c>
    </row>
    <row r="46" spans="1:16" x14ac:dyDescent="0.3">
      <c r="A46" s="5">
        <v>45523</v>
      </c>
      <c r="B46" s="6" t="s">
        <v>7</v>
      </c>
      <c r="C46" s="7">
        <v>215</v>
      </c>
      <c r="D46" s="7">
        <v>139</v>
      </c>
      <c r="E46" s="7">
        <v>325444</v>
      </c>
      <c r="F46" s="8">
        <v>3.25</v>
      </c>
      <c r="G46" s="7">
        <v>35501</v>
      </c>
      <c r="H46" s="9">
        <f t="shared" si="0"/>
        <v>76</v>
      </c>
      <c r="K46" s="11">
        <v>45733</v>
      </c>
      <c r="L46" s="9">
        <v>1116</v>
      </c>
      <c r="M46" s="9">
        <v>680</v>
      </c>
      <c r="N46" s="9">
        <v>861</v>
      </c>
      <c r="O46" s="9">
        <v>1385</v>
      </c>
      <c r="P46" s="9">
        <v>4042</v>
      </c>
    </row>
    <row r="47" spans="1:16" x14ac:dyDescent="0.3">
      <c r="A47" s="5">
        <v>45523</v>
      </c>
      <c r="B47" s="6" t="s">
        <v>8</v>
      </c>
      <c r="C47" s="7">
        <v>1078</v>
      </c>
      <c r="D47" s="7">
        <v>20</v>
      </c>
      <c r="E47" s="7">
        <v>183924</v>
      </c>
      <c r="F47" s="8">
        <v>8.84</v>
      </c>
      <c r="G47" s="7">
        <v>14203</v>
      </c>
      <c r="H47" s="9">
        <f t="shared" si="0"/>
        <v>1058</v>
      </c>
      <c r="K47" s="11">
        <v>45740</v>
      </c>
      <c r="L47" s="9">
        <v>474</v>
      </c>
      <c r="M47" s="9">
        <v>461</v>
      </c>
      <c r="N47" s="9">
        <v>292</v>
      </c>
      <c r="O47" s="9">
        <v>389</v>
      </c>
      <c r="P47" s="9">
        <v>1616</v>
      </c>
    </row>
    <row r="48" spans="1:16" x14ac:dyDescent="0.3">
      <c r="A48" s="5">
        <v>45523</v>
      </c>
      <c r="B48" s="6" t="s">
        <v>9</v>
      </c>
      <c r="C48" s="7">
        <v>1751</v>
      </c>
      <c r="D48" s="7">
        <v>86</v>
      </c>
      <c r="E48" s="7">
        <v>188655</v>
      </c>
      <c r="F48" s="8">
        <v>7.24</v>
      </c>
      <c r="G48" s="7">
        <v>22206</v>
      </c>
      <c r="H48" s="9">
        <f t="shared" si="0"/>
        <v>1665</v>
      </c>
      <c r="K48" s="11">
        <v>45747</v>
      </c>
      <c r="L48" s="9">
        <v>514</v>
      </c>
      <c r="M48" s="9">
        <v>641</v>
      </c>
      <c r="N48" s="9">
        <v>1676</v>
      </c>
      <c r="O48" s="9">
        <v>1467</v>
      </c>
      <c r="P48" s="9">
        <v>4298</v>
      </c>
    </row>
    <row r="49" spans="1:16" x14ac:dyDescent="0.3">
      <c r="A49" s="5">
        <v>45523</v>
      </c>
      <c r="B49" s="6" t="s">
        <v>10</v>
      </c>
      <c r="C49" s="7">
        <v>221</v>
      </c>
      <c r="D49" s="7">
        <v>31</v>
      </c>
      <c r="E49" s="7">
        <v>87443</v>
      </c>
      <c r="F49" s="8">
        <v>6.19</v>
      </c>
      <c r="G49" s="7">
        <v>10283</v>
      </c>
      <c r="H49" s="9">
        <f t="shared" si="0"/>
        <v>190</v>
      </c>
      <c r="K49" s="11">
        <v>45754</v>
      </c>
      <c r="L49" s="9">
        <v>1029</v>
      </c>
      <c r="M49" s="9">
        <v>167</v>
      </c>
      <c r="N49" s="9">
        <v>1007</v>
      </c>
      <c r="O49" s="9">
        <v>209</v>
      </c>
      <c r="P49" s="9">
        <v>2412</v>
      </c>
    </row>
    <row r="50" spans="1:16" x14ac:dyDescent="0.3">
      <c r="A50" s="5">
        <v>45530</v>
      </c>
      <c r="B50" s="6" t="s">
        <v>7</v>
      </c>
      <c r="C50" s="7">
        <v>1685</v>
      </c>
      <c r="D50" s="7">
        <v>76</v>
      </c>
      <c r="E50" s="7">
        <v>453799</v>
      </c>
      <c r="F50" s="8">
        <v>5.71</v>
      </c>
      <c r="G50" s="7">
        <v>24913</v>
      </c>
      <c r="H50" s="9">
        <f t="shared" si="0"/>
        <v>1609</v>
      </c>
      <c r="K50" s="11">
        <v>45761</v>
      </c>
      <c r="L50" s="9">
        <v>-175</v>
      </c>
      <c r="M50" s="9">
        <v>-160</v>
      </c>
      <c r="N50" s="9">
        <v>53</v>
      </c>
      <c r="O50" s="9">
        <v>145</v>
      </c>
      <c r="P50" s="9">
        <v>-137</v>
      </c>
    </row>
    <row r="51" spans="1:16" x14ac:dyDescent="0.3">
      <c r="A51" s="5">
        <v>45530</v>
      </c>
      <c r="B51" s="6" t="s">
        <v>8</v>
      </c>
      <c r="C51" s="7">
        <v>248</v>
      </c>
      <c r="D51" s="7">
        <v>211</v>
      </c>
      <c r="E51" s="7">
        <v>379380</v>
      </c>
      <c r="F51" s="8">
        <v>9.0399999999999991</v>
      </c>
      <c r="G51" s="7">
        <v>26925</v>
      </c>
      <c r="H51" s="9">
        <f t="shared" si="0"/>
        <v>37</v>
      </c>
      <c r="K51" s="11">
        <v>45768</v>
      </c>
      <c r="L51" s="9">
        <v>1045</v>
      </c>
      <c r="M51" s="9">
        <v>603</v>
      </c>
      <c r="N51" s="9">
        <v>759</v>
      </c>
      <c r="O51" s="9">
        <v>1633</v>
      </c>
      <c r="P51" s="9">
        <v>4040</v>
      </c>
    </row>
    <row r="52" spans="1:16" x14ac:dyDescent="0.3">
      <c r="A52" s="5">
        <v>45530</v>
      </c>
      <c r="B52" s="6" t="s">
        <v>9</v>
      </c>
      <c r="C52" s="7">
        <v>1300</v>
      </c>
      <c r="D52" s="7">
        <v>71</v>
      </c>
      <c r="E52" s="7">
        <v>186454</v>
      </c>
      <c r="F52" s="8">
        <v>3.91</v>
      </c>
      <c r="G52" s="7">
        <v>9942</v>
      </c>
      <c r="H52" s="9">
        <f t="shared" si="0"/>
        <v>1229</v>
      </c>
      <c r="K52" s="11">
        <v>45775</v>
      </c>
      <c r="L52" s="9">
        <v>453</v>
      </c>
      <c r="M52" s="9">
        <v>1539</v>
      </c>
      <c r="N52" s="9">
        <v>948</v>
      </c>
      <c r="O52" s="9">
        <v>637</v>
      </c>
      <c r="P52" s="9">
        <v>3577</v>
      </c>
    </row>
    <row r="53" spans="1:16" x14ac:dyDescent="0.3">
      <c r="A53" s="5">
        <v>45530</v>
      </c>
      <c r="B53" s="6" t="s">
        <v>10</v>
      </c>
      <c r="C53" s="7">
        <v>422</v>
      </c>
      <c r="D53" s="7">
        <v>394</v>
      </c>
      <c r="E53" s="7">
        <v>239044</v>
      </c>
      <c r="F53" s="8">
        <v>7.83</v>
      </c>
      <c r="G53" s="7">
        <v>32929</v>
      </c>
      <c r="H53" s="9">
        <f t="shared" si="0"/>
        <v>28</v>
      </c>
      <c r="K53" s="11">
        <v>45782</v>
      </c>
      <c r="L53" s="9">
        <v>339</v>
      </c>
      <c r="M53" s="9">
        <v>1881</v>
      </c>
      <c r="N53" s="9">
        <v>1510</v>
      </c>
      <c r="O53" s="9">
        <v>864</v>
      </c>
      <c r="P53" s="9">
        <v>4594</v>
      </c>
    </row>
    <row r="54" spans="1:16" x14ac:dyDescent="0.3">
      <c r="A54" s="5">
        <v>45537</v>
      </c>
      <c r="B54" s="6" t="s">
        <v>7</v>
      </c>
      <c r="C54" s="7">
        <v>1429</v>
      </c>
      <c r="D54" s="7">
        <v>182</v>
      </c>
      <c r="E54" s="7">
        <v>101332</v>
      </c>
      <c r="F54" s="8">
        <v>7.16</v>
      </c>
      <c r="G54" s="7">
        <v>37829</v>
      </c>
      <c r="H54" s="9">
        <f t="shared" si="0"/>
        <v>1247</v>
      </c>
      <c r="K54" s="11">
        <v>45789</v>
      </c>
      <c r="L54" s="9">
        <v>407</v>
      </c>
      <c r="M54" s="9">
        <v>1656</v>
      </c>
      <c r="N54" s="9">
        <v>269</v>
      </c>
      <c r="O54" s="9">
        <v>-337</v>
      </c>
      <c r="P54" s="9">
        <v>1995</v>
      </c>
    </row>
    <row r="55" spans="1:16" x14ac:dyDescent="0.3">
      <c r="A55" s="5">
        <v>45537</v>
      </c>
      <c r="B55" s="6" t="s">
        <v>8</v>
      </c>
      <c r="C55" s="7">
        <v>1520</v>
      </c>
      <c r="D55" s="7">
        <v>475</v>
      </c>
      <c r="E55" s="7">
        <v>496982</v>
      </c>
      <c r="F55" s="8">
        <v>6.41</v>
      </c>
      <c r="G55" s="7">
        <v>24384</v>
      </c>
      <c r="H55" s="9">
        <f t="shared" si="0"/>
        <v>1045</v>
      </c>
      <c r="K55" s="11" t="s">
        <v>13</v>
      </c>
      <c r="L55" s="9">
        <v>35557</v>
      </c>
      <c r="M55" s="9">
        <v>48004</v>
      </c>
      <c r="N55" s="9">
        <v>41177</v>
      </c>
      <c r="O55" s="9">
        <v>35367</v>
      </c>
      <c r="P55" s="9">
        <v>160105</v>
      </c>
    </row>
    <row r="56" spans="1:16" x14ac:dyDescent="0.3">
      <c r="A56" s="5">
        <v>45537</v>
      </c>
      <c r="B56" s="6" t="s">
        <v>9</v>
      </c>
      <c r="C56" s="7">
        <v>557</v>
      </c>
      <c r="D56" s="7">
        <v>360</v>
      </c>
      <c r="E56" s="7">
        <v>318779</v>
      </c>
      <c r="F56" s="8">
        <v>8.02</v>
      </c>
      <c r="G56" s="7">
        <v>25797</v>
      </c>
      <c r="H56" s="9">
        <f t="shared" si="0"/>
        <v>197</v>
      </c>
    </row>
    <row r="57" spans="1:16" x14ac:dyDescent="0.3">
      <c r="A57" s="5">
        <v>45537</v>
      </c>
      <c r="B57" s="6" t="s">
        <v>10</v>
      </c>
      <c r="C57" s="7">
        <v>728</v>
      </c>
      <c r="D57" s="7">
        <v>395</v>
      </c>
      <c r="E57" s="7">
        <v>370971</v>
      </c>
      <c r="F57" s="8">
        <v>3.86</v>
      </c>
      <c r="G57" s="7">
        <v>12646</v>
      </c>
      <c r="H57" s="9">
        <f t="shared" si="0"/>
        <v>333</v>
      </c>
    </row>
    <row r="58" spans="1:16" x14ac:dyDescent="0.3">
      <c r="A58" s="5">
        <v>45544</v>
      </c>
      <c r="B58" s="6" t="s">
        <v>7</v>
      </c>
      <c r="C58" s="7">
        <v>1592</v>
      </c>
      <c r="D58" s="7">
        <v>20</v>
      </c>
      <c r="E58" s="7">
        <v>378054</v>
      </c>
      <c r="F58" s="8">
        <v>9.09</v>
      </c>
      <c r="G58" s="7">
        <v>26663</v>
      </c>
      <c r="H58" s="9">
        <f t="shared" si="0"/>
        <v>1572</v>
      </c>
    </row>
    <row r="59" spans="1:16" x14ac:dyDescent="0.3">
      <c r="A59" s="5">
        <v>45544</v>
      </c>
      <c r="B59" s="6" t="s">
        <v>8</v>
      </c>
      <c r="C59" s="7">
        <v>1842</v>
      </c>
      <c r="D59" s="7">
        <v>414</v>
      </c>
      <c r="E59" s="7">
        <v>307524</v>
      </c>
      <c r="F59" s="8">
        <v>1.76</v>
      </c>
      <c r="G59" s="7">
        <v>40478</v>
      </c>
      <c r="H59" s="9">
        <f t="shared" si="0"/>
        <v>1428</v>
      </c>
    </row>
    <row r="60" spans="1:16" x14ac:dyDescent="0.3">
      <c r="A60" s="5">
        <v>45544</v>
      </c>
      <c r="B60" s="6" t="s">
        <v>9</v>
      </c>
      <c r="C60" s="7">
        <v>751</v>
      </c>
      <c r="D60" s="7">
        <v>491</v>
      </c>
      <c r="E60" s="7">
        <v>434047</v>
      </c>
      <c r="F60" s="8">
        <v>9.24</v>
      </c>
      <c r="G60" s="7">
        <v>15476</v>
      </c>
      <c r="H60" s="9">
        <f t="shared" si="0"/>
        <v>260</v>
      </c>
    </row>
    <row r="61" spans="1:16" x14ac:dyDescent="0.3">
      <c r="A61" s="5">
        <v>45544</v>
      </c>
      <c r="B61" s="6" t="s">
        <v>10</v>
      </c>
      <c r="C61" s="7">
        <v>1409</v>
      </c>
      <c r="D61" s="7">
        <v>309</v>
      </c>
      <c r="E61" s="7">
        <v>64583</v>
      </c>
      <c r="F61" s="8">
        <v>8.99</v>
      </c>
      <c r="G61" s="7">
        <v>10217</v>
      </c>
      <c r="H61" s="9">
        <f t="shared" si="0"/>
        <v>1100</v>
      </c>
    </row>
    <row r="62" spans="1:16" x14ac:dyDescent="0.3">
      <c r="A62" s="5">
        <v>45551</v>
      </c>
      <c r="B62" s="6" t="s">
        <v>7</v>
      </c>
      <c r="C62" s="7">
        <v>778</v>
      </c>
      <c r="D62" s="7">
        <v>401</v>
      </c>
      <c r="E62" s="7">
        <v>50793</v>
      </c>
      <c r="F62" s="8">
        <v>3.4</v>
      </c>
      <c r="G62" s="7">
        <v>21939</v>
      </c>
      <c r="H62" s="9">
        <f t="shared" si="0"/>
        <v>377</v>
      </c>
    </row>
    <row r="63" spans="1:16" x14ac:dyDescent="0.3">
      <c r="A63" s="5">
        <v>45551</v>
      </c>
      <c r="B63" s="6" t="s">
        <v>8</v>
      </c>
      <c r="C63" s="7">
        <v>443</v>
      </c>
      <c r="D63" s="7">
        <v>345</v>
      </c>
      <c r="E63" s="7">
        <v>474162</v>
      </c>
      <c r="F63" s="8">
        <v>9.1999999999999993</v>
      </c>
      <c r="G63" s="7">
        <v>47462</v>
      </c>
      <c r="H63" s="9">
        <f t="shared" si="0"/>
        <v>98</v>
      </c>
    </row>
    <row r="64" spans="1:16" x14ac:dyDescent="0.3">
      <c r="A64" s="5">
        <v>45551</v>
      </c>
      <c r="B64" s="6" t="s">
        <v>9</v>
      </c>
      <c r="C64" s="7">
        <v>1472</v>
      </c>
      <c r="D64" s="7">
        <v>347</v>
      </c>
      <c r="E64" s="7">
        <v>392355</v>
      </c>
      <c r="F64" s="8">
        <v>8.59</v>
      </c>
      <c r="G64" s="7">
        <v>30270</v>
      </c>
      <c r="H64" s="9">
        <f t="shared" si="0"/>
        <v>1125</v>
      </c>
    </row>
    <row r="65" spans="1:8" x14ac:dyDescent="0.3">
      <c r="A65" s="5">
        <v>45551</v>
      </c>
      <c r="B65" s="6" t="s">
        <v>10</v>
      </c>
      <c r="C65" s="7">
        <v>123</v>
      </c>
      <c r="D65" s="7">
        <v>155</v>
      </c>
      <c r="E65" s="7">
        <v>119934</v>
      </c>
      <c r="F65" s="8">
        <v>3.5</v>
      </c>
      <c r="G65" s="7">
        <v>5442</v>
      </c>
      <c r="H65" s="9">
        <f t="shared" si="0"/>
        <v>-32</v>
      </c>
    </row>
    <row r="66" spans="1:8" x14ac:dyDescent="0.3">
      <c r="A66" s="5">
        <v>45558</v>
      </c>
      <c r="B66" s="6" t="s">
        <v>7</v>
      </c>
      <c r="C66" s="7">
        <v>817</v>
      </c>
      <c r="D66" s="7">
        <v>151</v>
      </c>
      <c r="E66" s="7">
        <v>422625</v>
      </c>
      <c r="F66" s="8">
        <v>2.36</v>
      </c>
      <c r="G66" s="7">
        <v>1083</v>
      </c>
      <c r="H66" s="9">
        <f t="shared" si="0"/>
        <v>666</v>
      </c>
    </row>
    <row r="67" spans="1:8" x14ac:dyDescent="0.3">
      <c r="A67" s="5">
        <v>45558</v>
      </c>
      <c r="B67" s="6" t="s">
        <v>8</v>
      </c>
      <c r="C67" s="7">
        <v>198</v>
      </c>
      <c r="D67" s="7">
        <v>217</v>
      </c>
      <c r="E67" s="7">
        <v>239753</v>
      </c>
      <c r="F67" s="8">
        <v>7.36</v>
      </c>
      <c r="G67" s="7">
        <v>11901</v>
      </c>
      <c r="H67" s="9">
        <f t="shared" ref="H67:H130" si="1">C67-D67</f>
        <v>-19</v>
      </c>
    </row>
    <row r="68" spans="1:8" x14ac:dyDescent="0.3">
      <c r="A68" s="5">
        <v>45558</v>
      </c>
      <c r="B68" s="6" t="s">
        <v>9</v>
      </c>
      <c r="C68" s="7">
        <v>1911</v>
      </c>
      <c r="D68" s="7">
        <v>231</v>
      </c>
      <c r="E68" s="7">
        <v>268516</v>
      </c>
      <c r="F68" s="8">
        <v>8.5500000000000007</v>
      </c>
      <c r="G68" s="7">
        <v>24018</v>
      </c>
      <c r="H68" s="9">
        <f t="shared" si="1"/>
        <v>1680</v>
      </c>
    </row>
    <row r="69" spans="1:8" x14ac:dyDescent="0.3">
      <c r="A69" s="5">
        <v>45558</v>
      </c>
      <c r="B69" s="6" t="s">
        <v>10</v>
      </c>
      <c r="C69" s="7">
        <v>1218</v>
      </c>
      <c r="D69" s="7">
        <v>212</v>
      </c>
      <c r="E69" s="7">
        <v>63177</v>
      </c>
      <c r="F69" s="8">
        <v>8.1300000000000008</v>
      </c>
      <c r="G69" s="7">
        <v>38883</v>
      </c>
      <c r="H69" s="9">
        <f t="shared" si="1"/>
        <v>1006</v>
      </c>
    </row>
    <row r="70" spans="1:8" x14ac:dyDescent="0.3">
      <c r="A70" s="5">
        <v>45565</v>
      </c>
      <c r="B70" s="6" t="s">
        <v>7</v>
      </c>
      <c r="C70" s="7">
        <v>1433</v>
      </c>
      <c r="D70" s="7">
        <v>408</v>
      </c>
      <c r="E70" s="7">
        <v>370269</v>
      </c>
      <c r="F70" s="8">
        <v>3.3</v>
      </c>
      <c r="G70" s="7">
        <v>30575</v>
      </c>
      <c r="H70" s="9">
        <f t="shared" si="1"/>
        <v>1025</v>
      </c>
    </row>
    <row r="71" spans="1:8" x14ac:dyDescent="0.3">
      <c r="A71" s="5">
        <v>45565</v>
      </c>
      <c r="B71" s="6" t="s">
        <v>8</v>
      </c>
      <c r="C71" s="7">
        <v>250</v>
      </c>
      <c r="D71" s="7">
        <v>429</v>
      </c>
      <c r="E71" s="7">
        <v>453423</v>
      </c>
      <c r="F71" s="8">
        <v>1.77</v>
      </c>
      <c r="G71" s="7">
        <v>2315</v>
      </c>
      <c r="H71" s="9">
        <f t="shared" si="1"/>
        <v>-179</v>
      </c>
    </row>
    <row r="72" spans="1:8" x14ac:dyDescent="0.3">
      <c r="A72" s="5">
        <v>45565</v>
      </c>
      <c r="B72" s="6" t="s">
        <v>9</v>
      </c>
      <c r="C72" s="7">
        <v>752</v>
      </c>
      <c r="D72" s="7">
        <v>153</v>
      </c>
      <c r="E72" s="7">
        <v>64906</v>
      </c>
      <c r="F72" s="8">
        <v>2.09</v>
      </c>
      <c r="G72" s="7">
        <v>12148</v>
      </c>
      <c r="H72" s="9">
        <f t="shared" si="1"/>
        <v>599</v>
      </c>
    </row>
    <row r="73" spans="1:8" x14ac:dyDescent="0.3">
      <c r="A73" s="5">
        <v>45565</v>
      </c>
      <c r="B73" s="6" t="s">
        <v>10</v>
      </c>
      <c r="C73" s="7">
        <v>1918</v>
      </c>
      <c r="D73" s="7">
        <v>212</v>
      </c>
      <c r="E73" s="7">
        <v>94360</v>
      </c>
      <c r="F73" s="8">
        <v>7.36</v>
      </c>
      <c r="G73" s="7">
        <v>36851</v>
      </c>
      <c r="H73" s="9">
        <f t="shared" si="1"/>
        <v>1706</v>
      </c>
    </row>
    <row r="74" spans="1:8" x14ac:dyDescent="0.3">
      <c r="A74" s="5">
        <v>45572</v>
      </c>
      <c r="B74" s="6" t="s">
        <v>7</v>
      </c>
      <c r="C74" s="7">
        <v>1939</v>
      </c>
      <c r="D74" s="7">
        <v>67</v>
      </c>
      <c r="E74" s="7">
        <v>187183</v>
      </c>
      <c r="F74" s="8">
        <v>6.25</v>
      </c>
      <c r="G74" s="7">
        <v>41215</v>
      </c>
      <c r="H74" s="9">
        <f t="shared" si="1"/>
        <v>1872</v>
      </c>
    </row>
    <row r="75" spans="1:8" x14ac:dyDescent="0.3">
      <c r="A75" s="5">
        <v>45572</v>
      </c>
      <c r="B75" s="6" t="s">
        <v>8</v>
      </c>
      <c r="C75" s="7">
        <v>1929</v>
      </c>
      <c r="D75" s="7">
        <v>267</v>
      </c>
      <c r="E75" s="7">
        <v>379363</v>
      </c>
      <c r="F75" s="8">
        <v>1.75</v>
      </c>
      <c r="G75" s="7">
        <v>43836</v>
      </c>
      <c r="H75" s="9">
        <f t="shared" si="1"/>
        <v>1662</v>
      </c>
    </row>
    <row r="76" spans="1:8" x14ac:dyDescent="0.3">
      <c r="A76" s="5">
        <v>45572</v>
      </c>
      <c r="B76" s="6" t="s">
        <v>9</v>
      </c>
      <c r="C76" s="7">
        <v>437</v>
      </c>
      <c r="D76" s="7">
        <v>330</v>
      </c>
      <c r="E76" s="7">
        <v>476486</v>
      </c>
      <c r="F76" s="8">
        <v>4.97</v>
      </c>
      <c r="G76" s="7">
        <v>4509</v>
      </c>
      <c r="H76" s="9">
        <f t="shared" si="1"/>
        <v>107</v>
      </c>
    </row>
    <row r="77" spans="1:8" x14ac:dyDescent="0.3">
      <c r="A77" s="5">
        <v>45572</v>
      </c>
      <c r="B77" s="6" t="s">
        <v>10</v>
      </c>
      <c r="C77" s="7">
        <v>307</v>
      </c>
      <c r="D77" s="7">
        <v>189</v>
      </c>
      <c r="E77" s="7">
        <v>117767</v>
      </c>
      <c r="F77" s="8">
        <v>9.3000000000000007</v>
      </c>
      <c r="G77" s="7">
        <v>27822</v>
      </c>
      <c r="H77" s="9">
        <f t="shared" si="1"/>
        <v>118</v>
      </c>
    </row>
    <row r="78" spans="1:8" x14ac:dyDescent="0.3">
      <c r="A78" s="5">
        <v>45579</v>
      </c>
      <c r="B78" s="6" t="s">
        <v>7</v>
      </c>
      <c r="C78" s="7">
        <v>1527</v>
      </c>
      <c r="D78" s="7">
        <v>303</v>
      </c>
      <c r="E78" s="7">
        <v>388555</v>
      </c>
      <c r="F78" s="8">
        <v>8.9</v>
      </c>
      <c r="G78" s="7">
        <v>36397</v>
      </c>
      <c r="H78" s="9">
        <f t="shared" si="1"/>
        <v>1224</v>
      </c>
    </row>
    <row r="79" spans="1:8" x14ac:dyDescent="0.3">
      <c r="A79" s="5">
        <v>45579</v>
      </c>
      <c r="B79" s="6" t="s">
        <v>8</v>
      </c>
      <c r="C79" s="7">
        <v>643</v>
      </c>
      <c r="D79" s="7">
        <v>358</v>
      </c>
      <c r="E79" s="7">
        <v>157599</v>
      </c>
      <c r="F79" s="8">
        <v>3.88</v>
      </c>
      <c r="G79" s="7">
        <v>7285</v>
      </c>
      <c r="H79" s="9">
        <f t="shared" si="1"/>
        <v>285</v>
      </c>
    </row>
    <row r="80" spans="1:8" x14ac:dyDescent="0.3">
      <c r="A80" s="5">
        <v>45579</v>
      </c>
      <c r="B80" s="6" t="s">
        <v>9</v>
      </c>
      <c r="C80" s="7">
        <v>201</v>
      </c>
      <c r="D80" s="7">
        <v>221</v>
      </c>
      <c r="E80" s="7">
        <v>309772</v>
      </c>
      <c r="F80" s="8">
        <v>5.9</v>
      </c>
      <c r="G80" s="7">
        <v>33174</v>
      </c>
      <c r="H80" s="9">
        <f t="shared" si="1"/>
        <v>-20</v>
      </c>
    </row>
    <row r="81" spans="1:8" x14ac:dyDescent="0.3">
      <c r="A81" s="5">
        <v>45579</v>
      </c>
      <c r="B81" s="6" t="s">
        <v>10</v>
      </c>
      <c r="C81" s="7">
        <v>414</v>
      </c>
      <c r="D81" s="7">
        <v>47</v>
      </c>
      <c r="E81" s="7">
        <v>199178</v>
      </c>
      <c r="F81" s="8">
        <v>1.53</v>
      </c>
      <c r="G81" s="7">
        <v>6742</v>
      </c>
      <c r="H81" s="9">
        <f t="shared" si="1"/>
        <v>367</v>
      </c>
    </row>
    <row r="82" spans="1:8" x14ac:dyDescent="0.3">
      <c r="A82" s="5">
        <v>45586</v>
      </c>
      <c r="B82" s="6" t="s">
        <v>7</v>
      </c>
      <c r="C82" s="7">
        <v>703</v>
      </c>
      <c r="D82" s="7">
        <v>441</v>
      </c>
      <c r="E82" s="7">
        <v>357089</v>
      </c>
      <c r="F82" s="8">
        <v>6.5</v>
      </c>
      <c r="G82" s="7">
        <v>32478</v>
      </c>
      <c r="H82" s="9">
        <f t="shared" si="1"/>
        <v>262</v>
      </c>
    </row>
    <row r="83" spans="1:8" x14ac:dyDescent="0.3">
      <c r="A83" s="5">
        <v>45586</v>
      </c>
      <c r="B83" s="6" t="s">
        <v>8</v>
      </c>
      <c r="C83" s="7">
        <v>508</v>
      </c>
      <c r="D83" s="7">
        <v>69</v>
      </c>
      <c r="E83" s="7">
        <v>23492</v>
      </c>
      <c r="F83" s="8">
        <v>3.16</v>
      </c>
      <c r="G83" s="7">
        <v>42824</v>
      </c>
      <c r="H83" s="9">
        <f t="shared" si="1"/>
        <v>439</v>
      </c>
    </row>
    <row r="84" spans="1:8" x14ac:dyDescent="0.3">
      <c r="A84" s="5">
        <v>45586</v>
      </c>
      <c r="B84" s="6" t="s">
        <v>9</v>
      </c>
      <c r="C84" s="7">
        <v>697</v>
      </c>
      <c r="D84" s="7">
        <v>61</v>
      </c>
      <c r="E84" s="7">
        <v>258287</v>
      </c>
      <c r="F84" s="8">
        <v>8.25</v>
      </c>
      <c r="G84" s="7">
        <v>21208</v>
      </c>
      <c r="H84" s="9">
        <f t="shared" si="1"/>
        <v>636</v>
      </c>
    </row>
    <row r="85" spans="1:8" x14ac:dyDescent="0.3">
      <c r="A85" s="5">
        <v>45586</v>
      </c>
      <c r="B85" s="6" t="s">
        <v>10</v>
      </c>
      <c r="C85" s="7">
        <v>1707</v>
      </c>
      <c r="D85" s="7">
        <v>223</v>
      </c>
      <c r="E85" s="7">
        <v>256910</v>
      </c>
      <c r="F85" s="8">
        <v>5.41</v>
      </c>
      <c r="G85" s="7">
        <v>44321</v>
      </c>
      <c r="H85" s="9">
        <f t="shared" si="1"/>
        <v>1484</v>
      </c>
    </row>
    <row r="86" spans="1:8" x14ac:dyDescent="0.3">
      <c r="A86" s="5">
        <v>45593</v>
      </c>
      <c r="B86" s="6" t="s">
        <v>7</v>
      </c>
      <c r="C86" s="7">
        <v>642</v>
      </c>
      <c r="D86" s="7">
        <v>66</v>
      </c>
      <c r="E86" s="7">
        <v>346522</v>
      </c>
      <c r="F86" s="8">
        <v>5.85</v>
      </c>
      <c r="G86" s="7">
        <v>13116</v>
      </c>
      <c r="H86" s="9">
        <f t="shared" si="1"/>
        <v>576</v>
      </c>
    </row>
    <row r="87" spans="1:8" x14ac:dyDescent="0.3">
      <c r="A87" s="5">
        <v>45593</v>
      </c>
      <c r="B87" s="6" t="s">
        <v>8</v>
      </c>
      <c r="C87" s="7">
        <v>859</v>
      </c>
      <c r="D87" s="7">
        <v>473</v>
      </c>
      <c r="E87" s="7">
        <v>209987</v>
      </c>
      <c r="F87" s="8">
        <v>4.46</v>
      </c>
      <c r="G87" s="7">
        <v>30214</v>
      </c>
      <c r="H87" s="9">
        <f t="shared" si="1"/>
        <v>386</v>
      </c>
    </row>
    <row r="88" spans="1:8" x14ac:dyDescent="0.3">
      <c r="A88" s="5">
        <v>45593</v>
      </c>
      <c r="B88" s="6" t="s">
        <v>9</v>
      </c>
      <c r="C88" s="7">
        <v>191</v>
      </c>
      <c r="D88" s="7">
        <v>154</v>
      </c>
      <c r="E88" s="7">
        <v>240550</v>
      </c>
      <c r="F88" s="8">
        <v>5.22</v>
      </c>
      <c r="G88" s="7">
        <v>15827</v>
      </c>
      <c r="H88" s="9">
        <f t="shared" si="1"/>
        <v>37</v>
      </c>
    </row>
    <row r="89" spans="1:8" x14ac:dyDescent="0.3">
      <c r="A89" s="5">
        <v>45593</v>
      </c>
      <c r="B89" s="6" t="s">
        <v>10</v>
      </c>
      <c r="C89" s="7">
        <v>1814</v>
      </c>
      <c r="D89" s="7">
        <v>157</v>
      </c>
      <c r="E89" s="7">
        <v>305827</v>
      </c>
      <c r="F89" s="8">
        <v>1.99</v>
      </c>
      <c r="G89" s="7">
        <v>46643</v>
      </c>
      <c r="H89" s="9">
        <f t="shared" si="1"/>
        <v>1657</v>
      </c>
    </row>
    <row r="90" spans="1:8" x14ac:dyDescent="0.3">
      <c r="A90" s="5">
        <v>45600</v>
      </c>
      <c r="B90" s="6" t="s">
        <v>7</v>
      </c>
      <c r="C90" s="7">
        <v>1466</v>
      </c>
      <c r="D90" s="7">
        <v>69</v>
      </c>
      <c r="E90" s="7">
        <v>54935</v>
      </c>
      <c r="F90" s="8">
        <v>6.85</v>
      </c>
      <c r="G90" s="7">
        <v>36484</v>
      </c>
      <c r="H90" s="9">
        <f t="shared" si="1"/>
        <v>1397</v>
      </c>
    </row>
    <row r="91" spans="1:8" x14ac:dyDescent="0.3">
      <c r="A91" s="5">
        <v>45600</v>
      </c>
      <c r="B91" s="6" t="s">
        <v>8</v>
      </c>
      <c r="C91" s="7">
        <v>947</v>
      </c>
      <c r="D91" s="7">
        <v>407</v>
      </c>
      <c r="E91" s="7">
        <v>319186</v>
      </c>
      <c r="F91" s="8">
        <v>3.32</v>
      </c>
      <c r="G91" s="7">
        <v>4996</v>
      </c>
      <c r="H91" s="9">
        <f t="shared" si="1"/>
        <v>540</v>
      </c>
    </row>
    <row r="92" spans="1:8" x14ac:dyDescent="0.3">
      <c r="A92" s="5">
        <v>45600</v>
      </c>
      <c r="B92" s="6" t="s">
        <v>9</v>
      </c>
      <c r="C92" s="7">
        <v>1821</v>
      </c>
      <c r="D92" s="7">
        <v>218</v>
      </c>
      <c r="E92" s="7">
        <v>439080</v>
      </c>
      <c r="F92" s="8">
        <v>5.68</v>
      </c>
      <c r="G92" s="7">
        <v>36095</v>
      </c>
      <c r="H92" s="9">
        <f t="shared" si="1"/>
        <v>1603</v>
      </c>
    </row>
    <row r="93" spans="1:8" x14ac:dyDescent="0.3">
      <c r="A93" s="5">
        <v>45600</v>
      </c>
      <c r="B93" s="6" t="s">
        <v>10</v>
      </c>
      <c r="C93" s="7">
        <v>1507</v>
      </c>
      <c r="D93" s="7">
        <v>463</v>
      </c>
      <c r="E93" s="7">
        <v>258944</v>
      </c>
      <c r="F93" s="8">
        <v>6.08</v>
      </c>
      <c r="G93" s="7">
        <v>16443</v>
      </c>
      <c r="H93" s="9">
        <f t="shared" si="1"/>
        <v>1044</v>
      </c>
    </row>
    <row r="94" spans="1:8" x14ac:dyDescent="0.3">
      <c r="A94" s="5">
        <v>45607</v>
      </c>
      <c r="B94" s="6" t="s">
        <v>7</v>
      </c>
      <c r="C94" s="7">
        <v>1075</v>
      </c>
      <c r="D94" s="7">
        <v>173</v>
      </c>
      <c r="E94" s="7">
        <v>51395</v>
      </c>
      <c r="F94" s="8">
        <v>4.66</v>
      </c>
      <c r="G94" s="7">
        <v>47812</v>
      </c>
      <c r="H94" s="9">
        <f t="shared" si="1"/>
        <v>902</v>
      </c>
    </row>
    <row r="95" spans="1:8" x14ac:dyDescent="0.3">
      <c r="A95" s="5">
        <v>45607</v>
      </c>
      <c r="B95" s="6" t="s">
        <v>8</v>
      </c>
      <c r="C95" s="7">
        <v>171</v>
      </c>
      <c r="D95" s="7">
        <v>277</v>
      </c>
      <c r="E95" s="7">
        <v>309483</v>
      </c>
      <c r="F95" s="8">
        <v>8.6999999999999993</v>
      </c>
      <c r="G95" s="7">
        <v>38452</v>
      </c>
      <c r="H95" s="9">
        <f t="shared" si="1"/>
        <v>-106</v>
      </c>
    </row>
    <row r="96" spans="1:8" x14ac:dyDescent="0.3">
      <c r="A96" s="5">
        <v>45607</v>
      </c>
      <c r="B96" s="6" t="s">
        <v>9</v>
      </c>
      <c r="C96" s="7">
        <v>1487</v>
      </c>
      <c r="D96" s="7">
        <v>337</v>
      </c>
      <c r="E96" s="7">
        <v>87305</v>
      </c>
      <c r="F96" s="8">
        <v>2.46</v>
      </c>
      <c r="G96" s="7">
        <v>30428</v>
      </c>
      <c r="H96" s="9">
        <f t="shared" si="1"/>
        <v>1150</v>
      </c>
    </row>
    <row r="97" spans="1:8" x14ac:dyDescent="0.3">
      <c r="A97" s="5">
        <v>45607</v>
      </c>
      <c r="B97" s="6" t="s">
        <v>10</v>
      </c>
      <c r="C97" s="7">
        <v>454</v>
      </c>
      <c r="D97" s="7">
        <v>105</v>
      </c>
      <c r="E97" s="7">
        <v>121091</v>
      </c>
      <c r="F97" s="8">
        <v>7.97</v>
      </c>
      <c r="G97" s="7">
        <v>9269</v>
      </c>
      <c r="H97" s="9">
        <f t="shared" si="1"/>
        <v>349</v>
      </c>
    </row>
    <row r="98" spans="1:8" x14ac:dyDescent="0.3">
      <c r="A98" s="5">
        <v>45614</v>
      </c>
      <c r="B98" s="6" t="s">
        <v>7</v>
      </c>
      <c r="C98" s="7">
        <v>187</v>
      </c>
      <c r="D98" s="7">
        <v>236</v>
      </c>
      <c r="E98" s="7">
        <v>51087</v>
      </c>
      <c r="F98" s="8">
        <v>9.41</v>
      </c>
      <c r="G98" s="7">
        <v>29533</v>
      </c>
      <c r="H98" s="9">
        <f t="shared" si="1"/>
        <v>-49</v>
      </c>
    </row>
    <row r="99" spans="1:8" x14ac:dyDescent="0.3">
      <c r="A99" s="5">
        <v>45614</v>
      </c>
      <c r="B99" s="6" t="s">
        <v>8</v>
      </c>
      <c r="C99" s="7">
        <v>513</v>
      </c>
      <c r="D99" s="7">
        <v>441</v>
      </c>
      <c r="E99" s="7">
        <v>338847</v>
      </c>
      <c r="F99" s="8">
        <v>2.68</v>
      </c>
      <c r="G99" s="7">
        <v>39997</v>
      </c>
      <c r="H99" s="9">
        <f t="shared" si="1"/>
        <v>72</v>
      </c>
    </row>
    <row r="100" spans="1:8" x14ac:dyDescent="0.3">
      <c r="A100" s="5">
        <v>45614</v>
      </c>
      <c r="B100" s="6" t="s">
        <v>9</v>
      </c>
      <c r="C100" s="7">
        <v>628</v>
      </c>
      <c r="D100" s="7">
        <v>183</v>
      </c>
      <c r="E100" s="7">
        <v>487523</v>
      </c>
      <c r="F100" s="8">
        <v>7.32</v>
      </c>
      <c r="G100" s="7">
        <v>5391</v>
      </c>
      <c r="H100" s="9">
        <f t="shared" si="1"/>
        <v>445</v>
      </c>
    </row>
    <row r="101" spans="1:8" x14ac:dyDescent="0.3">
      <c r="A101" s="5">
        <v>45614</v>
      </c>
      <c r="B101" s="6" t="s">
        <v>10</v>
      </c>
      <c r="C101" s="7">
        <v>278</v>
      </c>
      <c r="D101" s="7">
        <v>218</v>
      </c>
      <c r="E101" s="7">
        <v>301695</v>
      </c>
      <c r="F101" s="8">
        <v>4.68</v>
      </c>
      <c r="G101" s="7">
        <v>22373</v>
      </c>
      <c r="H101" s="9">
        <f t="shared" si="1"/>
        <v>60</v>
      </c>
    </row>
    <row r="102" spans="1:8" x14ac:dyDescent="0.3">
      <c r="A102" s="5">
        <v>45621</v>
      </c>
      <c r="B102" s="6" t="s">
        <v>7</v>
      </c>
      <c r="C102" s="7">
        <v>1854</v>
      </c>
      <c r="D102" s="7">
        <v>161</v>
      </c>
      <c r="E102" s="7">
        <v>282466</v>
      </c>
      <c r="F102" s="8">
        <v>5.17</v>
      </c>
      <c r="G102" s="7">
        <v>1810</v>
      </c>
      <c r="H102" s="9">
        <f t="shared" si="1"/>
        <v>1693</v>
      </c>
    </row>
    <row r="103" spans="1:8" x14ac:dyDescent="0.3">
      <c r="A103" s="5">
        <v>45621</v>
      </c>
      <c r="B103" s="6" t="s">
        <v>8</v>
      </c>
      <c r="C103" s="7">
        <v>1710</v>
      </c>
      <c r="D103" s="7">
        <v>378</v>
      </c>
      <c r="E103" s="7">
        <v>336661</v>
      </c>
      <c r="F103" s="8">
        <v>6.2</v>
      </c>
      <c r="G103" s="7">
        <v>28498</v>
      </c>
      <c r="H103" s="9">
        <f t="shared" si="1"/>
        <v>1332</v>
      </c>
    </row>
    <row r="104" spans="1:8" x14ac:dyDescent="0.3">
      <c r="A104" s="5">
        <v>45621</v>
      </c>
      <c r="B104" s="6" t="s">
        <v>9</v>
      </c>
      <c r="C104" s="7">
        <v>330</v>
      </c>
      <c r="D104" s="7">
        <v>232</v>
      </c>
      <c r="E104" s="7">
        <v>88455</v>
      </c>
      <c r="F104" s="8">
        <v>2.69</v>
      </c>
      <c r="G104" s="7">
        <v>39530</v>
      </c>
      <c r="H104" s="9">
        <f t="shared" si="1"/>
        <v>98</v>
      </c>
    </row>
    <row r="105" spans="1:8" x14ac:dyDescent="0.3">
      <c r="A105" s="5">
        <v>45621</v>
      </c>
      <c r="B105" s="6" t="s">
        <v>10</v>
      </c>
      <c r="C105" s="7">
        <v>1293</v>
      </c>
      <c r="D105" s="7">
        <v>408</v>
      </c>
      <c r="E105" s="7">
        <v>62535</v>
      </c>
      <c r="F105" s="8">
        <v>8.9</v>
      </c>
      <c r="G105" s="7">
        <v>37876</v>
      </c>
      <c r="H105" s="9">
        <f t="shared" si="1"/>
        <v>885</v>
      </c>
    </row>
    <row r="106" spans="1:8" x14ac:dyDescent="0.3">
      <c r="A106" s="5">
        <v>45628</v>
      </c>
      <c r="B106" s="6" t="s">
        <v>7</v>
      </c>
      <c r="C106" s="7">
        <v>1696</v>
      </c>
      <c r="D106" s="7">
        <v>71</v>
      </c>
      <c r="E106" s="7">
        <v>421957</v>
      </c>
      <c r="F106" s="8">
        <v>3.79</v>
      </c>
      <c r="G106" s="7">
        <v>36103</v>
      </c>
      <c r="H106" s="9">
        <f t="shared" si="1"/>
        <v>1625</v>
      </c>
    </row>
    <row r="107" spans="1:8" x14ac:dyDescent="0.3">
      <c r="A107" s="5">
        <v>45628</v>
      </c>
      <c r="B107" s="6" t="s">
        <v>8</v>
      </c>
      <c r="C107" s="7">
        <v>1902</v>
      </c>
      <c r="D107" s="7">
        <v>196</v>
      </c>
      <c r="E107" s="7">
        <v>470269</v>
      </c>
      <c r="F107" s="8">
        <v>4.79</v>
      </c>
      <c r="G107" s="7">
        <v>26103</v>
      </c>
      <c r="H107" s="9">
        <f t="shared" si="1"/>
        <v>1706</v>
      </c>
    </row>
    <row r="108" spans="1:8" x14ac:dyDescent="0.3">
      <c r="A108" s="5">
        <v>45628</v>
      </c>
      <c r="B108" s="6" t="s">
        <v>9</v>
      </c>
      <c r="C108" s="7">
        <v>1441</v>
      </c>
      <c r="D108" s="7">
        <v>268</v>
      </c>
      <c r="E108" s="7">
        <v>309904</v>
      </c>
      <c r="F108" s="8">
        <v>6.37</v>
      </c>
      <c r="G108" s="7">
        <v>3455</v>
      </c>
      <c r="H108" s="9">
        <f t="shared" si="1"/>
        <v>1173</v>
      </c>
    </row>
    <row r="109" spans="1:8" x14ac:dyDescent="0.3">
      <c r="A109" s="5">
        <v>45628</v>
      </c>
      <c r="B109" s="6" t="s">
        <v>10</v>
      </c>
      <c r="C109" s="7">
        <v>452</v>
      </c>
      <c r="D109" s="7">
        <v>161</v>
      </c>
      <c r="E109" s="7">
        <v>221274</v>
      </c>
      <c r="F109" s="8">
        <v>2.65</v>
      </c>
      <c r="G109" s="7">
        <v>40888</v>
      </c>
      <c r="H109" s="9">
        <f t="shared" si="1"/>
        <v>291</v>
      </c>
    </row>
    <row r="110" spans="1:8" x14ac:dyDescent="0.3">
      <c r="A110" s="5">
        <v>45635</v>
      </c>
      <c r="B110" s="6" t="s">
        <v>7</v>
      </c>
      <c r="C110" s="7">
        <v>1494</v>
      </c>
      <c r="D110" s="7">
        <v>375</v>
      </c>
      <c r="E110" s="7">
        <v>220616</v>
      </c>
      <c r="F110" s="8">
        <v>1.81</v>
      </c>
      <c r="G110" s="7">
        <v>22724</v>
      </c>
      <c r="H110" s="9">
        <f t="shared" si="1"/>
        <v>1119</v>
      </c>
    </row>
    <row r="111" spans="1:8" x14ac:dyDescent="0.3">
      <c r="A111" s="5">
        <v>45635</v>
      </c>
      <c r="B111" s="6" t="s">
        <v>8</v>
      </c>
      <c r="C111" s="7">
        <v>1514</v>
      </c>
      <c r="D111" s="7">
        <v>141</v>
      </c>
      <c r="E111" s="7">
        <v>35842</v>
      </c>
      <c r="F111" s="8">
        <v>7.47</v>
      </c>
      <c r="G111" s="7">
        <v>18601</v>
      </c>
      <c r="H111" s="9">
        <f t="shared" si="1"/>
        <v>1373</v>
      </c>
    </row>
    <row r="112" spans="1:8" x14ac:dyDescent="0.3">
      <c r="A112" s="5">
        <v>45635</v>
      </c>
      <c r="B112" s="6" t="s">
        <v>9</v>
      </c>
      <c r="C112" s="7">
        <v>1937</v>
      </c>
      <c r="D112" s="7">
        <v>210</v>
      </c>
      <c r="E112" s="7">
        <v>20607</v>
      </c>
      <c r="F112" s="8">
        <v>4.2</v>
      </c>
      <c r="G112" s="7">
        <v>20861</v>
      </c>
      <c r="H112" s="9">
        <f t="shared" si="1"/>
        <v>1727</v>
      </c>
    </row>
    <row r="113" spans="1:8" x14ac:dyDescent="0.3">
      <c r="A113" s="5">
        <v>45635</v>
      </c>
      <c r="B113" s="6" t="s">
        <v>10</v>
      </c>
      <c r="C113" s="7">
        <v>736</v>
      </c>
      <c r="D113" s="7">
        <v>163</v>
      </c>
      <c r="E113" s="7">
        <v>451894</v>
      </c>
      <c r="F113" s="8">
        <v>5.43</v>
      </c>
      <c r="G113" s="7">
        <v>46625</v>
      </c>
      <c r="H113" s="9">
        <f t="shared" si="1"/>
        <v>573</v>
      </c>
    </row>
    <row r="114" spans="1:8" x14ac:dyDescent="0.3">
      <c r="A114" s="5">
        <v>45642</v>
      </c>
      <c r="B114" s="6" t="s">
        <v>7</v>
      </c>
      <c r="C114" s="7">
        <v>1502</v>
      </c>
      <c r="D114" s="7">
        <v>70</v>
      </c>
      <c r="E114" s="7">
        <v>465553</v>
      </c>
      <c r="F114" s="8">
        <v>3.32</v>
      </c>
      <c r="G114" s="7">
        <v>20692</v>
      </c>
      <c r="H114" s="9">
        <f t="shared" si="1"/>
        <v>1432</v>
      </c>
    </row>
    <row r="115" spans="1:8" x14ac:dyDescent="0.3">
      <c r="A115" s="5">
        <v>45642</v>
      </c>
      <c r="B115" s="6" t="s">
        <v>8</v>
      </c>
      <c r="C115" s="7">
        <v>1623</v>
      </c>
      <c r="D115" s="7">
        <v>246</v>
      </c>
      <c r="E115" s="7">
        <v>415815</v>
      </c>
      <c r="F115" s="8">
        <v>8.11</v>
      </c>
      <c r="G115" s="7">
        <v>18656</v>
      </c>
      <c r="H115" s="9">
        <f t="shared" si="1"/>
        <v>1377</v>
      </c>
    </row>
    <row r="116" spans="1:8" x14ac:dyDescent="0.3">
      <c r="A116" s="5">
        <v>45642</v>
      </c>
      <c r="B116" s="6" t="s">
        <v>9</v>
      </c>
      <c r="C116" s="7">
        <v>1592</v>
      </c>
      <c r="D116" s="7">
        <v>233</v>
      </c>
      <c r="E116" s="7">
        <v>327183</v>
      </c>
      <c r="F116" s="8">
        <v>6.66</v>
      </c>
      <c r="G116" s="7">
        <v>13316</v>
      </c>
      <c r="H116" s="9">
        <f t="shared" si="1"/>
        <v>1359</v>
      </c>
    </row>
    <row r="117" spans="1:8" x14ac:dyDescent="0.3">
      <c r="A117" s="5">
        <v>45642</v>
      </c>
      <c r="B117" s="6" t="s">
        <v>10</v>
      </c>
      <c r="C117" s="7">
        <v>1004</v>
      </c>
      <c r="D117" s="7">
        <v>128</v>
      </c>
      <c r="E117" s="7">
        <v>488901</v>
      </c>
      <c r="F117" s="8">
        <v>8.09</v>
      </c>
      <c r="G117" s="7">
        <v>49558</v>
      </c>
      <c r="H117" s="9">
        <f t="shared" si="1"/>
        <v>876</v>
      </c>
    </row>
    <row r="118" spans="1:8" x14ac:dyDescent="0.3">
      <c r="A118" s="5">
        <v>45649</v>
      </c>
      <c r="B118" s="6" t="s">
        <v>7</v>
      </c>
      <c r="C118" s="7">
        <v>1092</v>
      </c>
      <c r="D118" s="7">
        <v>408</v>
      </c>
      <c r="E118" s="7">
        <v>280795</v>
      </c>
      <c r="F118" s="8">
        <v>8.44</v>
      </c>
      <c r="G118" s="7">
        <v>4683</v>
      </c>
      <c r="H118" s="9">
        <f t="shared" si="1"/>
        <v>684</v>
      </c>
    </row>
    <row r="119" spans="1:8" x14ac:dyDescent="0.3">
      <c r="A119" s="5">
        <v>45649</v>
      </c>
      <c r="B119" s="6" t="s">
        <v>8</v>
      </c>
      <c r="C119" s="7">
        <v>1155</v>
      </c>
      <c r="D119" s="7">
        <v>425</v>
      </c>
      <c r="E119" s="7">
        <v>93347</v>
      </c>
      <c r="F119" s="8">
        <v>2.02</v>
      </c>
      <c r="G119" s="7">
        <v>47502</v>
      </c>
      <c r="H119" s="9">
        <f t="shared" si="1"/>
        <v>730</v>
      </c>
    </row>
    <row r="120" spans="1:8" x14ac:dyDescent="0.3">
      <c r="A120" s="5">
        <v>45649</v>
      </c>
      <c r="B120" s="6" t="s">
        <v>9</v>
      </c>
      <c r="C120" s="7">
        <v>1137</v>
      </c>
      <c r="D120" s="7">
        <v>226</v>
      </c>
      <c r="E120" s="7">
        <v>81119</v>
      </c>
      <c r="F120" s="8">
        <v>7.74</v>
      </c>
      <c r="G120" s="7">
        <v>35359</v>
      </c>
      <c r="H120" s="9">
        <f t="shared" si="1"/>
        <v>911</v>
      </c>
    </row>
    <row r="121" spans="1:8" x14ac:dyDescent="0.3">
      <c r="A121" s="5">
        <v>45649</v>
      </c>
      <c r="B121" s="6" t="s">
        <v>10</v>
      </c>
      <c r="C121" s="7">
        <v>1900</v>
      </c>
      <c r="D121" s="7">
        <v>311</v>
      </c>
      <c r="E121" s="7">
        <v>25177</v>
      </c>
      <c r="F121" s="8">
        <v>2.89</v>
      </c>
      <c r="G121" s="7">
        <v>14154</v>
      </c>
      <c r="H121" s="9">
        <f t="shared" si="1"/>
        <v>1589</v>
      </c>
    </row>
    <row r="122" spans="1:8" x14ac:dyDescent="0.3">
      <c r="A122" s="5">
        <v>45656</v>
      </c>
      <c r="B122" s="6" t="s">
        <v>7</v>
      </c>
      <c r="C122" s="7">
        <v>1814</v>
      </c>
      <c r="D122" s="7">
        <v>49</v>
      </c>
      <c r="E122" s="7">
        <v>140804</v>
      </c>
      <c r="F122" s="8">
        <v>1.76</v>
      </c>
      <c r="G122" s="7">
        <v>4313</v>
      </c>
      <c r="H122" s="9">
        <f t="shared" si="1"/>
        <v>1765</v>
      </c>
    </row>
    <row r="123" spans="1:8" x14ac:dyDescent="0.3">
      <c r="A123" s="5">
        <v>45656</v>
      </c>
      <c r="B123" s="6" t="s">
        <v>8</v>
      </c>
      <c r="C123" s="7">
        <v>1980</v>
      </c>
      <c r="D123" s="7">
        <v>204</v>
      </c>
      <c r="E123" s="7">
        <v>379431</v>
      </c>
      <c r="F123" s="8">
        <v>3.09</v>
      </c>
      <c r="G123" s="7">
        <v>25140</v>
      </c>
      <c r="H123" s="9">
        <f t="shared" si="1"/>
        <v>1776</v>
      </c>
    </row>
    <row r="124" spans="1:8" x14ac:dyDescent="0.3">
      <c r="A124" s="5">
        <v>45656</v>
      </c>
      <c r="B124" s="6" t="s">
        <v>9</v>
      </c>
      <c r="C124" s="7">
        <v>1786</v>
      </c>
      <c r="D124" s="7">
        <v>257</v>
      </c>
      <c r="E124" s="7">
        <v>274831</v>
      </c>
      <c r="F124" s="8">
        <v>4.68</v>
      </c>
      <c r="G124" s="7">
        <v>9118</v>
      </c>
      <c r="H124" s="9">
        <f t="shared" si="1"/>
        <v>1529</v>
      </c>
    </row>
    <row r="125" spans="1:8" x14ac:dyDescent="0.3">
      <c r="A125" s="5">
        <v>45656</v>
      </c>
      <c r="B125" s="6" t="s">
        <v>10</v>
      </c>
      <c r="C125" s="7">
        <v>1495</v>
      </c>
      <c r="D125" s="7">
        <v>35</v>
      </c>
      <c r="E125" s="7">
        <v>136845</v>
      </c>
      <c r="F125" s="8">
        <v>4.4800000000000004</v>
      </c>
      <c r="G125" s="7">
        <v>39931</v>
      </c>
      <c r="H125" s="9">
        <f t="shared" si="1"/>
        <v>1460</v>
      </c>
    </row>
    <row r="126" spans="1:8" x14ac:dyDescent="0.3">
      <c r="A126" s="5">
        <v>45663</v>
      </c>
      <c r="B126" s="6" t="s">
        <v>7</v>
      </c>
      <c r="C126" s="7">
        <v>1013</v>
      </c>
      <c r="D126" s="7">
        <v>110</v>
      </c>
      <c r="E126" s="7">
        <v>466382</v>
      </c>
      <c r="F126" s="8">
        <v>5.3</v>
      </c>
      <c r="G126" s="7">
        <v>37132</v>
      </c>
      <c r="H126" s="9">
        <f t="shared" si="1"/>
        <v>903</v>
      </c>
    </row>
    <row r="127" spans="1:8" x14ac:dyDescent="0.3">
      <c r="A127" s="5">
        <v>45663</v>
      </c>
      <c r="B127" s="6" t="s">
        <v>8</v>
      </c>
      <c r="C127" s="7">
        <v>816</v>
      </c>
      <c r="D127" s="7">
        <v>196</v>
      </c>
      <c r="E127" s="7">
        <v>95728</v>
      </c>
      <c r="F127" s="8">
        <v>8.1999999999999993</v>
      </c>
      <c r="G127" s="7">
        <v>17951</v>
      </c>
      <c r="H127" s="9">
        <f t="shared" si="1"/>
        <v>620</v>
      </c>
    </row>
    <row r="128" spans="1:8" x14ac:dyDescent="0.3">
      <c r="A128" s="5">
        <v>45663</v>
      </c>
      <c r="B128" s="6" t="s">
        <v>9</v>
      </c>
      <c r="C128" s="7">
        <v>1633</v>
      </c>
      <c r="D128" s="7">
        <v>445</v>
      </c>
      <c r="E128" s="7">
        <v>371156</v>
      </c>
      <c r="F128" s="8">
        <v>2.2200000000000002</v>
      </c>
      <c r="G128" s="7">
        <v>2798</v>
      </c>
      <c r="H128" s="9">
        <f t="shared" si="1"/>
        <v>1188</v>
      </c>
    </row>
    <row r="129" spans="1:8" x14ac:dyDescent="0.3">
      <c r="A129" s="5">
        <v>45663</v>
      </c>
      <c r="B129" s="6" t="s">
        <v>10</v>
      </c>
      <c r="C129" s="7">
        <v>891</v>
      </c>
      <c r="D129" s="7">
        <v>45</v>
      </c>
      <c r="E129" s="7">
        <v>95410</v>
      </c>
      <c r="F129" s="8">
        <v>8.33</v>
      </c>
      <c r="G129" s="7">
        <v>15045</v>
      </c>
      <c r="H129" s="9">
        <f t="shared" si="1"/>
        <v>846</v>
      </c>
    </row>
    <row r="130" spans="1:8" x14ac:dyDescent="0.3">
      <c r="A130" s="5">
        <v>45670</v>
      </c>
      <c r="B130" s="6" t="s">
        <v>7</v>
      </c>
      <c r="C130" s="7">
        <v>1855</v>
      </c>
      <c r="D130" s="7">
        <v>133</v>
      </c>
      <c r="E130" s="7">
        <v>349413</v>
      </c>
      <c r="F130" s="8">
        <v>3.3</v>
      </c>
      <c r="G130" s="7">
        <v>14548</v>
      </c>
      <c r="H130" s="9">
        <f t="shared" si="1"/>
        <v>1722</v>
      </c>
    </row>
    <row r="131" spans="1:8" x14ac:dyDescent="0.3">
      <c r="A131" s="5">
        <v>45670</v>
      </c>
      <c r="B131" s="6" t="s">
        <v>8</v>
      </c>
      <c r="C131" s="7">
        <v>651</v>
      </c>
      <c r="D131" s="7">
        <v>353</v>
      </c>
      <c r="E131" s="7">
        <v>224699</v>
      </c>
      <c r="F131" s="8">
        <v>5.61</v>
      </c>
      <c r="G131" s="7">
        <v>45708</v>
      </c>
      <c r="H131" s="9">
        <f t="shared" ref="H131:H194" si="2">C131-D131</f>
        <v>298</v>
      </c>
    </row>
    <row r="132" spans="1:8" x14ac:dyDescent="0.3">
      <c r="A132" s="5">
        <v>45670</v>
      </c>
      <c r="B132" s="6" t="s">
        <v>9</v>
      </c>
      <c r="C132" s="7">
        <v>118</v>
      </c>
      <c r="D132" s="7">
        <v>262</v>
      </c>
      <c r="E132" s="7">
        <v>487896</v>
      </c>
      <c r="F132" s="8">
        <v>2.56</v>
      </c>
      <c r="G132" s="7">
        <v>12350</v>
      </c>
      <c r="H132" s="9">
        <f t="shared" si="2"/>
        <v>-144</v>
      </c>
    </row>
    <row r="133" spans="1:8" x14ac:dyDescent="0.3">
      <c r="A133" s="5">
        <v>45670</v>
      </c>
      <c r="B133" s="6" t="s">
        <v>10</v>
      </c>
      <c r="C133" s="7">
        <v>1331</v>
      </c>
      <c r="D133" s="7">
        <v>430</v>
      </c>
      <c r="E133" s="7">
        <v>14437</v>
      </c>
      <c r="F133" s="8">
        <v>3.29</v>
      </c>
      <c r="G133" s="7">
        <v>40868</v>
      </c>
      <c r="H133" s="9">
        <f t="shared" si="2"/>
        <v>901</v>
      </c>
    </row>
    <row r="134" spans="1:8" x14ac:dyDescent="0.3">
      <c r="A134" s="5">
        <v>45677</v>
      </c>
      <c r="B134" s="6" t="s">
        <v>7</v>
      </c>
      <c r="C134" s="7">
        <v>1748</v>
      </c>
      <c r="D134" s="7">
        <v>176</v>
      </c>
      <c r="E134" s="7">
        <v>383681</v>
      </c>
      <c r="F134" s="8">
        <v>9.24</v>
      </c>
      <c r="G134" s="7">
        <v>43122</v>
      </c>
      <c r="H134" s="9">
        <f t="shared" si="2"/>
        <v>1572</v>
      </c>
    </row>
    <row r="135" spans="1:8" x14ac:dyDescent="0.3">
      <c r="A135" s="5">
        <v>45677</v>
      </c>
      <c r="B135" s="6" t="s">
        <v>8</v>
      </c>
      <c r="C135" s="7">
        <v>663</v>
      </c>
      <c r="D135" s="7">
        <v>236</v>
      </c>
      <c r="E135" s="7">
        <v>479490</v>
      </c>
      <c r="F135" s="8">
        <v>4.51</v>
      </c>
      <c r="G135" s="7">
        <v>23853</v>
      </c>
      <c r="H135" s="9">
        <f t="shared" si="2"/>
        <v>427</v>
      </c>
    </row>
    <row r="136" spans="1:8" x14ac:dyDescent="0.3">
      <c r="A136" s="5">
        <v>45677</v>
      </c>
      <c r="B136" s="6" t="s">
        <v>9</v>
      </c>
      <c r="C136" s="7">
        <v>1040</v>
      </c>
      <c r="D136" s="7">
        <v>149</v>
      </c>
      <c r="E136" s="7">
        <v>124404</v>
      </c>
      <c r="F136" s="8">
        <v>5.23</v>
      </c>
      <c r="G136" s="7">
        <v>45380</v>
      </c>
      <c r="H136" s="9">
        <f t="shared" si="2"/>
        <v>891</v>
      </c>
    </row>
    <row r="137" spans="1:8" x14ac:dyDescent="0.3">
      <c r="A137" s="5">
        <v>45677</v>
      </c>
      <c r="B137" s="6" t="s">
        <v>10</v>
      </c>
      <c r="C137" s="7">
        <v>1166</v>
      </c>
      <c r="D137" s="7">
        <v>442</v>
      </c>
      <c r="E137" s="7">
        <v>336949</v>
      </c>
      <c r="F137" s="8">
        <v>4.68</v>
      </c>
      <c r="G137" s="7">
        <v>7705</v>
      </c>
      <c r="H137" s="9">
        <f t="shared" si="2"/>
        <v>724</v>
      </c>
    </row>
    <row r="138" spans="1:8" x14ac:dyDescent="0.3">
      <c r="A138" s="5">
        <v>45684</v>
      </c>
      <c r="B138" s="6" t="s">
        <v>7</v>
      </c>
      <c r="C138" s="7">
        <v>115</v>
      </c>
      <c r="D138" s="7">
        <v>281</v>
      </c>
      <c r="E138" s="7">
        <v>357265</v>
      </c>
      <c r="F138" s="8">
        <v>9.23</v>
      </c>
      <c r="G138" s="7">
        <v>25525</v>
      </c>
      <c r="H138" s="9">
        <f t="shared" si="2"/>
        <v>-166</v>
      </c>
    </row>
    <row r="139" spans="1:8" x14ac:dyDescent="0.3">
      <c r="A139" s="5">
        <v>45684</v>
      </c>
      <c r="B139" s="6" t="s">
        <v>8</v>
      </c>
      <c r="C139" s="7">
        <v>1249</v>
      </c>
      <c r="D139" s="7">
        <v>351</v>
      </c>
      <c r="E139" s="7">
        <v>321307</v>
      </c>
      <c r="F139" s="8">
        <v>6.37</v>
      </c>
      <c r="G139" s="7">
        <v>20560</v>
      </c>
      <c r="H139" s="9">
        <f t="shared" si="2"/>
        <v>898</v>
      </c>
    </row>
    <row r="140" spans="1:8" x14ac:dyDescent="0.3">
      <c r="A140" s="5">
        <v>45684</v>
      </c>
      <c r="B140" s="6" t="s">
        <v>9</v>
      </c>
      <c r="C140" s="7">
        <v>1501</v>
      </c>
      <c r="D140" s="7">
        <v>75</v>
      </c>
      <c r="E140" s="7">
        <v>262569</v>
      </c>
      <c r="F140" s="8">
        <v>2.0099999999999998</v>
      </c>
      <c r="G140" s="7">
        <v>19119</v>
      </c>
      <c r="H140" s="9">
        <f t="shared" si="2"/>
        <v>1426</v>
      </c>
    </row>
    <row r="141" spans="1:8" x14ac:dyDescent="0.3">
      <c r="A141" s="5">
        <v>45684</v>
      </c>
      <c r="B141" s="6" t="s">
        <v>10</v>
      </c>
      <c r="C141" s="7">
        <v>1411</v>
      </c>
      <c r="D141" s="7">
        <v>186</v>
      </c>
      <c r="E141" s="7">
        <v>461669</v>
      </c>
      <c r="F141" s="8">
        <v>3.72</v>
      </c>
      <c r="G141" s="7">
        <v>43999</v>
      </c>
      <c r="H141" s="9">
        <f t="shared" si="2"/>
        <v>1225</v>
      </c>
    </row>
    <row r="142" spans="1:8" x14ac:dyDescent="0.3">
      <c r="A142" s="5">
        <v>45691</v>
      </c>
      <c r="B142" s="6" t="s">
        <v>7</v>
      </c>
      <c r="C142" s="7">
        <v>1556</v>
      </c>
      <c r="D142" s="7">
        <v>476</v>
      </c>
      <c r="E142" s="7">
        <v>351556</v>
      </c>
      <c r="F142" s="8">
        <v>3.89</v>
      </c>
      <c r="G142" s="7">
        <v>10825</v>
      </c>
      <c r="H142" s="9">
        <f t="shared" si="2"/>
        <v>1080</v>
      </c>
    </row>
    <row r="143" spans="1:8" x14ac:dyDescent="0.3">
      <c r="A143" s="5">
        <v>45691</v>
      </c>
      <c r="B143" s="6" t="s">
        <v>8</v>
      </c>
      <c r="C143" s="7">
        <v>1159</v>
      </c>
      <c r="D143" s="7">
        <v>411</v>
      </c>
      <c r="E143" s="7">
        <v>135987</v>
      </c>
      <c r="F143" s="8">
        <v>8.6999999999999993</v>
      </c>
      <c r="G143" s="7">
        <v>40323</v>
      </c>
      <c r="H143" s="9">
        <f t="shared" si="2"/>
        <v>748</v>
      </c>
    </row>
    <row r="144" spans="1:8" x14ac:dyDescent="0.3">
      <c r="A144" s="5">
        <v>45691</v>
      </c>
      <c r="B144" s="6" t="s">
        <v>9</v>
      </c>
      <c r="C144" s="7">
        <v>927</v>
      </c>
      <c r="D144" s="7">
        <v>358</v>
      </c>
      <c r="E144" s="7">
        <v>177554</v>
      </c>
      <c r="F144" s="8">
        <v>6.95</v>
      </c>
      <c r="G144" s="7">
        <v>48270</v>
      </c>
      <c r="H144" s="9">
        <f t="shared" si="2"/>
        <v>569</v>
      </c>
    </row>
    <row r="145" spans="1:8" x14ac:dyDescent="0.3">
      <c r="A145" s="5">
        <v>45691</v>
      </c>
      <c r="B145" s="6" t="s">
        <v>10</v>
      </c>
      <c r="C145" s="7">
        <v>152</v>
      </c>
      <c r="D145" s="7">
        <v>355</v>
      </c>
      <c r="E145" s="7">
        <v>270766</v>
      </c>
      <c r="F145" s="8">
        <v>9.48</v>
      </c>
      <c r="G145" s="7">
        <v>18001</v>
      </c>
      <c r="H145" s="9">
        <f t="shared" si="2"/>
        <v>-203</v>
      </c>
    </row>
    <row r="146" spans="1:8" x14ac:dyDescent="0.3">
      <c r="A146" s="5">
        <v>45698</v>
      </c>
      <c r="B146" s="6" t="s">
        <v>7</v>
      </c>
      <c r="C146" s="7">
        <v>1957</v>
      </c>
      <c r="D146" s="7">
        <v>234</v>
      </c>
      <c r="E146" s="7">
        <v>222126</v>
      </c>
      <c r="F146" s="8">
        <v>4.6100000000000003</v>
      </c>
      <c r="G146" s="7">
        <v>3314</v>
      </c>
      <c r="H146" s="9">
        <f t="shared" si="2"/>
        <v>1723</v>
      </c>
    </row>
    <row r="147" spans="1:8" x14ac:dyDescent="0.3">
      <c r="A147" s="5">
        <v>45698</v>
      </c>
      <c r="B147" s="6" t="s">
        <v>8</v>
      </c>
      <c r="C147" s="7">
        <v>1294</v>
      </c>
      <c r="D147" s="7">
        <v>382</v>
      </c>
      <c r="E147" s="7">
        <v>309914</v>
      </c>
      <c r="F147" s="8">
        <v>8.0299999999999994</v>
      </c>
      <c r="G147" s="7">
        <v>23489</v>
      </c>
      <c r="H147" s="9">
        <f t="shared" si="2"/>
        <v>912</v>
      </c>
    </row>
    <row r="148" spans="1:8" x14ac:dyDescent="0.3">
      <c r="A148" s="5">
        <v>45698</v>
      </c>
      <c r="B148" s="6" t="s">
        <v>9</v>
      </c>
      <c r="C148" s="7">
        <v>1587</v>
      </c>
      <c r="D148" s="7">
        <v>385</v>
      </c>
      <c r="E148" s="7">
        <v>126582</v>
      </c>
      <c r="F148" s="8">
        <v>6.99</v>
      </c>
      <c r="G148" s="7">
        <v>42832</v>
      </c>
      <c r="H148" s="9">
        <f t="shared" si="2"/>
        <v>1202</v>
      </c>
    </row>
    <row r="149" spans="1:8" x14ac:dyDescent="0.3">
      <c r="A149" s="5">
        <v>45698</v>
      </c>
      <c r="B149" s="6" t="s">
        <v>10</v>
      </c>
      <c r="C149" s="7">
        <v>1707</v>
      </c>
      <c r="D149" s="7">
        <v>263</v>
      </c>
      <c r="E149" s="7">
        <v>485280</v>
      </c>
      <c r="F149" s="8">
        <v>9.0299999999999994</v>
      </c>
      <c r="G149" s="7">
        <v>24494</v>
      </c>
      <c r="H149" s="9">
        <f t="shared" si="2"/>
        <v>1444</v>
      </c>
    </row>
    <row r="150" spans="1:8" x14ac:dyDescent="0.3">
      <c r="A150" s="5">
        <v>45705</v>
      </c>
      <c r="B150" s="6" t="s">
        <v>7</v>
      </c>
      <c r="C150" s="7">
        <v>1138</v>
      </c>
      <c r="D150" s="7">
        <v>173</v>
      </c>
      <c r="E150" s="7">
        <v>453243</v>
      </c>
      <c r="F150" s="8">
        <v>2.86</v>
      </c>
      <c r="G150" s="7">
        <v>44097</v>
      </c>
      <c r="H150" s="9">
        <f t="shared" si="2"/>
        <v>965</v>
      </c>
    </row>
    <row r="151" spans="1:8" x14ac:dyDescent="0.3">
      <c r="A151" s="5">
        <v>45705</v>
      </c>
      <c r="B151" s="6" t="s">
        <v>8</v>
      </c>
      <c r="C151" s="7">
        <v>1895</v>
      </c>
      <c r="D151" s="7">
        <v>305</v>
      </c>
      <c r="E151" s="7">
        <v>104967</v>
      </c>
      <c r="F151" s="8">
        <v>3.85</v>
      </c>
      <c r="G151" s="7">
        <v>31853</v>
      </c>
      <c r="H151" s="9">
        <f t="shared" si="2"/>
        <v>1590</v>
      </c>
    </row>
    <row r="152" spans="1:8" x14ac:dyDescent="0.3">
      <c r="A152" s="5">
        <v>45705</v>
      </c>
      <c r="B152" s="6" t="s">
        <v>9</v>
      </c>
      <c r="C152" s="7">
        <v>362</v>
      </c>
      <c r="D152" s="7">
        <v>399</v>
      </c>
      <c r="E152" s="7">
        <v>145608</v>
      </c>
      <c r="F152" s="8">
        <v>7.3</v>
      </c>
      <c r="G152" s="7">
        <v>37636</v>
      </c>
      <c r="H152" s="9">
        <f t="shared" si="2"/>
        <v>-37</v>
      </c>
    </row>
    <row r="153" spans="1:8" x14ac:dyDescent="0.3">
      <c r="A153" s="5">
        <v>45705</v>
      </c>
      <c r="B153" s="6" t="s">
        <v>10</v>
      </c>
      <c r="C153" s="7">
        <v>1662</v>
      </c>
      <c r="D153" s="7">
        <v>487</v>
      </c>
      <c r="E153" s="7">
        <v>105980</v>
      </c>
      <c r="F153" s="8">
        <v>9.08</v>
      </c>
      <c r="G153" s="7">
        <v>22996</v>
      </c>
      <c r="H153" s="9">
        <f t="shared" si="2"/>
        <v>1175</v>
      </c>
    </row>
    <row r="154" spans="1:8" x14ac:dyDescent="0.3">
      <c r="A154" s="5">
        <v>45712</v>
      </c>
      <c r="B154" s="6" t="s">
        <v>7</v>
      </c>
      <c r="C154" s="7">
        <v>1440</v>
      </c>
      <c r="D154" s="7">
        <v>65</v>
      </c>
      <c r="E154" s="7">
        <v>126524</v>
      </c>
      <c r="F154" s="8">
        <v>4.34</v>
      </c>
      <c r="G154" s="7">
        <v>49772</v>
      </c>
      <c r="H154" s="9">
        <f t="shared" si="2"/>
        <v>1375</v>
      </c>
    </row>
    <row r="155" spans="1:8" x14ac:dyDescent="0.3">
      <c r="A155" s="5">
        <v>45712</v>
      </c>
      <c r="B155" s="6" t="s">
        <v>8</v>
      </c>
      <c r="C155" s="7">
        <v>1884</v>
      </c>
      <c r="D155" s="7">
        <v>177</v>
      </c>
      <c r="E155" s="7">
        <v>230448</v>
      </c>
      <c r="F155" s="8">
        <v>7.8</v>
      </c>
      <c r="G155" s="7">
        <v>22713</v>
      </c>
      <c r="H155" s="9">
        <f t="shared" si="2"/>
        <v>1707</v>
      </c>
    </row>
    <row r="156" spans="1:8" x14ac:dyDescent="0.3">
      <c r="A156" s="5">
        <v>45712</v>
      </c>
      <c r="B156" s="6" t="s">
        <v>9</v>
      </c>
      <c r="C156" s="7">
        <v>861</v>
      </c>
      <c r="D156" s="7">
        <v>153</v>
      </c>
      <c r="E156" s="7">
        <v>317007</v>
      </c>
      <c r="F156" s="8">
        <v>3.85</v>
      </c>
      <c r="G156" s="7">
        <v>8718</v>
      </c>
      <c r="H156" s="9">
        <f t="shared" si="2"/>
        <v>708</v>
      </c>
    </row>
    <row r="157" spans="1:8" x14ac:dyDescent="0.3">
      <c r="A157" s="5">
        <v>45712</v>
      </c>
      <c r="B157" s="6" t="s">
        <v>10</v>
      </c>
      <c r="C157" s="7">
        <v>1063</v>
      </c>
      <c r="D157" s="7">
        <v>47</v>
      </c>
      <c r="E157" s="7">
        <v>464239</v>
      </c>
      <c r="F157" s="8">
        <v>6.58</v>
      </c>
      <c r="G157" s="7">
        <v>39031</v>
      </c>
      <c r="H157" s="9">
        <f t="shared" si="2"/>
        <v>1016</v>
      </c>
    </row>
    <row r="158" spans="1:8" x14ac:dyDescent="0.3">
      <c r="A158" s="5">
        <v>45719</v>
      </c>
      <c r="B158" s="6" t="s">
        <v>7</v>
      </c>
      <c r="C158" s="7">
        <v>1371</v>
      </c>
      <c r="D158" s="7">
        <v>56</v>
      </c>
      <c r="E158" s="7">
        <v>257579</v>
      </c>
      <c r="F158" s="8">
        <v>8.6199999999999992</v>
      </c>
      <c r="G158" s="7">
        <v>33799</v>
      </c>
      <c r="H158" s="9">
        <f t="shared" si="2"/>
        <v>1315</v>
      </c>
    </row>
    <row r="159" spans="1:8" x14ac:dyDescent="0.3">
      <c r="A159" s="5">
        <v>45719</v>
      </c>
      <c r="B159" s="6" t="s">
        <v>8</v>
      </c>
      <c r="C159" s="7">
        <v>345</v>
      </c>
      <c r="D159" s="7">
        <v>464</v>
      </c>
      <c r="E159" s="7">
        <v>366881</v>
      </c>
      <c r="F159" s="8">
        <v>4.55</v>
      </c>
      <c r="G159" s="7">
        <v>20553</v>
      </c>
      <c r="H159" s="9">
        <f t="shared" si="2"/>
        <v>-119</v>
      </c>
    </row>
    <row r="160" spans="1:8" x14ac:dyDescent="0.3">
      <c r="A160" s="5">
        <v>45719</v>
      </c>
      <c r="B160" s="6" t="s">
        <v>9</v>
      </c>
      <c r="C160" s="7">
        <v>946</v>
      </c>
      <c r="D160" s="7">
        <v>47</v>
      </c>
      <c r="E160" s="7">
        <v>466575</v>
      </c>
      <c r="F160" s="8">
        <v>8.33</v>
      </c>
      <c r="G160" s="7">
        <v>10002</v>
      </c>
      <c r="H160" s="9">
        <f t="shared" si="2"/>
        <v>899</v>
      </c>
    </row>
    <row r="161" spans="1:8" x14ac:dyDescent="0.3">
      <c r="A161" s="5">
        <v>45719</v>
      </c>
      <c r="B161" s="6" t="s">
        <v>10</v>
      </c>
      <c r="C161" s="7">
        <v>510</v>
      </c>
      <c r="D161" s="7">
        <v>195</v>
      </c>
      <c r="E161" s="7">
        <v>224534</v>
      </c>
      <c r="F161" s="8">
        <v>9.4</v>
      </c>
      <c r="G161" s="7">
        <v>30987</v>
      </c>
      <c r="H161" s="9">
        <f t="shared" si="2"/>
        <v>315</v>
      </c>
    </row>
    <row r="162" spans="1:8" x14ac:dyDescent="0.3">
      <c r="A162" s="5">
        <v>45726</v>
      </c>
      <c r="B162" s="6" t="s">
        <v>7</v>
      </c>
      <c r="C162" s="7">
        <v>393</v>
      </c>
      <c r="D162" s="7">
        <v>181</v>
      </c>
      <c r="E162" s="7">
        <v>462142</v>
      </c>
      <c r="F162" s="8">
        <v>7.23</v>
      </c>
      <c r="G162" s="7">
        <v>6296</v>
      </c>
      <c r="H162" s="9">
        <f t="shared" si="2"/>
        <v>212</v>
      </c>
    </row>
    <row r="163" spans="1:8" x14ac:dyDescent="0.3">
      <c r="A163" s="5">
        <v>45726</v>
      </c>
      <c r="B163" s="6" t="s">
        <v>8</v>
      </c>
      <c r="C163" s="7">
        <v>1098</v>
      </c>
      <c r="D163" s="7">
        <v>190</v>
      </c>
      <c r="E163" s="7">
        <v>340842</v>
      </c>
      <c r="F163" s="8">
        <v>9.39</v>
      </c>
      <c r="G163" s="7">
        <v>21539</v>
      </c>
      <c r="H163" s="9">
        <f t="shared" si="2"/>
        <v>908</v>
      </c>
    </row>
    <row r="164" spans="1:8" x14ac:dyDescent="0.3">
      <c r="A164" s="5">
        <v>45726</v>
      </c>
      <c r="B164" s="6" t="s">
        <v>9</v>
      </c>
      <c r="C164" s="7">
        <v>1399</v>
      </c>
      <c r="D164" s="7">
        <v>49</v>
      </c>
      <c r="E164" s="7">
        <v>12471</v>
      </c>
      <c r="F164" s="8">
        <v>5.12</v>
      </c>
      <c r="G164" s="7">
        <v>14722</v>
      </c>
      <c r="H164" s="9">
        <f t="shared" si="2"/>
        <v>1350</v>
      </c>
    </row>
    <row r="165" spans="1:8" x14ac:dyDescent="0.3">
      <c r="A165" s="5">
        <v>45726</v>
      </c>
      <c r="B165" s="6" t="s">
        <v>10</v>
      </c>
      <c r="C165" s="7">
        <v>1658</v>
      </c>
      <c r="D165" s="7">
        <v>416</v>
      </c>
      <c r="E165" s="7">
        <v>98397</v>
      </c>
      <c r="F165" s="8">
        <v>6.11</v>
      </c>
      <c r="G165" s="7">
        <v>11383</v>
      </c>
      <c r="H165" s="9">
        <f t="shared" si="2"/>
        <v>1242</v>
      </c>
    </row>
    <row r="166" spans="1:8" x14ac:dyDescent="0.3">
      <c r="A166" s="5">
        <v>45733</v>
      </c>
      <c r="B166" s="6" t="s">
        <v>7</v>
      </c>
      <c r="C166" s="7">
        <v>1102</v>
      </c>
      <c r="D166" s="7">
        <v>422</v>
      </c>
      <c r="E166" s="7">
        <v>410330</v>
      </c>
      <c r="F166" s="8">
        <v>7.74</v>
      </c>
      <c r="G166" s="7">
        <v>9480</v>
      </c>
      <c r="H166" s="9">
        <f t="shared" si="2"/>
        <v>680</v>
      </c>
    </row>
    <row r="167" spans="1:8" x14ac:dyDescent="0.3">
      <c r="A167" s="5">
        <v>45733</v>
      </c>
      <c r="B167" s="6" t="s">
        <v>8</v>
      </c>
      <c r="C167" s="7">
        <v>1358</v>
      </c>
      <c r="D167" s="7">
        <v>242</v>
      </c>
      <c r="E167" s="7">
        <v>342129</v>
      </c>
      <c r="F167" s="8">
        <v>4.9400000000000004</v>
      </c>
      <c r="G167" s="7">
        <v>29116</v>
      </c>
      <c r="H167" s="9">
        <f t="shared" si="2"/>
        <v>1116</v>
      </c>
    </row>
    <row r="168" spans="1:8" x14ac:dyDescent="0.3">
      <c r="A168" s="5">
        <v>45733</v>
      </c>
      <c r="B168" s="6" t="s">
        <v>9</v>
      </c>
      <c r="C168" s="7">
        <v>1077</v>
      </c>
      <c r="D168" s="7">
        <v>216</v>
      </c>
      <c r="E168" s="7">
        <v>12447</v>
      </c>
      <c r="F168" s="8">
        <v>1.8</v>
      </c>
      <c r="G168" s="7">
        <v>14068</v>
      </c>
      <c r="H168" s="9">
        <f t="shared" si="2"/>
        <v>861</v>
      </c>
    </row>
    <row r="169" spans="1:8" x14ac:dyDescent="0.3">
      <c r="A169" s="5">
        <v>45733</v>
      </c>
      <c r="B169" s="6" t="s">
        <v>10</v>
      </c>
      <c r="C169" s="7">
        <v>1596</v>
      </c>
      <c r="D169" s="7">
        <v>211</v>
      </c>
      <c r="E169" s="7">
        <v>17380</v>
      </c>
      <c r="F169" s="8">
        <v>8.64</v>
      </c>
      <c r="G169" s="7">
        <v>35801</v>
      </c>
      <c r="H169" s="9">
        <f t="shared" si="2"/>
        <v>1385</v>
      </c>
    </row>
    <row r="170" spans="1:8" x14ac:dyDescent="0.3">
      <c r="A170" s="5">
        <v>45740</v>
      </c>
      <c r="B170" s="6" t="s">
        <v>7</v>
      </c>
      <c r="C170" s="7">
        <v>490</v>
      </c>
      <c r="D170" s="7">
        <v>29</v>
      </c>
      <c r="E170" s="7">
        <v>364810</v>
      </c>
      <c r="F170" s="8">
        <v>1.53</v>
      </c>
      <c r="G170" s="7">
        <v>49077</v>
      </c>
      <c r="H170" s="9">
        <f t="shared" si="2"/>
        <v>461</v>
      </c>
    </row>
    <row r="171" spans="1:8" x14ac:dyDescent="0.3">
      <c r="A171" s="5">
        <v>45740</v>
      </c>
      <c r="B171" s="6" t="s">
        <v>8</v>
      </c>
      <c r="C171" s="7">
        <v>609</v>
      </c>
      <c r="D171" s="7">
        <v>135</v>
      </c>
      <c r="E171" s="7">
        <v>373606</v>
      </c>
      <c r="F171" s="8">
        <v>8.52</v>
      </c>
      <c r="G171" s="7">
        <v>21453</v>
      </c>
      <c r="H171" s="9">
        <f t="shared" si="2"/>
        <v>474</v>
      </c>
    </row>
    <row r="172" spans="1:8" x14ac:dyDescent="0.3">
      <c r="A172" s="5">
        <v>45740</v>
      </c>
      <c r="B172" s="6" t="s">
        <v>9</v>
      </c>
      <c r="C172" s="7">
        <v>364</v>
      </c>
      <c r="D172" s="7">
        <v>72</v>
      </c>
      <c r="E172" s="7">
        <v>211090</v>
      </c>
      <c r="F172" s="8">
        <v>5.53</v>
      </c>
      <c r="G172" s="7">
        <v>21061</v>
      </c>
      <c r="H172" s="9">
        <f t="shared" si="2"/>
        <v>292</v>
      </c>
    </row>
    <row r="173" spans="1:8" x14ac:dyDescent="0.3">
      <c r="A173" s="5">
        <v>45740</v>
      </c>
      <c r="B173" s="6" t="s">
        <v>10</v>
      </c>
      <c r="C173" s="7">
        <v>442</v>
      </c>
      <c r="D173" s="7">
        <v>53</v>
      </c>
      <c r="E173" s="7">
        <v>441931</v>
      </c>
      <c r="F173" s="8">
        <v>1.87</v>
      </c>
      <c r="G173" s="7">
        <v>20059</v>
      </c>
      <c r="H173" s="9">
        <f t="shared" si="2"/>
        <v>389</v>
      </c>
    </row>
    <row r="174" spans="1:8" x14ac:dyDescent="0.3">
      <c r="A174" s="5">
        <v>45747</v>
      </c>
      <c r="B174" s="6" t="s">
        <v>7</v>
      </c>
      <c r="C174" s="7">
        <v>1033</v>
      </c>
      <c r="D174" s="7">
        <v>392</v>
      </c>
      <c r="E174" s="7">
        <v>282780</v>
      </c>
      <c r="F174" s="8">
        <v>6.27</v>
      </c>
      <c r="G174" s="7">
        <v>23140</v>
      </c>
      <c r="H174" s="9">
        <f t="shared" si="2"/>
        <v>641</v>
      </c>
    </row>
    <row r="175" spans="1:8" x14ac:dyDescent="0.3">
      <c r="A175" s="5">
        <v>45747</v>
      </c>
      <c r="B175" s="6" t="s">
        <v>8</v>
      </c>
      <c r="C175" s="7">
        <v>988</v>
      </c>
      <c r="D175" s="7">
        <v>474</v>
      </c>
      <c r="E175" s="7">
        <v>370070</v>
      </c>
      <c r="F175" s="8">
        <v>9.4600000000000009</v>
      </c>
      <c r="G175" s="7">
        <v>23461</v>
      </c>
      <c r="H175" s="9">
        <f t="shared" si="2"/>
        <v>514</v>
      </c>
    </row>
    <row r="176" spans="1:8" x14ac:dyDescent="0.3">
      <c r="A176" s="5">
        <v>45747</v>
      </c>
      <c r="B176" s="6" t="s">
        <v>9</v>
      </c>
      <c r="C176" s="7">
        <v>1946</v>
      </c>
      <c r="D176" s="7">
        <v>270</v>
      </c>
      <c r="E176" s="7">
        <v>198350</v>
      </c>
      <c r="F176" s="8">
        <v>7.5</v>
      </c>
      <c r="G176" s="7">
        <v>11805</v>
      </c>
      <c r="H176" s="9">
        <f t="shared" si="2"/>
        <v>1676</v>
      </c>
    </row>
    <row r="177" spans="1:8" x14ac:dyDescent="0.3">
      <c r="A177" s="5">
        <v>45747</v>
      </c>
      <c r="B177" s="6" t="s">
        <v>10</v>
      </c>
      <c r="C177" s="7">
        <v>1957</v>
      </c>
      <c r="D177" s="7">
        <v>490</v>
      </c>
      <c r="E177" s="7">
        <v>435726</v>
      </c>
      <c r="F177" s="8">
        <v>4.7300000000000004</v>
      </c>
      <c r="G177" s="7">
        <v>15969</v>
      </c>
      <c r="H177" s="9">
        <f t="shared" si="2"/>
        <v>1467</v>
      </c>
    </row>
    <row r="178" spans="1:8" x14ac:dyDescent="0.3">
      <c r="A178" s="5">
        <v>45754</v>
      </c>
      <c r="B178" s="6" t="s">
        <v>7</v>
      </c>
      <c r="C178" s="7">
        <v>559</v>
      </c>
      <c r="D178" s="7">
        <v>392</v>
      </c>
      <c r="E178" s="7">
        <v>78789</v>
      </c>
      <c r="F178" s="8">
        <v>3.19</v>
      </c>
      <c r="G178" s="7">
        <v>2436</v>
      </c>
      <c r="H178" s="9">
        <f t="shared" si="2"/>
        <v>167</v>
      </c>
    </row>
    <row r="179" spans="1:8" x14ac:dyDescent="0.3">
      <c r="A179" s="5">
        <v>45754</v>
      </c>
      <c r="B179" s="6" t="s">
        <v>8</v>
      </c>
      <c r="C179" s="7">
        <v>1307</v>
      </c>
      <c r="D179" s="7">
        <v>278</v>
      </c>
      <c r="E179" s="7">
        <v>98596</v>
      </c>
      <c r="F179" s="8">
        <v>2.4900000000000002</v>
      </c>
      <c r="G179" s="7">
        <v>47603</v>
      </c>
      <c r="H179" s="9">
        <f t="shared" si="2"/>
        <v>1029</v>
      </c>
    </row>
    <row r="180" spans="1:8" x14ac:dyDescent="0.3">
      <c r="A180" s="5">
        <v>45754</v>
      </c>
      <c r="B180" s="6" t="s">
        <v>9</v>
      </c>
      <c r="C180" s="7">
        <v>1432</v>
      </c>
      <c r="D180" s="7">
        <v>425</v>
      </c>
      <c r="E180" s="7">
        <v>29589</v>
      </c>
      <c r="F180" s="8">
        <v>4.5</v>
      </c>
      <c r="G180" s="7">
        <v>42964</v>
      </c>
      <c r="H180" s="9">
        <f t="shared" si="2"/>
        <v>1007</v>
      </c>
    </row>
    <row r="181" spans="1:8" x14ac:dyDescent="0.3">
      <c r="A181" s="5">
        <v>45754</v>
      </c>
      <c r="B181" s="6" t="s">
        <v>10</v>
      </c>
      <c r="C181" s="7">
        <v>623</v>
      </c>
      <c r="D181" s="7">
        <v>414</v>
      </c>
      <c r="E181" s="7">
        <v>290354</v>
      </c>
      <c r="F181" s="8">
        <v>6.49</v>
      </c>
      <c r="G181" s="7">
        <v>39923</v>
      </c>
      <c r="H181" s="9">
        <f t="shared" si="2"/>
        <v>209</v>
      </c>
    </row>
    <row r="182" spans="1:8" x14ac:dyDescent="0.3">
      <c r="A182" s="5">
        <v>45761</v>
      </c>
      <c r="B182" s="6" t="s">
        <v>7</v>
      </c>
      <c r="C182" s="7">
        <v>198</v>
      </c>
      <c r="D182" s="7">
        <v>358</v>
      </c>
      <c r="E182" s="7">
        <v>66682</v>
      </c>
      <c r="F182" s="8">
        <v>6.73</v>
      </c>
      <c r="G182" s="7">
        <v>2293</v>
      </c>
      <c r="H182" s="9">
        <f t="shared" si="2"/>
        <v>-160</v>
      </c>
    </row>
    <row r="183" spans="1:8" x14ac:dyDescent="0.3">
      <c r="A183" s="5">
        <v>45761</v>
      </c>
      <c r="B183" s="6" t="s">
        <v>8</v>
      </c>
      <c r="C183" s="7">
        <v>198</v>
      </c>
      <c r="D183" s="7">
        <v>373</v>
      </c>
      <c r="E183" s="7">
        <v>70707</v>
      </c>
      <c r="F183" s="8">
        <v>4.83</v>
      </c>
      <c r="G183" s="7">
        <v>25920</v>
      </c>
      <c r="H183" s="9">
        <f t="shared" si="2"/>
        <v>-175</v>
      </c>
    </row>
    <row r="184" spans="1:8" x14ac:dyDescent="0.3">
      <c r="A184" s="5">
        <v>45761</v>
      </c>
      <c r="B184" s="6" t="s">
        <v>9</v>
      </c>
      <c r="C184" s="7">
        <v>353</v>
      </c>
      <c r="D184" s="7">
        <v>300</v>
      </c>
      <c r="E184" s="7">
        <v>142507</v>
      </c>
      <c r="F184" s="8">
        <v>5.3</v>
      </c>
      <c r="G184" s="7">
        <v>11035</v>
      </c>
      <c r="H184" s="9">
        <f t="shared" si="2"/>
        <v>53</v>
      </c>
    </row>
    <row r="185" spans="1:8" x14ac:dyDescent="0.3">
      <c r="A185" s="5">
        <v>45761</v>
      </c>
      <c r="B185" s="6" t="s">
        <v>10</v>
      </c>
      <c r="C185" s="7">
        <v>520</v>
      </c>
      <c r="D185" s="7">
        <v>375</v>
      </c>
      <c r="E185" s="7">
        <v>369525</v>
      </c>
      <c r="F185" s="8">
        <v>6.54</v>
      </c>
      <c r="G185" s="7">
        <v>20733</v>
      </c>
      <c r="H185" s="9">
        <f t="shared" si="2"/>
        <v>145</v>
      </c>
    </row>
    <row r="186" spans="1:8" x14ac:dyDescent="0.3">
      <c r="A186" s="5">
        <v>45768</v>
      </c>
      <c r="B186" s="6" t="s">
        <v>7</v>
      </c>
      <c r="C186" s="7">
        <v>961</v>
      </c>
      <c r="D186" s="7">
        <v>358</v>
      </c>
      <c r="E186" s="7">
        <v>62942</v>
      </c>
      <c r="F186" s="8">
        <v>6.8</v>
      </c>
      <c r="G186" s="7">
        <v>18693</v>
      </c>
      <c r="H186" s="9">
        <f t="shared" si="2"/>
        <v>603</v>
      </c>
    </row>
    <row r="187" spans="1:8" x14ac:dyDescent="0.3">
      <c r="A187" s="5">
        <v>45768</v>
      </c>
      <c r="B187" s="6" t="s">
        <v>8</v>
      </c>
      <c r="C187" s="7">
        <v>1375</v>
      </c>
      <c r="D187" s="7">
        <v>330</v>
      </c>
      <c r="E187" s="7">
        <v>377382</v>
      </c>
      <c r="F187" s="8">
        <v>2.6</v>
      </c>
      <c r="G187" s="7">
        <v>7875</v>
      </c>
      <c r="H187" s="9">
        <f t="shared" si="2"/>
        <v>1045</v>
      </c>
    </row>
    <row r="188" spans="1:8" x14ac:dyDescent="0.3">
      <c r="A188" s="5">
        <v>45768</v>
      </c>
      <c r="B188" s="6" t="s">
        <v>9</v>
      </c>
      <c r="C188" s="7">
        <v>1147</v>
      </c>
      <c r="D188" s="7">
        <v>388</v>
      </c>
      <c r="E188" s="7">
        <v>333851</v>
      </c>
      <c r="F188" s="8">
        <v>2.44</v>
      </c>
      <c r="G188" s="7">
        <v>8471</v>
      </c>
      <c r="H188" s="9">
        <f t="shared" si="2"/>
        <v>759</v>
      </c>
    </row>
    <row r="189" spans="1:8" x14ac:dyDescent="0.3">
      <c r="A189" s="5">
        <v>45768</v>
      </c>
      <c r="B189" s="6" t="s">
        <v>10</v>
      </c>
      <c r="C189" s="7">
        <v>1707</v>
      </c>
      <c r="D189" s="7">
        <v>74</v>
      </c>
      <c r="E189" s="7">
        <v>270958</v>
      </c>
      <c r="F189" s="8">
        <v>3.09</v>
      </c>
      <c r="G189" s="7">
        <v>14090</v>
      </c>
      <c r="H189" s="9">
        <f t="shared" si="2"/>
        <v>1633</v>
      </c>
    </row>
    <row r="190" spans="1:8" x14ac:dyDescent="0.3">
      <c r="A190" s="5">
        <v>45775</v>
      </c>
      <c r="B190" s="6" t="s">
        <v>7</v>
      </c>
      <c r="C190" s="7">
        <v>1693</v>
      </c>
      <c r="D190" s="7">
        <v>154</v>
      </c>
      <c r="E190" s="7">
        <v>445944</v>
      </c>
      <c r="F190" s="8">
        <v>5.69</v>
      </c>
      <c r="G190" s="7">
        <v>14216</v>
      </c>
      <c r="H190" s="9">
        <f t="shared" si="2"/>
        <v>1539</v>
      </c>
    </row>
    <row r="191" spans="1:8" x14ac:dyDescent="0.3">
      <c r="A191" s="5">
        <v>45775</v>
      </c>
      <c r="B191" s="6" t="s">
        <v>8</v>
      </c>
      <c r="C191" s="7">
        <v>833</v>
      </c>
      <c r="D191" s="7">
        <v>380</v>
      </c>
      <c r="E191" s="7">
        <v>224830</v>
      </c>
      <c r="F191" s="8">
        <v>3.86</v>
      </c>
      <c r="G191" s="7">
        <v>3582</v>
      </c>
      <c r="H191" s="9">
        <f t="shared" si="2"/>
        <v>453</v>
      </c>
    </row>
    <row r="192" spans="1:8" x14ac:dyDescent="0.3">
      <c r="A192" s="5">
        <v>45775</v>
      </c>
      <c r="B192" s="6" t="s">
        <v>9</v>
      </c>
      <c r="C192" s="7">
        <v>1222</v>
      </c>
      <c r="D192" s="7">
        <v>274</v>
      </c>
      <c r="E192" s="7">
        <v>487289</v>
      </c>
      <c r="F192" s="8">
        <v>3.16</v>
      </c>
      <c r="G192" s="7">
        <v>32500</v>
      </c>
      <c r="H192" s="9">
        <f t="shared" si="2"/>
        <v>948</v>
      </c>
    </row>
    <row r="193" spans="1:8" x14ac:dyDescent="0.3">
      <c r="A193" s="5">
        <v>45775</v>
      </c>
      <c r="B193" s="6" t="s">
        <v>10</v>
      </c>
      <c r="C193" s="7">
        <v>777</v>
      </c>
      <c r="D193" s="7">
        <v>140</v>
      </c>
      <c r="E193" s="7">
        <v>11435</v>
      </c>
      <c r="F193" s="8">
        <v>1.6</v>
      </c>
      <c r="G193" s="7">
        <v>6832</v>
      </c>
      <c r="H193" s="9">
        <f t="shared" si="2"/>
        <v>637</v>
      </c>
    </row>
    <row r="194" spans="1:8" x14ac:dyDescent="0.3">
      <c r="A194" s="5">
        <v>45782</v>
      </c>
      <c r="B194" s="6" t="s">
        <v>7</v>
      </c>
      <c r="C194" s="7">
        <v>1957</v>
      </c>
      <c r="D194" s="7">
        <v>76</v>
      </c>
      <c r="E194" s="7">
        <v>447902</v>
      </c>
      <c r="F194" s="8">
        <v>6.09</v>
      </c>
      <c r="G194" s="7">
        <v>33381</v>
      </c>
      <c r="H194" s="9">
        <f t="shared" si="2"/>
        <v>1881</v>
      </c>
    </row>
    <row r="195" spans="1:8" x14ac:dyDescent="0.3">
      <c r="A195" s="5">
        <v>45782</v>
      </c>
      <c r="B195" s="6" t="s">
        <v>8</v>
      </c>
      <c r="C195" s="7">
        <v>405</v>
      </c>
      <c r="D195" s="7">
        <v>66</v>
      </c>
      <c r="E195" s="7">
        <v>418696</v>
      </c>
      <c r="F195" s="8">
        <v>5.59</v>
      </c>
      <c r="G195" s="7">
        <v>48419</v>
      </c>
      <c r="H195" s="9">
        <f t="shared" ref="H195:H201" si="3">C195-D195</f>
        <v>339</v>
      </c>
    </row>
    <row r="196" spans="1:8" x14ac:dyDescent="0.3">
      <c r="A196" s="5">
        <v>45782</v>
      </c>
      <c r="B196" s="6" t="s">
        <v>9</v>
      </c>
      <c r="C196" s="7">
        <v>1581</v>
      </c>
      <c r="D196" s="7">
        <v>71</v>
      </c>
      <c r="E196" s="7">
        <v>484364</v>
      </c>
      <c r="F196" s="8">
        <v>3.55</v>
      </c>
      <c r="G196" s="7">
        <v>16149</v>
      </c>
      <c r="H196" s="9">
        <f t="shared" si="3"/>
        <v>1510</v>
      </c>
    </row>
    <row r="197" spans="1:8" x14ac:dyDescent="0.3">
      <c r="A197" s="5">
        <v>45782</v>
      </c>
      <c r="B197" s="6" t="s">
        <v>10</v>
      </c>
      <c r="C197" s="7">
        <v>1035</v>
      </c>
      <c r="D197" s="7">
        <v>171</v>
      </c>
      <c r="E197" s="7">
        <v>148477</v>
      </c>
      <c r="F197" s="8">
        <v>5.21</v>
      </c>
      <c r="G197" s="7">
        <v>7541</v>
      </c>
      <c r="H197" s="9">
        <f t="shared" si="3"/>
        <v>864</v>
      </c>
    </row>
    <row r="198" spans="1:8" x14ac:dyDescent="0.3">
      <c r="A198" s="5">
        <v>45789</v>
      </c>
      <c r="B198" s="6" t="s">
        <v>7</v>
      </c>
      <c r="C198" s="7">
        <v>1765</v>
      </c>
      <c r="D198" s="7">
        <v>109</v>
      </c>
      <c r="E198" s="7">
        <v>468301</v>
      </c>
      <c r="F198" s="8">
        <v>1.82</v>
      </c>
      <c r="G198" s="7">
        <v>20042</v>
      </c>
      <c r="H198" s="9">
        <f t="shared" si="3"/>
        <v>1656</v>
      </c>
    </row>
    <row r="199" spans="1:8" x14ac:dyDescent="0.3">
      <c r="A199" s="5">
        <v>45789</v>
      </c>
      <c r="B199" s="6" t="s">
        <v>8</v>
      </c>
      <c r="C199" s="7">
        <v>837</v>
      </c>
      <c r="D199" s="7">
        <v>430</v>
      </c>
      <c r="E199" s="7">
        <v>364820</v>
      </c>
      <c r="F199" s="8">
        <v>4</v>
      </c>
      <c r="G199" s="7">
        <v>49400</v>
      </c>
      <c r="H199" s="9">
        <f t="shared" si="3"/>
        <v>407</v>
      </c>
    </row>
    <row r="200" spans="1:8" x14ac:dyDescent="0.3">
      <c r="A200" s="5">
        <v>45789</v>
      </c>
      <c r="B200" s="6" t="s">
        <v>9</v>
      </c>
      <c r="C200" s="7">
        <v>337</v>
      </c>
      <c r="D200" s="7">
        <v>68</v>
      </c>
      <c r="E200" s="7">
        <v>456298</v>
      </c>
      <c r="F200" s="8">
        <v>7.57</v>
      </c>
      <c r="G200" s="7">
        <v>4007</v>
      </c>
      <c r="H200" s="9">
        <f t="shared" si="3"/>
        <v>269</v>
      </c>
    </row>
    <row r="201" spans="1:8" x14ac:dyDescent="0.3">
      <c r="A201" s="5">
        <v>45789</v>
      </c>
      <c r="B201" s="6" t="s">
        <v>10</v>
      </c>
      <c r="C201" s="7">
        <v>119</v>
      </c>
      <c r="D201" s="7">
        <v>456</v>
      </c>
      <c r="E201" s="7">
        <v>82558</v>
      </c>
      <c r="F201" s="8">
        <v>6.81</v>
      </c>
      <c r="G201" s="7">
        <v>12174</v>
      </c>
      <c r="H201" s="9">
        <f t="shared" si="3"/>
        <v>-337</v>
      </c>
    </row>
  </sheetData>
  <mergeCells count="1">
    <mergeCell ref="K2:M2"/>
  </mergeCells>
  <conditionalFormatting pivot="1" sqref="L5:P54">
    <cfRule type="expression" dxfId="1" priority="1">
      <formula>$P5=MAX($P$5:$P$54)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DC89-9C6E-4CDF-9FD5-D907106B9DD5}">
  <dimension ref="A1:K53"/>
  <sheetViews>
    <sheetView workbookViewId="0">
      <selection activeCell="K37" sqref="K37"/>
    </sheetView>
  </sheetViews>
  <sheetFormatPr defaultRowHeight="14.4" x14ac:dyDescent="0.3"/>
  <cols>
    <col min="1" max="1" width="15.5546875" customWidth="1"/>
    <col min="2" max="2" width="9.109375" customWidth="1"/>
    <col min="3" max="3" width="9.44140625" bestFit="1" customWidth="1"/>
    <col min="4" max="4" width="6.88671875" bestFit="1" customWidth="1"/>
    <col min="5" max="5" width="8.109375" bestFit="1" customWidth="1"/>
    <col min="6" max="6" width="10.77734375" bestFit="1" customWidth="1"/>
    <col min="7" max="7" width="11.44140625" customWidth="1"/>
  </cols>
  <sheetData>
    <row r="1" spans="1:6" x14ac:dyDescent="0.3">
      <c r="A1" s="10" t="s">
        <v>15</v>
      </c>
      <c r="B1" s="10" t="s">
        <v>14</v>
      </c>
    </row>
    <row r="2" spans="1:6" x14ac:dyDescent="0.3">
      <c r="A2" s="10" t="s">
        <v>12</v>
      </c>
      <c r="B2" t="s">
        <v>8</v>
      </c>
      <c r="C2" t="s">
        <v>7</v>
      </c>
      <c r="D2" t="s">
        <v>9</v>
      </c>
      <c r="E2" t="s">
        <v>10</v>
      </c>
      <c r="F2" t="s">
        <v>13</v>
      </c>
    </row>
    <row r="3" spans="1:6" x14ac:dyDescent="0.3">
      <c r="A3" s="11">
        <v>45446</v>
      </c>
      <c r="B3" s="9">
        <v>1002</v>
      </c>
      <c r="C3" s="9">
        <v>1047</v>
      </c>
      <c r="D3" s="9">
        <v>415</v>
      </c>
      <c r="E3" s="9">
        <v>1090</v>
      </c>
      <c r="F3" s="9">
        <v>3554</v>
      </c>
    </row>
    <row r="4" spans="1:6" x14ac:dyDescent="0.3">
      <c r="A4" s="11">
        <v>45453</v>
      </c>
      <c r="B4" s="9">
        <v>1283</v>
      </c>
      <c r="C4" s="9">
        <v>517</v>
      </c>
      <c r="D4" s="9">
        <v>186</v>
      </c>
      <c r="E4" s="9">
        <v>994</v>
      </c>
      <c r="F4" s="9">
        <v>2980</v>
      </c>
    </row>
    <row r="5" spans="1:6" x14ac:dyDescent="0.3">
      <c r="A5" s="11">
        <v>45460</v>
      </c>
      <c r="B5" s="9">
        <v>1382</v>
      </c>
      <c r="C5" s="9">
        <v>893</v>
      </c>
      <c r="D5" s="9">
        <v>1295</v>
      </c>
      <c r="E5" s="9">
        <v>337</v>
      </c>
      <c r="F5" s="9">
        <v>3907</v>
      </c>
    </row>
    <row r="6" spans="1:6" x14ac:dyDescent="0.3">
      <c r="A6" s="11">
        <v>45467</v>
      </c>
      <c r="B6" s="9">
        <v>1670</v>
      </c>
      <c r="C6" s="9">
        <v>629</v>
      </c>
      <c r="D6" s="9">
        <v>835</v>
      </c>
      <c r="E6" s="9">
        <v>-123</v>
      </c>
      <c r="F6" s="9">
        <v>3011</v>
      </c>
    </row>
    <row r="7" spans="1:6" x14ac:dyDescent="0.3">
      <c r="A7" s="11">
        <v>45474</v>
      </c>
      <c r="B7" s="9">
        <v>64</v>
      </c>
      <c r="C7" s="9">
        <v>-219</v>
      </c>
      <c r="D7" s="9">
        <v>1357</v>
      </c>
      <c r="E7" s="9">
        <v>91</v>
      </c>
      <c r="F7" s="9">
        <v>1293</v>
      </c>
    </row>
    <row r="8" spans="1:6" x14ac:dyDescent="0.3">
      <c r="A8" s="11">
        <v>45481</v>
      </c>
      <c r="B8" s="9">
        <v>309</v>
      </c>
      <c r="C8" s="9">
        <v>1672</v>
      </c>
      <c r="D8" s="9">
        <v>547</v>
      </c>
      <c r="E8" s="9">
        <v>514</v>
      </c>
      <c r="F8" s="9">
        <v>3042</v>
      </c>
    </row>
    <row r="9" spans="1:6" x14ac:dyDescent="0.3">
      <c r="A9" s="11">
        <v>45488</v>
      </c>
      <c r="B9" s="9">
        <v>-164</v>
      </c>
      <c r="C9" s="9">
        <v>1845</v>
      </c>
      <c r="D9" s="9">
        <v>429</v>
      </c>
      <c r="E9" s="9">
        <v>160</v>
      </c>
      <c r="F9" s="9">
        <v>2270</v>
      </c>
    </row>
    <row r="10" spans="1:6" x14ac:dyDescent="0.3">
      <c r="A10" s="11">
        <v>45495</v>
      </c>
      <c r="B10" s="9">
        <v>961</v>
      </c>
      <c r="C10" s="9">
        <v>159</v>
      </c>
      <c r="D10" s="9">
        <v>1316</v>
      </c>
      <c r="E10" s="9">
        <v>317</v>
      </c>
      <c r="F10" s="9">
        <v>2753</v>
      </c>
    </row>
    <row r="11" spans="1:6" x14ac:dyDescent="0.3">
      <c r="A11" s="11">
        <v>45502</v>
      </c>
      <c r="B11" s="9">
        <v>-318</v>
      </c>
      <c r="C11" s="9">
        <v>541</v>
      </c>
      <c r="D11" s="9">
        <v>1495</v>
      </c>
      <c r="E11" s="9">
        <v>475</v>
      </c>
      <c r="F11" s="9">
        <v>2193</v>
      </c>
    </row>
    <row r="12" spans="1:6" x14ac:dyDescent="0.3">
      <c r="A12" s="11">
        <v>45509</v>
      </c>
      <c r="B12" s="9">
        <v>-197</v>
      </c>
      <c r="C12" s="9">
        <v>352</v>
      </c>
      <c r="D12" s="9">
        <v>328</v>
      </c>
      <c r="E12" s="9">
        <v>319</v>
      </c>
      <c r="F12" s="9">
        <v>802</v>
      </c>
    </row>
    <row r="13" spans="1:6" x14ac:dyDescent="0.3">
      <c r="A13" s="11">
        <v>45516</v>
      </c>
      <c r="B13" s="9">
        <v>1334</v>
      </c>
      <c r="C13" s="9">
        <v>1325</v>
      </c>
      <c r="D13" s="9">
        <v>37</v>
      </c>
      <c r="E13" s="9">
        <v>1032</v>
      </c>
      <c r="F13" s="9">
        <v>3728</v>
      </c>
    </row>
    <row r="14" spans="1:6" x14ac:dyDescent="0.3">
      <c r="A14" s="11">
        <v>45523</v>
      </c>
      <c r="B14" s="9">
        <v>1058</v>
      </c>
      <c r="C14" s="9">
        <v>76</v>
      </c>
      <c r="D14" s="9">
        <v>1665</v>
      </c>
      <c r="E14" s="9">
        <v>190</v>
      </c>
      <c r="F14" s="9">
        <v>2989</v>
      </c>
    </row>
    <row r="15" spans="1:6" x14ac:dyDescent="0.3">
      <c r="A15" s="11">
        <v>45530</v>
      </c>
      <c r="B15" s="9">
        <v>37</v>
      </c>
      <c r="C15" s="9">
        <v>1609</v>
      </c>
      <c r="D15" s="9">
        <v>1229</v>
      </c>
      <c r="E15" s="9">
        <v>28</v>
      </c>
      <c r="F15" s="9">
        <v>2903</v>
      </c>
    </row>
    <row r="16" spans="1:6" x14ac:dyDescent="0.3">
      <c r="A16" s="11">
        <v>45537</v>
      </c>
      <c r="B16" s="9">
        <v>1045</v>
      </c>
      <c r="C16" s="9">
        <v>1247</v>
      </c>
      <c r="D16" s="9">
        <v>197</v>
      </c>
      <c r="E16" s="9">
        <v>333</v>
      </c>
      <c r="F16" s="9">
        <v>2822</v>
      </c>
    </row>
    <row r="17" spans="1:6" x14ac:dyDescent="0.3">
      <c r="A17" s="11">
        <v>45544</v>
      </c>
      <c r="B17" s="9">
        <v>1428</v>
      </c>
      <c r="C17" s="9">
        <v>1572</v>
      </c>
      <c r="D17" s="9">
        <v>260</v>
      </c>
      <c r="E17" s="9">
        <v>1100</v>
      </c>
      <c r="F17" s="9">
        <v>4360</v>
      </c>
    </row>
    <row r="18" spans="1:6" x14ac:dyDescent="0.3">
      <c r="A18" s="11">
        <v>45551</v>
      </c>
      <c r="B18" s="9">
        <v>98</v>
      </c>
      <c r="C18" s="9">
        <v>377</v>
      </c>
      <c r="D18" s="9">
        <v>1125</v>
      </c>
      <c r="E18" s="9">
        <v>-32</v>
      </c>
      <c r="F18" s="9">
        <v>1568</v>
      </c>
    </row>
    <row r="19" spans="1:6" x14ac:dyDescent="0.3">
      <c r="A19" s="11">
        <v>45558</v>
      </c>
      <c r="B19" s="9">
        <v>-19</v>
      </c>
      <c r="C19" s="9">
        <v>666</v>
      </c>
      <c r="D19" s="9">
        <v>1680</v>
      </c>
      <c r="E19" s="9">
        <v>1006</v>
      </c>
      <c r="F19" s="9">
        <v>3333</v>
      </c>
    </row>
    <row r="20" spans="1:6" x14ac:dyDescent="0.3">
      <c r="A20" s="11">
        <v>45565</v>
      </c>
      <c r="B20" s="9">
        <v>-179</v>
      </c>
      <c r="C20" s="9">
        <v>1025</v>
      </c>
      <c r="D20" s="9">
        <v>599</v>
      </c>
      <c r="E20" s="9">
        <v>1706</v>
      </c>
      <c r="F20" s="9">
        <v>3151</v>
      </c>
    </row>
    <row r="21" spans="1:6" x14ac:dyDescent="0.3">
      <c r="A21" s="11">
        <v>45572</v>
      </c>
      <c r="B21" s="9">
        <v>1662</v>
      </c>
      <c r="C21" s="9">
        <v>1872</v>
      </c>
      <c r="D21" s="9">
        <v>107</v>
      </c>
      <c r="E21" s="9">
        <v>118</v>
      </c>
      <c r="F21" s="9">
        <v>3759</v>
      </c>
    </row>
    <row r="22" spans="1:6" x14ac:dyDescent="0.3">
      <c r="A22" s="11">
        <v>45579</v>
      </c>
      <c r="B22" s="9">
        <v>285</v>
      </c>
      <c r="C22" s="9">
        <v>1224</v>
      </c>
      <c r="D22" s="9">
        <v>-20</v>
      </c>
      <c r="E22" s="9">
        <v>367</v>
      </c>
      <c r="F22" s="9">
        <v>1856</v>
      </c>
    </row>
    <row r="23" spans="1:6" x14ac:dyDescent="0.3">
      <c r="A23" s="11">
        <v>45586</v>
      </c>
      <c r="B23" s="9">
        <v>439</v>
      </c>
      <c r="C23" s="9">
        <v>262</v>
      </c>
      <c r="D23" s="9">
        <v>636</v>
      </c>
      <c r="E23" s="9">
        <v>1484</v>
      </c>
      <c r="F23" s="9">
        <v>2821</v>
      </c>
    </row>
    <row r="24" spans="1:6" x14ac:dyDescent="0.3">
      <c r="A24" s="11">
        <v>45593</v>
      </c>
      <c r="B24" s="9">
        <v>386</v>
      </c>
      <c r="C24" s="9">
        <v>576</v>
      </c>
      <c r="D24" s="9">
        <v>37</v>
      </c>
      <c r="E24" s="9">
        <v>1657</v>
      </c>
      <c r="F24" s="9">
        <v>2656</v>
      </c>
    </row>
    <row r="25" spans="1:6" x14ac:dyDescent="0.3">
      <c r="A25" s="11">
        <v>45600</v>
      </c>
      <c r="B25" s="9">
        <v>540</v>
      </c>
      <c r="C25" s="9">
        <v>1397</v>
      </c>
      <c r="D25" s="9">
        <v>1603</v>
      </c>
      <c r="E25" s="9">
        <v>1044</v>
      </c>
      <c r="F25" s="9">
        <v>4584</v>
      </c>
    </row>
    <row r="26" spans="1:6" x14ac:dyDescent="0.3">
      <c r="A26" s="11">
        <v>45607</v>
      </c>
      <c r="B26" s="9">
        <v>-106</v>
      </c>
      <c r="C26" s="9">
        <v>902</v>
      </c>
      <c r="D26" s="9">
        <v>1150</v>
      </c>
      <c r="E26" s="9">
        <v>349</v>
      </c>
      <c r="F26" s="9">
        <v>2295</v>
      </c>
    </row>
    <row r="27" spans="1:6" x14ac:dyDescent="0.3">
      <c r="A27" s="11">
        <v>45614</v>
      </c>
      <c r="B27" s="9">
        <v>72</v>
      </c>
      <c r="C27" s="9">
        <v>-49</v>
      </c>
      <c r="D27" s="9">
        <v>445</v>
      </c>
      <c r="E27" s="9">
        <v>60</v>
      </c>
      <c r="F27" s="9">
        <v>528</v>
      </c>
    </row>
    <row r="28" spans="1:6" x14ac:dyDescent="0.3">
      <c r="A28" s="11">
        <v>45621</v>
      </c>
      <c r="B28" s="9">
        <v>1332</v>
      </c>
      <c r="C28" s="9">
        <v>1693</v>
      </c>
      <c r="D28" s="9">
        <v>98</v>
      </c>
      <c r="E28" s="9">
        <v>885</v>
      </c>
      <c r="F28" s="9">
        <v>4008</v>
      </c>
    </row>
    <row r="29" spans="1:6" x14ac:dyDescent="0.3">
      <c r="A29" s="11">
        <v>45628</v>
      </c>
      <c r="B29" s="9">
        <v>1706</v>
      </c>
      <c r="C29" s="9">
        <v>1625</v>
      </c>
      <c r="D29" s="9">
        <v>1173</v>
      </c>
      <c r="E29" s="9">
        <v>291</v>
      </c>
      <c r="F29" s="9">
        <v>4795</v>
      </c>
    </row>
    <row r="30" spans="1:6" x14ac:dyDescent="0.3">
      <c r="A30" s="11">
        <v>45635</v>
      </c>
      <c r="B30" s="9">
        <v>1373</v>
      </c>
      <c r="C30" s="9">
        <v>1119</v>
      </c>
      <c r="D30" s="9">
        <v>1727</v>
      </c>
      <c r="E30" s="9">
        <v>573</v>
      </c>
      <c r="F30" s="9">
        <v>4792</v>
      </c>
    </row>
    <row r="31" spans="1:6" x14ac:dyDescent="0.3">
      <c r="A31" s="11">
        <v>45642</v>
      </c>
      <c r="B31" s="9">
        <v>1377</v>
      </c>
      <c r="C31" s="9">
        <v>1432</v>
      </c>
      <c r="D31" s="9">
        <v>1359</v>
      </c>
      <c r="E31" s="9">
        <v>876</v>
      </c>
      <c r="F31" s="9">
        <v>5044</v>
      </c>
    </row>
    <row r="32" spans="1:6" x14ac:dyDescent="0.3">
      <c r="A32" s="11">
        <v>45649</v>
      </c>
      <c r="B32" s="9">
        <v>730</v>
      </c>
      <c r="C32" s="9">
        <v>684</v>
      </c>
      <c r="D32" s="9">
        <v>911</v>
      </c>
      <c r="E32" s="9">
        <v>1589</v>
      </c>
      <c r="F32" s="9">
        <v>3914</v>
      </c>
    </row>
    <row r="33" spans="1:11" ht="23.4" x14ac:dyDescent="0.45">
      <c r="A33" s="12">
        <v>45656</v>
      </c>
      <c r="B33" s="9">
        <v>1776</v>
      </c>
      <c r="C33" s="9">
        <v>1765</v>
      </c>
      <c r="D33" s="9">
        <v>1529</v>
      </c>
      <c r="E33" s="9">
        <v>1460</v>
      </c>
      <c r="F33" s="9">
        <v>6530</v>
      </c>
      <c r="G33" s="25" t="s">
        <v>24</v>
      </c>
      <c r="H33" s="26" t="s">
        <v>25</v>
      </c>
      <c r="I33" s="26"/>
      <c r="J33" s="26"/>
      <c r="K33" s="26"/>
    </row>
    <row r="34" spans="1:11" x14ac:dyDescent="0.3">
      <c r="A34" s="11">
        <v>45663</v>
      </c>
      <c r="B34" s="9">
        <v>620</v>
      </c>
      <c r="C34" s="9">
        <v>903</v>
      </c>
      <c r="D34" s="9">
        <v>1188</v>
      </c>
      <c r="E34" s="9">
        <v>846</v>
      </c>
      <c r="F34" s="9">
        <v>3557</v>
      </c>
    </row>
    <row r="35" spans="1:11" x14ac:dyDescent="0.3">
      <c r="A35" s="11">
        <v>45670</v>
      </c>
      <c r="B35" s="9">
        <v>298</v>
      </c>
      <c r="C35" s="9">
        <v>1722</v>
      </c>
      <c r="D35" s="9">
        <v>-144</v>
      </c>
      <c r="E35" s="9">
        <v>901</v>
      </c>
      <c r="F35" s="9">
        <v>2777</v>
      </c>
    </row>
    <row r="36" spans="1:11" x14ac:dyDescent="0.3">
      <c r="A36" s="11">
        <v>45677</v>
      </c>
      <c r="B36" s="9">
        <v>427</v>
      </c>
      <c r="C36" s="9">
        <v>1572</v>
      </c>
      <c r="D36" s="9">
        <v>891</v>
      </c>
      <c r="E36" s="9">
        <v>724</v>
      </c>
      <c r="F36" s="9">
        <v>3614</v>
      </c>
    </row>
    <row r="37" spans="1:11" x14ac:dyDescent="0.3">
      <c r="A37" s="11">
        <v>45684</v>
      </c>
      <c r="B37" s="9">
        <v>898</v>
      </c>
      <c r="C37" s="9">
        <v>-166</v>
      </c>
      <c r="D37" s="9">
        <v>1426</v>
      </c>
      <c r="E37" s="9">
        <v>1225</v>
      </c>
      <c r="F37" s="9">
        <v>3383</v>
      </c>
    </row>
    <row r="38" spans="1:11" x14ac:dyDescent="0.3">
      <c r="A38" s="11">
        <v>45691</v>
      </c>
      <c r="B38" s="9">
        <v>748</v>
      </c>
      <c r="C38" s="9">
        <v>1080</v>
      </c>
      <c r="D38" s="9">
        <v>569</v>
      </c>
      <c r="E38" s="9">
        <v>-203</v>
      </c>
      <c r="F38" s="9">
        <v>2194</v>
      </c>
    </row>
    <row r="39" spans="1:11" x14ac:dyDescent="0.3">
      <c r="A39" s="11">
        <v>45698</v>
      </c>
      <c r="B39" s="9">
        <v>912</v>
      </c>
      <c r="C39" s="9">
        <v>1723</v>
      </c>
      <c r="D39" s="9">
        <v>1202</v>
      </c>
      <c r="E39" s="9">
        <v>1444</v>
      </c>
      <c r="F39" s="9">
        <v>5281</v>
      </c>
    </row>
    <row r="40" spans="1:11" x14ac:dyDescent="0.3">
      <c r="A40" s="11">
        <v>45705</v>
      </c>
      <c r="B40" s="9">
        <v>1590</v>
      </c>
      <c r="C40" s="9">
        <v>965</v>
      </c>
      <c r="D40" s="9">
        <v>-37</v>
      </c>
      <c r="E40" s="9">
        <v>1175</v>
      </c>
      <c r="F40" s="9">
        <v>3693</v>
      </c>
    </row>
    <row r="41" spans="1:11" x14ac:dyDescent="0.3">
      <c r="A41" s="11">
        <v>45712</v>
      </c>
      <c r="B41" s="9">
        <v>1707</v>
      </c>
      <c r="C41" s="9">
        <v>1375</v>
      </c>
      <c r="D41" s="9">
        <v>708</v>
      </c>
      <c r="E41" s="9">
        <v>1016</v>
      </c>
      <c r="F41" s="9">
        <v>4806</v>
      </c>
    </row>
    <row r="42" spans="1:11" x14ac:dyDescent="0.3">
      <c r="A42" s="11">
        <v>45719</v>
      </c>
      <c r="B42" s="9">
        <v>-119</v>
      </c>
      <c r="C42" s="9">
        <v>1315</v>
      </c>
      <c r="D42" s="9">
        <v>899</v>
      </c>
      <c r="E42" s="9">
        <v>315</v>
      </c>
      <c r="F42" s="9">
        <v>2410</v>
      </c>
    </row>
    <row r="43" spans="1:11" x14ac:dyDescent="0.3">
      <c r="A43" s="11">
        <v>45726</v>
      </c>
      <c r="B43" s="9">
        <v>908</v>
      </c>
      <c r="C43" s="9">
        <v>212</v>
      </c>
      <c r="D43" s="9">
        <v>1350</v>
      </c>
      <c r="E43" s="9">
        <v>1242</v>
      </c>
      <c r="F43" s="9">
        <v>3712</v>
      </c>
    </row>
    <row r="44" spans="1:11" x14ac:dyDescent="0.3">
      <c r="A44" s="11">
        <v>45733</v>
      </c>
      <c r="B44" s="9">
        <v>1116</v>
      </c>
      <c r="C44" s="9">
        <v>680</v>
      </c>
      <c r="D44" s="9">
        <v>861</v>
      </c>
      <c r="E44" s="9">
        <v>1385</v>
      </c>
      <c r="F44" s="9">
        <v>4042</v>
      </c>
    </row>
    <row r="45" spans="1:11" x14ac:dyDescent="0.3">
      <c r="A45" s="11">
        <v>45740</v>
      </c>
      <c r="B45" s="9">
        <v>474</v>
      </c>
      <c r="C45" s="9">
        <v>461</v>
      </c>
      <c r="D45" s="9">
        <v>292</v>
      </c>
      <c r="E45" s="9">
        <v>389</v>
      </c>
      <c r="F45" s="9">
        <v>1616</v>
      </c>
    </row>
    <row r="46" spans="1:11" x14ac:dyDescent="0.3">
      <c r="A46" s="11">
        <v>45747</v>
      </c>
      <c r="B46" s="9">
        <v>514</v>
      </c>
      <c r="C46" s="9">
        <v>641</v>
      </c>
      <c r="D46" s="9">
        <v>1676</v>
      </c>
      <c r="E46" s="9">
        <v>1467</v>
      </c>
      <c r="F46" s="9">
        <v>4298</v>
      </c>
    </row>
    <row r="47" spans="1:11" x14ac:dyDescent="0.3">
      <c r="A47" s="11">
        <v>45754</v>
      </c>
      <c r="B47" s="9">
        <v>1029</v>
      </c>
      <c r="C47" s="9">
        <v>167</v>
      </c>
      <c r="D47" s="9">
        <v>1007</v>
      </c>
      <c r="E47" s="9">
        <v>209</v>
      </c>
      <c r="F47" s="9">
        <v>2412</v>
      </c>
    </row>
    <row r="48" spans="1:11" x14ac:dyDescent="0.3">
      <c r="A48" s="11">
        <v>45761</v>
      </c>
      <c r="B48" s="9">
        <v>-175</v>
      </c>
      <c r="C48" s="9">
        <v>-160</v>
      </c>
      <c r="D48" s="9">
        <v>53</v>
      </c>
      <c r="E48" s="9">
        <v>145</v>
      </c>
      <c r="F48" s="9">
        <v>-137</v>
      </c>
    </row>
    <row r="49" spans="1:6" x14ac:dyDescent="0.3">
      <c r="A49" s="11">
        <v>45768</v>
      </c>
      <c r="B49" s="9">
        <v>1045</v>
      </c>
      <c r="C49" s="9">
        <v>603</v>
      </c>
      <c r="D49" s="9">
        <v>759</v>
      </c>
      <c r="E49" s="9">
        <v>1633</v>
      </c>
      <c r="F49" s="9">
        <v>4040</v>
      </c>
    </row>
    <row r="50" spans="1:6" x14ac:dyDescent="0.3">
      <c r="A50" s="11">
        <v>45775</v>
      </c>
      <c r="B50" s="9">
        <v>453</v>
      </c>
      <c r="C50" s="9">
        <v>1539</v>
      </c>
      <c r="D50" s="9">
        <v>948</v>
      </c>
      <c r="E50" s="9">
        <v>637</v>
      </c>
      <c r="F50" s="9">
        <v>3577</v>
      </c>
    </row>
    <row r="51" spans="1:6" x14ac:dyDescent="0.3">
      <c r="A51" s="11">
        <v>45782</v>
      </c>
      <c r="B51" s="9">
        <v>339</v>
      </c>
      <c r="C51" s="9">
        <v>1881</v>
      </c>
      <c r="D51" s="9">
        <v>1510</v>
      </c>
      <c r="E51" s="9">
        <v>864</v>
      </c>
      <c r="F51" s="9">
        <v>4594</v>
      </c>
    </row>
    <row r="52" spans="1:6" x14ac:dyDescent="0.3">
      <c r="A52" s="11">
        <v>45789</v>
      </c>
      <c r="B52" s="9">
        <v>407</v>
      </c>
      <c r="C52" s="9">
        <v>1656</v>
      </c>
      <c r="D52" s="9">
        <v>269</v>
      </c>
      <c r="E52" s="9">
        <v>-337</v>
      </c>
      <c r="F52" s="9">
        <v>1995</v>
      </c>
    </row>
    <row r="53" spans="1:6" x14ac:dyDescent="0.3">
      <c r="A53" s="11" t="s">
        <v>13</v>
      </c>
      <c r="B53" s="9">
        <v>35557</v>
      </c>
      <c r="C53" s="9">
        <v>48004</v>
      </c>
      <c r="D53" s="9">
        <v>41177</v>
      </c>
      <c r="E53" s="9">
        <v>35367</v>
      </c>
      <c r="F53" s="9">
        <v>160105</v>
      </c>
    </row>
  </sheetData>
  <mergeCells count="1">
    <mergeCell ref="H33:K33"/>
  </mergeCells>
  <conditionalFormatting pivot="1" sqref="B3:F52">
    <cfRule type="expression" dxfId="0" priority="1">
      <formula>$F3=MAX($F$3:$F$52)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F2FC-A249-4AC1-8FCA-D157D4A56344}">
  <dimension ref="A1:R201"/>
  <sheetViews>
    <sheetView workbookViewId="0">
      <selection activeCell="P32" sqref="P32"/>
    </sheetView>
  </sheetViews>
  <sheetFormatPr defaultRowHeight="14.4" x14ac:dyDescent="0.3"/>
  <cols>
    <col min="1" max="1" width="12.33203125" customWidth="1"/>
    <col min="8" max="8" width="22.21875" customWidth="1"/>
    <col min="12" max="12" width="19.109375" bestFit="1" customWidth="1"/>
    <col min="13" max="13" width="6.33203125" bestFit="1" customWidth="1"/>
    <col min="14" max="17" width="5" bestFit="1" customWidth="1"/>
    <col min="18" max="18" width="8.109375" customWidth="1"/>
    <col min="19" max="51" width="5" bestFit="1" customWidth="1"/>
    <col min="52" max="211" width="6" bestFit="1" customWidth="1"/>
    <col min="212" max="212" width="10.77734375" bestFit="1" customWidth="1"/>
  </cols>
  <sheetData>
    <row r="1" spans="1:18" ht="15.6" x14ac:dyDescent="0.3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0" t="s">
        <v>6</v>
      </c>
      <c r="H1" s="20" t="s">
        <v>11</v>
      </c>
    </row>
    <row r="2" spans="1:18" x14ac:dyDescent="0.3">
      <c r="A2" s="5">
        <v>45446</v>
      </c>
      <c r="B2" s="6" t="s">
        <v>7</v>
      </c>
      <c r="C2" s="7">
        <v>1135</v>
      </c>
      <c r="D2" s="7">
        <v>88</v>
      </c>
      <c r="E2" s="7">
        <v>344084</v>
      </c>
      <c r="F2" s="8">
        <v>8.06</v>
      </c>
      <c r="G2" s="7">
        <v>5904</v>
      </c>
      <c r="H2" s="9">
        <f>C2-D2</f>
        <v>1047</v>
      </c>
    </row>
    <row r="3" spans="1:18" ht="18" x14ac:dyDescent="0.35">
      <c r="A3" s="5">
        <v>45446</v>
      </c>
      <c r="B3" s="6" t="s">
        <v>8</v>
      </c>
      <c r="C3" s="7">
        <v>1312</v>
      </c>
      <c r="D3" s="7">
        <v>310</v>
      </c>
      <c r="E3" s="7">
        <v>42654</v>
      </c>
      <c r="F3" s="8">
        <v>4.9800000000000004</v>
      </c>
      <c r="G3" s="7">
        <v>9566</v>
      </c>
      <c r="H3" s="9">
        <f t="shared" ref="H3:H66" si="0">C3-D3</f>
        <v>1002</v>
      </c>
      <c r="K3" s="22" t="s">
        <v>20</v>
      </c>
      <c r="L3" s="22"/>
      <c r="M3" s="22"/>
      <c r="N3" s="22"/>
      <c r="O3" s="22"/>
      <c r="P3" s="22"/>
      <c r="Q3" s="22"/>
      <c r="R3" s="22"/>
    </row>
    <row r="4" spans="1:18" x14ac:dyDescent="0.3">
      <c r="A4" s="5">
        <v>45446</v>
      </c>
      <c r="B4" s="6" t="s">
        <v>9</v>
      </c>
      <c r="C4" s="7">
        <v>584</v>
      </c>
      <c r="D4" s="7">
        <v>169</v>
      </c>
      <c r="E4" s="7">
        <v>146834</v>
      </c>
      <c r="F4" s="8">
        <v>8.31</v>
      </c>
      <c r="G4" s="7">
        <v>26752</v>
      </c>
      <c r="H4" s="9">
        <f t="shared" si="0"/>
        <v>415</v>
      </c>
    </row>
    <row r="5" spans="1:18" x14ac:dyDescent="0.3">
      <c r="A5" s="5">
        <v>45446</v>
      </c>
      <c r="B5" s="6" t="s">
        <v>10</v>
      </c>
      <c r="C5" s="7">
        <v>1535</v>
      </c>
      <c r="D5" s="7">
        <v>445</v>
      </c>
      <c r="E5" s="7">
        <v>395536</v>
      </c>
      <c r="F5" s="8">
        <v>4.1100000000000003</v>
      </c>
      <c r="G5" s="7">
        <v>30671</v>
      </c>
      <c r="H5" s="9">
        <f t="shared" si="0"/>
        <v>1090</v>
      </c>
    </row>
    <row r="6" spans="1:18" x14ac:dyDescent="0.3">
      <c r="A6" s="5">
        <v>45453</v>
      </c>
      <c r="B6" s="6" t="s">
        <v>7</v>
      </c>
      <c r="C6" s="7">
        <v>656</v>
      </c>
      <c r="D6" s="7">
        <v>139</v>
      </c>
      <c r="E6" s="7">
        <v>49157</v>
      </c>
      <c r="F6" s="8">
        <v>9.0500000000000007</v>
      </c>
      <c r="G6" s="7">
        <v>9920</v>
      </c>
      <c r="H6" s="9">
        <f t="shared" si="0"/>
        <v>517</v>
      </c>
    </row>
    <row r="7" spans="1:18" x14ac:dyDescent="0.3">
      <c r="A7" s="5">
        <v>45453</v>
      </c>
      <c r="B7" s="6" t="s">
        <v>8</v>
      </c>
      <c r="C7" s="7">
        <v>1697</v>
      </c>
      <c r="D7" s="7">
        <v>414</v>
      </c>
      <c r="E7" s="7">
        <v>316555</v>
      </c>
      <c r="F7" s="8">
        <v>2.37</v>
      </c>
      <c r="G7" s="7">
        <v>7924</v>
      </c>
      <c r="H7" s="9">
        <f t="shared" si="0"/>
        <v>1283</v>
      </c>
    </row>
    <row r="8" spans="1:18" x14ac:dyDescent="0.3">
      <c r="A8" s="5">
        <v>45453</v>
      </c>
      <c r="B8" s="6" t="s">
        <v>9</v>
      </c>
      <c r="C8" s="7">
        <v>436</v>
      </c>
      <c r="D8" s="7">
        <v>250</v>
      </c>
      <c r="E8" s="7">
        <v>254347</v>
      </c>
      <c r="F8" s="8">
        <v>4.01</v>
      </c>
      <c r="G8" s="7">
        <v>8912</v>
      </c>
      <c r="H8" s="9">
        <f t="shared" si="0"/>
        <v>186</v>
      </c>
    </row>
    <row r="9" spans="1:18" x14ac:dyDescent="0.3">
      <c r="A9" s="5">
        <v>45453</v>
      </c>
      <c r="B9" s="6" t="s">
        <v>10</v>
      </c>
      <c r="C9" s="7">
        <v>1197</v>
      </c>
      <c r="D9" s="7">
        <v>203</v>
      </c>
      <c r="E9" s="7">
        <v>413878</v>
      </c>
      <c r="F9" s="8">
        <v>3.16</v>
      </c>
      <c r="G9" s="7">
        <v>21205</v>
      </c>
      <c r="H9" s="9">
        <f t="shared" si="0"/>
        <v>994</v>
      </c>
    </row>
    <row r="10" spans="1:18" x14ac:dyDescent="0.3">
      <c r="A10" s="5">
        <v>45460</v>
      </c>
      <c r="B10" s="6" t="s">
        <v>7</v>
      </c>
      <c r="C10" s="7">
        <v>1048</v>
      </c>
      <c r="D10" s="7">
        <v>155</v>
      </c>
      <c r="E10" s="7">
        <v>456946</v>
      </c>
      <c r="F10" s="8">
        <v>2.46</v>
      </c>
      <c r="G10" s="7">
        <v>11329</v>
      </c>
      <c r="H10" s="9">
        <f t="shared" si="0"/>
        <v>893</v>
      </c>
    </row>
    <row r="11" spans="1:18" x14ac:dyDescent="0.3">
      <c r="A11" s="5">
        <v>45460</v>
      </c>
      <c r="B11" s="6" t="s">
        <v>8</v>
      </c>
      <c r="C11" s="7">
        <v>1753</v>
      </c>
      <c r="D11" s="7">
        <v>371</v>
      </c>
      <c r="E11" s="7">
        <v>169496</v>
      </c>
      <c r="F11" s="8">
        <v>8.11</v>
      </c>
      <c r="G11" s="7">
        <v>46670</v>
      </c>
      <c r="H11" s="9">
        <f t="shared" si="0"/>
        <v>1382</v>
      </c>
    </row>
    <row r="12" spans="1:18" x14ac:dyDescent="0.3">
      <c r="A12" s="5">
        <v>45460</v>
      </c>
      <c r="B12" s="6" t="s">
        <v>9</v>
      </c>
      <c r="C12" s="7">
        <v>1335</v>
      </c>
      <c r="D12" s="7">
        <v>40</v>
      </c>
      <c r="E12" s="7">
        <v>122732</v>
      </c>
      <c r="F12" s="8">
        <v>8.19</v>
      </c>
      <c r="G12" s="7">
        <v>22482</v>
      </c>
      <c r="H12" s="9">
        <f t="shared" si="0"/>
        <v>1295</v>
      </c>
    </row>
    <row r="13" spans="1:18" x14ac:dyDescent="0.3">
      <c r="A13" s="5">
        <v>45460</v>
      </c>
      <c r="B13" s="6" t="s">
        <v>10</v>
      </c>
      <c r="C13" s="7">
        <v>403</v>
      </c>
      <c r="D13" s="7">
        <v>66</v>
      </c>
      <c r="E13" s="7">
        <v>382851</v>
      </c>
      <c r="F13" s="8">
        <v>3.49</v>
      </c>
      <c r="G13" s="7">
        <v>24313</v>
      </c>
      <c r="H13" s="9">
        <f t="shared" si="0"/>
        <v>337</v>
      </c>
    </row>
    <row r="14" spans="1:18" x14ac:dyDescent="0.3">
      <c r="A14" s="5">
        <v>45467</v>
      </c>
      <c r="B14" s="6" t="s">
        <v>7</v>
      </c>
      <c r="C14" s="7">
        <v>911</v>
      </c>
      <c r="D14" s="7">
        <v>282</v>
      </c>
      <c r="E14" s="7">
        <v>35664</v>
      </c>
      <c r="F14" s="8">
        <v>6.92</v>
      </c>
      <c r="G14" s="7">
        <v>18050</v>
      </c>
      <c r="H14" s="9">
        <f t="shared" si="0"/>
        <v>629</v>
      </c>
    </row>
    <row r="15" spans="1:18" x14ac:dyDescent="0.3">
      <c r="A15" s="5">
        <v>45467</v>
      </c>
      <c r="B15" s="6" t="s">
        <v>8</v>
      </c>
      <c r="C15" s="7">
        <v>1779</v>
      </c>
      <c r="D15" s="7">
        <v>109</v>
      </c>
      <c r="E15" s="7">
        <v>26295</v>
      </c>
      <c r="F15" s="8">
        <v>9.1199999999999992</v>
      </c>
      <c r="G15" s="7">
        <v>30635</v>
      </c>
      <c r="H15" s="9">
        <f t="shared" si="0"/>
        <v>1670</v>
      </c>
    </row>
    <row r="16" spans="1:18" x14ac:dyDescent="0.3">
      <c r="A16" s="5">
        <v>45467</v>
      </c>
      <c r="B16" s="6" t="s">
        <v>9</v>
      </c>
      <c r="C16" s="7">
        <v>1238</v>
      </c>
      <c r="D16" s="7">
        <v>403</v>
      </c>
      <c r="E16" s="7">
        <v>298421</v>
      </c>
      <c r="F16" s="8">
        <v>3.5</v>
      </c>
      <c r="G16" s="7">
        <v>31280</v>
      </c>
      <c r="H16" s="9">
        <f t="shared" si="0"/>
        <v>835</v>
      </c>
    </row>
    <row r="17" spans="1:18" x14ac:dyDescent="0.3">
      <c r="A17" s="5">
        <v>45467</v>
      </c>
      <c r="B17" s="6" t="s">
        <v>10</v>
      </c>
      <c r="C17" s="7">
        <v>308</v>
      </c>
      <c r="D17" s="7">
        <v>431</v>
      </c>
      <c r="E17" s="7">
        <v>426184</v>
      </c>
      <c r="F17" s="8">
        <v>2.62</v>
      </c>
      <c r="G17" s="7">
        <v>1783</v>
      </c>
      <c r="H17" s="9">
        <f t="shared" si="0"/>
        <v>-123</v>
      </c>
    </row>
    <row r="18" spans="1:18" x14ac:dyDescent="0.3">
      <c r="A18" s="5">
        <v>45474</v>
      </c>
      <c r="B18" s="6" t="s">
        <v>7</v>
      </c>
      <c r="C18" s="7">
        <v>226</v>
      </c>
      <c r="D18" s="7">
        <v>445</v>
      </c>
      <c r="E18" s="7">
        <v>419447</v>
      </c>
      <c r="F18" s="8">
        <v>9.36</v>
      </c>
      <c r="G18" s="7">
        <v>9566</v>
      </c>
      <c r="H18" s="9">
        <f t="shared" si="0"/>
        <v>-219</v>
      </c>
    </row>
    <row r="19" spans="1:18" x14ac:dyDescent="0.3">
      <c r="A19" s="5">
        <v>45474</v>
      </c>
      <c r="B19" s="6" t="s">
        <v>8</v>
      </c>
      <c r="C19" s="7">
        <v>505</v>
      </c>
      <c r="D19" s="7">
        <v>441</v>
      </c>
      <c r="E19" s="7">
        <v>220020</v>
      </c>
      <c r="F19" s="8">
        <v>4.4800000000000004</v>
      </c>
      <c r="G19" s="7">
        <v>42307</v>
      </c>
      <c r="H19" s="9">
        <f t="shared" si="0"/>
        <v>64</v>
      </c>
    </row>
    <row r="20" spans="1:18" x14ac:dyDescent="0.3">
      <c r="A20" s="5">
        <v>45474</v>
      </c>
      <c r="B20" s="6" t="s">
        <v>9</v>
      </c>
      <c r="C20" s="7">
        <v>1420</v>
      </c>
      <c r="D20" s="7">
        <v>63</v>
      </c>
      <c r="E20" s="7">
        <v>315305</v>
      </c>
      <c r="F20" s="8">
        <v>6.19</v>
      </c>
      <c r="G20" s="7">
        <v>5914</v>
      </c>
      <c r="H20" s="9">
        <f t="shared" si="0"/>
        <v>1357</v>
      </c>
    </row>
    <row r="21" spans="1:18" x14ac:dyDescent="0.3">
      <c r="A21" s="5">
        <v>45474</v>
      </c>
      <c r="B21" s="6" t="s">
        <v>10</v>
      </c>
      <c r="C21" s="7">
        <v>144</v>
      </c>
      <c r="D21" s="7">
        <v>53</v>
      </c>
      <c r="E21" s="7">
        <v>113678</v>
      </c>
      <c r="F21" s="8">
        <v>8.7200000000000006</v>
      </c>
      <c r="G21" s="7">
        <v>30060</v>
      </c>
      <c r="H21" s="9">
        <f t="shared" si="0"/>
        <v>91</v>
      </c>
    </row>
    <row r="22" spans="1:18" x14ac:dyDescent="0.3">
      <c r="A22" s="5">
        <v>45481</v>
      </c>
      <c r="B22" s="6" t="s">
        <v>7</v>
      </c>
      <c r="C22" s="7">
        <v>1757</v>
      </c>
      <c r="D22" s="7">
        <v>85</v>
      </c>
      <c r="E22" s="7">
        <v>58223</v>
      </c>
      <c r="F22" s="8">
        <v>8.74</v>
      </c>
      <c r="G22" s="7">
        <v>22728</v>
      </c>
      <c r="H22" s="9">
        <f t="shared" si="0"/>
        <v>1672</v>
      </c>
    </row>
    <row r="23" spans="1:18" ht="15.6" x14ac:dyDescent="0.3">
      <c r="A23" s="5">
        <v>45481</v>
      </c>
      <c r="B23" s="6" t="s">
        <v>8</v>
      </c>
      <c r="C23" s="7">
        <v>350</v>
      </c>
      <c r="D23" s="7">
        <v>41</v>
      </c>
      <c r="E23" s="7">
        <v>251694</v>
      </c>
      <c r="F23" s="8">
        <v>1.91</v>
      </c>
      <c r="G23" s="7">
        <v>38610</v>
      </c>
      <c r="H23" s="9">
        <f t="shared" si="0"/>
        <v>309</v>
      </c>
      <c r="L23" s="24" t="s">
        <v>22</v>
      </c>
      <c r="M23" s="24"/>
      <c r="N23" s="24"/>
      <c r="O23" s="24"/>
      <c r="P23" s="24"/>
      <c r="Q23" s="24"/>
      <c r="R23" s="24"/>
    </row>
    <row r="24" spans="1:18" ht="15.6" x14ac:dyDescent="0.3">
      <c r="A24" s="5">
        <v>45481</v>
      </c>
      <c r="B24" s="6" t="s">
        <v>9</v>
      </c>
      <c r="C24" s="7">
        <v>987</v>
      </c>
      <c r="D24" s="7">
        <v>440</v>
      </c>
      <c r="E24" s="7">
        <v>389810</v>
      </c>
      <c r="F24" s="8">
        <v>4.66</v>
      </c>
      <c r="G24" s="7">
        <v>2932</v>
      </c>
      <c r="H24" s="9">
        <f t="shared" si="0"/>
        <v>547</v>
      </c>
      <c r="L24" s="24" t="s">
        <v>23</v>
      </c>
      <c r="M24" s="24"/>
      <c r="N24" s="24"/>
      <c r="O24" s="24"/>
      <c r="P24" s="24"/>
      <c r="Q24" s="24"/>
      <c r="R24" s="24"/>
    </row>
    <row r="25" spans="1:18" ht="15.6" x14ac:dyDescent="0.3">
      <c r="A25" s="5">
        <v>45481</v>
      </c>
      <c r="B25" s="6" t="s">
        <v>10</v>
      </c>
      <c r="C25" s="7">
        <v>883</v>
      </c>
      <c r="D25" s="7">
        <v>369</v>
      </c>
      <c r="E25" s="7">
        <v>233694</v>
      </c>
      <c r="F25" s="8">
        <v>2.88</v>
      </c>
      <c r="G25" s="7">
        <v>15071</v>
      </c>
      <c r="H25" s="9">
        <f t="shared" si="0"/>
        <v>514</v>
      </c>
      <c r="L25" s="24" t="s">
        <v>21</v>
      </c>
      <c r="M25" s="24"/>
      <c r="N25" s="24"/>
      <c r="O25" s="24"/>
      <c r="P25" s="24"/>
      <c r="Q25" s="24"/>
      <c r="R25" s="24"/>
    </row>
    <row r="26" spans="1:18" x14ac:dyDescent="0.3">
      <c r="A26" s="5">
        <v>45488</v>
      </c>
      <c r="B26" s="6" t="s">
        <v>7</v>
      </c>
      <c r="C26" s="7">
        <v>1960</v>
      </c>
      <c r="D26" s="7">
        <v>115</v>
      </c>
      <c r="E26" s="7">
        <v>154169</v>
      </c>
      <c r="F26" s="8">
        <v>3.74</v>
      </c>
      <c r="G26" s="7">
        <v>10740</v>
      </c>
      <c r="H26" s="9">
        <f t="shared" si="0"/>
        <v>1845</v>
      </c>
      <c r="L26" s="23"/>
    </row>
    <row r="27" spans="1:18" x14ac:dyDescent="0.3">
      <c r="A27" s="5">
        <v>45488</v>
      </c>
      <c r="B27" s="6" t="s">
        <v>8</v>
      </c>
      <c r="C27" s="7">
        <v>170</v>
      </c>
      <c r="D27" s="7">
        <v>334</v>
      </c>
      <c r="E27" s="7">
        <v>334626</v>
      </c>
      <c r="F27" s="8">
        <v>6.44</v>
      </c>
      <c r="G27" s="7">
        <v>43420</v>
      </c>
      <c r="H27" s="9">
        <f t="shared" si="0"/>
        <v>-164</v>
      </c>
    </row>
    <row r="28" spans="1:18" x14ac:dyDescent="0.3">
      <c r="A28" s="5">
        <v>45488</v>
      </c>
      <c r="B28" s="6" t="s">
        <v>9</v>
      </c>
      <c r="C28" s="7">
        <v>704</v>
      </c>
      <c r="D28" s="7">
        <v>275</v>
      </c>
      <c r="E28" s="7">
        <v>226002</v>
      </c>
      <c r="F28" s="8">
        <v>8.56</v>
      </c>
      <c r="G28" s="7">
        <v>32393</v>
      </c>
      <c r="H28" s="9">
        <f t="shared" si="0"/>
        <v>429</v>
      </c>
    </row>
    <row r="29" spans="1:18" x14ac:dyDescent="0.3">
      <c r="A29" s="5">
        <v>45488</v>
      </c>
      <c r="B29" s="6" t="s">
        <v>10</v>
      </c>
      <c r="C29" s="7">
        <v>224</v>
      </c>
      <c r="D29" s="7">
        <v>64</v>
      </c>
      <c r="E29" s="7">
        <v>156683</v>
      </c>
      <c r="F29" s="8">
        <v>4.5599999999999996</v>
      </c>
      <c r="G29" s="7">
        <v>28474</v>
      </c>
      <c r="H29" s="9">
        <f t="shared" si="0"/>
        <v>160</v>
      </c>
    </row>
    <row r="30" spans="1:18" x14ac:dyDescent="0.3">
      <c r="A30" s="5">
        <v>45495</v>
      </c>
      <c r="B30" s="6" t="s">
        <v>7</v>
      </c>
      <c r="C30" s="7">
        <v>508</v>
      </c>
      <c r="D30" s="7">
        <v>349</v>
      </c>
      <c r="E30" s="7">
        <v>473812</v>
      </c>
      <c r="F30" s="8">
        <v>7.88</v>
      </c>
      <c r="G30" s="7">
        <v>17328</v>
      </c>
      <c r="H30" s="9">
        <f t="shared" si="0"/>
        <v>159</v>
      </c>
    </row>
    <row r="31" spans="1:18" x14ac:dyDescent="0.3">
      <c r="A31" s="5">
        <v>45495</v>
      </c>
      <c r="B31" s="6" t="s">
        <v>8</v>
      </c>
      <c r="C31" s="7">
        <v>1391</v>
      </c>
      <c r="D31" s="7">
        <v>430</v>
      </c>
      <c r="E31" s="7">
        <v>295032</v>
      </c>
      <c r="F31" s="8">
        <v>7.86</v>
      </c>
      <c r="G31" s="7">
        <v>26067</v>
      </c>
      <c r="H31" s="9">
        <f t="shared" si="0"/>
        <v>961</v>
      </c>
    </row>
    <row r="32" spans="1:18" x14ac:dyDescent="0.3">
      <c r="A32" s="5">
        <v>45495</v>
      </c>
      <c r="B32" s="6" t="s">
        <v>9</v>
      </c>
      <c r="C32" s="7">
        <v>1701</v>
      </c>
      <c r="D32" s="7">
        <v>385</v>
      </c>
      <c r="E32" s="7">
        <v>198278</v>
      </c>
      <c r="F32" s="8">
        <v>5.34</v>
      </c>
      <c r="G32" s="7">
        <v>32763</v>
      </c>
      <c r="H32" s="9">
        <f t="shared" si="0"/>
        <v>1316</v>
      </c>
    </row>
    <row r="33" spans="1:8" x14ac:dyDescent="0.3">
      <c r="A33" s="5">
        <v>45495</v>
      </c>
      <c r="B33" s="6" t="s">
        <v>10</v>
      </c>
      <c r="C33" s="7">
        <v>804</v>
      </c>
      <c r="D33" s="7">
        <v>487</v>
      </c>
      <c r="E33" s="7">
        <v>306564</v>
      </c>
      <c r="F33" s="8">
        <v>5.52</v>
      </c>
      <c r="G33" s="7">
        <v>26452</v>
      </c>
      <c r="H33" s="9">
        <f t="shared" si="0"/>
        <v>317</v>
      </c>
    </row>
    <row r="34" spans="1:8" x14ac:dyDescent="0.3">
      <c r="A34" s="5">
        <v>45502</v>
      </c>
      <c r="B34" s="6" t="s">
        <v>7</v>
      </c>
      <c r="C34" s="7">
        <v>653</v>
      </c>
      <c r="D34" s="7">
        <v>112</v>
      </c>
      <c r="E34" s="7">
        <v>23664</v>
      </c>
      <c r="F34" s="8">
        <v>4.05</v>
      </c>
      <c r="G34" s="7">
        <v>15353</v>
      </c>
      <c r="H34" s="9">
        <f t="shared" si="0"/>
        <v>541</v>
      </c>
    </row>
    <row r="35" spans="1:8" x14ac:dyDescent="0.3">
      <c r="A35" s="5">
        <v>45502</v>
      </c>
      <c r="B35" s="6" t="s">
        <v>8</v>
      </c>
      <c r="C35" s="7">
        <v>160</v>
      </c>
      <c r="D35" s="7">
        <v>478</v>
      </c>
      <c r="E35" s="7">
        <v>435034</v>
      </c>
      <c r="F35" s="8">
        <v>7.73</v>
      </c>
      <c r="G35" s="7">
        <v>4839</v>
      </c>
      <c r="H35" s="9">
        <f t="shared" si="0"/>
        <v>-318</v>
      </c>
    </row>
    <row r="36" spans="1:8" x14ac:dyDescent="0.3">
      <c r="A36" s="5">
        <v>45502</v>
      </c>
      <c r="B36" s="6" t="s">
        <v>9</v>
      </c>
      <c r="C36" s="7">
        <v>1756</v>
      </c>
      <c r="D36" s="7">
        <v>261</v>
      </c>
      <c r="E36" s="7">
        <v>287574</v>
      </c>
      <c r="F36" s="8">
        <v>4.3600000000000003</v>
      </c>
      <c r="G36" s="7">
        <v>39272</v>
      </c>
      <c r="H36" s="9">
        <f t="shared" si="0"/>
        <v>1495</v>
      </c>
    </row>
    <row r="37" spans="1:8" x14ac:dyDescent="0.3">
      <c r="A37" s="5">
        <v>45502</v>
      </c>
      <c r="B37" s="6" t="s">
        <v>10</v>
      </c>
      <c r="C37" s="7">
        <v>576</v>
      </c>
      <c r="D37" s="7">
        <v>101</v>
      </c>
      <c r="E37" s="7">
        <v>62499</v>
      </c>
      <c r="F37" s="8">
        <v>3.48</v>
      </c>
      <c r="G37" s="7">
        <v>16804</v>
      </c>
      <c r="H37" s="9">
        <f t="shared" si="0"/>
        <v>475</v>
      </c>
    </row>
    <row r="38" spans="1:8" x14ac:dyDescent="0.3">
      <c r="A38" s="5">
        <v>45509</v>
      </c>
      <c r="B38" s="6" t="s">
        <v>7</v>
      </c>
      <c r="C38" s="7">
        <v>645</v>
      </c>
      <c r="D38" s="7">
        <v>293</v>
      </c>
      <c r="E38" s="7">
        <v>437968</v>
      </c>
      <c r="F38" s="8">
        <v>7.83</v>
      </c>
      <c r="G38" s="7">
        <v>49303</v>
      </c>
      <c r="H38" s="9">
        <f t="shared" si="0"/>
        <v>352</v>
      </c>
    </row>
    <row r="39" spans="1:8" x14ac:dyDescent="0.3">
      <c r="A39" s="5">
        <v>45509</v>
      </c>
      <c r="B39" s="6" t="s">
        <v>8</v>
      </c>
      <c r="C39" s="7">
        <v>214</v>
      </c>
      <c r="D39" s="7">
        <v>411</v>
      </c>
      <c r="E39" s="7">
        <v>125034</v>
      </c>
      <c r="F39" s="8">
        <v>6.11</v>
      </c>
      <c r="G39" s="7">
        <v>26455</v>
      </c>
      <c r="H39" s="9">
        <f t="shared" si="0"/>
        <v>-197</v>
      </c>
    </row>
    <row r="40" spans="1:8" x14ac:dyDescent="0.3">
      <c r="A40" s="5">
        <v>45509</v>
      </c>
      <c r="B40" s="6" t="s">
        <v>9</v>
      </c>
      <c r="C40" s="7">
        <v>826</v>
      </c>
      <c r="D40" s="7">
        <v>498</v>
      </c>
      <c r="E40" s="7">
        <v>449994</v>
      </c>
      <c r="F40" s="8">
        <v>9.43</v>
      </c>
      <c r="G40" s="7">
        <v>12384</v>
      </c>
      <c r="H40" s="9">
        <f t="shared" si="0"/>
        <v>328</v>
      </c>
    </row>
    <row r="41" spans="1:8" x14ac:dyDescent="0.3">
      <c r="A41" s="5">
        <v>45509</v>
      </c>
      <c r="B41" s="6" t="s">
        <v>10</v>
      </c>
      <c r="C41" s="7">
        <v>460</v>
      </c>
      <c r="D41" s="7">
        <v>141</v>
      </c>
      <c r="E41" s="7">
        <v>320650</v>
      </c>
      <c r="F41" s="8">
        <v>4.04</v>
      </c>
      <c r="G41" s="7">
        <v>49372</v>
      </c>
      <c r="H41" s="9">
        <f t="shared" si="0"/>
        <v>319</v>
      </c>
    </row>
    <row r="42" spans="1:8" x14ac:dyDescent="0.3">
      <c r="A42" s="5">
        <v>45516</v>
      </c>
      <c r="B42" s="6" t="s">
        <v>7</v>
      </c>
      <c r="C42" s="7">
        <v>1528</v>
      </c>
      <c r="D42" s="7">
        <v>203</v>
      </c>
      <c r="E42" s="7">
        <v>489188</v>
      </c>
      <c r="F42" s="8">
        <v>6.23</v>
      </c>
      <c r="G42" s="7">
        <v>47101</v>
      </c>
      <c r="H42" s="9">
        <f t="shared" si="0"/>
        <v>1325</v>
      </c>
    </row>
    <row r="43" spans="1:8" x14ac:dyDescent="0.3">
      <c r="A43" s="5">
        <v>45516</v>
      </c>
      <c r="B43" s="6" t="s">
        <v>8</v>
      </c>
      <c r="C43" s="7">
        <v>1534</v>
      </c>
      <c r="D43" s="7">
        <v>200</v>
      </c>
      <c r="E43" s="7">
        <v>307612</v>
      </c>
      <c r="F43" s="8">
        <v>6.01</v>
      </c>
      <c r="G43" s="7">
        <v>37903</v>
      </c>
      <c r="H43" s="9">
        <f t="shared" si="0"/>
        <v>1334</v>
      </c>
    </row>
    <row r="44" spans="1:8" x14ac:dyDescent="0.3">
      <c r="A44" s="5">
        <v>45516</v>
      </c>
      <c r="B44" s="6" t="s">
        <v>9</v>
      </c>
      <c r="C44" s="7">
        <v>485</v>
      </c>
      <c r="D44" s="7">
        <v>448</v>
      </c>
      <c r="E44" s="7">
        <v>434883</v>
      </c>
      <c r="F44" s="8">
        <v>8.5500000000000007</v>
      </c>
      <c r="G44" s="7">
        <v>33258</v>
      </c>
      <c r="H44" s="9">
        <f t="shared" si="0"/>
        <v>37</v>
      </c>
    </row>
    <row r="45" spans="1:8" x14ac:dyDescent="0.3">
      <c r="A45" s="5">
        <v>45516</v>
      </c>
      <c r="B45" s="6" t="s">
        <v>10</v>
      </c>
      <c r="C45" s="7">
        <v>1210</v>
      </c>
      <c r="D45" s="7">
        <v>178</v>
      </c>
      <c r="E45" s="7">
        <v>102042</v>
      </c>
      <c r="F45" s="8">
        <v>5.42</v>
      </c>
      <c r="G45" s="7">
        <v>6915</v>
      </c>
      <c r="H45" s="9">
        <f t="shared" si="0"/>
        <v>1032</v>
      </c>
    </row>
    <row r="46" spans="1:8" x14ac:dyDescent="0.3">
      <c r="A46" s="5">
        <v>45523</v>
      </c>
      <c r="B46" s="6" t="s">
        <v>7</v>
      </c>
      <c r="C46" s="7">
        <v>215</v>
      </c>
      <c r="D46" s="7">
        <v>139</v>
      </c>
      <c r="E46" s="7">
        <v>325444</v>
      </c>
      <c r="F46" s="8">
        <v>3.25</v>
      </c>
      <c r="G46" s="7">
        <v>35501</v>
      </c>
      <c r="H46" s="9">
        <f t="shared" si="0"/>
        <v>76</v>
      </c>
    </row>
    <row r="47" spans="1:8" x14ac:dyDescent="0.3">
      <c r="A47" s="5">
        <v>45523</v>
      </c>
      <c r="B47" s="6" t="s">
        <v>8</v>
      </c>
      <c r="C47" s="7">
        <v>1078</v>
      </c>
      <c r="D47" s="7">
        <v>20</v>
      </c>
      <c r="E47" s="7">
        <v>183924</v>
      </c>
      <c r="F47" s="8">
        <v>8.84</v>
      </c>
      <c r="G47" s="7">
        <v>14203</v>
      </c>
      <c r="H47" s="9">
        <f t="shared" si="0"/>
        <v>1058</v>
      </c>
    </row>
    <row r="48" spans="1:8" x14ac:dyDescent="0.3">
      <c r="A48" s="5">
        <v>45523</v>
      </c>
      <c r="B48" s="6" t="s">
        <v>9</v>
      </c>
      <c r="C48" s="7">
        <v>1751</v>
      </c>
      <c r="D48" s="7">
        <v>86</v>
      </c>
      <c r="E48" s="7">
        <v>188655</v>
      </c>
      <c r="F48" s="8">
        <v>7.24</v>
      </c>
      <c r="G48" s="7">
        <v>22206</v>
      </c>
      <c r="H48" s="9">
        <f t="shared" si="0"/>
        <v>1665</v>
      </c>
    </row>
    <row r="49" spans="1:8" x14ac:dyDescent="0.3">
      <c r="A49" s="5">
        <v>45523</v>
      </c>
      <c r="B49" s="6" t="s">
        <v>10</v>
      </c>
      <c r="C49" s="7">
        <v>221</v>
      </c>
      <c r="D49" s="7">
        <v>31</v>
      </c>
      <c r="E49" s="7">
        <v>87443</v>
      </c>
      <c r="F49" s="8">
        <v>6.19</v>
      </c>
      <c r="G49" s="7">
        <v>10283</v>
      </c>
      <c r="H49" s="9">
        <f t="shared" si="0"/>
        <v>190</v>
      </c>
    </row>
    <row r="50" spans="1:8" x14ac:dyDescent="0.3">
      <c r="A50" s="5">
        <v>45530</v>
      </c>
      <c r="B50" s="6" t="s">
        <v>7</v>
      </c>
      <c r="C50" s="7">
        <v>1685</v>
      </c>
      <c r="D50" s="7">
        <v>76</v>
      </c>
      <c r="E50" s="7">
        <v>453799</v>
      </c>
      <c r="F50" s="8">
        <v>5.71</v>
      </c>
      <c r="G50" s="7">
        <v>24913</v>
      </c>
      <c r="H50" s="9">
        <f t="shared" si="0"/>
        <v>1609</v>
      </c>
    </row>
    <row r="51" spans="1:8" x14ac:dyDescent="0.3">
      <c r="A51" s="5">
        <v>45530</v>
      </c>
      <c r="B51" s="6" t="s">
        <v>8</v>
      </c>
      <c r="C51" s="7">
        <v>248</v>
      </c>
      <c r="D51" s="7">
        <v>211</v>
      </c>
      <c r="E51" s="7">
        <v>379380</v>
      </c>
      <c r="F51" s="8">
        <v>9.0399999999999991</v>
      </c>
      <c r="G51" s="7">
        <v>26925</v>
      </c>
      <c r="H51" s="9">
        <f t="shared" si="0"/>
        <v>37</v>
      </c>
    </row>
    <row r="52" spans="1:8" x14ac:dyDescent="0.3">
      <c r="A52" s="5">
        <v>45530</v>
      </c>
      <c r="B52" s="6" t="s">
        <v>9</v>
      </c>
      <c r="C52" s="7">
        <v>1300</v>
      </c>
      <c r="D52" s="7">
        <v>71</v>
      </c>
      <c r="E52" s="7">
        <v>186454</v>
      </c>
      <c r="F52" s="8">
        <v>3.91</v>
      </c>
      <c r="G52" s="7">
        <v>9942</v>
      </c>
      <c r="H52" s="9">
        <f t="shared" si="0"/>
        <v>1229</v>
      </c>
    </row>
    <row r="53" spans="1:8" x14ac:dyDescent="0.3">
      <c r="A53" s="5">
        <v>45530</v>
      </c>
      <c r="B53" s="6" t="s">
        <v>10</v>
      </c>
      <c r="C53" s="7">
        <v>422</v>
      </c>
      <c r="D53" s="7">
        <v>394</v>
      </c>
      <c r="E53" s="7">
        <v>239044</v>
      </c>
      <c r="F53" s="8">
        <v>7.83</v>
      </c>
      <c r="G53" s="7">
        <v>32929</v>
      </c>
      <c r="H53" s="9">
        <f t="shared" si="0"/>
        <v>28</v>
      </c>
    </row>
    <row r="54" spans="1:8" x14ac:dyDescent="0.3">
      <c r="A54" s="5">
        <v>45537</v>
      </c>
      <c r="B54" s="6" t="s">
        <v>7</v>
      </c>
      <c r="C54" s="7">
        <v>1429</v>
      </c>
      <c r="D54" s="7">
        <v>182</v>
      </c>
      <c r="E54" s="7">
        <v>101332</v>
      </c>
      <c r="F54" s="8">
        <v>7.16</v>
      </c>
      <c r="G54" s="7">
        <v>37829</v>
      </c>
      <c r="H54" s="9">
        <f t="shared" si="0"/>
        <v>1247</v>
      </c>
    </row>
    <row r="55" spans="1:8" x14ac:dyDescent="0.3">
      <c r="A55" s="5">
        <v>45537</v>
      </c>
      <c r="B55" s="6" t="s">
        <v>8</v>
      </c>
      <c r="C55" s="7">
        <v>1520</v>
      </c>
      <c r="D55" s="7">
        <v>475</v>
      </c>
      <c r="E55" s="7">
        <v>496982</v>
      </c>
      <c r="F55" s="8">
        <v>6.41</v>
      </c>
      <c r="G55" s="7">
        <v>24384</v>
      </c>
      <c r="H55" s="9">
        <f t="shared" si="0"/>
        <v>1045</v>
      </c>
    </row>
    <row r="56" spans="1:8" x14ac:dyDescent="0.3">
      <c r="A56" s="5">
        <v>45537</v>
      </c>
      <c r="B56" s="6" t="s">
        <v>9</v>
      </c>
      <c r="C56" s="7">
        <v>557</v>
      </c>
      <c r="D56" s="7">
        <v>360</v>
      </c>
      <c r="E56" s="7">
        <v>318779</v>
      </c>
      <c r="F56" s="8">
        <v>8.02</v>
      </c>
      <c r="G56" s="7">
        <v>25797</v>
      </c>
      <c r="H56" s="9">
        <f t="shared" si="0"/>
        <v>197</v>
      </c>
    </row>
    <row r="57" spans="1:8" x14ac:dyDescent="0.3">
      <c r="A57" s="5">
        <v>45537</v>
      </c>
      <c r="B57" s="6" t="s">
        <v>10</v>
      </c>
      <c r="C57" s="7">
        <v>728</v>
      </c>
      <c r="D57" s="7">
        <v>395</v>
      </c>
      <c r="E57" s="7">
        <v>370971</v>
      </c>
      <c r="F57" s="8">
        <v>3.86</v>
      </c>
      <c r="G57" s="7">
        <v>12646</v>
      </c>
      <c r="H57" s="9">
        <f t="shared" si="0"/>
        <v>333</v>
      </c>
    </row>
    <row r="58" spans="1:8" x14ac:dyDescent="0.3">
      <c r="A58" s="5">
        <v>45544</v>
      </c>
      <c r="B58" s="6" t="s">
        <v>7</v>
      </c>
      <c r="C58" s="7">
        <v>1592</v>
      </c>
      <c r="D58" s="7">
        <v>20</v>
      </c>
      <c r="E58" s="7">
        <v>378054</v>
      </c>
      <c r="F58" s="8">
        <v>9.09</v>
      </c>
      <c r="G58" s="7">
        <v>26663</v>
      </c>
      <c r="H58" s="9">
        <f t="shared" si="0"/>
        <v>1572</v>
      </c>
    </row>
    <row r="59" spans="1:8" x14ac:dyDescent="0.3">
      <c r="A59" s="5">
        <v>45544</v>
      </c>
      <c r="B59" s="6" t="s">
        <v>8</v>
      </c>
      <c r="C59" s="7">
        <v>1842</v>
      </c>
      <c r="D59" s="7">
        <v>414</v>
      </c>
      <c r="E59" s="7">
        <v>307524</v>
      </c>
      <c r="F59" s="8">
        <v>1.76</v>
      </c>
      <c r="G59" s="7">
        <v>40478</v>
      </c>
      <c r="H59" s="9">
        <f t="shared" si="0"/>
        <v>1428</v>
      </c>
    </row>
    <row r="60" spans="1:8" x14ac:dyDescent="0.3">
      <c r="A60" s="5">
        <v>45544</v>
      </c>
      <c r="B60" s="6" t="s">
        <v>9</v>
      </c>
      <c r="C60" s="7">
        <v>751</v>
      </c>
      <c r="D60" s="7">
        <v>491</v>
      </c>
      <c r="E60" s="7">
        <v>434047</v>
      </c>
      <c r="F60" s="8">
        <v>9.24</v>
      </c>
      <c r="G60" s="7">
        <v>15476</v>
      </c>
      <c r="H60" s="9">
        <f t="shared" si="0"/>
        <v>260</v>
      </c>
    </row>
    <row r="61" spans="1:8" x14ac:dyDescent="0.3">
      <c r="A61" s="5">
        <v>45544</v>
      </c>
      <c r="B61" s="6" t="s">
        <v>10</v>
      </c>
      <c r="C61" s="7">
        <v>1409</v>
      </c>
      <c r="D61" s="7">
        <v>309</v>
      </c>
      <c r="E61" s="7">
        <v>64583</v>
      </c>
      <c r="F61" s="8">
        <v>8.99</v>
      </c>
      <c r="G61" s="7">
        <v>10217</v>
      </c>
      <c r="H61" s="9">
        <f t="shared" si="0"/>
        <v>1100</v>
      </c>
    </row>
    <row r="62" spans="1:8" x14ac:dyDescent="0.3">
      <c r="A62" s="5">
        <v>45551</v>
      </c>
      <c r="B62" s="6" t="s">
        <v>7</v>
      </c>
      <c r="C62" s="7">
        <v>778</v>
      </c>
      <c r="D62" s="7">
        <v>401</v>
      </c>
      <c r="E62" s="7">
        <v>50793</v>
      </c>
      <c r="F62" s="8">
        <v>3.4</v>
      </c>
      <c r="G62" s="7">
        <v>21939</v>
      </c>
      <c r="H62" s="9">
        <f t="shared" si="0"/>
        <v>377</v>
      </c>
    </row>
    <row r="63" spans="1:8" x14ac:dyDescent="0.3">
      <c r="A63" s="5">
        <v>45551</v>
      </c>
      <c r="B63" s="6" t="s">
        <v>8</v>
      </c>
      <c r="C63" s="7">
        <v>443</v>
      </c>
      <c r="D63" s="7">
        <v>345</v>
      </c>
      <c r="E63" s="7">
        <v>474162</v>
      </c>
      <c r="F63" s="8">
        <v>9.1999999999999993</v>
      </c>
      <c r="G63" s="7">
        <v>47462</v>
      </c>
      <c r="H63" s="9">
        <f t="shared" si="0"/>
        <v>98</v>
      </c>
    </row>
    <row r="64" spans="1:8" x14ac:dyDescent="0.3">
      <c r="A64" s="5">
        <v>45551</v>
      </c>
      <c r="B64" s="6" t="s">
        <v>9</v>
      </c>
      <c r="C64" s="7">
        <v>1472</v>
      </c>
      <c r="D64" s="7">
        <v>347</v>
      </c>
      <c r="E64" s="7">
        <v>392355</v>
      </c>
      <c r="F64" s="8">
        <v>8.59</v>
      </c>
      <c r="G64" s="7">
        <v>30270</v>
      </c>
      <c r="H64" s="9">
        <f t="shared" si="0"/>
        <v>1125</v>
      </c>
    </row>
    <row r="65" spans="1:8" x14ac:dyDescent="0.3">
      <c r="A65" s="5">
        <v>45551</v>
      </c>
      <c r="B65" s="6" t="s">
        <v>10</v>
      </c>
      <c r="C65" s="7">
        <v>123</v>
      </c>
      <c r="D65" s="7">
        <v>155</v>
      </c>
      <c r="E65" s="7">
        <v>119934</v>
      </c>
      <c r="F65" s="8">
        <v>3.5</v>
      </c>
      <c r="G65" s="7">
        <v>5442</v>
      </c>
      <c r="H65" s="9">
        <f t="shared" si="0"/>
        <v>-32</v>
      </c>
    </row>
    <row r="66" spans="1:8" x14ac:dyDescent="0.3">
      <c r="A66" s="5">
        <v>45558</v>
      </c>
      <c r="B66" s="6" t="s">
        <v>7</v>
      </c>
      <c r="C66" s="7">
        <v>817</v>
      </c>
      <c r="D66" s="7">
        <v>151</v>
      </c>
      <c r="E66" s="7">
        <v>422625</v>
      </c>
      <c r="F66" s="8">
        <v>2.36</v>
      </c>
      <c r="G66" s="7">
        <v>1083</v>
      </c>
      <c r="H66" s="9">
        <f t="shared" si="0"/>
        <v>666</v>
      </c>
    </row>
    <row r="67" spans="1:8" x14ac:dyDescent="0.3">
      <c r="A67" s="5">
        <v>45558</v>
      </c>
      <c r="B67" s="6" t="s">
        <v>8</v>
      </c>
      <c r="C67" s="7">
        <v>198</v>
      </c>
      <c r="D67" s="7">
        <v>217</v>
      </c>
      <c r="E67" s="7">
        <v>239753</v>
      </c>
      <c r="F67" s="8">
        <v>7.36</v>
      </c>
      <c r="G67" s="7">
        <v>11901</v>
      </c>
      <c r="H67" s="9">
        <f t="shared" ref="H67:H130" si="1">C67-D67</f>
        <v>-19</v>
      </c>
    </row>
    <row r="68" spans="1:8" x14ac:dyDescent="0.3">
      <c r="A68" s="5">
        <v>45558</v>
      </c>
      <c r="B68" s="6" t="s">
        <v>9</v>
      </c>
      <c r="C68" s="7">
        <v>1911</v>
      </c>
      <c r="D68" s="7">
        <v>231</v>
      </c>
      <c r="E68" s="7">
        <v>268516</v>
      </c>
      <c r="F68" s="8">
        <v>8.5500000000000007</v>
      </c>
      <c r="G68" s="7">
        <v>24018</v>
      </c>
      <c r="H68" s="9">
        <f t="shared" si="1"/>
        <v>1680</v>
      </c>
    </row>
    <row r="69" spans="1:8" x14ac:dyDescent="0.3">
      <c r="A69" s="5">
        <v>45558</v>
      </c>
      <c r="B69" s="6" t="s">
        <v>10</v>
      </c>
      <c r="C69" s="7">
        <v>1218</v>
      </c>
      <c r="D69" s="7">
        <v>212</v>
      </c>
      <c r="E69" s="7">
        <v>63177</v>
      </c>
      <c r="F69" s="8">
        <v>8.1300000000000008</v>
      </c>
      <c r="G69" s="7">
        <v>38883</v>
      </c>
      <c r="H69" s="9">
        <f t="shared" si="1"/>
        <v>1006</v>
      </c>
    </row>
    <row r="70" spans="1:8" x14ac:dyDescent="0.3">
      <c r="A70" s="5">
        <v>45565</v>
      </c>
      <c r="B70" s="6" t="s">
        <v>7</v>
      </c>
      <c r="C70" s="7">
        <v>1433</v>
      </c>
      <c r="D70" s="7">
        <v>408</v>
      </c>
      <c r="E70" s="7">
        <v>370269</v>
      </c>
      <c r="F70" s="8">
        <v>3.3</v>
      </c>
      <c r="G70" s="7">
        <v>30575</v>
      </c>
      <c r="H70" s="9">
        <f t="shared" si="1"/>
        <v>1025</v>
      </c>
    </row>
    <row r="71" spans="1:8" x14ac:dyDescent="0.3">
      <c r="A71" s="5">
        <v>45565</v>
      </c>
      <c r="B71" s="6" t="s">
        <v>8</v>
      </c>
      <c r="C71" s="7">
        <v>250</v>
      </c>
      <c r="D71" s="7">
        <v>429</v>
      </c>
      <c r="E71" s="7">
        <v>453423</v>
      </c>
      <c r="F71" s="8">
        <v>1.77</v>
      </c>
      <c r="G71" s="7">
        <v>2315</v>
      </c>
      <c r="H71" s="9">
        <f t="shared" si="1"/>
        <v>-179</v>
      </c>
    </row>
    <row r="72" spans="1:8" x14ac:dyDescent="0.3">
      <c r="A72" s="5">
        <v>45565</v>
      </c>
      <c r="B72" s="6" t="s">
        <v>9</v>
      </c>
      <c r="C72" s="7">
        <v>752</v>
      </c>
      <c r="D72" s="7">
        <v>153</v>
      </c>
      <c r="E72" s="7">
        <v>64906</v>
      </c>
      <c r="F72" s="8">
        <v>2.09</v>
      </c>
      <c r="G72" s="7">
        <v>12148</v>
      </c>
      <c r="H72" s="9">
        <f t="shared" si="1"/>
        <v>599</v>
      </c>
    </row>
    <row r="73" spans="1:8" x14ac:dyDescent="0.3">
      <c r="A73" s="5">
        <v>45565</v>
      </c>
      <c r="B73" s="6" t="s">
        <v>10</v>
      </c>
      <c r="C73" s="7">
        <v>1918</v>
      </c>
      <c r="D73" s="7">
        <v>212</v>
      </c>
      <c r="E73" s="7">
        <v>94360</v>
      </c>
      <c r="F73" s="8">
        <v>7.36</v>
      </c>
      <c r="G73" s="7">
        <v>36851</v>
      </c>
      <c r="H73" s="9">
        <f t="shared" si="1"/>
        <v>1706</v>
      </c>
    </row>
    <row r="74" spans="1:8" x14ac:dyDescent="0.3">
      <c r="A74" s="5">
        <v>45572</v>
      </c>
      <c r="B74" s="6" t="s">
        <v>7</v>
      </c>
      <c r="C74" s="7">
        <v>1939</v>
      </c>
      <c r="D74" s="7">
        <v>67</v>
      </c>
      <c r="E74" s="7">
        <v>187183</v>
      </c>
      <c r="F74" s="8">
        <v>6.25</v>
      </c>
      <c r="G74" s="7">
        <v>41215</v>
      </c>
      <c r="H74" s="9">
        <f t="shared" si="1"/>
        <v>1872</v>
      </c>
    </row>
    <row r="75" spans="1:8" x14ac:dyDescent="0.3">
      <c r="A75" s="5">
        <v>45572</v>
      </c>
      <c r="B75" s="6" t="s">
        <v>8</v>
      </c>
      <c r="C75" s="7">
        <v>1929</v>
      </c>
      <c r="D75" s="7">
        <v>267</v>
      </c>
      <c r="E75" s="7">
        <v>379363</v>
      </c>
      <c r="F75" s="8">
        <v>1.75</v>
      </c>
      <c r="G75" s="7">
        <v>43836</v>
      </c>
      <c r="H75" s="9">
        <f t="shared" si="1"/>
        <v>1662</v>
      </c>
    </row>
    <row r="76" spans="1:8" x14ac:dyDescent="0.3">
      <c r="A76" s="5">
        <v>45572</v>
      </c>
      <c r="B76" s="6" t="s">
        <v>9</v>
      </c>
      <c r="C76" s="7">
        <v>437</v>
      </c>
      <c r="D76" s="7">
        <v>330</v>
      </c>
      <c r="E76" s="7">
        <v>476486</v>
      </c>
      <c r="F76" s="8">
        <v>4.97</v>
      </c>
      <c r="G76" s="7">
        <v>4509</v>
      </c>
      <c r="H76" s="9">
        <f t="shared" si="1"/>
        <v>107</v>
      </c>
    </row>
    <row r="77" spans="1:8" x14ac:dyDescent="0.3">
      <c r="A77" s="5">
        <v>45572</v>
      </c>
      <c r="B77" s="6" t="s">
        <v>10</v>
      </c>
      <c r="C77" s="7">
        <v>307</v>
      </c>
      <c r="D77" s="7">
        <v>189</v>
      </c>
      <c r="E77" s="7">
        <v>117767</v>
      </c>
      <c r="F77" s="8">
        <v>9.3000000000000007</v>
      </c>
      <c r="G77" s="7">
        <v>27822</v>
      </c>
      <c r="H77" s="9">
        <f t="shared" si="1"/>
        <v>118</v>
      </c>
    </row>
    <row r="78" spans="1:8" x14ac:dyDescent="0.3">
      <c r="A78" s="5">
        <v>45579</v>
      </c>
      <c r="B78" s="6" t="s">
        <v>7</v>
      </c>
      <c r="C78" s="7">
        <v>1527</v>
      </c>
      <c r="D78" s="7">
        <v>303</v>
      </c>
      <c r="E78" s="7">
        <v>388555</v>
      </c>
      <c r="F78" s="8">
        <v>8.9</v>
      </c>
      <c r="G78" s="7">
        <v>36397</v>
      </c>
      <c r="H78" s="9">
        <f t="shared" si="1"/>
        <v>1224</v>
      </c>
    </row>
    <row r="79" spans="1:8" x14ac:dyDescent="0.3">
      <c r="A79" s="5">
        <v>45579</v>
      </c>
      <c r="B79" s="6" t="s">
        <v>8</v>
      </c>
      <c r="C79" s="7">
        <v>643</v>
      </c>
      <c r="D79" s="7">
        <v>358</v>
      </c>
      <c r="E79" s="7">
        <v>157599</v>
      </c>
      <c r="F79" s="8">
        <v>3.88</v>
      </c>
      <c r="G79" s="7">
        <v>7285</v>
      </c>
      <c r="H79" s="9">
        <f t="shared" si="1"/>
        <v>285</v>
      </c>
    </row>
    <row r="80" spans="1:8" x14ac:dyDescent="0.3">
      <c r="A80" s="5">
        <v>45579</v>
      </c>
      <c r="B80" s="6" t="s">
        <v>9</v>
      </c>
      <c r="C80" s="7">
        <v>201</v>
      </c>
      <c r="D80" s="7">
        <v>221</v>
      </c>
      <c r="E80" s="7">
        <v>309772</v>
      </c>
      <c r="F80" s="8">
        <v>5.9</v>
      </c>
      <c r="G80" s="7">
        <v>33174</v>
      </c>
      <c r="H80" s="9">
        <f t="shared" si="1"/>
        <v>-20</v>
      </c>
    </row>
    <row r="81" spans="1:8" x14ac:dyDescent="0.3">
      <c r="A81" s="5">
        <v>45579</v>
      </c>
      <c r="B81" s="6" t="s">
        <v>10</v>
      </c>
      <c r="C81" s="7">
        <v>414</v>
      </c>
      <c r="D81" s="7">
        <v>47</v>
      </c>
      <c r="E81" s="7">
        <v>199178</v>
      </c>
      <c r="F81" s="8">
        <v>1.53</v>
      </c>
      <c r="G81" s="7">
        <v>6742</v>
      </c>
      <c r="H81" s="9">
        <f t="shared" si="1"/>
        <v>367</v>
      </c>
    </row>
    <row r="82" spans="1:8" x14ac:dyDescent="0.3">
      <c r="A82" s="5">
        <v>45586</v>
      </c>
      <c r="B82" s="6" t="s">
        <v>7</v>
      </c>
      <c r="C82" s="7">
        <v>703</v>
      </c>
      <c r="D82" s="7">
        <v>441</v>
      </c>
      <c r="E82" s="7">
        <v>357089</v>
      </c>
      <c r="F82" s="8">
        <v>6.5</v>
      </c>
      <c r="G82" s="7">
        <v>32478</v>
      </c>
      <c r="H82" s="9">
        <f t="shared" si="1"/>
        <v>262</v>
      </c>
    </row>
    <row r="83" spans="1:8" x14ac:dyDescent="0.3">
      <c r="A83" s="5">
        <v>45586</v>
      </c>
      <c r="B83" s="6" t="s">
        <v>8</v>
      </c>
      <c r="C83" s="7">
        <v>508</v>
      </c>
      <c r="D83" s="7">
        <v>69</v>
      </c>
      <c r="E83" s="7">
        <v>23492</v>
      </c>
      <c r="F83" s="8">
        <v>3.16</v>
      </c>
      <c r="G83" s="7">
        <v>42824</v>
      </c>
      <c r="H83" s="9">
        <f t="shared" si="1"/>
        <v>439</v>
      </c>
    </row>
    <row r="84" spans="1:8" x14ac:dyDescent="0.3">
      <c r="A84" s="5">
        <v>45586</v>
      </c>
      <c r="B84" s="6" t="s">
        <v>9</v>
      </c>
      <c r="C84" s="7">
        <v>697</v>
      </c>
      <c r="D84" s="7">
        <v>61</v>
      </c>
      <c r="E84" s="7">
        <v>258287</v>
      </c>
      <c r="F84" s="8">
        <v>8.25</v>
      </c>
      <c r="G84" s="7">
        <v>21208</v>
      </c>
      <c r="H84" s="9">
        <f t="shared" si="1"/>
        <v>636</v>
      </c>
    </row>
    <row r="85" spans="1:8" x14ac:dyDescent="0.3">
      <c r="A85" s="5">
        <v>45586</v>
      </c>
      <c r="B85" s="6" t="s">
        <v>10</v>
      </c>
      <c r="C85" s="7">
        <v>1707</v>
      </c>
      <c r="D85" s="7">
        <v>223</v>
      </c>
      <c r="E85" s="7">
        <v>256910</v>
      </c>
      <c r="F85" s="8">
        <v>5.41</v>
      </c>
      <c r="G85" s="7">
        <v>44321</v>
      </c>
      <c r="H85" s="9">
        <f t="shared" si="1"/>
        <v>1484</v>
      </c>
    </row>
    <row r="86" spans="1:8" x14ac:dyDescent="0.3">
      <c r="A86" s="5">
        <v>45593</v>
      </c>
      <c r="B86" s="6" t="s">
        <v>7</v>
      </c>
      <c r="C86" s="7">
        <v>642</v>
      </c>
      <c r="D86" s="7">
        <v>66</v>
      </c>
      <c r="E86" s="7">
        <v>346522</v>
      </c>
      <c r="F86" s="8">
        <v>5.85</v>
      </c>
      <c r="G86" s="7">
        <v>13116</v>
      </c>
      <c r="H86" s="9">
        <f t="shared" si="1"/>
        <v>576</v>
      </c>
    </row>
    <row r="87" spans="1:8" x14ac:dyDescent="0.3">
      <c r="A87" s="5">
        <v>45593</v>
      </c>
      <c r="B87" s="6" t="s">
        <v>8</v>
      </c>
      <c r="C87" s="7">
        <v>859</v>
      </c>
      <c r="D87" s="7">
        <v>473</v>
      </c>
      <c r="E87" s="7">
        <v>209987</v>
      </c>
      <c r="F87" s="8">
        <v>4.46</v>
      </c>
      <c r="G87" s="7">
        <v>30214</v>
      </c>
      <c r="H87" s="9">
        <f t="shared" si="1"/>
        <v>386</v>
      </c>
    </row>
    <row r="88" spans="1:8" x14ac:dyDescent="0.3">
      <c r="A88" s="5">
        <v>45593</v>
      </c>
      <c r="B88" s="6" t="s">
        <v>9</v>
      </c>
      <c r="C88" s="7">
        <v>191</v>
      </c>
      <c r="D88" s="7">
        <v>154</v>
      </c>
      <c r="E88" s="7">
        <v>240550</v>
      </c>
      <c r="F88" s="8">
        <v>5.22</v>
      </c>
      <c r="G88" s="7">
        <v>15827</v>
      </c>
      <c r="H88" s="9">
        <f t="shared" si="1"/>
        <v>37</v>
      </c>
    </row>
    <row r="89" spans="1:8" x14ac:dyDescent="0.3">
      <c r="A89" s="5">
        <v>45593</v>
      </c>
      <c r="B89" s="6" t="s">
        <v>10</v>
      </c>
      <c r="C89" s="7">
        <v>1814</v>
      </c>
      <c r="D89" s="7">
        <v>157</v>
      </c>
      <c r="E89" s="7">
        <v>305827</v>
      </c>
      <c r="F89" s="8">
        <v>1.99</v>
      </c>
      <c r="G89" s="7">
        <v>46643</v>
      </c>
      <c r="H89" s="9">
        <f t="shared" si="1"/>
        <v>1657</v>
      </c>
    </row>
    <row r="90" spans="1:8" x14ac:dyDescent="0.3">
      <c r="A90" s="5">
        <v>45600</v>
      </c>
      <c r="B90" s="6" t="s">
        <v>7</v>
      </c>
      <c r="C90" s="7">
        <v>1466</v>
      </c>
      <c r="D90" s="7">
        <v>69</v>
      </c>
      <c r="E90" s="7">
        <v>54935</v>
      </c>
      <c r="F90" s="8">
        <v>6.85</v>
      </c>
      <c r="G90" s="7">
        <v>36484</v>
      </c>
      <c r="H90" s="9">
        <f t="shared" si="1"/>
        <v>1397</v>
      </c>
    </row>
    <row r="91" spans="1:8" x14ac:dyDescent="0.3">
      <c r="A91" s="5">
        <v>45600</v>
      </c>
      <c r="B91" s="6" t="s">
        <v>8</v>
      </c>
      <c r="C91" s="7">
        <v>947</v>
      </c>
      <c r="D91" s="7">
        <v>407</v>
      </c>
      <c r="E91" s="7">
        <v>319186</v>
      </c>
      <c r="F91" s="8">
        <v>3.32</v>
      </c>
      <c r="G91" s="7">
        <v>4996</v>
      </c>
      <c r="H91" s="9">
        <f t="shared" si="1"/>
        <v>540</v>
      </c>
    </row>
    <row r="92" spans="1:8" x14ac:dyDescent="0.3">
      <c r="A92" s="5">
        <v>45600</v>
      </c>
      <c r="B92" s="6" t="s">
        <v>9</v>
      </c>
      <c r="C92" s="7">
        <v>1821</v>
      </c>
      <c r="D92" s="7">
        <v>218</v>
      </c>
      <c r="E92" s="7">
        <v>439080</v>
      </c>
      <c r="F92" s="8">
        <v>5.68</v>
      </c>
      <c r="G92" s="7">
        <v>36095</v>
      </c>
      <c r="H92" s="9">
        <f t="shared" si="1"/>
        <v>1603</v>
      </c>
    </row>
    <row r="93" spans="1:8" x14ac:dyDescent="0.3">
      <c r="A93" s="5">
        <v>45600</v>
      </c>
      <c r="B93" s="6" t="s">
        <v>10</v>
      </c>
      <c r="C93" s="7">
        <v>1507</v>
      </c>
      <c r="D93" s="7">
        <v>463</v>
      </c>
      <c r="E93" s="7">
        <v>258944</v>
      </c>
      <c r="F93" s="8">
        <v>6.08</v>
      </c>
      <c r="G93" s="7">
        <v>16443</v>
      </c>
      <c r="H93" s="9">
        <f t="shared" si="1"/>
        <v>1044</v>
      </c>
    </row>
    <row r="94" spans="1:8" x14ac:dyDescent="0.3">
      <c r="A94" s="5">
        <v>45607</v>
      </c>
      <c r="B94" s="6" t="s">
        <v>7</v>
      </c>
      <c r="C94" s="7">
        <v>1075</v>
      </c>
      <c r="D94" s="7">
        <v>173</v>
      </c>
      <c r="E94" s="7">
        <v>51395</v>
      </c>
      <c r="F94" s="8">
        <v>4.66</v>
      </c>
      <c r="G94" s="7">
        <v>47812</v>
      </c>
      <c r="H94" s="9">
        <f t="shared" si="1"/>
        <v>902</v>
      </c>
    </row>
    <row r="95" spans="1:8" x14ac:dyDescent="0.3">
      <c r="A95" s="5">
        <v>45607</v>
      </c>
      <c r="B95" s="6" t="s">
        <v>8</v>
      </c>
      <c r="C95" s="7">
        <v>171</v>
      </c>
      <c r="D95" s="7">
        <v>277</v>
      </c>
      <c r="E95" s="7">
        <v>309483</v>
      </c>
      <c r="F95" s="8">
        <v>8.6999999999999993</v>
      </c>
      <c r="G95" s="7">
        <v>38452</v>
      </c>
      <c r="H95" s="9">
        <f t="shared" si="1"/>
        <v>-106</v>
      </c>
    </row>
    <row r="96" spans="1:8" x14ac:dyDescent="0.3">
      <c r="A96" s="5">
        <v>45607</v>
      </c>
      <c r="B96" s="6" t="s">
        <v>9</v>
      </c>
      <c r="C96" s="7">
        <v>1487</v>
      </c>
      <c r="D96" s="7">
        <v>337</v>
      </c>
      <c r="E96" s="7">
        <v>87305</v>
      </c>
      <c r="F96" s="8">
        <v>2.46</v>
      </c>
      <c r="G96" s="7">
        <v>30428</v>
      </c>
      <c r="H96" s="9">
        <f t="shared" si="1"/>
        <v>1150</v>
      </c>
    </row>
    <row r="97" spans="1:8" x14ac:dyDescent="0.3">
      <c r="A97" s="5">
        <v>45607</v>
      </c>
      <c r="B97" s="6" t="s">
        <v>10</v>
      </c>
      <c r="C97" s="7">
        <v>454</v>
      </c>
      <c r="D97" s="7">
        <v>105</v>
      </c>
      <c r="E97" s="7">
        <v>121091</v>
      </c>
      <c r="F97" s="8">
        <v>7.97</v>
      </c>
      <c r="G97" s="7">
        <v>9269</v>
      </c>
      <c r="H97" s="9">
        <f t="shared" si="1"/>
        <v>349</v>
      </c>
    </row>
    <row r="98" spans="1:8" x14ac:dyDescent="0.3">
      <c r="A98" s="5">
        <v>45614</v>
      </c>
      <c r="B98" s="6" t="s">
        <v>7</v>
      </c>
      <c r="C98" s="7">
        <v>187</v>
      </c>
      <c r="D98" s="7">
        <v>236</v>
      </c>
      <c r="E98" s="7">
        <v>51087</v>
      </c>
      <c r="F98" s="8">
        <v>9.41</v>
      </c>
      <c r="G98" s="7">
        <v>29533</v>
      </c>
      <c r="H98" s="9">
        <f t="shared" si="1"/>
        <v>-49</v>
      </c>
    </row>
    <row r="99" spans="1:8" x14ac:dyDescent="0.3">
      <c r="A99" s="5">
        <v>45614</v>
      </c>
      <c r="B99" s="6" t="s">
        <v>8</v>
      </c>
      <c r="C99" s="7">
        <v>513</v>
      </c>
      <c r="D99" s="7">
        <v>441</v>
      </c>
      <c r="E99" s="7">
        <v>338847</v>
      </c>
      <c r="F99" s="8">
        <v>2.68</v>
      </c>
      <c r="G99" s="7">
        <v>39997</v>
      </c>
      <c r="H99" s="9">
        <f t="shared" si="1"/>
        <v>72</v>
      </c>
    </row>
    <row r="100" spans="1:8" x14ac:dyDescent="0.3">
      <c r="A100" s="5">
        <v>45614</v>
      </c>
      <c r="B100" s="6" t="s">
        <v>9</v>
      </c>
      <c r="C100" s="7">
        <v>628</v>
      </c>
      <c r="D100" s="7">
        <v>183</v>
      </c>
      <c r="E100" s="7">
        <v>487523</v>
      </c>
      <c r="F100" s="8">
        <v>7.32</v>
      </c>
      <c r="G100" s="7">
        <v>5391</v>
      </c>
      <c r="H100" s="9">
        <f t="shared" si="1"/>
        <v>445</v>
      </c>
    </row>
    <row r="101" spans="1:8" x14ac:dyDescent="0.3">
      <c r="A101" s="5">
        <v>45614</v>
      </c>
      <c r="B101" s="6" t="s">
        <v>10</v>
      </c>
      <c r="C101" s="7">
        <v>278</v>
      </c>
      <c r="D101" s="7">
        <v>218</v>
      </c>
      <c r="E101" s="7">
        <v>301695</v>
      </c>
      <c r="F101" s="8">
        <v>4.68</v>
      </c>
      <c r="G101" s="7">
        <v>22373</v>
      </c>
      <c r="H101" s="9">
        <f t="shared" si="1"/>
        <v>60</v>
      </c>
    </row>
    <row r="102" spans="1:8" x14ac:dyDescent="0.3">
      <c r="A102" s="5">
        <v>45621</v>
      </c>
      <c r="B102" s="6" t="s">
        <v>7</v>
      </c>
      <c r="C102" s="7">
        <v>1854</v>
      </c>
      <c r="D102" s="7">
        <v>161</v>
      </c>
      <c r="E102" s="7">
        <v>282466</v>
      </c>
      <c r="F102" s="8">
        <v>5.17</v>
      </c>
      <c r="G102" s="7">
        <v>1810</v>
      </c>
      <c r="H102" s="9">
        <f t="shared" si="1"/>
        <v>1693</v>
      </c>
    </row>
    <row r="103" spans="1:8" x14ac:dyDescent="0.3">
      <c r="A103" s="5">
        <v>45621</v>
      </c>
      <c r="B103" s="6" t="s">
        <v>8</v>
      </c>
      <c r="C103" s="7">
        <v>1710</v>
      </c>
      <c r="D103" s="7">
        <v>378</v>
      </c>
      <c r="E103" s="7">
        <v>336661</v>
      </c>
      <c r="F103" s="8">
        <v>6.2</v>
      </c>
      <c r="G103" s="7">
        <v>28498</v>
      </c>
      <c r="H103" s="9">
        <f t="shared" si="1"/>
        <v>1332</v>
      </c>
    </row>
    <row r="104" spans="1:8" x14ac:dyDescent="0.3">
      <c r="A104" s="5">
        <v>45621</v>
      </c>
      <c r="B104" s="6" t="s">
        <v>9</v>
      </c>
      <c r="C104" s="7">
        <v>330</v>
      </c>
      <c r="D104" s="7">
        <v>232</v>
      </c>
      <c r="E104" s="7">
        <v>88455</v>
      </c>
      <c r="F104" s="8">
        <v>2.69</v>
      </c>
      <c r="G104" s="7">
        <v>39530</v>
      </c>
      <c r="H104" s="9">
        <f t="shared" si="1"/>
        <v>98</v>
      </c>
    </row>
    <row r="105" spans="1:8" x14ac:dyDescent="0.3">
      <c r="A105" s="5">
        <v>45621</v>
      </c>
      <c r="B105" s="6" t="s">
        <v>10</v>
      </c>
      <c r="C105" s="7">
        <v>1293</v>
      </c>
      <c r="D105" s="7">
        <v>408</v>
      </c>
      <c r="E105" s="7">
        <v>62535</v>
      </c>
      <c r="F105" s="8">
        <v>8.9</v>
      </c>
      <c r="G105" s="7">
        <v>37876</v>
      </c>
      <c r="H105" s="9">
        <f t="shared" si="1"/>
        <v>885</v>
      </c>
    </row>
    <row r="106" spans="1:8" x14ac:dyDescent="0.3">
      <c r="A106" s="5">
        <v>45628</v>
      </c>
      <c r="B106" s="6" t="s">
        <v>7</v>
      </c>
      <c r="C106" s="7">
        <v>1696</v>
      </c>
      <c r="D106" s="7">
        <v>71</v>
      </c>
      <c r="E106" s="7">
        <v>421957</v>
      </c>
      <c r="F106" s="8">
        <v>3.79</v>
      </c>
      <c r="G106" s="7">
        <v>36103</v>
      </c>
      <c r="H106" s="9">
        <f t="shared" si="1"/>
        <v>1625</v>
      </c>
    </row>
    <row r="107" spans="1:8" x14ac:dyDescent="0.3">
      <c r="A107" s="5">
        <v>45628</v>
      </c>
      <c r="B107" s="6" t="s">
        <v>8</v>
      </c>
      <c r="C107" s="7">
        <v>1902</v>
      </c>
      <c r="D107" s="7">
        <v>196</v>
      </c>
      <c r="E107" s="7">
        <v>470269</v>
      </c>
      <c r="F107" s="8">
        <v>4.79</v>
      </c>
      <c r="G107" s="7">
        <v>26103</v>
      </c>
      <c r="H107" s="9">
        <f t="shared" si="1"/>
        <v>1706</v>
      </c>
    </row>
    <row r="108" spans="1:8" x14ac:dyDescent="0.3">
      <c r="A108" s="5">
        <v>45628</v>
      </c>
      <c r="B108" s="6" t="s">
        <v>9</v>
      </c>
      <c r="C108" s="7">
        <v>1441</v>
      </c>
      <c r="D108" s="7">
        <v>268</v>
      </c>
      <c r="E108" s="7">
        <v>309904</v>
      </c>
      <c r="F108" s="8">
        <v>6.37</v>
      </c>
      <c r="G108" s="7">
        <v>3455</v>
      </c>
      <c r="H108" s="9">
        <f t="shared" si="1"/>
        <v>1173</v>
      </c>
    </row>
    <row r="109" spans="1:8" x14ac:dyDescent="0.3">
      <c r="A109" s="5">
        <v>45628</v>
      </c>
      <c r="B109" s="6" t="s">
        <v>10</v>
      </c>
      <c r="C109" s="7">
        <v>452</v>
      </c>
      <c r="D109" s="7">
        <v>161</v>
      </c>
      <c r="E109" s="7">
        <v>221274</v>
      </c>
      <c r="F109" s="8">
        <v>2.65</v>
      </c>
      <c r="G109" s="7">
        <v>40888</v>
      </c>
      <c r="H109" s="9">
        <f t="shared" si="1"/>
        <v>291</v>
      </c>
    </row>
    <row r="110" spans="1:8" x14ac:dyDescent="0.3">
      <c r="A110" s="5">
        <v>45635</v>
      </c>
      <c r="B110" s="6" t="s">
        <v>7</v>
      </c>
      <c r="C110" s="7">
        <v>1494</v>
      </c>
      <c r="D110" s="7">
        <v>375</v>
      </c>
      <c r="E110" s="7">
        <v>220616</v>
      </c>
      <c r="F110" s="8">
        <v>1.81</v>
      </c>
      <c r="G110" s="7">
        <v>22724</v>
      </c>
      <c r="H110" s="9">
        <f t="shared" si="1"/>
        <v>1119</v>
      </c>
    </row>
    <row r="111" spans="1:8" x14ac:dyDescent="0.3">
      <c r="A111" s="5">
        <v>45635</v>
      </c>
      <c r="B111" s="6" t="s">
        <v>8</v>
      </c>
      <c r="C111" s="7">
        <v>1514</v>
      </c>
      <c r="D111" s="7">
        <v>141</v>
      </c>
      <c r="E111" s="7">
        <v>35842</v>
      </c>
      <c r="F111" s="8">
        <v>7.47</v>
      </c>
      <c r="G111" s="7">
        <v>18601</v>
      </c>
      <c r="H111" s="9">
        <f t="shared" si="1"/>
        <v>1373</v>
      </c>
    </row>
    <row r="112" spans="1:8" x14ac:dyDescent="0.3">
      <c r="A112" s="5">
        <v>45635</v>
      </c>
      <c r="B112" s="6" t="s">
        <v>9</v>
      </c>
      <c r="C112" s="7">
        <v>1937</v>
      </c>
      <c r="D112" s="7">
        <v>210</v>
      </c>
      <c r="E112" s="7">
        <v>20607</v>
      </c>
      <c r="F112" s="8">
        <v>4.2</v>
      </c>
      <c r="G112" s="7">
        <v>20861</v>
      </c>
      <c r="H112" s="9">
        <f t="shared" si="1"/>
        <v>1727</v>
      </c>
    </row>
    <row r="113" spans="1:8" x14ac:dyDescent="0.3">
      <c r="A113" s="5">
        <v>45635</v>
      </c>
      <c r="B113" s="6" t="s">
        <v>10</v>
      </c>
      <c r="C113" s="7">
        <v>736</v>
      </c>
      <c r="D113" s="7">
        <v>163</v>
      </c>
      <c r="E113" s="7">
        <v>451894</v>
      </c>
      <c r="F113" s="8">
        <v>5.43</v>
      </c>
      <c r="G113" s="7">
        <v>46625</v>
      </c>
      <c r="H113" s="9">
        <f t="shared" si="1"/>
        <v>573</v>
      </c>
    </row>
    <row r="114" spans="1:8" x14ac:dyDescent="0.3">
      <c r="A114" s="5">
        <v>45642</v>
      </c>
      <c r="B114" s="6" t="s">
        <v>7</v>
      </c>
      <c r="C114" s="7">
        <v>1502</v>
      </c>
      <c r="D114" s="7">
        <v>70</v>
      </c>
      <c r="E114" s="7">
        <v>465553</v>
      </c>
      <c r="F114" s="8">
        <v>3.32</v>
      </c>
      <c r="G114" s="7">
        <v>20692</v>
      </c>
      <c r="H114" s="9">
        <f t="shared" si="1"/>
        <v>1432</v>
      </c>
    </row>
    <row r="115" spans="1:8" x14ac:dyDescent="0.3">
      <c r="A115" s="5">
        <v>45642</v>
      </c>
      <c r="B115" s="6" t="s">
        <v>8</v>
      </c>
      <c r="C115" s="7">
        <v>1623</v>
      </c>
      <c r="D115" s="7">
        <v>246</v>
      </c>
      <c r="E115" s="7">
        <v>415815</v>
      </c>
      <c r="F115" s="8">
        <v>8.11</v>
      </c>
      <c r="G115" s="7">
        <v>18656</v>
      </c>
      <c r="H115" s="9">
        <f t="shared" si="1"/>
        <v>1377</v>
      </c>
    </row>
    <row r="116" spans="1:8" x14ac:dyDescent="0.3">
      <c r="A116" s="5">
        <v>45642</v>
      </c>
      <c r="B116" s="6" t="s">
        <v>9</v>
      </c>
      <c r="C116" s="7">
        <v>1592</v>
      </c>
      <c r="D116" s="7">
        <v>233</v>
      </c>
      <c r="E116" s="7">
        <v>327183</v>
      </c>
      <c r="F116" s="8">
        <v>6.66</v>
      </c>
      <c r="G116" s="7">
        <v>13316</v>
      </c>
      <c r="H116" s="9">
        <f t="shared" si="1"/>
        <v>1359</v>
      </c>
    </row>
    <row r="117" spans="1:8" x14ac:dyDescent="0.3">
      <c r="A117" s="5">
        <v>45642</v>
      </c>
      <c r="B117" s="6" t="s">
        <v>10</v>
      </c>
      <c r="C117" s="7">
        <v>1004</v>
      </c>
      <c r="D117" s="7">
        <v>128</v>
      </c>
      <c r="E117" s="7">
        <v>488901</v>
      </c>
      <c r="F117" s="8">
        <v>8.09</v>
      </c>
      <c r="G117" s="7">
        <v>49558</v>
      </c>
      <c r="H117" s="9">
        <f t="shared" si="1"/>
        <v>876</v>
      </c>
    </row>
    <row r="118" spans="1:8" x14ac:dyDescent="0.3">
      <c r="A118" s="5">
        <v>45649</v>
      </c>
      <c r="B118" s="6" t="s">
        <v>7</v>
      </c>
      <c r="C118" s="7">
        <v>1092</v>
      </c>
      <c r="D118" s="7">
        <v>408</v>
      </c>
      <c r="E118" s="7">
        <v>280795</v>
      </c>
      <c r="F118" s="8">
        <v>8.44</v>
      </c>
      <c r="G118" s="7">
        <v>4683</v>
      </c>
      <c r="H118" s="9">
        <f t="shared" si="1"/>
        <v>684</v>
      </c>
    </row>
    <row r="119" spans="1:8" x14ac:dyDescent="0.3">
      <c r="A119" s="5">
        <v>45649</v>
      </c>
      <c r="B119" s="6" t="s">
        <v>8</v>
      </c>
      <c r="C119" s="7">
        <v>1155</v>
      </c>
      <c r="D119" s="7">
        <v>425</v>
      </c>
      <c r="E119" s="7">
        <v>93347</v>
      </c>
      <c r="F119" s="8">
        <v>2.02</v>
      </c>
      <c r="G119" s="7">
        <v>47502</v>
      </c>
      <c r="H119" s="9">
        <f t="shared" si="1"/>
        <v>730</v>
      </c>
    </row>
    <row r="120" spans="1:8" x14ac:dyDescent="0.3">
      <c r="A120" s="5">
        <v>45649</v>
      </c>
      <c r="B120" s="6" t="s">
        <v>9</v>
      </c>
      <c r="C120" s="7">
        <v>1137</v>
      </c>
      <c r="D120" s="7">
        <v>226</v>
      </c>
      <c r="E120" s="7">
        <v>81119</v>
      </c>
      <c r="F120" s="8">
        <v>7.74</v>
      </c>
      <c r="G120" s="7">
        <v>35359</v>
      </c>
      <c r="H120" s="9">
        <f t="shared" si="1"/>
        <v>911</v>
      </c>
    </row>
    <row r="121" spans="1:8" x14ac:dyDescent="0.3">
      <c r="A121" s="5">
        <v>45649</v>
      </c>
      <c r="B121" s="6" t="s">
        <v>10</v>
      </c>
      <c r="C121" s="7">
        <v>1900</v>
      </c>
      <c r="D121" s="7">
        <v>311</v>
      </c>
      <c r="E121" s="7">
        <v>25177</v>
      </c>
      <c r="F121" s="8">
        <v>2.89</v>
      </c>
      <c r="G121" s="7">
        <v>14154</v>
      </c>
      <c r="H121" s="9">
        <f t="shared" si="1"/>
        <v>1589</v>
      </c>
    </row>
    <row r="122" spans="1:8" x14ac:dyDescent="0.3">
      <c r="A122" s="5">
        <v>45656</v>
      </c>
      <c r="B122" s="6" t="s">
        <v>7</v>
      </c>
      <c r="C122" s="7">
        <v>1814</v>
      </c>
      <c r="D122" s="7">
        <v>49</v>
      </c>
      <c r="E122" s="7">
        <v>140804</v>
      </c>
      <c r="F122" s="8">
        <v>1.76</v>
      </c>
      <c r="G122" s="7">
        <v>4313</v>
      </c>
      <c r="H122" s="9">
        <f t="shared" si="1"/>
        <v>1765</v>
      </c>
    </row>
    <row r="123" spans="1:8" x14ac:dyDescent="0.3">
      <c r="A123" s="5">
        <v>45656</v>
      </c>
      <c r="B123" s="6" t="s">
        <v>8</v>
      </c>
      <c r="C123" s="7">
        <v>1980</v>
      </c>
      <c r="D123" s="7">
        <v>204</v>
      </c>
      <c r="E123" s="7">
        <v>379431</v>
      </c>
      <c r="F123" s="8">
        <v>3.09</v>
      </c>
      <c r="G123" s="7">
        <v>25140</v>
      </c>
      <c r="H123" s="9">
        <f t="shared" si="1"/>
        <v>1776</v>
      </c>
    </row>
    <row r="124" spans="1:8" x14ac:dyDescent="0.3">
      <c r="A124" s="5">
        <v>45656</v>
      </c>
      <c r="B124" s="6" t="s">
        <v>9</v>
      </c>
      <c r="C124" s="7">
        <v>1786</v>
      </c>
      <c r="D124" s="7">
        <v>257</v>
      </c>
      <c r="E124" s="7">
        <v>274831</v>
      </c>
      <c r="F124" s="8">
        <v>4.68</v>
      </c>
      <c r="G124" s="7">
        <v>9118</v>
      </c>
      <c r="H124" s="9">
        <f t="shared" si="1"/>
        <v>1529</v>
      </c>
    </row>
    <row r="125" spans="1:8" x14ac:dyDescent="0.3">
      <c r="A125" s="5">
        <v>45656</v>
      </c>
      <c r="B125" s="6" t="s">
        <v>10</v>
      </c>
      <c r="C125" s="7">
        <v>1495</v>
      </c>
      <c r="D125" s="7">
        <v>35</v>
      </c>
      <c r="E125" s="7">
        <v>136845</v>
      </c>
      <c r="F125" s="8">
        <v>4.4800000000000004</v>
      </c>
      <c r="G125" s="7">
        <v>39931</v>
      </c>
      <c r="H125" s="9">
        <f t="shared" si="1"/>
        <v>1460</v>
      </c>
    </row>
    <row r="126" spans="1:8" x14ac:dyDescent="0.3">
      <c r="A126" s="5">
        <v>45663</v>
      </c>
      <c r="B126" s="6" t="s">
        <v>7</v>
      </c>
      <c r="C126" s="7">
        <v>1013</v>
      </c>
      <c r="D126" s="7">
        <v>110</v>
      </c>
      <c r="E126" s="7">
        <v>466382</v>
      </c>
      <c r="F126" s="8">
        <v>5.3</v>
      </c>
      <c r="G126" s="7">
        <v>37132</v>
      </c>
      <c r="H126" s="9">
        <f t="shared" si="1"/>
        <v>903</v>
      </c>
    </row>
    <row r="127" spans="1:8" x14ac:dyDescent="0.3">
      <c r="A127" s="5">
        <v>45663</v>
      </c>
      <c r="B127" s="6" t="s">
        <v>8</v>
      </c>
      <c r="C127" s="7">
        <v>816</v>
      </c>
      <c r="D127" s="7">
        <v>196</v>
      </c>
      <c r="E127" s="7">
        <v>95728</v>
      </c>
      <c r="F127" s="8">
        <v>8.1999999999999993</v>
      </c>
      <c r="G127" s="7">
        <v>17951</v>
      </c>
      <c r="H127" s="9">
        <f t="shared" si="1"/>
        <v>620</v>
      </c>
    </row>
    <row r="128" spans="1:8" x14ac:dyDescent="0.3">
      <c r="A128" s="5">
        <v>45663</v>
      </c>
      <c r="B128" s="6" t="s">
        <v>9</v>
      </c>
      <c r="C128" s="7">
        <v>1633</v>
      </c>
      <c r="D128" s="7">
        <v>445</v>
      </c>
      <c r="E128" s="7">
        <v>371156</v>
      </c>
      <c r="F128" s="8">
        <v>2.2200000000000002</v>
      </c>
      <c r="G128" s="7">
        <v>2798</v>
      </c>
      <c r="H128" s="9">
        <f t="shared" si="1"/>
        <v>1188</v>
      </c>
    </row>
    <row r="129" spans="1:8" x14ac:dyDescent="0.3">
      <c r="A129" s="5">
        <v>45663</v>
      </c>
      <c r="B129" s="6" t="s">
        <v>10</v>
      </c>
      <c r="C129" s="7">
        <v>891</v>
      </c>
      <c r="D129" s="7">
        <v>45</v>
      </c>
      <c r="E129" s="7">
        <v>95410</v>
      </c>
      <c r="F129" s="8">
        <v>8.33</v>
      </c>
      <c r="G129" s="7">
        <v>15045</v>
      </c>
      <c r="H129" s="9">
        <f t="shared" si="1"/>
        <v>846</v>
      </c>
    </row>
    <row r="130" spans="1:8" x14ac:dyDescent="0.3">
      <c r="A130" s="5">
        <v>45670</v>
      </c>
      <c r="B130" s="6" t="s">
        <v>7</v>
      </c>
      <c r="C130" s="7">
        <v>1855</v>
      </c>
      <c r="D130" s="7">
        <v>133</v>
      </c>
      <c r="E130" s="7">
        <v>349413</v>
      </c>
      <c r="F130" s="8">
        <v>3.3</v>
      </c>
      <c r="G130" s="7">
        <v>14548</v>
      </c>
      <c r="H130" s="9">
        <f t="shared" si="1"/>
        <v>1722</v>
      </c>
    </row>
    <row r="131" spans="1:8" x14ac:dyDescent="0.3">
      <c r="A131" s="5">
        <v>45670</v>
      </c>
      <c r="B131" s="6" t="s">
        <v>8</v>
      </c>
      <c r="C131" s="7">
        <v>651</v>
      </c>
      <c r="D131" s="7">
        <v>353</v>
      </c>
      <c r="E131" s="7">
        <v>224699</v>
      </c>
      <c r="F131" s="8">
        <v>5.61</v>
      </c>
      <c r="G131" s="7">
        <v>45708</v>
      </c>
      <c r="H131" s="9">
        <f t="shared" ref="H131:H194" si="2">C131-D131</f>
        <v>298</v>
      </c>
    </row>
    <row r="132" spans="1:8" x14ac:dyDescent="0.3">
      <c r="A132" s="5">
        <v>45670</v>
      </c>
      <c r="B132" s="6" t="s">
        <v>9</v>
      </c>
      <c r="C132" s="7">
        <v>118</v>
      </c>
      <c r="D132" s="7">
        <v>262</v>
      </c>
      <c r="E132" s="7">
        <v>487896</v>
      </c>
      <c r="F132" s="8">
        <v>2.56</v>
      </c>
      <c r="G132" s="7">
        <v>12350</v>
      </c>
      <c r="H132" s="9">
        <f t="shared" si="2"/>
        <v>-144</v>
      </c>
    </row>
    <row r="133" spans="1:8" x14ac:dyDescent="0.3">
      <c r="A133" s="5">
        <v>45670</v>
      </c>
      <c r="B133" s="6" t="s">
        <v>10</v>
      </c>
      <c r="C133" s="7">
        <v>1331</v>
      </c>
      <c r="D133" s="7">
        <v>430</v>
      </c>
      <c r="E133" s="7">
        <v>14437</v>
      </c>
      <c r="F133" s="8">
        <v>3.29</v>
      </c>
      <c r="G133" s="7">
        <v>40868</v>
      </c>
      <c r="H133" s="9">
        <f t="shared" si="2"/>
        <v>901</v>
      </c>
    </row>
    <row r="134" spans="1:8" x14ac:dyDescent="0.3">
      <c r="A134" s="5">
        <v>45677</v>
      </c>
      <c r="B134" s="6" t="s">
        <v>7</v>
      </c>
      <c r="C134" s="7">
        <v>1748</v>
      </c>
      <c r="D134" s="7">
        <v>176</v>
      </c>
      <c r="E134" s="7">
        <v>383681</v>
      </c>
      <c r="F134" s="8">
        <v>9.24</v>
      </c>
      <c r="G134" s="7">
        <v>43122</v>
      </c>
      <c r="H134" s="9">
        <f t="shared" si="2"/>
        <v>1572</v>
      </c>
    </row>
    <row r="135" spans="1:8" x14ac:dyDescent="0.3">
      <c r="A135" s="5">
        <v>45677</v>
      </c>
      <c r="B135" s="6" t="s">
        <v>8</v>
      </c>
      <c r="C135" s="7">
        <v>663</v>
      </c>
      <c r="D135" s="7">
        <v>236</v>
      </c>
      <c r="E135" s="7">
        <v>479490</v>
      </c>
      <c r="F135" s="8">
        <v>4.51</v>
      </c>
      <c r="G135" s="7">
        <v>23853</v>
      </c>
      <c r="H135" s="9">
        <f t="shared" si="2"/>
        <v>427</v>
      </c>
    </row>
    <row r="136" spans="1:8" x14ac:dyDescent="0.3">
      <c r="A136" s="5">
        <v>45677</v>
      </c>
      <c r="B136" s="6" t="s">
        <v>9</v>
      </c>
      <c r="C136" s="7">
        <v>1040</v>
      </c>
      <c r="D136" s="7">
        <v>149</v>
      </c>
      <c r="E136" s="7">
        <v>124404</v>
      </c>
      <c r="F136" s="8">
        <v>5.23</v>
      </c>
      <c r="G136" s="7">
        <v>45380</v>
      </c>
      <c r="H136" s="9">
        <f t="shared" si="2"/>
        <v>891</v>
      </c>
    </row>
    <row r="137" spans="1:8" x14ac:dyDescent="0.3">
      <c r="A137" s="5">
        <v>45677</v>
      </c>
      <c r="B137" s="6" t="s">
        <v>10</v>
      </c>
      <c r="C137" s="7">
        <v>1166</v>
      </c>
      <c r="D137" s="7">
        <v>442</v>
      </c>
      <c r="E137" s="7">
        <v>336949</v>
      </c>
      <c r="F137" s="8">
        <v>4.68</v>
      </c>
      <c r="G137" s="7">
        <v>7705</v>
      </c>
      <c r="H137" s="9">
        <f t="shared" si="2"/>
        <v>724</v>
      </c>
    </row>
    <row r="138" spans="1:8" x14ac:dyDescent="0.3">
      <c r="A138" s="5">
        <v>45684</v>
      </c>
      <c r="B138" s="6" t="s">
        <v>7</v>
      </c>
      <c r="C138" s="7">
        <v>115</v>
      </c>
      <c r="D138" s="7">
        <v>281</v>
      </c>
      <c r="E138" s="7">
        <v>357265</v>
      </c>
      <c r="F138" s="8">
        <v>9.23</v>
      </c>
      <c r="G138" s="7">
        <v>25525</v>
      </c>
      <c r="H138" s="9">
        <f t="shared" si="2"/>
        <v>-166</v>
      </c>
    </row>
    <row r="139" spans="1:8" x14ac:dyDescent="0.3">
      <c r="A139" s="5">
        <v>45684</v>
      </c>
      <c r="B139" s="6" t="s">
        <v>8</v>
      </c>
      <c r="C139" s="7">
        <v>1249</v>
      </c>
      <c r="D139" s="7">
        <v>351</v>
      </c>
      <c r="E139" s="7">
        <v>321307</v>
      </c>
      <c r="F139" s="8">
        <v>6.37</v>
      </c>
      <c r="G139" s="7">
        <v>20560</v>
      </c>
      <c r="H139" s="9">
        <f t="shared" si="2"/>
        <v>898</v>
      </c>
    </row>
    <row r="140" spans="1:8" x14ac:dyDescent="0.3">
      <c r="A140" s="5">
        <v>45684</v>
      </c>
      <c r="B140" s="6" t="s">
        <v>9</v>
      </c>
      <c r="C140" s="7">
        <v>1501</v>
      </c>
      <c r="D140" s="7">
        <v>75</v>
      </c>
      <c r="E140" s="7">
        <v>262569</v>
      </c>
      <c r="F140" s="8">
        <v>2.0099999999999998</v>
      </c>
      <c r="G140" s="7">
        <v>19119</v>
      </c>
      <c r="H140" s="9">
        <f t="shared" si="2"/>
        <v>1426</v>
      </c>
    </row>
    <row r="141" spans="1:8" x14ac:dyDescent="0.3">
      <c r="A141" s="5">
        <v>45684</v>
      </c>
      <c r="B141" s="6" t="s">
        <v>10</v>
      </c>
      <c r="C141" s="7">
        <v>1411</v>
      </c>
      <c r="D141" s="7">
        <v>186</v>
      </c>
      <c r="E141" s="7">
        <v>461669</v>
      </c>
      <c r="F141" s="8">
        <v>3.72</v>
      </c>
      <c r="G141" s="7">
        <v>43999</v>
      </c>
      <c r="H141" s="9">
        <f t="shared" si="2"/>
        <v>1225</v>
      </c>
    </row>
    <row r="142" spans="1:8" x14ac:dyDescent="0.3">
      <c r="A142" s="5">
        <v>45691</v>
      </c>
      <c r="B142" s="6" t="s">
        <v>7</v>
      </c>
      <c r="C142" s="7">
        <v>1556</v>
      </c>
      <c r="D142" s="7">
        <v>476</v>
      </c>
      <c r="E142" s="7">
        <v>351556</v>
      </c>
      <c r="F142" s="8">
        <v>3.89</v>
      </c>
      <c r="G142" s="7">
        <v>10825</v>
      </c>
      <c r="H142" s="9">
        <f t="shared" si="2"/>
        <v>1080</v>
      </c>
    </row>
    <row r="143" spans="1:8" x14ac:dyDescent="0.3">
      <c r="A143" s="5">
        <v>45691</v>
      </c>
      <c r="B143" s="6" t="s">
        <v>8</v>
      </c>
      <c r="C143" s="7">
        <v>1159</v>
      </c>
      <c r="D143" s="7">
        <v>411</v>
      </c>
      <c r="E143" s="7">
        <v>135987</v>
      </c>
      <c r="F143" s="8">
        <v>8.6999999999999993</v>
      </c>
      <c r="G143" s="7">
        <v>40323</v>
      </c>
      <c r="H143" s="9">
        <f t="shared" si="2"/>
        <v>748</v>
      </c>
    </row>
    <row r="144" spans="1:8" x14ac:dyDescent="0.3">
      <c r="A144" s="5">
        <v>45691</v>
      </c>
      <c r="B144" s="6" t="s">
        <v>9</v>
      </c>
      <c r="C144" s="7">
        <v>927</v>
      </c>
      <c r="D144" s="7">
        <v>358</v>
      </c>
      <c r="E144" s="7">
        <v>177554</v>
      </c>
      <c r="F144" s="8">
        <v>6.95</v>
      </c>
      <c r="G144" s="7">
        <v>48270</v>
      </c>
      <c r="H144" s="9">
        <f t="shared" si="2"/>
        <v>569</v>
      </c>
    </row>
    <row r="145" spans="1:8" x14ac:dyDescent="0.3">
      <c r="A145" s="5">
        <v>45691</v>
      </c>
      <c r="B145" s="6" t="s">
        <v>10</v>
      </c>
      <c r="C145" s="7">
        <v>152</v>
      </c>
      <c r="D145" s="7">
        <v>355</v>
      </c>
      <c r="E145" s="7">
        <v>270766</v>
      </c>
      <c r="F145" s="8">
        <v>9.48</v>
      </c>
      <c r="G145" s="7">
        <v>18001</v>
      </c>
      <c r="H145" s="9">
        <f t="shared" si="2"/>
        <v>-203</v>
      </c>
    </row>
    <row r="146" spans="1:8" x14ac:dyDescent="0.3">
      <c r="A146" s="5">
        <v>45698</v>
      </c>
      <c r="B146" s="6" t="s">
        <v>7</v>
      </c>
      <c r="C146" s="7">
        <v>1957</v>
      </c>
      <c r="D146" s="7">
        <v>234</v>
      </c>
      <c r="E146" s="7">
        <v>222126</v>
      </c>
      <c r="F146" s="8">
        <v>4.6100000000000003</v>
      </c>
      <c r="G146" s="7">
        <v>3314</v>
      </c>
      <c r="H146" s="9">
        <f t="shared" si="2"/>
        <v>1723</v>
      </c>
    </row>
    <row r="147" spans="1:8" x14ac:dyDescent="0.3">
      <c r="A147" s="5">
        <v>45698</v>
      </c>
      <c r="B147" s="6" t="s">
        <v>8</v>
      </c>
      <c r="C147" s="7">
        <v>1294</v>
      </c>
      <c r="D147" s="7">
        <v>382</v>
      </c>
      <c r="E147" s="7">
        <v>309914</v>
      </c>
      <c r="F147" s="8">
        <v>8.0299999999999994</v>
      </c>
      <c r="G147" s="7">
        <v>23489</v>
      </c>
      <c r="H147" s="9">
        <f t="shared" si="2"/>
        <v>912</v>
      </c>
    </row>
    <row r="148" spans="1:8" x14ac:dyDescent="0.3">
      <c r="A148" s="5">
        <v>45698</v>
      </c>
      <c r="B148" s="6" t="s">
        <v>9</v>
      </c>
      <c r="C148" s="7">
        <v>1587</v>
      </c>
      <c r="D148" s="7">
        <v>385</v>
      </c>
      <c r="E148" s="7">
        <v>126582</v>
      </c>
      <c r="F148" s="8">
        <v>6.99</v>
      </c>
      <c r="G148" s="7">
        <v>42832</v>
      </c>
      <c r="H148" s="9">
        <f t="shared" si="2"/>
        <v>1202</v>
      </c>
    </row>
    <row r="149" spans="1:8" x14ac:dyDescent="0.3">
      <c r="A149" s="5">
        <v>45698</v>
      </c>
      <c r="B149" s="6" t="s">
        <v>10</v>
      </c>
      <c r="C149" s="7">
        <v>1707</v>
      </c>
      <c r="D149" s="7">
        <v>263</v>
      </c>
      <c r="E149" s="7">
        <v>485280</v>
      </c>
      <c r="F149" s="8">
        <v>9.0299999999999994</v>
      </c>
      <c r="G149" s="7">
        <v>24494</v>
      </c>
      <c r="H149" s="9">
        <f t="shared" si="2"/>
        <v>1444</v>
      </c>
    </row>
    <row r="150" spans="1:8" x14ac:dyDescent="0.3">
      <c r="A150" s="5">
        <v>45705</v>
      </c>
      <c r="B150" s="6" t="s">
        <v>7</v>
      </c>
      <c r="C150" s="7">
        <v>1138</v>
      </c>
      <c r="D150" s="7">
        <v>173</v>
      </c>
      <c r="E150" s="7">
        <v>453243</v>
      </c>
      <c r="F150" s="8">
        <v>2.86</v>
      </c>
      <c r="G150" s="7">
        <v>44097</v>
      </c>
      <c r="H150" s="9">
        <f t="shared" si="2"/>
        <v>965</v>
      </c>
    </row>
    <row r="151" spans="1:8" x14ac:dyDescent="0.3">
      <c r="A151" s="5">
        <v>45705</v>
      </c>
      <c r="B151" s="6" t="s">
        <v>8</v>
      </c>
      <c r="C151" s="7">
        <v>1895</v>
      </c>
      <c r="D151" s="7">
        <v>305</v>
      </c>
      <c r="E151" s="7">
        <v>104967</v>
      </c>
      <c r="F151" s="8">
        <v>3.85</v>
      </c>
      <c r="G151" s="7">
        <v>31853</v>
      </c>
      <c r="H151" s="9">
        <f t="shared" si="2"/>
        <v>1590</v>
      </c>
    </row>
    <row r="152" spans="1:8" x14ac:dyDescent="0.3">
      <c r="A152" s="5">
        <v>45705</v>
      </c>
      <c r="B152" s="6" t="s">
        <v>9</v>
      </c>
      <c r="C152" s="7">
        <v>362</v>
      </c>
      <c r="D152" s="7">
        <v>399</v>
      </c>
      <c r="E152" s="7">
        <v>145608</v>
      </c>
      <c r="F152" s="8">
        <v>7.3</v>
      </c>
      <c r="G152" s="7">
        <v>37636</v>
      </c>
      <c r="H152" s="9">
        <f t="shared" si="2"/>
        <v>-37</v>
      </c>
    </row>
    <row r="153" spans="1:8" x14ac:dyDescent="0.3">
      <c r="A153" s="5">
        <v>45705</v>
      </c>
      <c r="B153" s="6" t="s">
        <v>10</v>
      </c>
      <c r="C153" s="7">
        <v>1662</v>
      </c>
      <c r="D153" s="7">
        <v>487</v>
      </c>
      <c r="E153" s="7">
        <v>105980</v>
      </c>
      <c r="F153" s="8">
        <v>9.08</v>
      </c>
      <c r="G153" s="7">
        <v>22996</v>
      </c>
      <c r="H153" s="9">
        <f t="shared" si="2"/>
        <v>1175</v>
      </c>
    </row>
    <row r="154" spans="1:8" x14ac:dyDescent="0.3">
      <c r="A154" s="5">
        <v>45712</v>
      </c>
      <c r="B154" s="6" t="s">
        <v>7</v>
      </c>
      <c r="C154" s="7">
        <v>1440</v>
      </c>
      <c r="D154" s="7">
        <v>65</v>
      </c>
      <c r="E154" s="7">
        <v>126524</v>
      </c>
      <c r="F154" s="8">
        <v>4.34</v>
      </c>
      <c r="G154" s="7">
        <v>49772</v>
      </c>
      <c r="H154" s="9">
        <f t="shared" si="2"/>
        <v>1375</v>
      </c>
    </row>
    <row r="155" spans="1:8" x14ac:dyDescent="0.3">
      <c r="A155" s="5">
        <v>45712</v>
      </c>
      <c r="B155" s="6" t="s">
        <v>8</v>
      </c>
      <c r="C155" s="7">
        <v>1884</v>
      </c>
      <c r="D155" s="7">
        <v>177</v>
      </c>
      <c r="E155" s="7">
        <v>230448</v>
      </c>
      <c r="F155" s="8">
        <v>7.8</v>
      </c>
      <c r="G155" s="7">
        <v>22713</v>
      </c>
      <c r="H155" s="9">
        <f t="shared" si="2"/>
        <v>1707</v>
      </c>
    </row>
    <row r="156" spans="1:8" x14ac:dyDescent="0.3">
      <c r="A156" s="5">
        <v>45712</v>
      </c>
      <c r="B156" s="6" t="s">
        <v>9</v>
      </c>
      <c r="C156" s="7">
        <v>861</v>
      </c>
      <c r="D156" s="7">
        <v>153</v>
      </c>
      <c r="E156" s="7">
        <v>317007</v>
      </c>
      <c r="F156" s="8">
        <v>3.85</v>
      </c>
      <c r="G156" s="7">
        <v>8718</v>
      </c>
      <c r="H156" s="9">
        <f t="shared" si="2"/>
        <v>708</v>
      </c>
    </row>
    <row r="157" spans="1:8" x14ac:dyDescent="0.3">
      <c r="A157" s="5">
        <v>45712</v>
      </c>
      <c r="B157" s="6" t="s">
        <v>10</v>
      </c>
      <c r="C157" s="7">
        <v>1063</v>
      </c>
      <c r="D157" s="7">
        <v>47</v>
      </c>
      <c r="E157" s="7">
        <v>464239</v>
      </c>
      <c r="F157" s="8">
        <v>6.58</v>
      </c>
      <c r="G157" s="7">
        <v>39031</v>
      </c>
      <c r="H157" s="9">
        <f t="shared" si="2"/>
        <v>1016</v>
      </c>
    </row>
    <row r="158" spans="1:8" x14ac:dyDescent="0.3">
      <c r="A158" s="5">
        <v>45719</v>
      </c>
      <c r="B158" s="6" t="s">
        <v>7</v>
      </c>
      <c r="C158" s="7">
        <v>1371</v>
      </c>
      <c r="D158" s="7">
        <v>56</v>
      </c>
      <c r="E158" s="7">
        <v>257579</v>
      </c>
      <c r="F158" s="8">
        <v>8.6199999999999992</v>
      </c>
      <c r="G158" s="7">
        <v>33799</v>
      </c>
      <c r="H158" s="9">
        <f t="shared" si="2"/>
        <v>1315</v>
      </c>
    </row>
    <row r="159" spans="1:8" x14ac:dyDescent="0.3">
      <c r="A159" s="5">
        <v>45719</v>
      </c>
      <c r="B159" s="6" t="s">
        <v>8</v>
      </c>
      <c r="C159" s="7">
        <v>345</v>
      </c>
      <c r="D159" s="7">
        <v>464</v>
      </c>
      <c r="E159" s="7">
        <v>366881</v>
      </c>
      <c r="F159" s="8">
        <v>4.55</v>
      </c>
      <c r="G159" s="7">
        <v>20553</v>
      </c>
      <c r="H159" s="9">
        <f t="shared" si="2"/>
        <v>-119</v>
      </c>
    </row>
    <row r="160" spans="1:8" x14ac:dyDescent="0.3">
      <c r="A160" s="5">
        <v>45719</v>
      </c>
      <c r="B160" s="6" t="s">
        <v>9</v>
      </c>
      <c r="C160" s="7">
        <v>946</v>
      </c>
      <c r="D160" s="7">
        <v>47</v>
      </c>
      <c r="E160" s="7">
        <v>466575</v>
      </c>
      <c r="F160" s="8">
        <v>8.33</v>
      </c>
      <c r="G160" s="7">
        <v>10002</v>
      </c>
      <c r="H160" s="9">
        <f t="shared" si="2"/>
        <v>899</v>
      </c>
    </row>
    <row r="161" spans="1:8" x14ac:dyDescent="0.3">
      <c r="A161" s="5">
        <v>45719</v>
      </c>
      <c r="B161" s="6" t="s">
        <v>10</v>
      </c>
      <c r="C161" s="7">
        <v>510</v>
      </c>
      <c r="D161" s="7">
        <v>195</v>
      </c>
      <c r="E161" s="7">
        <v>224534</v>
      </c>
      <c r="F161" s="8">
        <v>9.4</v>
      </c>
      <c r="G161" s="7">
        <v>30987</v>
      </c>
      <c r="H161" s="9">
        <f t="shared" si="2"/>
        <v>315</v>
      </c>
    </row>
    <row r="162" spans="1:8" x14ac:dyDescent="0.3">
      <c r="A162" s="5">
        <v>45726</v>
      </c>
      <c r="B162" s="6" t="s">
        <v>7</v>
      </c>
      <c r="C162" s="7">
        <v>393</v>
      </c>
      <c r="D162" s="7">
        <v>181</v>
      </c>
      <c r="E162" s="7">
        <v>462142</v>
      </c>
      <c r="F162" s="8">
        <v>7.23</v>
      </c>
      <c r="G162" s="7">
        <v>6296</v>
      </c>
      <c r="H162" s="9">
        <f t="shared" si="2"/>
        <v>212</v>
      </c>
    </row>
    <row r="163" spans="1:8" x14ac:dyDescent="0.3">
      <c r="A163" s="5">
        <v>45726</v>
      </c>
      <c r="B163" s="6" t="s">
        <v>8</v>
      </c>
      <c r="C163" s="7">
        <v>1098</v>
      </c>
      <c r="D163" s="7">
        <v>190</v>
      </c>
      <c r="E163" s="7">
        <v>340842</v>
      </c>
      <c r="F163" s="8">
        <v>9.39</v>
      </c>
      <c r="G163" s="7">
        <v>21539</v>
      </c>
      <c r="H163" s="9">
        <f t="shared" si="2"/>
        <v>908</v>
      </c>
    </row>
    <row r="164" spans="1:8" x14ac:dyDescent="0.3">
      <c r="A164" s="5">
        <v>45726</v>
      </c>
      <c r="B164" s="6" t="s">
        <v>9</v>
      </c>
      <c r="C164" s="7">
        <v>1399</v>
      </c>
      <c r="D164" s="7">
        <v>49</v>
      </c>
      <c r="E164" s="7">
        <v>12471</v>
      </c>
      <c r="F164" s="8">
        <v>5.12</v>
      </c>
      <c r="G164" s="7">
        <v>14722</v>
      </c>
      <c r="H164" s="9">
        <f t="shared" si="2"/>
        <v>1350</v>
      </c>
    </row>
    <row r="165" spans="1:8" x14ac:dyDescent="0.3">
      <c r="A165" s="5">
        <v>45726</v>
      </c>
      <c r="B165" s="6" t="s">
        <v>10</v>
      </c>
      <c r="C165" s="7">
        <v>1658</v>
      </c>
      <c r="D165" s="7">
        <v>416</v>
      </c>
      <c r="E165" s="7">
        <v>98397</v>
      </c>
      <c r="F165" s="8">
        <v>6.11</v>
      </c>
      <c r="G165" s="7">
        <v>11383</v>
      </c>
      <c r="H165" s="9">
        <f t="shared" si="2"/>
        <v>1242</v>
      </c>
    </row>
    <row r="166" spans="1:8" x14ac:dyDescent="0.3">
      <c r="A166" s="5">
        <v>45733</v>
      </c>
      <c r="B166" s="6" t="s">
        <v>7</v>
      </c>
      <c r="C166" s="7">
        <v>1102</v>
      </c>
      <c r="D166" s="7">
        <v>422</v>
      </c>
      <c r="E166" s="7">
        <v>410330</v>
      </c>
      <c r="F166" s="8">
        <v>7.74</v>
      </c>
      <c r="G166" s="7">
        <v>9480</v>
      </c>
      <c r="H166" s="9">
        <f t="shared" si="2"/>
        <v>680</v>
      </c>
    </row>
    <row r="167" spans="1:8" x14ac:dyDescent="0.3">
      <c r="A167" s="5">
        <v>45733</v>
      </c>
      <c r="B167" s="6" t="s">
        <v>8</v>
      </c>
      <c r="C167" s="7">
        <v>1358</v>
      </c>
      <c r="D167" s="7">
        <v>242</v>
      </c>
      <c r="E167" s="7">
        <v>342129</v>
      </c>
      <c r="F167" s="8">
        <v>4.9400000000000004</v>
      </c>
      <c r="G167" s="7">
        <v>29116</v>
      </c>
      <c r="H167" s="9">
        <f t="shared" si="2"/>
        <v>1116</v>
      </c>
    </row>
    <row r="168" spans="1:8" x14ac:dyDescent="0.3">
      <c r="A168" s="5">
        <v>45733</v>
      </c>
      <c r="B168" s="6" t="s">
        <v>9</v>
      </c>
      <c r="C168" s="7">
        <v>1077</v>
      </c>
      <c r="D168" s="7">
        <v>216</v>
      </c>
      <c r="E168" s="7">
        <v>12447</v>
      </c>
      <c r="F168" s="8">
        <v>1.8</v>
      </c>
      <c r="G168" s="7">
        <v>14068</v>
      </c>
      <c r="H168" s="9">
        <f t="shared" si="2"/>
        <v>861</v>
      </c>
    </row>
    <row r="169" spans="1:8" x14ac:dyDescent="0.3">
      <c r="A169" s="5">
        <v>45733</v>
      </c>
      <c r="B169" s="6" t="s">
        <v>10</v>
      </c>
      <c r="C169" s="7">
        <v>1596</v>
      </c>
      <c r="D169" s="7">
        <v>211</v>
      </c>
      <c r="E169" s="7">
        <v>17380</v>
      </c>
      <c r="F169" s="8">
        <v>8.64</v>
      </c>
      <c r="G169" s="7">
        <v>35801</v>
      </c>
      <c r="H169" s="9">
        <f t="shared" si="2"/>
        <v>1385</v>
      </c>
    </row>
    <row r="170" spans="1:8" x14ac:dyDescent="0.3">
      <c r="A170" s="5">
        <v>45740</v>
      </c>
      <c r="B170" s="6" t="s">
        <v>7</v>
      </c>
      <c r="C170" s="7">
        <v>490</v>
      </c>
      <c r="D170" s="7">
        <v>29</v>
      </c>
      <c r="E170" s="7">
        <v>364810</v>
      </c>
      <c r="F170" s="8">
        <v>1.53</v>
      </c>
      <c r="G170" s="7">
        <v>49077</v>
      </c>
      <c r="H170" s="9">
        <f t="shared" si="2"/>
        <v>461</v>
      </c>
    </row>
    <row r="171" spans="1:8" x14ac:dyDescent="0.3">
      <c r="A171" s="5">
        <v>45740</v>
      </c>
      <c r="B171" s="6" t="s">
        <v>8</v>
      </c>
      <c r="C171" s="7">
        <v>609</v>
      </c>
      <c r="D171" s="7">
        <v>135</v>
      </c>
      <c r="E171" s="7">
        <v>373606</v>
      </c>
      <c r="F171" s="8">
        <v>8.52</v>
      </c>
      <c r="G171" s="7">
        <v>21453</v>
      </c>
      <c r="H171" s="9">
        <f t="shared" si="2"/>
        <v>474</v>
      </c>
    </row>
    <row r="172" spans="1:8" x14ac:dyDescent="0.3">
      <c r="A172" s="5">
        <v>45740</v>
      </c>
      <c r="B172" s="6" t="s">
        <v>9</v>
      </c>
      <c r="C172" s="7">
        <v>364</v>
      </c>
      <c r="D172" s="7">
        <v>72</v>
      </c>
      <c r="E172" s="7">
        <v>211090</v>
      </c>
      <c r="F172" s="8">
        <v>5.53</v>
      </c>
      <c r="G172" s="7">
        <v>21061</v>
      </c>
      <c r="H172" s="9">
        <f t="shared" si="2"/>
        <v>292</v>
      </c>
    </row>
    <row r="173" spans="1:8" x14ac:dyDescent="0.3">
      <c r="A173" s="5">
        <v>45740</v>
      </c>
      <c r="B173" s="6" t="s">
        <v>10</v>
      </c>
      <c r="C173" s="7">
        <v>442</v>
      </c>
      <c r="D173" s="7">
        <v>53</v>
      </c>
      <c r="E173" s="7">
        <v>441931</v>
      </c>
      <c r="F173" s="8">
        <v>1.87</v>
      </c>
      <c r="G173" s="7">
        <v>20059</v>
      </c>
      <c r="H173" s="9">
        <f t="shared" si="2"/>
        <v>389</v>
      </c>
    </row>
    <row r="174" spans="1:8" x14ac:dyDescent="0.3">
      <c r="A174" s="5">
        <v>45747</v>
      </c>
      <c r="B174" s="6" t="s">
        <v>7</v>
      </c>
      <c r="C174" s="7">
        <v>1033</v>
      </c>
      <c r="D174" s="7">
        <v>392</v>
      </c>
      <c r="E174" s="7">
        <v>282780</v>
      </c>
      <c r="F174" s="8">
        <v>6.27</v>
      </c>
      <c r="G174" s="7">
        <v>23140</v>
      </c>
      <c r="H174" s="9">
        <f t="shared" si="2"/>
        <v>641</v>
      </c>
    </row>
    <row r="175" spans="1:8" x14ac:dyDescent="0.3">
      <c r="A175" s="5">
        <v>45747</v>
      </c>
      <c r="B175" s="6" t="s">
        <v>8</v>
      </c>
      <c r="C175" s="7">
        <v>988</v>
      </c>
      <c r="D175" s="7">
        <v>474</v>
      </c>
      <c r="E175" s="7">
        <v>370070</v>
      </c>
      <c r="F175" s="8">
        <v>9.4600000000000009</v>
      </c>
      <c r="G175" s="7">
        <v>23461</v>
      </c>
      <c r="H175" s="9">
        <f t="shared" si="2"/>
        <v>514</v>
      </c>
    </row>
    <row r="176" spans="1:8" x14ac:dyDescent="0.3">
      <c r="A176" s="5">
        <v>45747</v>
      </c>
      <c r="B176" s="6" t="s">
        <v>9</v>
      </c>
      <c r="C176" s="7">
        <v>1946</v>
      </c>
      <c r="D176" s="7">
        <v>270</v>
      </c>
      <c r="E176" s="7">
        <v>198350</v>
      </c>
      <c r="F176" s="8">
        <v>7.5</v>
      </c>
      <c r="G176" s="7">
        <v>11805</v>
      </c>
      <c r="H176" s="9">
        <f t="shared" si="2"/>
        <v>1676</v>
      </c>
    </row>
    <row r="177" spans="1:8" x14ac:dyDescent="0.3">
      <c r="A177" s="5">
        <v>45747</v>
      </c>
      <c r="B177" s="6" t="s">
        <v>10</v>
      </c>
      <c r="C177" s="7">
        <v>1957</v>
      </c>
      <c r="D177" s="7">
        <v>490</v>
      </c>
      <c r="E177" s="7">
        <v>435726</v>
      </c>
      <c r="F177" s="8">
        <v>4.7300000000000004</v>
      </c>
      <c r="G177" s="7">
        <v>15969</v>
      </c>
      <c r="H177" s="9">
        <f t="shared" si="2"/>
        <v>1467</v>
      </c>
    </row>
    <row r="178" spans="1:8" x14ac:dyDescent="0.3">
      <c r="A178" s="5">
        <v>45754</v>
      </c>
      <c r="B178" s="6" t="s">
        <v>7</v>
      </c>
      <c r="C178" s="7">
        <v>559</v>
      </c>
      <c r="D178" s="7">
        <v>392</v>
      </c>
      <c r="E178" s="7">
        <v>78789</v>
      </c>
      <c r="F178" s="8">
        <v>3.19</v>
      </c>
      <c r="G178" s="7">
        <v>2436</v>
      </c>
      <c r="H178" s="9">
        <f t="shared" si="2"/>
        <v>167</v>
      </c>
    </row>
    <row r="179" spans="1:8" x14ac:dyDescent="0.3">
      <c r="A179" s="5">
        <v>45754</v>
      </c>
      <c r="B179" s="6" t="s">
        <v>8</v>
      </c>
      <c r="C179" s="7">
        <v>1307</v>
      </c>
      <c r="D179" s="7">
        <v>278</v>
      </c>
      <c r="E179" s="7">
        <v>98596</v>
      </c>
      <c r="F179" s="8">
        <v>2.4900000000000002</v>
      </c>
      <c r="G179" s="7">
        <v>47603</v>
      </c>
      <c r="H179" s="9">
        <f t="shared" si="2"/>
        <v>1029</v>
      </c>
    </row>
    <row r="180" spans="1:8" x14ac:dyDescent="0.3">
      <c r="A180" s="5">
        <v>45754</v>
      </c>
      <c r="B180" s="6" t="s">
        <v>9</v>
      </c>
      <c r="C180" s="7">
        <v>1432</v>
      </c>
      <c r="D180" s="7">
        <v>425</v>
      </c>
      <c r="E180" s="7">
        <v>29589</v>
      </c>
      <c r="F180" s="8">
        <v>4.5</v>
      </c>
      <c r="G180" s="7">
        <v>42964</v>
      </c>
      <c r="H180" s="9">
        <f t="shared" si="2"/>
        <v>1007</v>
      </c>
    </row>
    <row r="181" spans="1:8" x14ac:dyDescent="0.3">
      <c r="A181" s="5">
        <v>45754</v>
      </c>
      <c r="B181" s="6" t="s">
        <v>10</v>
      </c>
      <c r="C181" s="7">
        <v>623</v>
      </c>
      <c r="D181" s="7">
        <v>414</v>
      </c>
      <c r="E181" s="7">
        <v>290354</v>
      </c>
      <c r="F181" s="8">
        <v>6.49</v>
      </c>
      <c r="G181" s="7">
        <v>39923</v>
      </c>
      <c r="H181" s="9">
        <f t="shared" si="2"/>
        <v>209</v>
      </c>
    </row>
    <row r="182" spans="1:8" x14ac:dyDescent="0.3">
      <c r="A182" s="5">
        <v>45761</v>
      </c>
      <c r="B182" s="6" t="s">
        <v>7</v>
      </c>
      <c r="C182" s="7">
        <v>198</v>
      </c>
      <c r="D182" s="7">
        <v>358</v>
      </c>
      <c r="E182" s="7">
        <v>66682</v>
      </c>
      <c r="F182" s="8">
        <v>6.73</v>
      </c>
      <c r="G182" s="7">
        <v>2293</v>
      </c>
      <c r="H182" s="9">
        <f t="shared" si="2"/>
        <v>-160</v>
      </c>
    </row>
    <row r="183" spans="1:8" x14ac:dyDescent="0.3">
      <c r="A183" s="5">
        <v>45761</v>
      </c>
      <c r="B183" s="6" t="s">
        <v>8</v>
      </c>
      <c r="C183" s="7">
        <v>198</v>
      </c>
      <c r="D183" s="7">
        <v>373</v>
      </c>
      <c r="E183" s="7">
        <v>70707</v>
      </c>
      <c r="F183" s="8">
        <v>4.83</v>
      </c>
      <c r="G183" s="7">
        <v>25920</v>
      </c>
      <c r="H183" s="9">
        <f t="shared" si="2"/>
        <v>-175</v>
      </c>
    </row>
    <row r="184" spans="1:8" x14ac:dyDescent="0.3">
      <c r="A184" s="5">
        <v>45761</v>
      </c>
      <c r="B184" s="6" t="s">
        <v>9</v>
      </c>
      <c r="C184" s="7">
        <v>353</v>
      </c>
      <c r="D184" s="7">
        <v>300</v>
      </c>
      <c r="E184" s="7">
        <v>142507</v>
      </c>
      <c r="F184" s="8">
        <v>5.3</v>
      </c>
      <c r="G184" s="7">
        <v>11035</v>
      </c>
      <c r="H184" s="9">
        <f t="shared" si="2"/>
        <v>53</v>
      </c>
    </row>
    <row r="185" spans="1:8" x14ac:dyDescent="0.3">
      <c r="A185" s="5">
        <v>45761</v>
      </c>
      <c r="B185" s="6" t="s">
        <v>10</v>
      </c>
      <c r="C185" s="7">
        <v>520</v>
      </c>
      <c r="D185" s="7">
        <v>375</v>
      </c>
      <c r="E185" s="7">
        <v>369525</v>
      </c>
      <c r="F185" s="8">
        <v>6.54</v>
      </c>
      <c r="G185" s="7">
        <v>20733</v>
      </c>
      <c r="H185" s="9">
        <f t="shared" si="2"/>
        <v>145</v>
      </c>
    </row>
    <row r="186" spans="1:8" x14ac:dyDescent="0.3">
      <c r="A186" s="5">
        <v>45768</v>
      </c>
      <c r="B186" s="6" t="s">
        <v>7</v>
      </c>
      <c r="C186" s="7">
        <v>961</v>
      </c>
      <c r="D186" s="7">
        <v>358</v>
      </c>
      <c r="E186" s="7">
        <v>62942</v>
      </c>
      <c r="F186" s="8">
        <v>6.8</v>
      </c>
      <c r="G186" s="7">
        <v>18693</v>
      </c>
      <c r="H186" s="9">
        <f t="shared" si="2"/>
        <v>603</v>
      </c>
    </row>
    <row r="187" spans="1:8" x14ac:dyDescent="0.3">
      <c r="A187" s="5">
        <v>45768</v>
      </c>
      <c r="B187" s="6" t="s">
        <v>8</v>
      </c>
      <c r="C187" s="7">
        <v>1375</v>
      </c>
      <c r="D187" s="7">
        <v>330</v>
      </c>
      <c r="E187" s="7">
        <v>377382</v>
      </c>
      <c r="F187" s="8">
        <v>2.6</v>
      </c>
      <c r="G187" s="7">
        <v>7875</v>
      </c>
      <c r="H187" s="9">
        <f t="shared" si="2"/>
        <v>1045</v>
      </c>
    </row>
    <row r="188" spans="1:8" x14ac:dyDescent="0.3">
      <c r="A188" s="5">
        <v>45768</v>
      </c>
      <c r="B188" s="6" t="s">
        <v>9</v>
      </c>
      <c r="C188" s="7">
        <v>1147</v>
      </c>
      <c r="D188" s="7">
        <v>388</v>
      </c>
      <c r="E188" s="7">
        <v>333851</v>
      </c>
      <c r="F188" s="8">
        <v>2.44</v>
      </c>
      <c r="G188" s="7">
        <v>8471</v>
      </c>
      <c r="H188" s="9">
        <f t="shared" si="2"/>
        <v>759</v>
      </c>
    </row>
    <row r="189" spans="1:8" x14ac:dyDescent="0.3">
      <c r="A189" s="5">
        <v>45768</v>
      </c>
      <c r="B189" s="6" t="s">
        <v>10</v>
      </c>
      <c r="C189" s="7">
        <v>1707</v>
      </c>
      <c r="D189" s="7">
        <v>74</v>
      </c>
      <c r="E189" s="7">
        <v>270958</v>
      </c>
      <c r="F189" s="8">
        <v>3.09</v>
      </c>
      <c r="G189" s="7">
        <v>14090</v>
      </c>
      <c r="H189" s="9">
        <f t="shared" si="2"/>
        <v>1633</v>
      </c>
    </row>
    <row r="190" spans="1:8" x14ac:dyDescent="0.3">
      <c r="A190" s="5">
        <v>45775</v>
      </c>
      <c r="B190" s="6" t="s">
        <v>7</v>
      </c>
      <c r="C190" s="7">
        <v>1693</v>
      </c>
      <c r="D190" s="7">
        <v>154</v>
      </c>
      <c r="E190" s="7">
        <v>445944</v>
      </c>
      <c r="F190" s="8">
        <v>5.69</v>
      </c>
      <c r="G190" s="7">
        <v>14216</v>
      </c>
      <c r="H190" s="9">
        <f t="shared" si="2"/>
        <v>1539</v>
      </c>
    </row>
    <row r="191" spans="1:8" x14ac:dyDescent="0.3">
      <c r="A191" s="5">
        <v>45775</v>
      </c>
      <c r="B191" s="6" t="s">
        <v>8</v>
      </c>
      <c r="C191" s="7">
        <v>833</v>
      </c>
      <c r="D191" s="7">
        <v>380</v>
      </c>
      <c r="E191" s="7">
        <v>224830</v>
      </c>
      <c r="F191" s="8">
        <v>3.86</v>
      </c>
      <c r="G191" s="7">
        <v>3582</v>
      </c>
      <c r="H191" s="9">
        <f t="shared" si="2"/>
        <v>453</v>
      </c>
    </row>
    <row r="192" spans="1:8" x14ac:dyDescent="0.3">
      <c r="A192" s="5">
        <v>45775</v>
      </c>
      <c r="B192" s="6" t="s">
        <v>9</v>
      </c>
      <c r="C192" s="7">
        <v>1222</v>
      </c>
      <c r="D192" s="7">
        <v>274</v>
      </c>
      <c r="E192" s="7">
        <v>487289</v>
      </c>
      <c r="F192" s="8">
        <v>3.16</v>
      </c>
      <c r="G192" s="7">
        <v>32500</v>
      </c>
      <c r="H192" s="9">
        <f t="shared" si="2"/>
        <v>948</v>
      </c>
    </row>
    <row r="193" spans="1:8" x14ac:dyDescent="0.3">
      <c r="A193" s="5">
        <v>45775</v>
      </c>
      <c r="B193" s="6" t="s">
        <v>10</v>
      </c>
      <c r="C193" s="7">
        <v>777</v>
      </c>
      <c r="D193" s="7">
        <v>140</v>
      </c>
      <c r="E193" s="7">
        <v>11435</v>
      </c>
      <c r="F193" s="8">
        <v>1.6</v>
      </c>
      <c r="G193" s="7">
        <v>6832</v>
      </c>
      <c r="H193" s="9">
        <f t="shared" si="2"/>
        <v>637</v>
      </c>
    </row>
    <row r="194" spans="1:8" x14ac:dyDescent="0.3">
      <c r="A194" s="5">
        <v>45782</v>
      </c>
      <c r="B194" s="6" t="s">
        <v>7</v>
      </c>
      <c r="C194" s="7">
        <v>1957</v>
      </c>
      <c r="D194" s="7">
        <v>76</v>
      </c>
      <c r="E194" s="7">
        <v>447902</v>
      </c>
      <c r="F194" s="8">
        <v>6.09</v>
      </c>
      <c r="G194" s="7">
        <v>33381</v>
      </c>
      <c r="H194" s="9">
        <f t="shared" si="2"/>
        <v>1881</v>
      </c>
    </row>
    <row r="195" spans="1:8" x14ac:dyDescent="0.3">
      <c r="A195" s="5">
        <v>45782</v>
      </c>
      <c r="B195" s="6" t="s">
        <v>8</v>
      </c>
      <c r="C195" s="7">
        <v>405</v>
      </c>
      <c r="D195" s="7">
        <v>66</v>
      </c>
      <c r="E195" s="7">
        <v>418696</v>
      </c>
      <c r="F195" s="8">
        <v>5.59</v>
      </c>
      <c r="G195" s="7">
        <v>48419</v>
      </c>
      <c r="H195" s="9">
        <f t="shared" ref="H195:H201" si="3">C195-D195</f>
        <v>339</v>
      </c>
    </row>
    <row r="196" spans="1:8" x14ac:dyDescent="0.3">
      <c r="A196" s="5">
        <v>45782</v>
      </c>
      <c r="B196" s="6" t="s">
        <v>9</v>
      </c>
      <c r="C196" s="7">
        <v>1581</v>
      </c>
      <c r="D196" s="7">
        <v>71</v>
      </c>
      <c r="E196" s="7">
        <v>484364</v>
      </c>
      <c r="F196" s="8">
        <v>3.55</v>
      </c>
      <c r="G196" s="7">
        <v>16149</v>
      </c>
      <c r="H196" s="9">
        <f t="shared" si="3"/>
        <v>1510</v>
      </c>
    </row>
    <row r="197" spans="1:8" x14ac:dyDescent="0.3">
      <c r="A197" s="5">
        <v>45782</v>
      </c>
      <c r="B197" s="6" t="s">
        <v>10</v>
      </c>
      <c r="C197" s="7">
        <v>1035</v>
      </c>
      <c r="D197" s="7">
        <v>171</v>
      </c>
      <c r="E197" s="7">
        <v>148477</v>
      </c>
      <c r="F197" s="8">
        <v>5.21</v>
      </c>
      <c r="G197" s="7">
        <v>7541</v>
      </c>
      <c r="H197" s="9">
        <f t="shared" si="3"/>
        <v>864</v>
      </c>
    </row>
    <row r="198" spans="1:8" x14ac:dyDescent="0.3">
      <c r="A198" s="5">
        <v>45789</v>
      </c>
      <c r="B198" s="6" t="s">
        <v>7</v>
      </c>
      <c r="C198" s="7">
        <v>1765</v>
      </c>
      <c r="D198" s="7">
        <v>109</v>
      </c>
      <c r="E198" s="7">
        <v>468301</v>
      </c>
      <c r="F198" s="8">
        <v>1.82</v>
      </c>
      <c r="G198" s="7">
        <v>20042</v>
      </c>
      <c r="H198" s="9">
        <f t="shared" si="3"/>
        <v>1656</v>
      </c>
    </row>
    <row r="199" spans="1:8" x14ac:dyDescent="0.3">
      <c r="A199" s="5">
        <v>45789</v>
      </c>
      <c r="B199" s="6" t="s">
        <v>8</v>
      </c>
      <c r="C199" s="7">
        <v>837</v>
      </c>
      <c r="D199" s="7">
        <v>430</v>
      </c>
      <c r="E199" s="7">
        <v>364820</v>
      </c>
      <c r="F199" s="8">
        <v>4</v>
      </c>
      <c r="G199" s="7">
        <v>49400</v>
      </c>
      <c r="H199" s="9">
        <f t="shared" si="3"/>
        <v>407</v>
      </c>
    </row>
    <row r="200" spans="1:8" x14ac:dyDescent="0.3">
      <c r="A200" s="5">
        <v>45789</v>
      </c>
      <c r="B200" s="6" t="s">
        <v>9</v>
      </c>
      <c r="C200" s="7">
        <v>337</v>
      </c>
      <c r="D200" s="7">
        <v>68</v>
      </c>
      <c r="E200" s="7">
        <v>456298</v>
      </c>
      <c r="F200" s="8">
        <v>7.57</v>
      </c>
      <c r="G200" s="7">
        <v>4007</v>
      </c>
      <c r="H200" s="9">
        <f t="shared" si="3"/>
        <v>269</v>
      </c>
    </row>
    <row r="201" spans="1:8" x14ac:dyDescent="0.3">
      <c r="A201" s="5">
        <v>45789</v>
      </c>
      <c r="B201" s="6" t="s">
        <v>10</v>
      </c>
      <c r="C201" s="7">
        <v>119</v>
      </c>
      <c r="D201" s="7">
        <v>456</v>
      </c>
      <c r="E201" s="7">
        <v>82558</v>
      </c>
      <c r="F201" s="8">
        <v>6.81</v>
      </c>
      <c r="G201" s="7">
        <v>12174</v>
      </c>
      <c r="H201" s="9">
        <f t="shared" si="3"/>
        <v>-337</v>
      </c>
    </row>
  </sheetData>
  <mergeCells count="4">
    <mergeCell ref="K3:R3"/>
    <mergeCell ref="L23:R23"/>
    <mergeCell ref="L24:R24"/>
    <mergeCell ref="L25:R2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677A-3DB7-48F1-BFEE-AC2146C5F155}">
  <dimension ref="A1:S53"/>
  <sheetViews>
    <sheetView tabSelected="1" topLeftCell="B1" workbookViewId="0">
      <selection activeCell="I20" sqref="I19:I20"/>
    </sheetView>
  </sheetViews>
  <sheetFormatPr defaultRowHeight="14.4" x14ac:dyDescent="0.3"/>
  <cols>
    <col min="1" max="1" width="16.88671875" customWidth="1"/>
    <col min="6" max="6" width="10.33203125" customWidth="1"/>
    <col min="7" max="7" width="19.88671875" customWidth="1"/>
  </cols>
  <sheetData>
    <row r="1" spans="1:19" x14ac:dyDescent="0.3">
      <c r="A1" s="17" t="s">
        <v>15</v>
      </c>
      <c r="B1" s="17"/>
      <c r="C1" s="17"/>
      <c r="D1" s="17"/>
      <c r="E1" s="17"/>
      <c r="F1" s="17"/>
    </row>
    <row r="2" spans="1:19" x14ac:dyDescent="0.3">
      <c r="A2" s="15" t="s">
        <v>17</v>
      </c>
      <c r="B2" s="15" t="s">
        <v>8</v>
      </c>
      <c r="C2" s="15" t="s">
        <v>7</v>
      </c>
      <c r="D2" s="15" t="s">
        <v>9</v>
      </c>
      <c r="E2" s="15" t="s">
        <v>10</v>
      </c>
      <c r="F2" s="15" t="s">
        <v>13</v>
      </c>
      <c r="G2" s="15" t="s">
        <v>18</v>
      </c>
    </row>
    <row r="3" spans="1:19" ht="21" x14ac:dyDescent="0.4">
      <c r="A3" s="14">
        <v>45446</v>
      </c>
      <c r="B3">
        <v>1002</v>
      </c>
      <c r="C3">
        <v>1047</v>
      </c>
      <c r="D3">
        <v>415</v>
      </c>
      <c r="E3">
        <v>1090</v>
      </c>
      <c r="F3">
        <v>3554</v>
      </c>
      <c r="L3" s="27" t="s">
        <v>26</v>
      </c>
      <c r="M3" s="27"/>
      <c r="N3" s="27"/>
      <c r="O3" s="27"/>
      <c r="P3" s="27"/>
      <c r="Q3" s="27"/>
      <c r="R3" s="27"/>
      <c r="S3" s="27"/>
    </row>
    <row r="4" spans="1:19" x14ac:dyDescent="0.3">
      <c r="A4" s="14">
        <v>45453</v>
      </c>
      <c r="B4">
        <v>1283</v>
      </c>
      <c r="C4">
        <v>517</v>
      </c>
      <c r="D4">
        <v>186</v>
      </c>
      <c r="E4">
        <v>994</v>
      </c>
      <c r="F4">
        <v>2980</v>
      </c>
    </row>
    <row r="5" spans="1:19" x14ac:dyDescent="0.3">
      <c r="A5" s="14">
        <v>45460</v>
      </c>
      <c r="B5">
        <v>1382</v>
      </c>
      <c r="C5">
        <v>893</v>
      </c>
      <c r="D5">
        <v>1295</v>
      </c>
      <c r="E5">
        <v>337</v>
      </c>
      <c r="F5">
        <v>3907</v>
      </c>
    </row>
    <row r="6" spans="1:19" x14ac:dyDescent="0.3">
      <c r="A6" s="14">
        <v>45467</v>
      </c>
      <c r="B6">
        <v>1670</v>
      </c>
      <c r="C6">
        <v>629</v>
      </c>
      <c r="D6">
        <v>835</v>
      </c>
      <c r="E6">
        <v>-123</v>
      </c>
      <c r="F6">
        <v>3011</v>
      </c>
      <c r="G6">
        <f>AVERAGE(F3:F6)</f>
        <v>3363</v>
      </c>
    </row>
    <row r="7" spans="1:19" x14ac:dyDescent="0.3">
      <c r="A7" s="14">
        <v>45474</v>
      </c>
      <c r="B7">
        <v>64</v>
      </c>
      <c r="C7">
        <v>-219</v>
      </c>
      <c r="D7">
        <v>1357</v>
      </c>
      <c r="E7">
        <v>91</v>
      </c>
      <c r="F7">
        <v>1293</v>
      </c>
      <c r="G7" s="9">
        <f>AVERAGE(F4:F7)</f>
        <v>2797.75</v>
      </c>
    </row>
    <row r="8" spans="1:19" x14ac:dyDescent="0.3">
      <c r="A8" s="14">
        <v>45481</v>
      </c>
      <c r="B8">
        <v>309</v>
      </c>
      <c r="C8">
        <v>1672</v>
      </c>
      <c r="D8">
        <v>547</v>
      </c>
      <c r="E8">
        <v>514</v>
      </c>
      <c r="F8">
        <v>3042</v>
      </c>
      <c r="G8" s="9">
        <f t="shared" ref="G8:G52" si="0">AVERAGE(F5:F8)</f>
        <v>2813.25</v>
      </c>
    </row>
    <row r="9" spans="1:19" x14ac:dyDescent="0.3">
      <c r="A9" s="14">
        <v>45488</v>
      </c>
      <c r="B9">
        <v>-164</v>
      </c>
      <c r="C9">
        <v>1845</v>
      </c>
      <c r="D9">
        <v>429</v>
      </c>
      <c r="E9">
        <v>160</v>
      </c>
      <c r="F9">
        <v>2270</v>
      </c>
      <c r="G9">
        <f t="shared" si="0"/>
        <v>2404</v>
      </c>
    </row>
    <row r="10" spans="1:19" x14ac:dyDescent="0.3">
      <c r="A10" s="14">
        <v>45495</v>
      </c>
      <c r="B10">
        <v>961</v>
      </c>
      <c r="C10">
        <v>159</v>
      </c>
      <c r="D10">
        <v>1316</v>
      </c>
      <c r="E10">
        <v>317</v>
      </c>
      <c r="F10">
        <v>2753</v>
      </c>
      <c r="G10" s="9">
        <f t="shared" si="0"/>
        <v>2339.5</v>
      </c>
    </row>
    <row r="11" spans="1:19" x14ac:dyDescent="0.3">
      <c r="A11" s="14">
        <v>45502</v>
      </c>
      <c r="B11">
        <v>-318</v>
      </c>
      <c r="C11">
        <v>541</v>
      </c>
      <c r="D11">
        <v>1495</v>
      </c>
      <c r="E11">
        <v>475</v>
      </c>
      <c r="F11">
        <v>2193</v>
      </c>
      <c r="G11" s="9">
        <f t="shared" si="0"/>
        <v>2564.5</v>
      </c>
    </row>
    <row r="12" spans="1:19" x14ac:dyDescent="0.3">
      <c r="A12" s="14">
        <v>45509</v>
      </c>
      <c r="B12">
        <v>-197</v>
      </c>
      <c r="C12">
        <v>352</v>
      </c>
      <c r="D12">
        <v>328</v>
      </c>
      <c r="E12">
        <v>319</v>
      </c>
      <c r="F12">
        <v>802</v>
      </c>
      <c r="G12" s="9">
        <f t="shared" si="0"/>
        <v>2004.5</v>
      </c>
    </row>
    <row r="13" spans="1:19" x14ac:dyDescent="0.3">
      <c r="A13" s="14">
        <v>45516</v>
      </c>
      <c r="B13">
        <v>1334</v>
      </c>
      <c r="C13">
        <v>1325</v>
      </c>
      <c r="D13">
        <v>37</v>
      </c>
      <c r="E13">
        <v>1032</v>
      </c>
      <c r="F13">
        <v>3728</v>
      </c>
      <c r="G13" s="9">
        <f t="shared" si="0"/>
        <v>2369</v>
      </c>
    </row>
    <row r="14" spans="1:19" x14ac:dyDescent="0.3">
      <c r="A14" s="14">
        <v>45523</v>
      </c>
      <c r="B14">
        <v>1058</v>
      </c>
      <c r="C14">
        <v>76</v>
      </c>
      <c r="D14">
        <v>1665</v>
      </c>
      <c r="E14">
        <v>190</v>
      </c>
      <c r="F14">
        <v>2989</v>
      </c>
      <c r="G14" s="9">
        <f t="shared" si="0"/>
        <v>2428</v>
      </c>
    </row>
    <row r="15" spans="1:19" x14ac:dyDescent="0.3">
      <c r="A15" s="14">
        <v>45530</v>
      </c>
      <c r="B15">
        <v>37</v>
      </c>
      <c r="C15">
        <v>1609</v>
      </c>
      <c r="D15">
        <v>1229</v>
      </c>
      <c r="E15">
        <v>28</v>
      </c>
      <c r="F15">
        <v>2903</v>
      </c>
      <c r="G15" s="9">
        <f t="shared" si="0"/>
        <v>2605.5</v>
      </c>
    </row>
    <row r="16" spans="1:19" x14ac:dyDescent="0.3">
      <c r="A16" s="14">
        <v>45537</v>
      </c>
      <c r="B16">
        <v>1045</v>
      </c>
      <c r="C16">
        <v>1247</v>
      </c>
      <c r="D16">
        <v>197</v>
      </c>
      <c r="E16">
        <v>333</v>
      </c>
      <c r="F16">
        <v>2822</v>
      </c>
      <c r="G16" s="9">
        <f t="shared" si="0"/>
        <v>3110.5</v>
      </c>
    </row>
    <row r="17" spans="1:7" x14ac:dyDescent="0.3">
      <c r="A17" s="14">
        <v>45544</v>
      </c>
      <c r="B17">
        <v>1428</v>
      </c>
      <c r="C17">
        <v>1572</v>
      </c>
      <c r="D17">
        <v>260</v>
      </c>
      <c r="E17">
        <v>1100</v>
      </c>
      <c r="F17">
        <v>4360</v>
      </c>
      <c r="G17" s="9">
        <f t="shared" si="0"/>
        <v>3268.5</v>
      </c>
    </row>
    <row r="18" spans="1:7" x14ac:dyDescent="0.3">
      <c r="A18" s="14">
        <v>45551</v>
      </c>
      <c r="B18">
        <v>98</v>
      </c>
      <c r="C18">
        <v>377</v>
      </c>
      <c r="D18">
        <v>1125</v>
      </c>
      <c r="E18">
        <v>-32</v>
      </c>
      <c r="F18">
        <v>1568</v>
      </c>
      <c r="G18" s="9">
        <f t="shared" si="0"/>
        <v>2913.25</v>
      </c>
    </row>
    <row r="19" spans="1:7" x14ac:dyDescent="0.3">
      <c r="A19" s="14">
        <v>45558</v>
      </c>
      <c r="B19">
        <v>-19</v>
      </c>
      <c r="C19">
        <v>666</v>
      </c>
      <c r="D19">
        <v>1680</v>
      </c>
      <c r="E19">
        <v>1006</v>
      </c>
      <c r="F19">
        <v>3333</v>
      </c>
      <c r="G19" s="9">
        <f t="shared" si="0"/>
        <v>3020.75</v>
      </c>
    </row>
    <row r="20" spans="1:7" x14ac:dyDescent="0.3">
      <c r="A20" s="14">
        <v>45565</v>
      </c>
      <c r="B20">
        <v>-179</v>
      </c>
      <c r="C20">
        <v>1025</v>
      </c>
      <c r="D20">
        <v>599</v>
      </c>
      <c r="E20">
        <v>1706</v>
      </c>
      <c r="F20">
        <v>3151</v>
      </c>
      <c r="G20" s="9">
        <f t="shared" si="0"/>
        <v>3103</v>
      </c>
    </row>
    <row r="21" spans="1:7" x14ac:dyDescent="0.3">
      <c r="A21" s="14">
        <v>45572</v>
      </c>
      <c r="B21">
        <v>1662</v>
      </c>
      <c r="C21">
        <v>1872</v>
      </c>
      <c r="D21">
        <v>107</v>
      </c>
      <c r="E21">
        <v>118</v>
      </c>
      <c r="F21">
        <v>3759</v>
      </c>
      <c r="G21" s="9">
        <f t="shared" si="0"/>
        <v>2952.75</v>
      </c>
    </row>
    <row r="22" spans="1:7" x14ac:dyDescent="0.3">
      <c r="A22" s="14">
        <v>45579</v>
      </c>
      <c r="B22">
        <v>285</v>
      </c>
      <c r="C22">
        <v>1224</v>
      </c>
      <c r="D22">
        <v>-20</v>
      </c>
      <c r="E22">
        <v>367</v>
      </c>
      <c r="F22">
        <v>1856</v>
      </c>
      <c r="G22" s="9">
        <f t="shared" si="0"/>
        <v>3024.75</v>
      </c>
    </row>
    <row r="23" spans="1:7" x14ac:dyDescent="0.3">
      <c r="A23" s="14">
        <v>45586</v>
      </c>
      <c r="B23">
        <v>439</v>
      </c>
      <c r="C23">
        <v>262</v>
      </c>
      <c r="D23">
        <v>636</v>
      </c>
      <c r="E23">
        <v>1484</v>
      </c>
      <c r="F23">
        <v>2821</v>
      </c>
      <c r="G23" s="9">
        <f t="shared" si="0"/>
        <v>2896.75</v>
      </c>
    </row>
    <row r="24" spans="1:7" x14ac:dyDescent="0.3">
      <c r="A24" s="14">
        <v>45593</v>
      </c>
      <c r="B24">
        <v>386</v>
      </c>
      <c r="C24">
        <v>576</v>
      </c>
      <c r="D24">
        <v>37</v>
      </c>
      <c r="E24">
        <v>1657</v>
      </c>
      <c r="F24">
        <v>2656</v>
      </c>
      <c r="G24" s="9">
        <f t="shared" si="0"/>
        <v>2773</v>
      </c>
    </row>
    <row r="25" spans="1:7" x14ac:dyDescent="0.3">
      <c r="A25" s="14">
        <v>45600</v>
      </c>
      <c r="B25">
        <v>540</v>
      </c>
      <c r="C25">
        <v>1397</v>
      </c>
      <c r="D25">
        <v>1603</v>
      </c>
      <c r="E25">
        <v>1044</v>
      </c>
      <c r="F25">
        <v>4584</v>
      </c>
      <c r="G25" s="9">
        <f t="shared" si="0"/>
        <v>2979.25</v>
      </c>
    </row>
    <row r="26" spans="1:7" x14ac:dyDescent="0.3">
      <c r="A26" s="14">
        <v>45607</v>
      </c>
      <c r="B26">
        <v>-106</v>
      </c>
      <c r="C26">
        <v>902</v>
      </c>
      <c r="D26">
        <v>1150</v>
      </c>
      <c r="E26">
        <v>349</v>
      </c>
      <c r="F26">
        <v>2295</v>
      </c>
      <c r="G26" s="9">
        <f t="shared" si="0"/>
        <v>3089</v>
      </c>
    </row>
    <row r="27" spans="1:7" x14ac:dyDescent="0.3">
      <c r="A27" s="14">
        <v>45614</v>
      </c>
      <c r="B27">
        <v>72</v>
      </c>
      <c r="C27">
        <v>-49</v>
      </c>
      <c r="D27">
        <v>445</v>
      </c>
      <c r="E27">
        <v>60</v>
      </c>
      <c r="F27">
        <v>528</v>
      </c>
      <c r="G27" s="9">
        <f t="shared" si="0"/>
        <v>2515.75</v>
      </c>
    </row>
    <row r="28" spans="1:7" x14ac:dyDescent="0.3">
      <c r="A28" s="14">
        <v>45621</v>
      </c>
      <c r="B28">
        <v>1332</v>
      </c>
      <c r="C28">
        <v>1693</v>
      </c>
      <c r="D28">
        <v>98</v>
      </c>
      <c r="E28">
        <v>885</v>
      </c>
      <c r="F28">
        <v>4008</v>
      </c>
      <c r="G28" s="9">
        <f t="shared" si="0"/>
        <v>2853.75</v>
      </c>
    </row>
    <row r="29" spans="1:7" x14ac:dyDescent="0.3">
      <c r="A29" s="14">
        <v>45628</v>
      </c>
      <c r="B29">
        <v>1706</v>
      </c>
      <c r="C29">
        <v>1625</v>
      </c>
      <c r="D29">
        <v>1173</v>
      </c>
      <c r="E29">
        <v>291</v>
      </c>
      <c r="F29">
        <v>4795</v>
      </c>
      <c r="G29" s="9">
        <f>AVERAGE(F26:F29)</f>
        <v>2906.5</v>
      </c>
    </row>
    <row r="30" spans="1:7" x14ac:dyDescent="0.3">
      <c r="A30" s="14">
        <v>45635</v>
      </c>
      <c r="B30">
        <v>1373</v>
      </c>
      <c r="C30">
        <v>1119</v>
      </c>
      <c r="D30">
        <v>1727</v>
      </c>
      <c r="E30">
        <v>573</v>
      </c>
      <c r="F30">
        <v>4792</v>
      </c>
      <c r="G30" s="9">
        <f t="shared" si="0"/>
        <v>3530.75</v>
      </c>
    </row>
    <row r="31" spans="1:7" x14ac:dyDescent="0.3">
      <c r="A31" s="14">
        <v>45642</v>
      </c>
      <c r="B31">
        <v>1377</v>
      </c>
      <c r="C31">
        <v>1432</v>
      </c>
      <c r="D31">
        <v>1359</v>
      </c>
      <c r="E31">
        <v>876</v>
      </c>
      <c r="F31">
        <v>5044</v>
      </c>
      <c r="G31" s="9">
        <f t="shared" si="0"/>
        <v>4659.75</v>
      </c>
    </row>
    <row r="32" spans="1:7" x14ac:dyDescent="0.3">
      <c r="A32" s="14">
        <v>45649</v>
      </c>
      <c r="B32">
        <v>730</v>
      </c>
      <c r="C32">
        <v>684</v>
      </c>
      <c r="D32">
        <v>911</v>
      </c>
      <c r="E32">
        <v>1589</v>
      </c>
      <c r="F32">
        <v>3914</v>
      </c>
      <c r="G32" s="9">
        <f t="shared" si="0"/>
        <v>4636.25</v>
      </c>
    </row>
    <row r="33" spans="1:7" x14ac:dyDescent="0.3">
      <c r="A33" s="14">
        <v>45656</v>
      </c>
      <c r="B33">
        <v>1776</v>
      </c>
      <c r="C33">
        <v>1765</v>
      </c>
      <c r="D33">
        <v>1529</v>
      </c>
      <c r="E33">
        <v>1460</v>
      </c>
      <c r="F33">
        <v>6530</v>
      </c>
      <c r="G33" s="9">
        <f t="shared" si="0"/>
        <v>5070</v>
      </c>
    </row>
    <row r="34" spans="1:7" x14ac:dyDescent="0.3">
      <c r="A34" s="14">
        <v>45663</v>
      </c>
      <c r="B34">
        <v>620</v>
      </c>
      <c r="C34">
        <v>903</v>
      </c>
      <c r="D34">
        <v>1188</v>
      </c>
      <c r="E34">
        <v>846</v>
      </c>
      <c r="F34">
        <v>3557</v>
      </c>
      <c r="G34" s="9">
        <f t="shared" si="0"/>
        <v>4761.25</v>
      </c>
    </row>
    <row r="35" spans="1:7" x14ac:dyDescent="0.3">
      <c r="A35" s="14">
        <v>45670</v>
      </c>
      <c r="B35">
        <v>298</v>
      </c>
      <c r="C35">
        <v>1722</v>
      </c>
      <c r="D35">
        <v>-144</v>
      </c>
      <c r="E35">
        <v>901</v>
      </c>
      <c r="F35">
        <v>2777</v>
      </c>
      <c r="G35" s="9">
        <f t="shared" si="0"/>
        <v>4194.5</v>
      </c>
    </row>
    <row r="36" spans="1:7" x14ac:dyDescent="0.3">
      <c r="A36" s="14">
        <v>45677</v>
      </c>
      <c r="B36">
        <v>427</v>
      </c>
      <c r="C36">
        <v>1572</v>
      </c>
      <c r="D36">
        <v>891</v>
      </c>
      <c r="E36">
        <v>724</v>
      </c>
      <c r="F36">
        <v>3614</v>
      </c>
      <c r="G36" s="9">
        <f t="shared" si="0"/>
        <v>4119.5</v>
      </c>
    </row>
    <row r="37" spans="1:7" x14ac:dyDescent="0.3">
      <c r="A37" s="14">
        <v>45684</v>
      </c>
      <c r="B37">
        <v>898</v>
      </c>
      <c r="C37">
        <v>-166</v>
      </c>
      <c r="D37">
        <v>1426</v>
      </c>
      <c r="E37">
        <v>1225</v>
      </c>
      <c r="F37">
        <v>3383</v>
      </c>
      <c r="G37" s="9">
        <f t="shared" si="0"/>
        <v>3332.75</v>
      </c>
    </row>
    <row r="38" spans="1:7" x14ac:dyDescent="0.3">
      <c r="A38" s="14">
        <v>45691</v>
      </c>
      <c r="B38">
        <v>748</v>
      </c>
      <c r="C38">
        <v>1080</v>
      </c>
      <c r="D38">
        <v>569</v>
      </c>
      <c r="E38">
        <v>-203</v>
      </c>
      <c r="F38">
        <v>2194</v>
      </c>
      <c r="G38" s="9">
        <f t="shared" si="0"/>
        <v>2992</v>
      </c>
    </row>
    <row r="39" spans="1:7" x14ac:dyDescent="0.3">
      <c r="A39" s="14">
        <v>45698</v>
      </c>
      <c r="B39">
        <v>912</v>
      </c>
      <c r="C39">
        <v>1723</v>
      </c>
      <c r="D39">
        <v>1202</v>
      </c>
      <c r="E39">
        <v>1444</v>
      </c>
      <c r="F39">
        <v>5281</v>
      </c>
      <c r="G39" s="9">
        <f t="shared" si="0"/>
        <v>3618</v>
      </c>
    </row>
    <row r="40" spans="1:7" x14ac:dyDescent="0.3">
      <c r="A40" s="14">
        <v>45705</v>
      </c>
      <c r="B40">
        <v>1590</v>
      </c>
      <c r="C40">
        <v>965</v>
      </c>
      <c r="D40">
        <v>-37</v>
      </c>
      <c r="E40">
        <v>1175</v>
      </c>
      <c r="F40">
        <v>3693</v>
      </c>
      <c r="G40" s="9">
        <f t="shared" si="0"/>
        <v>3637.75</v>
      </c>
    </row>
    <row r="41" spans="1:7" x14ac:dyDescent="0.3">
      <c r="A41" s="14">
        <v>45712</v>
      </c>
      <c r="B41">
        <v>1707</v>
      </c>
      <c r="C41">
        <v>1375</v>
      </c>
      <c r="D41">
        <v>708</v>
      </c>
      <c r="E41">
        <v>1016</v>
      </c>
      <c r="F41">
        <v>4806</v>
      </c>
      <c r="G41" s="9">
        <f t="shared" si="0"/>
        <v>3993.5</v>
      </c>
    </row>
    <row r="42" spans="1:7" x14ac:dyDescent="0.3">
      <c r="A42" s="14">
        <v>45719</v>
      </c>
      <c r="B42">
        <v>-119</v>
      </c>
      <c r="C42">
        <v>1315</v>
      </c>
      <c r="D42">
        <v>899</v>
      </c>
      <c r="E42">
        <v>315</v>
      </c>
      <c r="F42">
        <v>2410</v>
      </c>
      <c r="G42" s="9">
        <f t="shared" si="0"/>
        <v>4047.5</v>
      </c>
    </row>
    <row r="43" spans="1:7" x14ac:dyDescent="0.3">
      <c r="A43" s="14">
        <v>45726</v>
      </c>
      <c r="B43">
        <v>908</v>
      </c>
      <c r="C43">
        <v>212</v>
      </c>
      <c r="D43">
        <v>1350</v>
      </c>
      <c r="E43">
        <v>1242</v>
      </c>
      <c r="F43">
        <v>3712</v>
      </c>
      <c r="G43" s="9">
        <f t="shared" si="0"/>
        <v>3655.25</v>
      </c>
    </row>
    <row r="44" spans="1:7" x14ac:dyDescent="0.3">
      <c r="A44" s="14">
        <v>45733</v>
      </c>
      <c r="B44">
        <v>1116</v>
      </c>
      <c r="C44">
        <v>680</v>
      </c>
      <c r="D44">
        <v>861</v>
      </c>
      <c r="E44">
        <v>1385</v>
      </c>
      <c r="F44">
        <v>4042</v>
      </c>
      <c r="G44" s="9">
        <f t="shared" si="0"/>
        <v>3742.5</v>
      </c>
    </row>
    <row r="45" spans="1:7" x14ac:dyDescent="0.3">
      <c r="A45" s="14">
        <v>45740</v>
      </c>
      <c r="B45">
        <v>474</v>
      </c>
      <c r="C45">
        <v>461</v>
      </c>
      <c r="D45">
        <v>292</v>
      </c>
      <c r="E45">
        <v>389</v>
      </c>
      <c r="F45">
        <v>1616</v>
      </c>
      <c r="G45" s="9">
        <f t="shared" si="0"/>
        <v>2945</v>
      </c>
    </row>
    <row r="46" spans="1:7" x14ac:dyDescent="0.3">
      <c r="A46" s="14">
        <v>45747</v>
      </c>
      <c r="B46">
        <v>514</v>
      </c>
      <c r="C46">
        <v>641</v>
      </c>
      <c r="D46">
        <v>1676</v>
      </c>
      <c r="E46">
        <v>1467</v>
      </c>
      <c r="F46">
        <v>4298</v>
      </c>
      <c r="G46" s="9">
        <f t="shared" si="0"/>
        <v>3417</v>
      </c>
    </row>
    <row r="47" spans="1:7" x14ac:dyDescent="0.3">
      <c r="A47" s="14">
        <v>45754</v>
      </c>
      <c r="B47">
        <v>1029</v>
      </c>
      <c r="C47">
        <v>167</v>
      </c>
      <c r="D47">
        <v>1007</v>
      </c>
      <c r="E47">
        <v>209</v>
      </c>
      <c r="F47">
        <v>2412</v>
      </c>
      <c r="G47" s="9">
        <f t="shared" si="0"/>
        <v>3092</v>
      </c>
    </row>
    <row r="48" spans="1:7" x14ac:dyDescent="0.3">
      <c r="A48" s="14">
        <v>45761</v>
      </c>
      <c r="B48">
        <v>-175</v>
      </c>
      <c r="C48">
        <v>-160</v>
      </c>
      <c r="D48">
        <v>53</v>
      </c>
      <c r="E48">
        <v>145</v>
      </c>
      <c r="F48">
        <v>-137</v>
      </c>
      <c r="G48" s="9">
        <f t="shared" si="0"/>
        <v>2047.25</v>
      </c>
    </row>
    <row r="49" spans="1:7" x14ac:dyDescent="0.3">
      <c r="A49" s="14">
        <v>45768</v>
      </c>
      <c r="B49">
        <v>1045</v>
      </c>
      <c r="C49">
        <v>603</v>
      </c>
      <c r="D49">
        <v>759</v>
      </c>
      <c r="E49">
        <v>1633</v>
      </c>
      <c r="F49">
        <v>4040</v>
      </c>
      <c r="G49" s="9">
        <f t="shared" si="0"/>
        <v>2653.25</v>
      </c>
    </row>
    <row r="50" spans="1:7" x14ac:dyDescent="0.3">
      <c r="A50" s="14">
        <v>45775</v>
      </c>
      <c r="B50">
        <v>453</v>
      </c>
      <c r="C50">
        <v>1539</v>
      </c>
      <c r="D50">
        <v>948</v>
      </c>
      <c r="E50">
        <v>637</v>
      </c>
      <c r="F50">
        <v>3577</v>
      </c>
      <c r="G50" s="9">
        <f t="shared" si="0"/>
        <v>2473</v>
      </c>
    </row>
    <row r="51" spans="1:7" x14ac:dyDescent="0.3">
      <c r="A51" s="14">
        <v>45782</v>
      </c>
      <c r="B51">
        <v>339</v>
      </c>
      <c r="C51">
        <v>1881</v>
      </c>
      <c r="D51">
        <v>1510</v>
      </c>
      <c r="E51">
        <v>864</v>
      </c>
      <c r="F51">
        <v>4594</v>
      </c>
      <c r="G51" s="9">
        <f t="shared" si="0"/>
        <v>3018.5</v>
      </c>
    </row>
    <row r="52" spans="1:7" x14ac:dyDescent="0.3">
      <c r="A52" s="14">
        <v>45789</v>
      </c>
      <c r="B52">
        <v>407</v>
      </c>
      <c r="C52">
        <v>1656</v>
      </c>
      <c r="D52">
        <v>269</v>
      </c>
      <c r="E52">
        <v>-337</v>
      </c>
      <c r="F52">
        <v>1995</v>
      </c>
      <c r="G52" s="9">
        <f t="shared" si="0"/>
        <v>3551.5</v>
      </c>
    </row>
    <row r="53" spans="1:7" x14ac:dyDescent="0.3">
      <c r="A53" t="s">
        <v>13</v>
      </c>
      <c r="B53">
        <v>35557</v>
      </c>
      <c r="C53">
        <v>48004</v>
      </c>
      <c r="D53">
        <v>41177</v>
      </c>
      <c r="E53">
        <v>35367</v>
      </c>
      <c r="F53">
        <v>160105</v>
      </c>
    </row>
  </sheetData>
  <mergeCells count="2">
    <mergeCell ref="A1:F1"/>
    <mergeCell ref="L3:S3"/>
  </mergeCells>
  <pageMargins left="0.7" right="0.7" top="0.75" bottom="0.75" header="0.3" footer="0.3"/>
  <ignoredErrors>
    <ignoredError sqref="G6:G5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Weekly_follower_growth</vt:lpstr>
      <vt:lpstr>peek_week_of_follower_gain</vt:lpstr>
      <vt:lpstr>adSpend Vs Follower_growth</vt:lpstr>
      <vt:lpstr>Moving_Average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2025-12-18T05:20:45Z</dcterms:created>
  <dcterms:modified xsi:type="dcterms:W3CDTF">2025-12-21T14:19:23Z</dcterms:modified>
</cp:coreProperties>
</file>
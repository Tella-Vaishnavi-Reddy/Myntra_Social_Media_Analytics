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TellaVaishnavi_excel_Project\"/>
    </mc:Choice>
  </mc:AlternateContent>
  <xr:revisionPtr revIDLastSave="0" documentId="13_ncr:1_{636528C5-178A-4555-8CAF-89376AA474A6}" xr6:coauthVersionLast="47" xr6:coauthVersionMax="47" xr10:uidLastSave="{00000000-0000-0000-0000-000000000000}"/>
  <bookViews>
    <workbookView xWindow="-108" yWindow="-108" windowWidth="23256" windowHeight="12456" activeTab="3" xr2:uid="{985191E5-E935-42B7-B03C-DB33C7FC4BAD}"/>
  </bookViews>
  <sheets>
    <sheet name="freq_hashtags" sheetId="1" r:id="rId1"/>
    <sheet name="Avg_Performance" sheetId="2" r:id="rId2"/>
    <sheet name="content _performance" sheetId="3" r:id="rId3"/>
    <sheet name="recommend_content_type" sheetId="4" r:id="rId4"/>
  </sheet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2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2" i="2"/>
</calcChain>
</file>

<file path=xl/sharedStrings.xml><?xml version="1.0" encoding="utf-8"?>
<sst xmlns="http://schemas.openxmlformats.org/spreadsheetml/2006/main" count="11056" uniqueCount="360">
  <si>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</si>
  <si>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</si>
  <si>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</si>
  <si>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</si>
  <si>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</si>
  <si>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</si>
  <si>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</si>
  <si>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</si>
  <si>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</si>
  <si>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</si>
  <si>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</si>
  <si>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</si>
  <si>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</si>
  <si>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</si>
  <si>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</si>
  <si>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</si>
  <si>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</si>
  <si>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</si>
  <si>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</si>
  <si>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</si>
  <si>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</si>
  <si>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</si>
  <si>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</si>
  <si>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</si>
  <si>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</si>
  <si>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</si>
  <si>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</si>
  <si>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</si>
  <si>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</si>
  <si>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</si>
  <si>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</si>
  <si>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</si>
  <si>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</si>
  <si>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</si>
  <si>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</si>
  <si>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</si>
  <si>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</si>
  <si>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</si>
  <si>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</si>
  <si>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</si>
  <si>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</si>
  <si>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</si>
  <si>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</si>
  <si>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</si>
  <si>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</si>
  <si>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</si>
  <si>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</si>
  <si>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</si>
  <si>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</si>
  <si>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</si>
  <si>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</si>
  <si>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</si>
  <si>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</si>
  <si>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</si>
  <si>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</si>
  <si>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</si>
  <si>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</si>
  <si>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</si>
  <si>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</si>
  <si>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</si>
  <si>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</si>
  <si>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</si>
  <si>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</si>
  <si>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</si>
  <si>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</si>
  <si>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</si>
  <si>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</si>
  <si>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</si>
  <si>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</si>
  <si>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</si>
  <si>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</si>
  <si>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</si>
  <si>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</si>
  <si>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</si>
  <si>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</si>
  <si>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</si>
  <si>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</si>
  <si>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</si>
  <si>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</si>
  <si>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</si>
  <si>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</si>
  <si>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</si>
  <si>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</si>
  <si>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</si>
  <si>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</si>
  <si>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</si>
  <si>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</si>
  <si>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</si>
  <si>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</si>
  <si>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</si>
  <si>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</si>
  <si>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</si>
  <si>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</si>
  <si>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</si>
  <si>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</si>
  <si>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</si>
  <si>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</si>
  <si>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</si>
  <si>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</si>
  <si>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</si>
  <si>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</si>
  <si>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</si>
  <si>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</si>
  <si>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</si>
  <si>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</si>
  <si>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</si>
  <si>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</si>
  <si>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</si>
  <si>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</si>
  <si>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</si>
  <si>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</si>
  <si>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</si>
  <si>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</si>
  <si>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</si>
  <si>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</si>
  <si>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</si>
  <si>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</si>
  <si>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</si>
  <si>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</si>
  <si>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</si>
  <si>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</si>
  <si>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</si>
  <si>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</si>
  <si>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</si>
  <si>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</si>
  <si>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</si>
  <si>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</si>
  <si>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</si>
  <si>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</si>
  <si>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</si>
  <si>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</si>
  <si>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</si>
  <si>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</si>
  <si>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</si>
  <si>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</si>
  <si>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</si>
  <si>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</si>
  <si>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</si>
  <si>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</si>
  <si>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</si>
  <si>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</si>
  <si>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</si>
  <si>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</si>
  <si>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</si>
  <si>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</si>
  <si>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</si>
  <si>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</si>
  <si>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</si>
  <si>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</si>
  <si>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</si>
  <si>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</si>
  <si>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</si>
  <si>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</si>
  <si>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</si>
  <si>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</si>
  <si>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</si>
  <si>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</si>
  <si>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</si>
  <si>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</si>
  <si>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</si>
  <si>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</si>
  <si>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</si>
  <si>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</si>
  <si>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</si>
  <si>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</si>
  <si>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</si>
  <si>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</si>
  <si>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</si>
  <si>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</si>
  <si>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</si>
  <si>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</si>
  <si>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</si>
  <si>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</si>
  <si>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</si>
  <si>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</si>
  <si>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</si>
  <si>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</si>
  <si>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</si>
  <si>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</si>
  <si>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</si>
  <si>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</si>
  <si>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</si>
  <si>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</si>
  <si>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</si>
  <si>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</si>
  <si>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</si>
  <si>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</si>
  <si>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</si>
  <si>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</si>
  <si>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</si>
  <si>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</si>
  <si>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</si>
  <si>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</si>
  <si>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</si>
  <si>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</si>
  <si>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</si>
  <si>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</si>
  <si>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</si>
  <si>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</si>
  <si>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</si>
  <si>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</si>
  <si>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</si>
  <si>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</si>
  <si>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</si>
  <si>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</si>
  <si>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</si>
  <si>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</si>
  <si>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</si>
  <si>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</si>
  <si>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</si>
  <si>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</si>
  <si>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</si>
  <si>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</si>
  <si>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</si>
  <si>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</si>
  <si>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</si>
  <si>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</si>
  <si>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</si>
  <si>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</si>
  <si>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</si>
  <si>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</si>
  <si>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</si>
  <si>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</si>
  <si>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</si>
  <si>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</si>
  <si>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</si>
  <si>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</si>
  <si>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</si>
  <si>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</si>
  <si>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</si>
  <si>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</si>
  <si>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</si>
  <si>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</si>
  <si>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</si>
  <si>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</si>
  <si>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</si>
  <si>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</si>
  <si>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</si>
  <si>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</si>
  <si>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</si>
  <si>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</si>
  <si>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</si>
  <si>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</si>
  <si>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</si>
  <si>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</si>
  <si>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</si>
  <si>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</si>
  <si>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</si>
  <si>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</si>
  <si>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</si>
  <si>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</si>
  <si>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</si>
  <si>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</si>
  <si>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</si>
  <si>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</si>
  <si>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</si>
  <si>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</si>
  <si>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</si>
  <si>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</si>
  <si>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</si>
  <si>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</si>
  <si>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</si>
  <si>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</si>
  <si>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</si>
  <si>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</si>
  <si>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</si>
  <si>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</si>
  <si>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</si>
  <si>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</si>
  <si>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</si>
  <si>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</si>
  <si>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</si>
  <si>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</si>
  <si>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</si>
  <si>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</si>
  <si>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</si>
  <si>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</si>
  <si>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</si>
  <si>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</si>
  <si>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</si>
  <si>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</si>
  <si>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</si>
  <si>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</si>
  <si>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</si>
  <si>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</si>
  <si>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</si>
  <si>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</si>
  <si>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</si>
  <si>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</si>
  <si>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</si>
  <si>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</si>
  <si>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</si>
  <si>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</si>
  <si>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</si>
  <si>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</si>
  <si>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</si>
  <si>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</si>
  <si>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</si>
  <si>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</si>
  <si>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</si>
  <si>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</si>
  <si>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</si>
  <si>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</si>
  <si>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</si>
  <si>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</si>
  <si>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</si>
  <si>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</si>
  <si>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</si>
  <si>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</si>
  <si>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</si>
  <si>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</si>
  <si>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</si>
  <si>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</si>
  <si>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</si>
  <si>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</si>
  <si>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</si>
  <si>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</si>
  <si>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</si>
  <si>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</si>
  <si>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</si>
  <si>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</si>
  <si>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</si>
  <si>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</si>
  <si>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</si>
  <si>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</si>
  <si>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</si>
  <si>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</si>
  <si>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</si>
  <si>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</si>
  <si>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</si>
  <si>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</si>
  <si>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</si>
  <si>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</si>
  <si>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</si>
  <si>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</si>
  <si>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</si>
  <si>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</si>
  <si>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</si>
  <si>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Row Labels</t>
  </si>
  <si>
    <t>Grand Total</t>
  </si>
  <si>
    <t>Frequency of Hashtags</t>
  </si>
  <si>
    <t>Audience_Resonance</t>
  </si>
  <si>
    <t>Average of Audience_Resonance</t>
  </si>
  <si>
    <t>Average performance of posts containing each hashtag.</t>
  </si>
  <si>
    <t>content performance</t>
  </si>
  <si>
    <t>Post_ID</t>
  </si>
  <si>
    <t>Column Labels</t>
  </si>
  <si>
    <t>Engagement_rate</t>
  </si>
  <si>
    <t>Average of Engagement_rate</t>
  </si>
  <si>
    <t>Recommend content type priorities per platform</t>
  </si>
  <si>
    <t>Reel,Story,Video</t>
  </si>
  <si>
    <t>PLATFORM</t>
  </si>
  <si>
    <t>Recommended__content type</t>
  </si>
  <si>
    <t>Compare content performance:</t>
  </si>
  <si>
    <t>Most frequently used Myntra hashtags.</t>
  </si>
  <si>
    <r>
      <rPr>
        <b/>
        <u/>
        <sz val="12"/>
        <color theme="1"/>
        <rFont val="Calibri"/>
        <family val="2"/>
        <scheme val="minor"/>
      </rPr>
      <t>#StyleWithMyntra</t>
    </r>
    <r>
      <rPr>
        <b/>
        <sz val="12"/>
        <color theme="1"/>
        <rFont val="Calibri"/>
        <family val="2"/>
        <scheme val="minor"/>
      </rPr>
      <t xml:space="preserve"> was used more frequently compared to rest of hastags</t>
    </r>
  </si>
  <si>
    <r>
      <t>#StyleWithMyntra</t>
    </r>
    <r>
      <rPr>
        <sz val="12"/>
        <color theme="1"/>
        <rFont val="Calibri"/>
        <family val="2"/>
        <scheme val="minor"/>
      </rPr>
      <t xml:space="preserve"> performs best with </t>
    </r>
    <r>
      <rPr>
        <b/>
        <sz val="12"/>
        <color theme="1"/>
        <rFont val="Calibri"/>
        <family val="2"/>
        <scheme val="minor"/>
      </rPr>
      <t>144% engagement</t>
    </r>
    <r>
      <rPr>
        <sz val="12"/>
        <color theme="1"/>
        <rFont val="Calibri"/>
        <family val="2"/>
        <scheme val="minor"/>
      </rPr>
      <t>.</t>
    </r>
  </si>
  <si>
    <r>
      <t>#FashionDeals</t>
    </r>
    <r>
      <rPr>
        <sz val="12"/>
        <color theme="1"/>
        <rFont val="Calibri"/>
        <family val="2"/>
        <scheme val="minor"/>
      </rPr>
      <t xml:space="preserve"> shows strong response at </t>
    </r>
    <r>
      <rPr>
        <b/>
        <sz val="12"/>
        <color theme="1"/>
        <rFont val="Calibri"/>
        <family val="2"/>
        <scheme val="minor"/>
      </rPr>
      <t>106%</t>
    </r>
    <r>
      <rPr>
        <sz val="12"/>
        <color theme="1"/>
        <rFont val="Calibri"/>
        <family val="2"/>
        <scheme val="minor"/>
      </rPr>
      <t>.</t>
    </r>
  </si>
  <si>
    <r>
      <t xml:space="preserve">Other hashtags have </t>
    </r>
    <r>
      <rPr>
        <b/>
        <sz val="12"/>
        <color theme="1"/>
        <rFont val="Calibri"/>
        <family val="2"/>
        <scheme val="minor"/>
      </rPr>
      <t>very low engagement (16–17%)</t>
    </r>
    <r>
      <rPr>
        <sz val="12"/>
        <color theme="1"/>
        <rFont val="Calibri"/>
        <family val="2"/>
        <scheme val="minor"/>
      </rPr>
      <t>.</t>
    </r>
  </si>
  <si>
    <r>
      <t>Lifestyle and deal-based hashtags drive higher audience resonance</t>
    </r>
    <r>
      <rPr>
        <sz val="12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</si>
</sst>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" fontId="2" fillId="2" borderId="2" xfId="0" applyNumberFormat="1" applyFont="1" applyFill="1" applyBorder="1"/>
    <xf numFmtId="49" fontId="2" fillId="2" borderId="2" xfId="0" applyNumberFormat="1" applyFont="1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1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1" fontId="0" fillId="0" borderId="4" xfId="0" applyNumberFormat="1" applyBorder="1"/>
    <xf numFmtId="49" fontId="0" fillId="0" borderId="4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" fontId="2" fillId="2" borderId="0" xfId="0" applyNumberFormat="1" applyFont="1" applyFill="1"/>
    <xf numFmtId="2" fontId="0" fillId="0" borderId="0" xfId="1" applyNumberFormat="1" applyFont="1"/>
    <xf numFmtId="9" fontId="0" fillId="0" borderId="0" xfId="0" applyNumberFormat="1"/>
    <xf numFmtId="2" fontId="0" fillId="0" borderId="0" xfId="0" applyNumberFormat="1"/>
    <xf numFmtId="0" fontId="0" fillId="0" borderId="5" xfId="0" pivotButton="1" applyBorder="1"/>
    <xf numFmtId="0" fontId="0" fillId="0" borderId="5" xfId="0" applyBorder="1"/>
    <xf numFmtId="0" fontId="0" fillId="0" borderId="5" xfId="0" applyBorder="1" applyAlignment="1">
      <alignment horizontal="left"/>
    </xf>
    <xf numFmtId="9" fontId="0" fillId="0" borderId="5" xfId="0" applyNumberFormat="1" applyBorder="1"/>
    <xf numFmtId="9" fontId="4" fillId="4" borderId="5" xfId="0" applyNumberFormat="1" applyFont="1" applyFill="1" applyBorder="1"/>
    <xf numFmtId="0" fontId="0" fillId="0" borderId="0" xfId="0" applyAlignment="1">
      <alignment wrapText="1"/>
    </xf>
    <xf numFmtId="0" fontId="3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0" fillId="0" borderId="0" xfId="0" applyAlignment="1"/>
    <xf numFmtId="0" fontId="5" fillId="6" borderId="0" xfId="0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4" fillId="0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 indent="1"/>
    </xf>
    <xf numFmtId="0" fontId="0" fillId="3" borderId="0" xfId="0" applyFill="1"/>
    <xf numFmtId="0" fontId="4" fillId="5" borderId="5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wrapText="1"/>
    </xf>
    <xf numFmtId="0" fontId="6" fillId="5" borderId="6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3">
    <dxf>
      <font>
        <b val="0"/>
      </font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none">
          <bgColor auto="1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font>
        <b/>
      </font>
    </dxf>
    <dxf>
      <fill>
        <patternFill patternType="solid">
          <bgColor rgb="FFFFFF00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[TASK4.xlsx]Avg_Performance!PivotTable2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performance of Hashtag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Avg_Performance!$Q$5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Avg_Performance!$P$6:$P$11</c:f>
              <c:strCache>
                <c:ptCount val="5"/>
                <c:pt idx="0">
                  <c:v>#FashionDeals</c:v>
                </c:pt>
                <c:pt idx="1">
                  <c:v>#MyntraFashion</c:v>
                </c:pt>
                <c:pt idx="2">
                  <c:v>#MyntraSale</c:v>
                </c:pt>
                <c:pt idx="3">
                  <c:v>#MyntraTrend</c:v>
                </c:pt>
                <c:pt idx="4">
                  <c:v>#StyleWithMyntra</c:v>
                </c:pt>
              </c:strCache>
            </c:strRef>
          </c:cat>
          <c:val>
            <c:numRef>
              <c:f>Avg_Performance!$Q$6:$Q$11</c:f>
              <c:numCache>
                <c:formatCode>0%</c:formatCode>
                <c:ptCount val="5"/>
                <c:pt idx="0">
                  <c:v>1.0555074926507788</c:v>
                </c:pt>
                <c:pt idx="1">
                  <c:v>0.1673142926614104</c:v>
                </c:pt>
                <c:pt idx="2">
                  <c:v>0.17470142881937181</c:v>
                </c:pt>
                <c:pt idx="3">
                  <c:v>0.15656649759766211</c:v>
                </c:pt>
                <c:pt idx="4">
                  <c:v>1.4385457745906978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6-4C1E-8C91-64C862B06A5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26761664"/>
        <c:axId val="226746784"/>
      </c:barChart>
      <c:catAx>
        <c:axId val="226761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46784"/>
        <c:crosses val="autoZero"/>
        <c:auto val="1"/>
        <c:lblAlgn val="ctr"/>
        <c:lblOffset val="100"/>
        <c:noMultiLvlLbl val="0"/>
      </c:catAx>
      <c:valAx>
        <c:axId val="22674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76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[TASK4.xlsx]content _performance!PivotTable1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compare_content_performance</a:t>
            </a:r>
          </a:p>
        </c:rich>
      </c:tx>
      <c:layout>
        <c:manualLayout>
          <c:xMode val="edge"/>
          <c:yMode val="edge"/>
          <c:x val="0.29915266841644794"/>
          <c:y val="0.14064117599048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'content _performance'!$Q$5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'content _performance'!$P$6:$P$9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'content _performance'!$Q$6:$Q$9</c:f>
              <c:numCache>
                <c:formatCode>0.00</c:formatCode>
                <c:ptCount val="3"/>
                <c:pt idx="0">
                  <c:v>0.97022076633209731</c:v>
                </c:pt>
                <c:pt idx="1">
                  <c:v>0.14391468210270705</c:v>
                </c:pt>
                <c:pt idx="2">
                  <c:v>0.1709966835364663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0-417C-94C6-1EBEF17053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55115759"/>
        <c:axId val="455112399"/>
      </c:barChart>
      <c:catAx>
        <c:axId val="455115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12399"/>
        <c:crosses val="autoZero"/>
        <c:auto val="1"/>
        <c:lblAlgn val="ctr"/>
        <c:lblOffset val="100"/>
        <c:noMultiLvlLbl val="0"/>
      </c:catAx>
      <c:valAx>
        <c:axId val="4551123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Content_performance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11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419100</xdr:colOff>
      <xdr:row>12</xdr:row>
      <xdr:rowOff>144780</xdr:rowOff>
    </xdr:from>
    <xdr:to>
      <xdr:col>19</xdr:col>
      <xdr:colOff>60960</xdr:colOff>
      <xdr:row>24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44FA4-BD01-09AF-B2DF-CAA3E3854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312420</xdr:colOff>
      <xdr:row>9</xdr:row>
      <xdr:rowOff>171450</xdr:rowOff>
    </xdr:from>
    <xdr:to>
      <xdr:col>20</xdr:col>
      <xdr:colOff>274320</xdr:colOff>
      <xdr:row>22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79B3FD-28A3-6704-636A-C6371BE3B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8.539874652779" createdVersion="8" refreshedVersion="8" minRefreshableVersion="3" recordCount="456" xr:uid="{1700344C-F9B2-4623-A441-5F6D5EF3BB98}">
  <cacheSource type="worksheet">
    <worksheetSource ref="A1:M457" sheet="freq_hashtags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 count="5">
        <s v="#MyntraSale"/>
        <s v="#MyntraFashion"/>
        <s v="#StyleWithMyntra"/>
        <s v="#MyntraTrend"/>
        <s v="#FashionDeals"/>
      </sharedItems>
    </cacheField>
    <cacheField name="Campaign_Name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8.552754861113" createdVersion="8" refreshedVersion="8" minRefreshableVersion="3" recordCount="456" xr:uid="{FC226DDC-97C3-4BD7-9870-6CC215B7A4F9}">
  <cacheSource type="worksheet">
    <worksheetSource ref="A1:N457" sheet="Avg_Performance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 count="5">
        <s v="#MyntraSale"/>
        <s v="#MyntraFashion"/>
        <s v="#StyleWithMyntra"/>
        <s v="#MyntraTrend"/>
        <s v="#FashionDeals"/>
      </sharedItems>
    </cacheField>
    <cacheField name="Campaign_Name" numFmtId="49">
      <sharedItems/>
    </cacheField>
    <cacheField name="Audience_Resonance" numFmtId="2">
      <sharedItems containsSemiMixedTypes="0" containsString="0" containsNumber="1" minValue="5.2873614537174492E-2" maxValue="133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8.70707152778" createdVersion="8" refreshedVersion="8" minRefreshableVersion="3" recordCount="456" xr:uid="{C20F0CD4-4DDF-463E-B0FA-A1F10F544129}">
  <cacheSource type="worksheet">
    <worksheetSource ref="A1:N457" sheet="content _performance"/>
  </cacheSource>
  <cacheFields count="14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/>
    </cacheField>
    <cacheField name="Campaign_Name" numFmtId="49">
      <sharedItems/>
    </cacheField>
    <cacheField name="Audience_Resonance" numFmtId="2">
      <sharedItems containsSemiMixedTypes="0" containsString="0" containsNumber="1" minValue="5.2873614537174492E-2" maxValue="133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yshu" refreshedDate="46008.725368518521" createdVersion="8" refreshedVersion="8" minRefreshableVersion="3" recordCount="456" xr:uid="{F42D871A-4FA6-4F5C-A50A-AA26A4F49739}">
  <cacheSource type="worksheet">
    <worksheetSource ref="A1:O457" sheet="recommend_content_type"/>
  </cacheSource>
  <cacheFields count="15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">
      <sharedItems containsSemiMixedTypes="0" containsString="0" containsNumber="1" containsInteger="1" minValue="53" maxValue="4941"/>
    </cacheField>
    <cacheField name="Shares" numFmtId="1">
      <sharedItems containsSemiMixedTypes="0" containsString="0" containsNumber="1" containsInteger="1" minValue="10" maxValue="983"/>
    </cacheField>
    <cacheField name="Comments" numFmtId="1">
      <sharedItems containsSemiMixedTypes="0" containsString="0" containsNumber="1" containsInteger="1" minValue="7" maxValue="500"/>
    </cacheField>
    <cacheField name="Impressions" numFmtId="1">
      <sharedItems containsSemiMixedTypes="0" containsString="0" containsNumber="1" containsInteger="1" minValue="588" maxValue="98100"/>
    </cacheField>
    <cacheField name="Reach" numFmtId="1">
      <sharedItems containsSemiMixedTypes="0" containsString="0" containsNumber="1" containsInteger="1" minValue="7" maxValue="97772"/>
    </cacheField>
    <cacheField name="Clicks" numFmtId="1">
      <sharedItems containsSemiMixedTypes="0" containsString="0" containsNumber="1" containsInteger="1" minValue="10" maxValue="300"/>
    </cacheField>
    <cacheField name="Hashtags Used" numFmtId="49">
      <sharedItems/>
    </cacheField>
    <cacheField name="Campaign_Name" numFmtId="49">
      <sharedItems/>
    </cacheField>
    <cacheField name="Audience_Resonance" numFmtId="2">
      <sharedItems containsSemiMixedTypes="0" containsString="0" containsNumber="1" minValue="5.2873614537174492E-2" maxValue="133.25"/>
    </cacheField>
    <cacheField name="Engagement_rate" numFmtId="2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s v="Reel"/>
    <s v="Explore the latest reel on Myntra! Trendy styles await."/>
    <n v="1461"/>
    <n v="184"/>
    <n v="344"/>
    <n v="21915"/>
    <n v="21675"/>
    <n v="15"/>
    <x v="0"/>
    <s v="FashionUpgrade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x v="1"/>
    <s v="EndOfSeasonSale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1"/>
    <s v="FashionUpgrade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0"/>
    <s v="FashionUpgrade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x v="0"/>
    <s v="FashionUpgrade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2"/>
    <s v="MyntraFestiveEdit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1"/>
    <s v="MyntraFestiveEdit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x v="3"/>
    <s v="EndOfSeasonSale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x v="3"/>
    <s v="MyntraFestiveEdit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1"/>
    <s v="MyntraFestiveEdit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0"/>
    <s v="MyntraFestiveEdit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1"/>
    <s v="MyntraFestiveEdit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0"/>
    <s v="MyntraFestiveEdit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x v="3"/>
    <s v="StyleRevolution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x v="2"/>
    <s v="FashionUpgrade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2"/>
    <s v="MyntraFestiveEdit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0"/>
    <s v="MyntraFestiveEdit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x v="1"/>
    <s v="StyleRevolution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0"/>
    <s v="MyntraFestiveEdit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1"/>
    <s v="MyntraFestiveEdit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1"/>
    <s v="FashionUpgrade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4"/>
    <s v="FashionUpgrade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0"/>
    <s v="MyntraFestiveEdit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4"/>
    <s v="MyntraFestiveEdit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x v="4"/>
    <s v="MyntraFestiveEdit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x v="2"/>
    <s v="EndOfSeasonSale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0"/>
    <s v="MyntraFestiveEdit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2"/>
    <s v="MyntraFestiveEdit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1"/>
    <s v="MyntraFestiveEdit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0"/>
    <s v="MyntraFestiveEdit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2"/>
    <s v="MyntraFestiveEdit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3"/>
    <s v="MyntraFestiveEdit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x v="0"/>
    <s v="StyleRevolution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x v="0"/>
    <s v="MyntraFestiveEdit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x v="3"/>
    <s v="EndOfSeasonSale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2"/>
    <s v="FashionUpgrade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0"/>
    <s v="FashionUpgrade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x v="0"/>
    <s v="EndOfSeasonSale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x v="3"/>
    <s v="StyleRevolution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0"/>
    <s v="EndOfSeasonSale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3"/>
    <s v="EndOfSeasonSale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3"/>
    <s v="MyntraFestiveEdit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1"/>
    <s v="MyntraFestiveEdit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x v="0"/>
    <s v="StyleRevolution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x v="3"/>
    <s v="StyleRevolution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3"/>
    <s v="StyleRevolution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1"/>
    <s v="StyleRevolution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1"/>
    <s v="MyntraFestiveEdit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4"/>
    <s v="MyntraFestiveEdit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3"/>
    <s v="EndOfSeasonSale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4"/>
    <s v="EndOfSeasonSale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2"/>
    <s v="MyntraFestiveEdit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0"/>
    <s v="MyntraFestiveEdit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x v="4"/>
    <s v="EndOfSeasonSale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x v="0"/>
    <s v="MyntraFestiveEdit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x v="4"/>
    <s v="StyleRevolution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4"/>
    <s v="MyntraFestiveEdit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0"/>
    <s v="MyntraFestiveEdit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2"/>
    <s v="EndOfSeasonSale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0"/>
    <s v="EndOfSeasonSale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0"/>
    <s v="MyntraFestiveEdit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4"/>
    <s v="MyntraFestiveEdit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x v="2"/>
    <s v="MyntraFestiveEdit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0"/>
    <s v="StyleRevolution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1"/>
    <s v="StyleRevolution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0"/>
    <s v="FashionUpgrade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2"/>
    <s v="FashionUpgrade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x v="4"/>
    <s v="StyleRevolution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x v="1"/>
    <s v="StyleRevolution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4"/>
    <s v="FashionUpgrade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1"/>
    <s v="FashionUpgrade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1"/>
    <s v="StyleRevolution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2"/>
    <s v="StyleRevolution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x v="2"/>
    <s v="FashionUpgrade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x v="1"/>
    <s v="FashionUpgrade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x v="0"/>
    <s v="MyntraFestiveEdit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1"/>
    <s v="MyntraFestiveEdit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0"/>
    <s v="MyntraFestiveEdit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2"/>
    <s v="StyleRevolution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3"/>
    <s v="StyleRevolution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1"/>
    <s v="EndOfSeasonSale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4"/>
    <s v="EndOfSeasonSale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0"/>
    <s v="StyleRevolution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3"/>
    <s v="StyleRevolution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2"/>
    <s v="EndOfSeasonSale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4"/>
    <s v="EndOfSeasonSale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x v="2"/>
    <s v="EndOfSeasonSale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x v="0"/>
    <s v="MyntraFestiveEdit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x v="4"/>
    <s v="FashionUpgrade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x v="2"/>
    <s v="FashionUpgrade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x v="1"/>
    <s v="FashionUpgrade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x v="4"/>
    <s v="MyntraFestiveEdit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x v="0"/>
    <s v="FashionUpgrade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4"/>
    <s v="EndOfSeasonSale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3"/>
    <s v="EndOfSeasonSale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x v="4"/>
    <s v="EndOfSeasonSale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x v="1"/>
    <s v="MyntraFestiveEdit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x v="4"/>
    <s v="FashionUpgrade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x v="1"/>
    <s v="FashionUpgrade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2"/>
    <s v="StyleRevolution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3"/>
    <s v="StyleRevolution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x v="3"/>
    <s v="FashionUpgrade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0"/>
    <s v="EndOfSeasonSale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4"/>
    <s v="EndOfSeasonSale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x v="3"/>
    <s v="StyleRevolution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x v="1"/>
    <s v="FashionUpgrade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x v="1"/>
    <s v="MyntraFestiveEdit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2"/>
    <s v="MyntraFestiveEdit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4"/>
    <s v="MyntraFestiveEdit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0"/>
    <s v="StyleRevolution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1"/>
    <s v="StyleRevolution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1"/>
    <s v="MyntraFestiveEdit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4"/>
    <s v="MyntraFestiveEdit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x v="3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0"/>
    <s v="MyntraFestiveEdit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3"/>
    <s v="MyntraFestiveEdit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4"/>
    <s v="EndOfSeasonSale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1"/>
    <s v="EndOfSeasonSale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3"/>
    <s v="MyntraFestiveEdit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0"/>
    <s v="MyntraFestiveEdit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x v="3"/>
    <s v="MyntraFestiveEdit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3"/>
    <s v="MyntraFestiveEdit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2"/>
    <s v="MyntraFestiveEdit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1"/>
    <s v="FashionUpgrade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4"/>
    <s v="FashionUpgrade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x v="1"/>
    <s v="FashionUpgrade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3"/>
    <s v="MyntraFestiveEdit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2"/>
    <s v="MyntraFestiveEdit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3"/>
    <s v="EndOfSeasonSale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0"/>
    <s v="EndOfSeasonSale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1"/>
    <s v="EndOfSeasonSale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0"/>
    <s v="EndOfSeasonSale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x v="0"/>
    <s v="EndOfSeasonSale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x v="1"/>
    <s v="EndOfSeasonSale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x v="0"/>
    <s v="EndOfSeasonSale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x v="2"/>
    <s v="StyleRevolution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3"/>
    <s v="FashionUpgrade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4"/>
    <s v="FashionUpgrade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x v="2"/>
    <s v="EndOfSeasonSale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2"/>
    <s v="EndOfSeasonSale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3"/>
    <s v="EndOfSeasonSale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x v="4"/>
    <s v="MyntraFestiveEdit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2"/>
    <s v="EndOfSeasonSale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0"/>
    <s v="EndOfSeasonSale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x v="2"/>
    <s v="MyntraFestiveEdit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x v="2"/>
    <s v="MyntraFestiveEdit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x v="2"/>
    <s v="FashionUpgrade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0"/>
    <s v="EndOfSeasonSale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2"/>
    <s v="EndOfSeasonSale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3"/>
    <s v="MyntraFestiveEdit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1"/>
    <s v="MyntraFestiveEdit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x v="3"/>
    <s v="FashionUpgrade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x v="3"/>
    <s v="StyleRevolution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2"/>
    <s v="StyleRevolution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4"/>
    <s v="StyleRevolution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x v="1"/>
    <s v="FashionUpgrade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0"/>
    <s v="MyntraFestiveEdit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2"/>
    <s v="MyntraFestiveEdit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2"/>
    <s v="FashionUpgrade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4"/>
    <s v="FashionUpgrade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1"/>
    <s v="FashionUpgrade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2"/>
    <s v="FashionUpgrade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4"/>
    <s v="EndOfSeasonSale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2"/>
    <s v="EndOfSeasonSale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1"/>
    <s v="MyntraFestiveEdit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2"/>
    <s v="MyntraFestiveEdit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1"/>
    <s v="MyntraFestiveEdit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0"/>
    <s v="MyntraFestiveEdit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x v="3"/>
    <s v="StyleRevolution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4"/>
    <s v="MyntraFestiveEdit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1"/>
    <s v="MyntraFestiveEdit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0"/>
    <s v="FashionUpgrade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2"/>
    <s v="FashionUpgrade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x v="2"/>
    <s v="FashionUpgrade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0"/>
    <s v="EndOfSeasonSale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2"/>
    <s v="EndOfSeasonSale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x v="3"/>
    <s v="EndOfSeasonSale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x v="3"/>
    <s v="StyleRevolution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0"/>
    <s v="StyleRevolution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1"/>
    <s v="StyleRevolution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4"/>
    <s v="StyleRevolution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2"/>
    <s v="StyleRevolution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1"/>
    <s v="EndOfSeasonSale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3"/>
    <s v="EndOfSeasonSale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0"/>
    <s v="EndOfSeasonSale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1"/>
    <s v="EndOfSeasonSale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x v="2"/>
    <s v="MyntraFestiveEdit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x v="2"/>
    <s v="MyntraFestiveEdit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x v="1"/>
    <s v="EndOfSeasonSale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0"/>
    <s v="FashionUpgrade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2"/>
    <s v="FashionUpgrade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x v="2"/>
    <s v="StyleRevolution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x v="4"/>
    <s v="StyleRevolution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x v="0"/>
    <s v="MyntraFestiveEdit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0"/>
    <s v="EndOfSeasonSale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1"/>
    <s v="EndOfSeasonSale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x v="1"/>
    <s v="EndOfSeasonSale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x v="0"/>
    <s v="MyntraFestiveEdit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x v="4"/>
    <s v="StyleRevolution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x v="3"/>
    <s v="MyntraFestiveEdit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0"/>
    <s v="StyleRevolution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1"/>
    <s v="StyleRevolution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x v="4"/>
    <s v="FashionUpgrade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1"/>
    <s v="StyleRevolution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3"/>
    <s v="StyleRevolution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1"/>
    <s v="EndOfSeasonSale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2"/>
    <s v="EndOfSeasonSale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x v="4"/>
    <s v="FashionUpgrade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x v="0"/>
    <s v="MyntraFestiveEdit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x v="0"/>
    <s v="StyleRevolution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1"/>
    <s v="EndOfSeasonSale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2"/>
    <s v="EndOfSeasonSale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3"/>
    <s v="FashionUpgrade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2"/>
    <s v="FashionUpgrade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4"/>
    <s v="FashionUpgrade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3"/>
    <s v="FashionUpgrade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x v="2"/>
    <s v="FashionUpgrade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0"/>
    <s v="MyntraFestiveEdit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2"/>
    <s v="MyntraFestiveEdit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x v="2"/>
    <s v="EndOfSeasonSale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x v="3"/>
    <s v="MyntraFestiveEdit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3"/>
    <s v="EndOfSeasonSale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0"/>
    <s v="EndOfSeasonSale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3"/>
    <s v="MyntraFestiveEdit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2"/>
    <s v="MyntraFestiveEdit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0"/>
    <s v="StyleRevolution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2"/>
    <s v="StyleRevolution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4"/>
    <s v="MyntraFestiveEdit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3"/>
    <s v="MyntraFestiveEdit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0"/>
    <s v="EndOfSeasonSale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1"/>
    <s v="EndOfSeasonSale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1"/>
    <s v="MyntraFestiveEdit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2"/>
    <s v="MyntraFestiveEdit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x v="3"/>
    <s v="MyntraFestiveEdit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2"/>
    <s v="StyleRevolution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3"/>
    <s v="StyleRevolution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x v="4"/>
    <s v="EndOfSeasonSale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2"/>
    <s v="EndOfSeasonSale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3"/>
    <s v="EndOfSeasonSale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x v="2"/>
    <s v="StyleRevolution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x v="0"/>
    <s v="EndOfSeasonSale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x v="3"/>
    <s v="EndOfSeasonSale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x v="1"/>
    <s v="StyleRevolution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4"/>
    <s v="EndOfSeasonSale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2"/>
    <s v="EndOfSeasonSale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3"/>
    <s v="EndOfSeasonSale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2"/>
    <s v="EndOfSeasonSale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x v="4"/>
    <s v="EndOfSeasonSale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x v="0"/>
    <s v="EndOfSeasonSale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1"/>
    <s v="StyleRevolution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3"/>
    <s v="StyleRevolution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x v="3"/>
    <s v="MyntraFestiveEdit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2"/>
    <s v="StyleRevolution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3"/>
    <s v="StyleRevolution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0"/>
    <s v="StyleRevolution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1"/>
    <s v="StyleRevolution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1"/>
    <s v="StyleRevolution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2"/>
    <s v="StyleRevolution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4"/>
    <s v="StyleRevolution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3"/>
    <s v="StyleRevolution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0"/>
    <s v="StyleRevolution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2"/>
    <s v="StyleRevolution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x v="0"/>
    <s v="FashionUpgrade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x v="1"/>
    <s v="EndOfSeasonSale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x v="4"/>
    <s v="StyleRevolution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2"/>
    <s v="StyleRevolution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4"/>
    <s v="StyleRevolution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x v="2"/>
    <s v="FashionUpgrade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2"/>
    <s v="StyleRevolution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4"/>
    <s v="StyleRevolution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x v="0"/>
    <s v="EndOfSeasonSale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x v="4"/>
    <s v="FashionUpgrade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2"/>
    <s v="EndOfSeasonSale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4"/>
    <s v="EndOfSeasonSale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x v="2"/>
    <s v="MyntraFestiveEdit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0"/>
    <s v="StyleRevolution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3"/>
    <s v="StyleRevolution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3"/>
    <s v="FashionUpgrade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2"/>
    <s v="FashionUpgrade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0"/>
    <s v="FashionUpgrade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3"/>
    <s v="FashionUpgrade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x v="0"/>
    <s v="EndOfSeasonSale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0"/>
    <s v="FashionUpgrade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2"/>
    <s v="FashionUpgrade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x v="2"/>
    <s v="FashionUpgrade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1"/>
    <s v="StyleRevolution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4"/>
    <s v="StyleRevolution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x v="4"/>
    <s v="FashionUpgrade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4"/>
    <s v="FashionUpgrade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3"/>
    <s v="FashionUpgrade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4"/>
    <s v="EndOfSeasonSale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2"/>
    <s v="EndOfSeasonSale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1"/>
    <s v="MyntraFestiveEdit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3"/>
    <s v="MyntraFestiveEdit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3"/>
    <s v="MyntraFestiveEdit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1"/>
    <s v="MyntraFestiveEdit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x v="4"/>
    <s v="EndOfSeasonSale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3"/>
    <s v="EndOfSeasonSale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0"/>
    <s v="EndOfSeasonSale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x v="4"/>
    <s v="EndOfSeasonSale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x v="3"/>
    <s v="FashionUpgrade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0"/>
    <s v="StyleRevolution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4"/>
    <s v="StyleRevolution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x v="3"/>
    <s v="EndOfSeasonSale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x v="3"/>
    <s v="StyleRevolution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4"/>
    <s v="StyleRevolution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2"/>
    <s v="StyleRevolution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2"/>
    <s v="FashionUpgrade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4"/>
    <s v="FashionUpgrade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1"/>
    <s v="EndOfSeasonSale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0"/>
    <s v="EndOfSeasonSale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2"/>
    <s v="MyntraFestiveEdit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4"/>
    <s v="MyntraFestiveEdit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3"/>
    <s v="FashionUpgrade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4"/>
    <s v="FashionUpgrade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2"/>
    <s v="FashionUpgrade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3"/>
    <s v="FashionUpgrade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3"/>
    <s v="FashionUpgrade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0"/>
    <s v="FashionUpgrade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3"/>
    <s v="FashionUpgrade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0"/>
    <s v="FashionUpgrade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x v="2"/>
    <s v="StyleRevolution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x v="0"/>
    <s v="MyntraFestiveEdit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0"/>
    <s v="FashionUpgrade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3"/>
    <s v="FashionUpgrade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x v="3"/>
    <s v="FashionUpgrade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4"/>
    <s v="MyntraFestiveEdit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1"/>
    <s v="MyntraFestiveEdit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4"/>
    <s v="FashionUpgrade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2"/>
    <s v="FashionUpgrade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2"/>
    <s v="EndOfSeasonSale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1"/>
    <s v="EndOfSeasonSale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x v="2"/>
    <s v="EndOfSeasonSale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3"/>
    <s v="StyleRevolution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1"/>
    <s v="StyleRevolution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x v="2"/>
    <s v="FashionUpgrade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x v="2"/>
    <s v="FashionUpgrade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x v="0"/>
    <s v="MyntraFestiveEdit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4"/>
    <s v="MyntraFestiveEdit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0"/>
    <s v="MyntraFestiveEdit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x v="0"/>
    <s v="EndOfSeasonSale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3"/>
    <s v="EndOfSeasonSale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4"/>
    <s v="EndOfSeasonSale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3"/>
    <s v="StyleRevolution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0"/>
    <s v="StyleRevolution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x v="3"/>
    <s v="EndOfSeasonSale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x v="0"/>
    <s v="FashionUpgrade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x v="4"/>
    <s v="MyntraFestiveEdit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1"/>
    <s v="StyleRevolution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3"/>
    <s v="StyleRevolution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4"/>
    <s v="EndOfSeasonSale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3"/>
    <s v="EndOfSeasonSale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1"/>
    <s v="EndOfSeasonSale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4"/>
    <s v="EndOfSeasonSale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2"/>
    <s v="StyleRevolution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3"/>
    <s v="StyleRevolution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x v="2"/>
    <s v="FashionUpgrade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0"/>
    <s v="StyleRevolution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3"/>
    <s v="StyleRevolution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3"/>
    <s v="FashionUpgrade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1"/>
    <s v="FashionUpgrade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x v="2"/>
    <s v="EndOfSeasonSale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x v="1"/>
    <s v="MyntraFestiveEdit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0"/>
    <s v="MyntraFestiveEdit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1"/>
    <s v="MyntraFestiveEdit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x v="4"/>
    <s v="StyleRevolution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x v="2"/>
    <s v="EndOfSeasonSale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2"/>
    <s v="FashionUpgrade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4"/>
    <s v="FashionUpgrade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x v="1"/>
    <s v="EndOfSeasonSale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0"/>
    <s v="EndOfSeasonSale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3"/>
    <s v="EndOfSeasonSale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3"/>
    <s v="StyleRevolution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1"/>
    <s v="StyleRevolution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x v="0"/>
    <s v="MyntraFestiveEdit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x v="2"/>
    <s v="EndOfSeasonSale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4"/>
    <s v="FashionUpgrade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3"/>
    <s v="FashionUpgrade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4"/>
    <s v="MyntraFestiveEdit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1"/>
    <s v="MyntraFestiveEdit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2"/>
    <s v="FashionUpgrade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0"/>
    <s v="FashionUpgrade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2"/>
    <s v="FashionUpgrade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4"/>
    <s v="FashionUpgrade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4"/>
    <s v="StyleRevolution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3"/>
    <s v="StyleRevolution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2"/>
    <s v="FashionUpgrade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4"/>
    <s v="FashionUpgrade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4"/>
    <s v="StyleRevolution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0"/>
    <s v="StyleRevolution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4"/>
    <s v="StyleRevolution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2"/>
    <s v="StyleRevolution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x v="2"/>
    <s v="EndOfSeasonSale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4"/>
    <s v="StyleRevolution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0"/>
    <s v="StyleRevolution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x v="1"/>
    <s v="MyntraFestiveEdit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x v="0"/>
    <s v="EndOfSeasonSale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0"/>
    <s v="MyntraFestiveEdit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2"/>
    <s v="MyntraFestiveEdit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x v="3"/>
    <s v="FashionUpgrade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x v="3"/>
    <s v="StyleRevolution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2"/>
    <s v="FashionUpgrade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0"/>
    <s v="FashionUpgrade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0"/>
    <s v="MyntraFestiveEdit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2"/>
    <s v="MyntraFestiveEdit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x v="2"/>
    <s v="StyleRevolution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2"/>
    <s v="FashionUpgrade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1"/>
    <s v="FashionUpgrade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x v="2"/>
    <s v="EndOfSeasonSale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x v="4"/>
    <s v="MyntraFestiveEdit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x v="4"/>
    <s v="MyntraFestiveEdit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x v="0"/>
    <s v="EndOfSeasonSale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x v="3"/>
    <s v="EndOfSeasonSale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3"/>
    <s v="EndOfSeasonSale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2"/>
    <s v="EndOfSeasonSale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1"/>
    <s v="StyleRevolution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4"/>
    <s v="StyleRevolution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x v="1"/>
    <s v="EndOfSeasonSale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3"/>
    <s v="StyleRevolution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0"/>
    <s v="StyleRevolution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x v="3"/>
    <s v="FashionUpgrade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x v="3"/>
    <s v="StyleRevolution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x v="2"/>
    <s v="StyleRevolution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1"/>
    <s v="EndOfSeasonSale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2"/>
    <s v="EndOfSeasonSale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x v="0"/>
    <s v="FashionUpgrade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3"/>
    <s v="MyntraFestiveEdit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1"/>
    <s v="MyntraFestiveEdit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x v="4"/>
    <s v="EndOfSeasonSale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4"/>
    <s v="FashionUpgrade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2"/>
    <s v="FashionUpgrade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1"/>
    <s v="EndOfSeasonSale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0"/>
    <s v="EndOfSeasonSale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1"/>
    <s v="MyntraFestiveEdit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3"/>
    <s v="MyntraFestiveEdit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1"/>
    <s v="MyntraFestiveEdit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4"/>
    <s v="MyntraFestiveEdit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3"/>
    <s v="EndOfSeasonSale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2"/>
    <s v="EndOfSeasonSale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x v="3"/>
    <s v="MyntraFestiveEdit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x v="1"/>
    <s v="EndOfSeasonSale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x v="0"/>
    <s v="EndOfSeasonSale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x v="2"/>
    <s v="MyntraFestiveEdit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3"/>
    <s v="StyleRevolution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1"/>
    <s v="StyleRevolution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0"/>
    <s v="MyntraFestiveEdit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1"/>
    <s v="MyntraFestiveEdit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1"/>
    <s v="FashionUpgrade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4"/>
    <s v="FashionUpgrade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2"/>
    <s v="FashionUpgrade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3"/>
    <s v="FashionUpgrade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0"/>
    <s v="EndOfSeasonSale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2"/>
    <s v="EndOfSeasonSale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x v="1"/>
    <s v="FashionUpgra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s v="Reel"/>
    <s v="Explore the latest reel on Myntra! Trendy styles await."/>
    <n v="1461"/>
    <n v="184"/>
    <n v="344"/>
    <n v="21915"/>
    <n v="21675"/>
    <n v="15"/>
    <x v="0"/>
    <s v="FashionUpgrade"/>
    <n v="9.1764705882352943E-2"/>
  </r>
  <r>
    <s v="P002"/>
    <s v="Twitter"/>
    <d v="2025-04-03T00:00:00"/>
    <s v="Text"/>
    <s v="Explore the latest text on Myntra! Trendy styles await."/>
    <n v="4054"/>
    <n v="389"/>
    <n v="493"/>
    <n v="64864"/>
    <n v="64383"/>
    <n v="117"/>
    <x v="1"/>
    <s v="EndOfSeasonSale"/>
    <n v="7.6666200705155091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1"/>
    <s v="FashionUpgrade"/>
    <n v="5.6378687364979828E-2"/>
  </r>
  <r>
    <s v="P003"/>
    <s v="Youtube"/>
    <d v="2025-05-12T00:00:00"/>
    <s v="Reel"/>
    <s v="Explore the latest reel on Myntra! Trendy styles await."/>
    <n v="2795"/>
    <n v="105"/>
    <n v="49"/>
    <n v="53105"/>
    <n v="52307"/>
    <n v="204"/>
    <x v="0"/>
    <s v="FashionUpgrade"/>
    <n v="5.6378687364979828E-2"/>
  </r>
  <r>
    <s v="P004"/>
    <s v="Instagram"/>
    <d v="2024-08-12T00:00:00"/>
    <s v="Story"/>
    <s v="Explore the latest story on Myntra! Trendy styles await."/>
    <n v="2404"/>
    <n v="363"/>
    <n v="138"/>
    <n v="19232"/>
    <n v="18636"/>
    <n v="128"/>
    <x v="0"/>
    <s v="FashionUpgrade"/>
    <n v="0.15588109036273878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2"/>
    <s v="MyntraFestiveEdit"/>
    <n v="6.6024525820002553E-2"/>
  </r>
  <r>
    <s v="P005"/>
    <s v="Youtube"/>
    <d v="2024-06-26T00:00:00"/>
    <s v="Reel"/>
    <s v="Explore the latest reel on Myntra! Trendy styles await."/>
    <n v="3557"/>
    <n v="687"/>
    <n v="424"/>
    <n v="71140"/>
    <n v="70701"/>
    <n v="224"/>
    <x v="1"/>
    <s v="MyntraFestiveEdit"/>
    <n v="6.6024525820002553E-2"/>
  </r>
  <r>
    <s v="P006"/>
    <s v="Facebook"/>
    <d v="2024-10-31T00:00:00"/>
    <s v="Carousel"/>
    <s v="Explore the latest carousel on Myntra! Trendy styles await."/>
    <n v="2945"/>
    <n v="930"/>
    <n v="355"/>
    <n v="23560"/>
    <n v="23275"/>
    <n v="256"/>
    <x v="3"/>
    <s v="EndOfSeasonSale"/>
    <n v="0.18174006444683136"/>
  </r>
  <r>
    <s v="P007"/>
    <s v="Twitter"/>
    <d v="2024-06-24T00:00:00"/>
    <s v="Carousel"/>
    <s v="Explore the latest carousel on Myntra! Trendy styles await."/>
    <n v="3860"/>
    <n v="201"/>
    <n v="279"/>
    <n v="61760"/>
    <n v="61660"/>
    <n v="235"/>
    <x v="3"/>
    <s v="MyntraFestiveEdit"/>
    <n v="7.0385987674343176E-2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1"/>
    <s v="MyntraFestiveEdit"/>
    <n v="0.10431595901122756"/>
  </r>
  <r>
    <s v="P008"/>
    <s v="Youtube"/>
    <d v="2024-07-13T00:00:00"/>
    <s v="Image"/>
    <s v="Explore the latest image on Myntra! Trendy styles await."/>
    <n v="3929"/>
    <n v="262"/>
    <n v="278"/>
    <n v="43219"/>
    <n v="42841"/>
    <n v="39"/>
    <x v="0"/>
    <s v="MyntraFestiveEdit"/>
    <n v="0.10431595901122756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1"/>
    <s v="MyntraFestiveEdit"/>
    <n v="8.8671174768826647E-2"/>
  </r>
  <r>
    <s v="P009"/>
    <s v="Facebook"/>
    <d v="2024-08-30T00:00:00"/>
    <s v="Text"/>
    <s v="Explore the latest text on Myntra! Trendy styles await."/>
    <n v="3784"/>
    <n v="808"/>
    <n v="404"/>
    <n v="56760"/>
    <n v="56343"/>
    <n v="131"/>
    <x v="0"/>
    <s v="MyntraFestiveEdit"/>
    <n v="8.8671174768826647E-2"/>
  </r>
  <r>
    <s v="P010"/>
    <s v="Facebook"/>
    <d v="2025-03-11T00:00:00"/>
    <s v="Image"/>
    <s v="Explore the latest image on Myntra! Trendy styles await."/>
    <n v="4241"/>
    <n v="902"/>
    <n v="47"/>
    <n v="72097"/>
    <n v="71598"/>
    <n v="167"/>
    <x v="3"/>
    <s v="StyleRevolution"/>
    <n v="7.2488058325651555E-2"/>
  </r>
  <r>
    <s v="P011"/>
    <s v="Instagram"/>
    <d v="2025-02-02T00:00:00"/>
    <s v="Story"/>
    <s v="Explore the latest story on Myntra! Trendy styles await."/>
    <n v="1792"/>
    <n v="614"/>
    <n v="497"/>
    <n v="25088"/>
    <n v="24675"/>
    <n v="65"/>
    <x v="2"/>
    <s v="FashionUpgrade"/>
    <n v="0.11764944275582573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2"/>
    <s v="MyntraFestiveEdit"/>
    <n v="0.13092855278043686"/>
  </r>
  <r>
    <s v="P012"/>
    <s v="Facebook"/>
    <d v="2024-07-21T00:00:00"/>
    <s v="Reel"/>
    <s v="Explore the latest reel on Myntra! Trendy styles await."/>
    <n v="1946"/>
    <n v="686"/>
    <n v="377"/>
    <n v="23352"/>
    <n v="22982"/>
    <n v="213"/>
    <x v="0"/>
    <s v="MyntraFestiveEdit"/>
    <n v="0.13092855278043686"/>
  </r>
  <r>
    <s v="P013"/>
    <s v="Youtube"/>
    <d v="2024-11-18T00:00:00"/>
    <s v="Carousel"/>
    <s v="Explore the latest carousel on Myntra! Trendy styles await."/>
    <n v="1171"/>
    <n v="286"/>
    <n v="231"/>
    <n v="22249"/>
    <n v="21282"/>
    <n v="114"/>
    <x v="1"/>
    <s v="StyleRevolution"/>
    <n v="7.9315853773141626E-2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0"/>
    <s v="MyntraFestiveEdit"/>
    <n v="0.14579018992958998"/>
  </r>
  <r>
    <s v="P014"/>
    <s v="Facebook"/>
    <d v="2025-02-16T00:00:00"/>
    <s v="Story"/>
    <s v="Explore the latest story on Myntra! Trendy styles await."/>
    <n v="4242"/>
    <n v="555"/>
    <n v="131"/>
    <n v="33936"/>
    <n v="33802"/>
    <n v="265"/>
    <x v="1"/>
    <s v="MyntraFestiveEdit"/>
    <n v="0.14579018992958998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1"/>
    <s v="FashionUpgrade"/>
    <n v="5.9870151748804543E-2"/>
  </r>
  <r>
    <s v="P015"/>
    <s v="Facebook"/>
    <d v="2024-10-24T00:00:00"/>
    <s v="Video"/>
    <s v="Explore the latest video on Myntra! Trendy styles await."/>
    <n v="3888"/>
    <n v="604"/>
    <n v="128"/>
    <n v="77760"/>
    <n v="77167"/>
    <n v="20"/>
    <x v="4"/>
    <s v="FashionUpgrade"/>
    <n v="5.9870151748804543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0"/>
    <s v="MyntraFestiveEdit"/>
    <n v="7.6059918293236495E-2"/>
  </r>
  <r>
    <s v="P016"/>
    <s v="Facebook"/>
    <d v="2024-08-26T00:00:00"/>
    <s v="Text"/>
    <s v="Explore the latest text on Myntra! Trendy styles await."/>
    <n v="3452"/>
    <n v="377"/>
    <n v="360"/>
    <n v="55232"/>
    <n v="55075"/>
    <n v="87"/>
    <x v="4"/>
    <s v="MyntraFestiveEdit"/>
    <n v="7.6059918293236495E-2"/>
  </r>
  <r>
    <s v="P017"/>
    <s v="Facebook"/>
    <d v="2025-05-05T00:00:00"/>
    <s v="Text"/>
    <s v="Explore the latest text on Myntra! Trendy styles await."/>
    <n v="4441"/>
    <n v="511"/>
    <n v="70"/>
    <n v="53292"/>
    <n v="53082"/>
    <n v="159"/>
    <x v="4"/>
    <s v="MyntraFestiveEdit"/>
    <n v="9.4608341810783314E-2"/>
  </r>
  <r>
    <s v="P018"/>
    <s v="Instagram"/>
    <d v="2024-08-19T00:00:00"/>
    <s v="Reel"/>
    <s v="Explore the latest reel on Myntra! Trendy styles await."/>
    <n v="3000"/>
    <n v="382"/>
    <n v="325"/>
    <n v="36000"/>
    <n v="35819"/>
    <n v="19"/>
    <x v="2"/>
    <s v="EndOfSeasonSale"/>
    <n v="0.10349255981462352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0"/>
    <s v="MyntraFestiveEdit"/>
    <n v="0.10160731169240467"/>
  </r>
  <r>
    <s v="P019"/>
    <s v="Instagram"/>
    <d v="2024-06-23T00:00:00"/>
    <s v="Video"/>
    <s v="Explore the latest video on Myntra! Trendy styles await."/>
    <n v="1071"/>
    <n v="519"/>
    <n v="22"/>
    <n v="16065"/>
    <n v="15865"/>
    <n v="103"/>
    <x v="2"/>
    <s v="MyntraFestiveEdit"/>
    <n v="0.10160731169240467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1"/>
    <s v="MyntraFestiveEdit"/>
    <n v="6.3929969693422309E-2"/>
  </r>
  <r>
    <s v="P020"/>
    <s v="Instagram"/>
    <d v="2024-09-09T00:00:00"/>
    <s v="Carousel"/>
    <s v="Explore the latest carousel on Myntra! Trendy styles await."/>
    <n v="4054"/>
    <n v="488"/>
    <n v="373"/>
    <n v="77026"/>
    <n v="76881"/>
    <n v="25"/>
    <x v="0"/>
    <s v="MyntraFestiveEdit"/>
    <n v="6.3929969693422309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2"/>
    <s v="MyntraFestiveEdit"/>
    <n v="7.7435217415326815E-2"/>
  </r>
  <r>
    <s v="P021"/>
    <s v="Instagram"/>
    <d v="2025-01-04T00:00:00"/>
    <s v="Reel"/>
    <s v="Explore the latest reel on Myntra! Trendy styles await."/>
    <n v="4838"/>
    <n v="640"/>
    <n v="128"/>
    <n v="72570"/>
    <n v="72396"/>
    <n v="83"/>
    <x v="3"/>
    <s v="MyntraFestiveEdit"/>
    <n v="7.7435217415326815E-2"/>
  </r>
  <r>
    <s v="P022"/>
    <s v="Facebook"/>
    <d v="2025-02-27T00:00:00"/>
    <s v="Text"/>
    <s v="Explore the latest text on Myntra! Trendy styles await."/>
    <n v="1570"/>
    <n v="187"/>
    <n v="260"/>
    <n v="25120"/>
    <n v="24613"/>
    <n v="133"/>
    <x v="0"/>
    <s v="StyleRevolution"/>
    <n v="8.1948563767114943E-2"/>
  </r>
  <r>
    <s v="P023"/>
    <s v="Facebook"/>
    <d v="2024-11-06T00:00:00"/>
    <s v="Video"/>
    <s v="Explore the latest video on Myntra! Trendy styles await."/>
    <n v="1606"/>
    <n v="547"/>
    <n v="316"/>
    <n v="32120"/>
    <n v="31736"/>
    <n v="225"/>
    <x v="0"/>
    <s v="MyntraFestiveEdit"/>
    <n v="7.7798084194605502E-2"/>
  </r>
  <r>
    <s v="P024"/>
    <s v="Facebook"/>
    <d v="2025-01-23T00:00:00"/>
    <s v="Video"/>
    <s v="Explore the latest video on Myntra! Trendy styles await."/>
    <n v="3961"/>
    <n v="761"/>
    <n v="131"/>
    <n v="67337"/>
    <n v="66615"/>
    <n v="161"/>
    <x v="3"/>
    <s v="EndOfSeasonSale"/>
    <n v="7.2851459881408093E-2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2"/>
    <s v="FashionUpgrade"/>
    <n v="5.9747896319826972E-2"/>
  </r>
  <r>
    <s v="P025"/>
    <s v="Twitter"/>
    <d v="2025-04-10T00:00:00"/>
    <s v="Carousel"/>
    <s v="Explore the latest carousel on Myntra! Trendy styles await."/>
    <n v="3128"/>
    <n v="211"/>
    <n v="197"/>
    <n v="59432"/>
    <n v="59182"/>
    <n v="238"/>
    <x v="0"/>
    <s v="FashionUpgrade"/>
    <n v="5.9747896319826972E-2"/>
  </r>
  <r>
    <s v="P026"/>
    <s v="Youtube"/>
    <d v="2025-04-05T00:00:00"/>
    <s v="Reel"/>
    <s v="Explore the latest reel on Myntra! Trendy styles await."/>
    <n v="3009"/>
    <n v="413"/>
    <n v="358"/>
    <n v="42126"/>
    <n v="41309"/>
    <n v="211"/>
    <x v="0"/>
    <s v="EndOfSeasonSale"/>
    <n v="9.1505483066644078E-2"/>
  </r>
  <r>
    <s v="P027"/>
    <s v="Youtube"/>
    <d v="2024-09-17T00:00:00"/>
    <s v="Text"/>
    <s v="Explore the latest text on Myntra! Trendy styles await."/>
    <n v="2076"/>
    <n v="195"/>
    <n v="104"/>
    <n v="33216"/>
    <n v="32244"/>
    <n v="51"/>
    <x v="3"/>
    <s v="StyleRevolution"/>
    <n v="7.3657114501922832E-2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0"/>
    <s v="EndOfSeasonSale"/>
    <n v="0.18836874900143794"/>
  </r>
  <r>
    <s v="P028"/>
    <s v="Instagram"/>
    <d v="2025-03-04T00:00:00"/>
    <s v="Video"/>
    <s v="Explore the latest video on Myntra! Trendy styles await."/>
    <n v="432"/>
    <n v="624"/>
    <n v="123"/>
    <n v="6912"/>
    <n v="6259"/>
    <n v="79"/>
    <x v="3"/>
    <s v="EndOfSeasonSale"/>
    <n v="0.18836874900143794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3"/>
    <s v="MyntraFestiveEdit"/>
    <n v="0.22186888454011741"/>
  </r>
  <r>
    <s v="P029"/>
    <s v="Instagram"/>
    <d v="2025-01-31T00:00:00"/>
    <s v="Carousel"/>
    <s v="Explore the latest carousel on Myntra! Trendy styles await."/>
    <n v="2566"/>
    <n v="118"/>
    <n v="37"/>
    <n v="12830"/>
    <n v="12264"/>
    <n v="221"/>
    <x v="1"/>
    <s v="MyntraFestiveEdit"/>
    <n v="0.22186888454011741"/>
  </r>
  <r>
    <s v="P030"/>
    <s v="Instagram"/>
    <d v="2025-02-25T00:00:00"/>
    <s v="Video"/>
    <s v="Explore the latest video on Myntra! Trendy styles await."/>
    <n v="3095"/>
    <n v="39"/>
    <n v="78"/>
    <n v="55710"/>
    <n v="54808"/>
    <n v="93"/>
    <x v="0"/>
    <s v="StyleRevolution"/>
    <n v="5.8604583272514964E-2"/>
  </r>
  <r>
    <s v="P031"/>
    <s v="Instagram"/>
    <d v="2024-12-16T00:00:00"/>
    <s v="Text"/>
    <s v="Explore the latest text on Myntra! Trendy styles await."/>
    <n v="438"/>
    <n v="153"/>
    <n v="275"/>
    <n v="3066"/>
    <n v="2701"/>
    <n v="282"/>
    <x v="3"/>
    <s v="StyleRevolution"/>
    <n v="0.32062199185486856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3"/>
    <s v="StyleRevolution"/>
    <n v="0.20582202587567056"/>
  </r>
  <r>
    <s v="P032"/>
    <s v="Twitter"/>
    <d v="2024-07-31T00:00:00"/>
    <s v="Carousel"/>
    <s v="Explore the latest carousel on Myntra! Trendy styles await."/>
    <n v="2278"/>
    <n v="10"/>
    <n v="321"/>
    <n v="13668"/>
    <n v="12676"/>
    <n v="275"/>
    <x v="1"/>
    <s v="StyleRevolution"/>
    <n v="0.20582202587567056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1"/>
    <s v="MyntraFestiveEdit"/>
    <n v="0.13526388366553843"/>
  </r>
  <r>
    <s v="P033"/>
    <s v="Facebook"/>
    <d v="2024-08-21T00:00:00"/>
    <s v="Image"/>
    <s v="Explore the latest image on Myntra! Trendy styles await."/>
    <n v="1407"/>
    <n v="400"/>
    <n v="351"/>
    <n v="16884"/>
    <n v="15954"/>
    <n v="113"/>
    <x v="4"/>
    <s v="MyntraFestiveEdit"/>
    <n v="0.13526388366553843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3"/>
    <s v="EndOfSeasonSale"/>
    <n v="7.2920649264884785E-2"/>
  </r>
  <r>
    <s v="P034"/>
    <s v="Facebook"/>
    <d v="2025-03-26T00:00:00"/>
    <s v="Text"/>
    <s v="Explore the latest text on Myntra! Trendy styles await."/>
    <n v="1652"/>
    <n v="89"/>
    <n v="357"/>
    <n v="29736"/>
    <n v="28771"/>
    <n v="215"/>
    <x v="4"/>
    <s v="EndOfSeasonSale"/>
    <n v="7.2920649264884785E-2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2"/>
    <s v="MyntraFestiveEdit"/>
    <n v="0.12098468928249775"/>
  </r>
  <r>
    <s v="P035"/>
    <s v="Instagram"/>
    <d v="2024-11-30T00:00:00"/>
    <s v="Video"/>
    <s v="Explore the latest video on Myntra! Trendy styles await."/>
    <n v="3775"/>
    <n v="16"/>
    <n v="239"/>
    <n v="33975"/>
    <n v="33310"/>
    <n v="271"/>
    <x v="0"/>
    <s v="MyntraFestiveEdit"/>
    <n v="0.12098468928249775"/>
  </r>
  <r>
    <s v="P036"/>
    <s v="Instagram"/>
    <d v="2025-04-19T00:00:00"/>
    <s v="Story"/>
    <s v="Explore the latest story on Myntra! Trendy styles await."/>
    <n v="4518"/>
    <n v="285"/>
    <n v="383"/>
    <n v="67770"/>
    <n v="67621"/>
    <n v="31"/>
    <x v="4"/>
    <s v="EndOfSeasonSale"/>
    <n v="7.6692151846319931E-2"/>
  </r>
  <r>
    <s v="P037"/>
    <s v="Facebook"/>
    <d v="2025-01-06T00:00:00"/>
    <s v="Carousel"/>
    <s v="Explore the latest carousel on Myntra! Trendy styles await."/>
    <n v="3024"/>
    <n v="925"/>
    <n v="350"/>
    <n v="24192"/>
    <n v="23518"/>
    <n v="36"/>
    <x v="0"/>
    <s v="MyntraFestiveEdit"/>
    <n v="0.18279615613572583"/>
  </r>
  <r>
    <s v="P038"/>
    <s v="Youtube"/>
    <d v="2025-02-17T00:00:00"/>
    <s v="Reel"/>
    <s v="Explore the latest reel on Myntra! Trendy styles await."/>
    <n v="3138"/>
    <n v="123"/>
    <n v="291"/>
    <n v="28242"/>
    <n v="27550"/>
    <n v="87"/>
    <x v="4"/>
    <s v="StyleRevolution"/>
    <n v="0.12892921960072595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4"/>
    <s v="MyntraFestiveEdit"/>
    <n v="7.3288946282724268E-2"/>
  </r>
  <r>
    <s v="P039"/>
    <s v="Facebook"/>
    <d v="2024-11-25T00:00:00"/>
    <s v="Image"/>
    <s v="Explore the latest image on Myntra! Trendy styles await."/>
    <n v="3564"/>
    <n v="629"/>
    <n v="177"/>
    <n v="60588"/>
    <n v="59627"/>
    <n v="92"/>
    <x v="0"/>
    <s v="MyntraFestiveEdit"/>
    <n v="7.3288946282724268E-2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2"/>
    <s v="EndOfSeasonSale"/>
    <n v="0.14066469093988146"/>
  </r>
  <r>
    <s v="P040"/>
    <s v="Twitter"/>
    <d v="2025-03-07T00:00:00"/>
    <s v="Image"/>
    <s v="Explore the latest image on Myntra! Trendy styles await."/>
    <n v="4750"/>
    <n v="151"/>
    <n v="415"/>
    <n v="38000"/>
    <n v="37792"/>
    <n v="299"/>
    <x v="0"/>
    <s v="EndOfSeasonSale"/>
    <n v="0.14066469093988146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0"/>
    <s v="MyntraFestiveEdit"/>
    <n v="0.20509692286837466"/>
  </r>
  <r>
    <s v="P041"/>
    <s v="Instagram"/>
    <d v="2025-03-08T00:00:00"/>
    <s v="Reel"/>
    <s v="Explore the latest reel on Myntra! Trendy styles await."/>
    <n v="456"/>
    <n v="629"/>
    <n v="428"/>
    <n v="8208"/>
    <n v="7377"/>
    <n v="205"/>
    <x v="4"/>
    <s v="MyntraFestiveEdit"/>
    <n v="0.20509692286837466"/>
  </r>
  <r>
    <s v="P042"/>
    <s v="Youtube"/>
    <d v="2025-03-05T00:00:00"/>
    <s v="Reel"/>
    <s v="Explore the latest reel on Myntra! Trendy styles await."/>
    <n v="1543"/>
    <n v="820"/>
    <n v="333"/>
    <n v="12344"/>
    <n v="11496"/>
    <n v="241"/>
    <x v="2"/>
    <s v="MyntraFestiveEdit"/>
    <n v="0.23451635351426584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0"/>
    <s v="StyleRevolution"/>
    <n v="0.23324594461740128"/>
  </r>
  <r>
    <s v="P043"/>
    <s v="Instagram"/>
    <d v="2024-12-14T00:00:00"/>
    <s v="Carousel"/>
    <s v="Explore the latest carousel on Myntra! Trendy styles await."/>
    <n v="2174"/>
    <n v="658"/>
    <n v="15"/>
    <n v="13044"/>
    <n v="12206"/>
    <n v="137"/>
    <x v="1"/>
    <s v="StyleRevolution"/>
    <n v="0.23324594461740128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0"/>
    <s v="FashionUpgrade"/>
    <n v="0.10111675126903553"/>
  </r>
  <r>
    <s v="P044"/>
    <s v="Twitter"/>
    <d v="2025-03-02T00:00:00"/>
    <s v="Image"/>
    <s v="Explore the latest image on Myntra! Trendy styles await."/>
    <n v="2358"/>
    <n v="784"/>
    <n v="344"/>
    <n v="35370"/>
    <n v="34475"/>
    <n v="216"/>
    <x v="2"/>
    <s v="FashionUpgrade"/>
    <n v="0.10111675126903553"/>
  </r>
  <r>
    <s v="P045"/>
    <s v="Facebook"/>
    <d v="2024-11-01T00:00:00"/>
    <s v="Video"/>
    <s v="Explore the latest video on Myntra! Trendy styles await."/>
    <n v="3371"/>
    <n v="106"/>
    <n v="327"/>
    <n v="50565"/>
    <n v="49816"/>
    <n v="176"/>
    <x v="4"/>
    <s v="StyleRevolution"/>
    <n v="7.636100851132166E-2"/>
  </r>
  <r>
    <s v="P046"/>
    <s v="Twitter"/>
    <d v="2025-05-02T00:00:00"/>
    <s v="Video"/>
    <s v="Explore the latest video on Myntra! Trendy styles await."/>
    <n v="1108"/>
    <n v="177"/>
    <n v="212"/>
    <n v="8864"/>
    <n v="8710"/>
    <n v="97"/>
    <x v="1"/>
    <s v="StyleRevolution"/>
    <n v="0.17187141216991964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4"/>
    <s v="FashionUpgrade"/>
    <n v="0.17357637552904964"/>
  </r>
  <r>
    <s v="P047"/>
    <s v="Twitter"/>
    <d v="2025-02-24T00:00:00"/>
    <s v="Carousel"/>
    <s v="Explore the latest carousel on Myntra! Trendy styles await."/>
    <n v="2704"/>
    <n v="752"/>
    <n v="153"/>
    <n v="21632"/>
    <n v="20792"/>
    <n v="127"/>
    <x v="1"/>
    <s v="FashionUpgrade"/>
    <n v="0.17357637552904964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1"/>
    <s v="StyleRevolution"/>
    <n v="7.5071680635200699E-2"/>
  </r>
  <r>
    <s v="P048"/>
    <s v="Twitter"/>
    <d v="2025-03-11T00:00:00"/>
    <s v="Story"/>
    <s v="Explore the latest story on Myntra! Trendy styles await."/>
    <n v="1950"/>
    <n v="295"/>
    <n v="478"/>
    <n v="37050"/>
    <n v="36272"/>
    <n v="119"/>
    <x v="2"/>
    <s v="StyleRevolution"/>
    <n v="7.5071680635200699E-2"/>
  </r>
  <r>
    <s v="P049"/>
    <s v="Twitter"/>
    <d v="2024-06-10T00:00:00"/>
    <s v="Story"/>
    <s v="Explore the latest story on Myntra! Trendy styles await."/>
    <n v="2164"/>
    <n v="549"/>
    <n v="274"/>
    <n v="28132"/>
    <n v="27361"/>
    <n v="177"/>
    <x v="2"/>
    <s v="FashionUpgrade"/>
    <n v="0.10916998647710245"/>
  </r>
  <r>
    <s v="P050"/>
    <s v="Youtube"/>
    <d v="2024-07-03T00:00:00"/>
    <s v="Story"/>
    <s v="Explore the latest story on Myntra! Trendy styles await."/>
    <n v="2754"/>
    <n v="130"/>
    <n v="90"/>
    <n v="22032"/>
    <n v="21288"/>
    <n v="112"/>
    <x v="1"/>
    <s v="FashionUpgrade"/>
    <n v="0.13970311912814731"/>
  </r>
  <r>
    <s v="P051"/>
    <s v="Facebook"/>
    <d v="2024-06-13T00:00:00"/>
    <s v="Carousel"/>
    <s v="Explore the latest carousel on Myntra! Trendy styles await."/>
    <n v="2200"/>
    <n v="504"/>
    <n v="239"/>
    <n v="37400"/>
    <n v="36938"/>
    <n v="225"/>
    <x v="0"/>
    <s v="MyntraFestiveEdit"/>
    <n v="7.967404840543614E-2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1"/>
    <s v="MyntraFestiveEdit"/>
    <n v="0.16803699897225077"/>
  </r>
  <r>
    <s v="P052"/>
    <s v="Facebook"/>
    <d v="2025-01-03T00:00:00"/>
    <s v="Image"/>
    <s v="Explore the latest image on Myntra! Trendy styles await."/>
    <n v="947"/>
    <n v="338"/>
    <n v="350"/>
    <n v="10417"/>
    <n v="9730"/>
    <n v="34"/>
    <x v="0"/>
    <s v="MyntraFestiveEdit"/>
    <n v="0.16803699897225077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2"/>
    <s v="StyleRevolution"/>
    <n v="0.47264631043256999"/>
  </r>
  <r>
    <s v="P053"/>
    <s v="Youtube"/>
    <d v="2025-02-24T00:00:00"/>
    <s v="Carousel"/>
    <s v="Explore the latest carousel on Myntra! Trendy styles await."/>
    <n v="804"/>
    <n v="639"/>
    <n v="43"/>
    <n v="4020"/>
    <n v="3144"/>
    <n v="11"/>
    <x v="3"/>
    <s v="StyleRevolution"/>
    <n v="0.47264631043256999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1"/>
    <s v="EndOfSeasonSale"/>
    <n v="0.16851026360684607"/>
  </r>
  <r>
    <s v="P054"/>
    <s v="Youtube"/>
    <d v="2025-03-13T00:00:00"/>
    <s v="Carousel"/>
    <s v="Explore the latest carousel on Myntra! Trendy styles await."/>
    <n v="1686"/>
    <n v="904"/>
    <n v="472"/>
    <n v="18546"/>
    <n v="18171"/>
    <n v="52"/>
    <x v="4"/>
    <s v="EndOfSeasonSale"/>
    <n v="0.16851026360684607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0"/>
    <s v="StyleRevolution"/>
    <n v="9.6234607445369783E-2"/>
  </r>
  <r>
    <s v="P055"/>
    <s v="Facebook"/>
    <d v="2024-06-17T00:00:00"/>
    <s v="Image"/>
    <s v="Explore the latest image on Myntra! Trendy styles await."/>
    <n v="1226"/>
    <n v="119"/>
    <n v="7"/>
    <n v="14712"/>
    <n v="14049"/>
    <n v="123"/>
    <x v="3"/>
    <s v="StyleRevolution"/>
    <n v="9.6234607445369783E-2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2"/>
    <s v="EndOfSeasonSale"/>
    <n v="0.13359273670557717"/>
  </r>
  <r>
    <s v="P056"/>
    <s v="Facebook"/>
    <d v="2024-12-18T00:00:00"/>
    <s v="Carousel"/>
    <s v="Explore the latest carousel on Myntra! Trendy styles await."/>
    <n v="2946"/>
    <n v="498"/>
    <n v="367"/>
    <n v="29460"/>
    <n v="28527"/>
    <n v="60"/>
    <x v="4"/>
    <s v="EndOfSeasonSale"/>
    <n v="0.13359273670557717"/>
  </r>
  <r>
    <s v="P057"/>
    <s v="Twitter"/>
    <d v="2024-10-21T00:00:00"/>
    <s v="Video"/>
    <s v="Explore the latest video on Myntra! Trendy styles await."/>
    <n v="2825"/>
    <n v="535"/>
    <n v="295"/>
    <n v="45200"/>
    <n v="44739"/>
    <n v="169"/>
    <x v="2"/>
    <s v="EndOfSeasonSale"/>
    <n v="8.1696059366548196E-2"/>
  </r>
  <r>
    <s v="P058"/>
    <s v="Instagram"/>
    <d v="2025-04-15T00:00:00"/>
    <s v="Reel"/>
    <s v="Explore the latest reel on Myntra! Trendy styles await."/>
    <n v="103"/>
    <n v="770"/>
    <n v="19"/>
    <n v="1030"/>
    <n v="410"/>
    <n v="262"/>
    <x v="0"/>
    <s v="MyntraFestiveEdit"/>
    <n v="2.1756097560975611"/>
  </r>
  <r>
    <s v="P059"/>
    <s v="Instagram"/>
    <d v="2024-06-22T00:00:00"/>
    <s v="Text"/>
    <s v="Explore the latest text on Myntra! Trendy styles await."/>
    <n v="2180"/>
    <n v="263"/>
    <n v="387"/>
    <n v="30520"/>
    <n v="30059"/>
    <n v="174"/>
    <x v="4"/>
    <s v="FashionUpgrade"/>
    <n v="9.4148175255331187E-2"/>
  </r>
  <r>
    <s v="P060"/>
    <s v="Instagram"/>
    <d v="2025-01-28T00:00:00"/>
    <s v="Video"/>
    <s v="Explore the latest video on Myntra! Trendy styles await."/>
    <n v="904"/>
    <n v="973"/>
    <n v="63"/>
    <n v="11752"/>
    <n v="11580"/>
    <n v="84"/>
    <x v="2"/>
    <s v="FashionUpgrade"/>
    <n v="0.16753022452504318"/>
  </r>
  <r>
    <s v="P061"/>
    <s v="Twitter"/>
    <d v="2024-09-05T00:00:00"/>
    <s v="Video"/>
    <s v="Explore the latest video on Myntra! Trendy styles await."/>
    <n v="4886"/>
    <n v="983"/>
    <n v="409"/>
    <n v="43974"/>
    <n v="43239"/>
    <n v="65"/>
    <x v="1"/>
    <s v="FashionUpgrade"/>
    <n v="0.14519299706283678"/>
  </r>
  <r>
    <s v="P062"/>
    <s v="Twitter"/>
    <d v="2024-11-22T00:00:00"/>
    <s v="Carousel"/>
    <s v="Explore the latest carousel on Myntra! Trendy styles await."/>
    <n v="53"/>
    <n v="81"/>
    <n v="379"/>
    <n v="954"/>
    <n v="7"/>
    <n v="148"/>
    <x v="4"/>
    <s v="MyntraFestiveEdit"/>
    <n v="73.285714285714292"/>
  </r>
  <r>
    <s v="P063"/>
    <s v="Twitter"/>
    <d v="2024-07-31T00:00:00"/>
    <s v="Carousel"/>
    <s v="Explore the latest carousel on Myntra! Trendy styles await."/>
    <n v="4507"/>
    <n v="217"/>
    <n v="13"/>
    <n v="90140"/>
    <n v="89591"/>
    <n v="125"/>
    <x v="0"/>
    <s v="FashionUpgrade"/>
    <n v="5.2873614537174492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4"/>
    <s v="EndOfSeasonSale"/>
    <n v="8.3014976445496519E-2"/>
  </r>
  <r>
    <s v="P064"/>
    <s v="Facebook"/>
    <d v="2024-08-17T00:00:00"/>
    <s v="Image"/>
    <s v="Explore the latest image on Myntra! Trendy styles await."/>
    <n v="2878"/>
    <n v="248"/>
    <n v="416"/>
    <n v="43170"/>
    <n v="42667"/>
    <n v="75"/>
    <x v="3"/>
    <s v="EndOfSeasonSale"/>
    <n v="8.3014976445496519E-2"/>
  </r>
  <r>
    <s v="P065"/>
    <s v="Instagram"/>
    <d v="2025-03-28T00:00:00"/>
    <s v="Story"/>
    <s v="Explore the latest story on Myntra! Trendy styles await."/>
    <n v="1881"/>
    <n v="501"/>
    <n v="99"/>
    <n v="20691"/>
    <n v="19987"/>
    <n v="289"/>
    <x v="4"/>
    <s v="EndOfSeasonSale"/>
    <n v="0.12413068494521438"/>
  </r>
  <r>
    <s v="P066"/>
    <s v="Twitter"/>
    <d v="2024-07-26T00:00:00"/>
    <s v="Carousel"/>
    <s v="Explore the latest carousel on Myntra! Trendy styles await."/>
    <n v="432"/>
    <n v="171"/>
    <n v="280"/>
    <n v="3024"/>
    <n v="2285"/>
    <n v="184"/>
    <x v="1"/>
    <s v="MyntraFestiveEdit"/>
    <n v="0.3864332603938731"/>
  </r>
  <r>
    <s v="P067"/>
    <s v="Facebook"/>
    <d v="2025-03-29T00:00:00"/>
    <s v="Carousel"/>
    <s v="Explore the latest carousel on Myntra! Trendy styles await."/>
    <n v="4712"/>
    <n v="568"/>
    <n v="127"/>
    <n v="84816"/>
    <n v="84691"/>
    <n v="100"/>
    <x v="4"/>
    <s v="FashionUpgrade"/>
    <n v="6.3843855899682375E-2"/>
  </r>
  <r>
    <s v="P068"/>
    <s v="Instagram"/>
    <d v="2024-12-08T00:00:00"/>
    <s v="Story"/>
    <s v="Explore the latest story on Myntra! Trendy styles await."/>
    <n v="2610"/>
    <n v="126"/>
    <n v="288"/>
    <n v="15660"/>
    <n v="15145"/>
    <n v="73"/>
    <x v="1"/>
    <s v="FashionUpgrade"/>
    <n v="0.19966985803895676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2"/>
    <s v="StyleRevolution"/>
    <n v="9.6885535398940445E-2"/>
  </r>
  <r>
    <s v="P069"/>
    <s v="Twitter"/>
    <d v="2025-03-08T00:00:00"/>
    <s v="Text"/>
    <s v="Explore the latest text on Myntra! Trendy styles await."/>
    <n v="1292"/>
    <n v="626"/>
    <n v="496"/>
    <n v="25840"/>
    <n v="24916"/>
    <n v="149"/>
    <x v="3"/>
    <s v="StyleRevolution"/>
    <n v="9.6885535398940445E-2"/>
  </r>
  <r>
    <s v="P070"/>
    <s v="Facebook"/>
    <d v="2025-04-02T00:00:00"/>
    <s v="Video"/>
    <s v="Explore the latest video on Myntra! Trendy styles await."/>
    <n v="199"/>
    <n v="772"/>
    <n v="400"/>
    <n v="3582"/>
    <n v="2988"/>
    <n v="43"/>
    <x v="3"/>
    <s v="FashionUpgrade"/>
    <n v="0.45883534136546184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0"/>
    <s v="EndOfSeasonSale"/>
    <n v="0.12091567852437418"/>
  </r>
  <r>
    <s v="P071"/>
    <s v="Youtube"/>
    <d v="2024-09-02T00:00:00"/>
    <s v="Carousel"/>
    <s v="Explore the latest carousel on Myntra! Trendy styles await."/>
    <n v="2551"/>
    <n v="915"/>
    <n v="205"/>
    <n v="30612"/>
    <n v="30360"/>
    <n v="227"/>
    <x v="4"/>
    <s v="EndOfSeasonSale"/>
    <n v="0.12091567852437418"/>
  </r>
  <r>
    <s v="P072"/>
    <s v="Youtube"/>
    <d v="2025-03-03T00:00:00"/>
    <s v="Reel"/>
    <s v="Explore the latest reel on Myntra! Trendy styles await."/>
    <n v="296"/>
    <n v="60"/>
    <n v="141"/>
    <n v="5624"/>
    <n v="5239"/>
    <n v="88"/>
    <x v="3"/>
    <s v="StyleRevolution"/>
    <n v="9.4865432334414967E-2"/>
  </r>
  <r>
    <s v="P073"/>
    <s v="Facebook"/>
    <d v="2024-10-18T00:00:00"/>
    <s v="Story"/>
    <s v="Explore the latest story on Myntra! Trendy styles await."/>
    <n v="4126"/>
    <n v="426"/>
    <n v="486"/>
    <n v="78394"/>
    <n v="77798"/>
    <n v="88"/>
    <x v="1"/>
    <s v="FashionUpgrade"/>
    <n v="6.4757448777603532E-2"/>
  </r>
  <r>
    <s v="P074"/>
    <s v="Youtube"/>
    <d v="2024-10-28T00:00:00"/>
    <s v="Reel"/>
    <s v="Explore the latest reel on Myntra! Trendy styles await."/>
    <n v="1855"/>
    <n v="200"/>
    <n v="174"/>
    <n v="16695"/>
    <n v="16330"/>
    <n v="123"/>
    <x v="1"/>
    <s v="MyntraFestiveEdit"/>
    <n v="0.13649724433557869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2"/>
    <s v="MyntraFestiveEdit"/>
    <n v="0.1257262596437756"/>
  </r>
  <r>
    <s v="P075"/>
    <s v="Instagram"/>
    <d v="2024-08-01T00:00:00"/>
    <s v="Reel"/>
    <s v="Explore the latest reel on Myntra! Trendy styles await."/>
    <n v="1674"/>
    <n v="929"/>
    <n v="37"/>
    <n v="21762"/>
    <n v="20998"/>
    <n v="255"/>
    <x v="4"/>
    <s v="MyntraFestiveEdit"/>
    <n v="0.1257262596437756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0"/>
    <s v="StyleRevolution"/>
    <n v="8.5177508858728351E-2"/>
  </r>
  <r>
    <s v="P076"/>
    <s v="Twitter"/>
    <d v="2024-11-07T00:00:00"/>
    <s v="Story"/>
    <s v="Explore the latest story on Myntra! Trendy styles await."/>
    <n v="1121"/>
    <n v="135"/>
    <n v="18"/>
    <n v="15694"/>
    <n v="14957"/>
    <n v="99"/>
    <x v="1"/>
    <s v="StyleRevolution"/>
    <n v="8.5177508858728351E-2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1"/>
    <s v="MyntraFestiveEdit"/>
    <n v="0.20906535488404779"/>
  </r>
  <r>
    <s v="P077"/>
    <s v="Facebook"/>
    <d v="2025-03-04T00:00:00"/>
    <s v="Story"/>
    <s v="Explore the latest story on Myntra! Trendy styles await."/>
    <n v="1249"/>
    <n v="116"/>
    <n v="420"/>
    <n v="8743"/>
    <n v="8538"/>
    <n v="63"/>
    <x v="4"/>
    <s v="MyntraFestiveEdit"/>
    <n v="0.20906535488404779"/>
  </r>
  <r>
    <s v="P078"/>
    <s v="Twitter"/>
    <d v="2024-06-17T00:00:00"/>
    <s v="Image"/>
    <s v="Explore the latest image on Myntra! Trendy styles await."/>
    <n v="954"/>
    <n v="324"/>
    <n v="288"/>
    <n v="19080"/>
    <n v="18859"/>
    <n v="21"/>
    <x v="3"/>
    <s v="MyntraFestiveEdit"/>
    <n v="8.303727663184686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0"/>
    <s v="MyntraFestiveEdit"/>
    <n v="8.9686326261293275E-2"/>
  </r>
  <r>
    <s v="P079"/>
    <s v="Instagram"/>
    <d v="2024-10-09T00:00:00"/>
    <s v="Carousel"/>
    <s v="Explore the latest carousel on Myntra! Trendy styles await."/>
    <n v="3068"/>
    <n v="137"/>
    <n v="329"/>
    <n v="39884"/>
    <n v="39404"/>
    <n v="266"/>
    <x v="3"/>
    <s v="MyntraFestiveEdit"/>
    <n v="8.9686326261293275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4"/>
    <s v="EndOfSeasonSale"/>
    <n v="7.8497947600466231E-2"/>
  </r>
  <r>
    <s v="P080"/>
    <s v="Instagram"/>
    <d v="2024-06-13T00:00:00"/>
    <s v="Story"/>
    <s v="Explore the latest story on Myntra! Trendy styles await."/>
    <n v="2103"/>
    <n v="892"/>
    <n v="103"/>
    <n v="39957"/>
    <n v="39466"/>
    <n v="28"/>
    <x v="1"/>
    <s v="EndOfSeasonSale"/>
    <n v="7.8497947600466231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3"/>
    <s v="MyntraFestiveEdit"/>
    <n v="9.7912989305368084E-2"/>
  </r>
  <r>
    <s v="P081"/>
    <s v="Instagram"/>
    <d v="2024-10-19T00:00:00"/>
    <s v="Story"/>
    <s v="Explore the latest story on Myntra! Trendy styles await."/>
    <n v="1816"/>
    <n v="29"/>
    <n v="41"/>
    <n v="19976"/>
    <n v="19262"/>
    <n v="283"/>
    <x v="0"/>
    <s v="MyntraFestiveEdit"/>
    <n v="9.7912989305368084E-2"/>
  </r>
  <r>
    <s v="P082"/>
    <s v="Instagram"/>
    <d v="2024-07-24T00:00:00"/>
    <s v="Image"/>
    <s v="Explore the latest image on Myntra! Trendy styles await."/>
    <n v="725"/>
    <n v="88"/>
    <n v="428"/>
    <n v="14500"/>
    <n v="13637"/>
    <n v="200"/>
    <x v="3"/>
    <s v="MyntraFestiveEdit"/>
    <n v="9.1002419887071931E-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3"/>
    <s v="MyntraFestiveEdit"/>
    <n v="0.16515766468935372"/>
  </r>
  <r>
    <s v="P083"/>
    <s v="Youtube"/>
    <d v="2024-10-15T00:00:00"/>
    <s v="Video"/>
    <s v="Explore the latest video on Myntra! Trendy styles await."/>
    <n v="1094"/>
    <n v="472"/>
    <n v="21"/>
    <n v="9846"/>
    <n v="9609"/>
    <n v="112"/>
    <x v="2"/>
    <s v="MyntraFestiveEdit"/>
    <n v="0.16515766468935372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1"/>
    <s v="FashionUpgrade"/>
    <n v="8.8832933184985655E-2"/>
  </r>
  <r>
    <s v="P084"/>
    <s v="Facebook"/>
    <d v="2024-12-09T00:00:00"/>
    <s v="Image"/>
    <s v="Explore the latest image on Myntra! Trendy styles await."/>
    <n v="1841"/>
    <n v="851"/>
    <n v="342"/>
    <n v="34979"/>
    <n v="34154"/>
    <n v="255"/>
    <x v="4"/>
    <s v="FashionUpgrade"/>
    <n v="8.8832933184985655E-2"/>
  </r>
  <r>
    <s v="P085"/>
    <s v="Instagram"/>
    <d v="2025-04-19T00:00:00"/>
    <s v="Image"/>
    <s v="Explore the latest image on Myntra! Trendy styles await."/>
    <n v="4177"/>
    <n v="569"/>
    <n v="55"/>
    <n v="25062"/>
    <n v="24847"/>
    <n v="230"/>
    <x v="1"/>
    <s v="FashionUpgrade"/>
    <n v="0.19322252183362176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3"/>
    <s v="MyntraFestiveEdit"/>
    <n v="6.5768621236133126E-2"/>
  </r>
  <r>
    <s v="P086"/>
    <s v="Youtube"/>
    <d v="2025-01-27T00:00:00"/>
    <s v="Text"/>
    <s v="Explore the latest text on Myntra! Trendy styles await."/>
    <n v="3428"/>
    <n v="305"/>
    <n v="85"/>
    <n v="58276"/>
    <n v="58052"/>
    <n v="242"/>
    <x v="2"/>
    <s v="MyntraFestiveEdit"/>
    <n v="6.5768621236133126E-2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3"/>
    <s v="EndOfSeasonSale"/>
    <n v="0.21234548460751121"/>
  </r>
  <r>
    <s v="P087"/>
    <s v="Twitter"/>
    <d v="2024-06-06T00:00:00"/>
    <s v="Video"/>
    <s v="Explore the latest video on Myntra! Trendy styles await."/>
    <n v="1436"/>
    <n v="765"/>
    <n v="496"/>
    <n v="12924"/>
    <n v="12701"/>
    <n v="197"/>
    <x v="0"/>
    <s v="EndOfSeasonSale"/>
    <n v="0.21234548460751121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1"/>
    <s v="EndOfSeasonSale"/>
    <n v="0.15930470347648262"/>
  </r>
  <r>
    <s v="P088"/>
    <s v="Facebook"/>
    <d v="2024-07-07T00:00:00"/>
    <s v="Story"/>
    <s v="Explore the latest story on Myntra! Trendy styles await."/>
    <n v="302"/>
    <n v="47"/>
    <n v="430"/>
    <n v="5738"/>
    <n v="4890"/>
    <n v="25"/>
    <x v="0"/>
    <s v="EndOfSeasonSale"/>
    <n v="0.15930470347648262"/>
  </r>
  <r>
    <s v="P089"/>
    <s v="Twitter"/>
    <d v="2025-01-10T00:00:00"/>
    <s v="Image"/>
    <s v="Explore the latest image on Myntra! Trendy styles await."/>
    <n v="2214"/>
    <n v="249"/>
    <n v="152"/>
    <n v="15498"/>
    <n v="14800"/>
    <n v="180"/>
    <x v="0"/>
    <s v="EndOfSeasonSale"/>
    <n v="0.17668918918918919"/>
  </r>
  <r>
    <s v="P090"/>
    <s v="Instagram"/>
    <d v="2024-06-03T00:00:00"/>
    <s v="Image"/>
    <s v="Explore the latest image on Myntra! Trendy styles await."/>
    <n v="3861"/>
    <n v="960"/>
    <n v="101"/>
    <n v="69498"/>
    <n v="68817"/>
    <n v="297"/>
    <x v="1"/>
    <s v="EndOfSeasonSale"/>
    <n v="7.1523024833979973E-2"/>
  </r>
  <r>
    <s v="P091"/>
    <s v="Facebook"/>
    <d v="2025-03-24T00:00:00"/>
    <s v="Image"/>
    <s v="Explore the latest image on Myntra! Trendy styles await."/>
    <n v="1263"/>
    <n v="397"/>
    <n v="357"/>
    <n v="25260"/>
    <n v="24615"/>
    <n v="137"/>
    <x v="0"/>
    <s v="EndOfSeasonSale"/>
    <n v="8.1941905342270971E-2"/>
  </r>
  <r>
    <s v="P092"/>
    <s v="Twitter"/>
    <d v="2024-10-21T00:00:00"/>
    <s v="Story"/>
    <s v="Explore the latest story on Myntra! Trendy styles await."/>
    <n v="3801"/>
    <n v="967"/>
    <n v="401"/>
    <n v="38010"/>
    <n v="37625"/>
    <n v="236"/>
    <x v="2"/>
    <s v="StyleRevolution"/>
    <n v="0.13738205980066445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3"/>
    <s v="FashionUpgrade"/>
    <n v="0.28680323963792281"/>
  </r>
  <r>
    <s v="P093"/>
    <s v="Instagram"/>
    <d v="2024-12-11T00:00:00"/>
    <s v="Video"/>
    <s v="Explore the latest video on Myntra! Trendy styles await."/>
    <n v="1431"/>
    <n v="951"/>
    <n v="26"/>
    <n v="8586"/>
    <n v="8396"/>
    <n v="150"/>
    <x v="4"/>
    <s v="FashionUpgrade"/>
    <n v="0.28680323963792281"/>
  </r>
  <r>
    <s v="P094"/>
    <s v="Instagram"/>
    <d v="2024-11-07T00:00:00"/>
    <s v="Image"/>
    <s v="Explore the latest image on Myntra! Trendy styles await."/>
    <n v="2647"/>
    <n v="304"/>
    <n v="170"/>
    <n v="18529"/>
    <n v="17841"/>
    <n v="46"/>
    <x v="2"/>
    <s v="EndOfSeasonSale"/>
    <n v="0.17493414046297853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2"/>
    <s v="EndOfSeasonSale"/>
    <n v="6.8570926349094743E-2"/>
  </r>
  <r>
    <s v="P095"/>
    <s v="Instagram"/>
    <d v="2024-11-08T00:00:00"/>
    <s v="Text"/>
    <s v="Explore the latest text on Myntra! Trendy styles await."/>
    <n v="3182"/>
    <n v="559"/>
    <n v="160"/>
    <n v="57276"/>
    <n v="56890"/>
    <n v="163"/>
    <x v="3"/>
    <s v="EndOfSeasonSale"/>
    <n v="6.8570926349094743E-2"/>
  </r>
  <r>
    <s v="P096"/>
    <s v="Twitter"/>
    <d v="2024-09-10T00:00:00"/>
    <s v="Image"/>
    <s v="Explore the latest image on Myntra! Trendy styles await."/>
    <n v="1238"/>
    <n v="366"/>
    <n v="444"/>
    <n v="19808"/>
    <n v="19334"/>
    <n v="123"/>
    <x v="4"/>
    <s v="MyntraFestiveEdit"/>
    <n v="0.1059273818144202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2"/>
    <s v="EndOfSeasonSale"/>
    <n v="8.8060261197071721E-2"/>
  </r>
  <r>
    <s v="P097"/>
    <s v="Instagram"/>
    <d v="2024-08-13T00:00:00"/>
    <s v="Image"/>
    <s v="Explore the latest image on Myntra! Trendy styles await."/>
    <n v="4739"/>
    <n v="527"/>
    <n v="135"/>
    <n v="61607"/>
    <n v="61333"/>
    <n v="36"/>
    <x v="0"/>
    <s v="EndOfSeasonSale"/>
    <n v="8.8060261197071721E-2"/>
  </r>
  <r>
    <s v="P098"/>
    <s v="Twitter"/>
    <d v="2024-06-10T00:00:00"/>
    <s v="Story"/>
    <s v="Explore the latest story on Myntra! Trendy styles await."/>
    <n v="1575"/>
    <n v="771"/>
    <n v="486"/>
    <n v="25200"/>
    <n v="24826"/>
    <n v="17"/>
    <x v="2"/>
    <s v="MyntraFestiveEdit"/>
    <n v="0.1140739547248852"/>
  </r>
  <r>
    <s v="P099"/>
    <s v="Youtube"/>
    <d v="2024-07-02T00:00:00"/>
    <s v="Carousel"/>
    <s v="Explore the latest carousel on Myntra! Trendy styles await."/>
    <n v="4171"/>
    <n v="548"/>
    <n v="86"/>
    <n v="66736"/>
    <n v="66634"/>
    <n v="173"/>
    <x v="2"/>
    <s v="MyntraFestiveEdit"/>
    <n v="7.2110334063691203E-2"/>
  </r>
  <r>
    <s v="P100"/>
    <s v="Youtube"/>
    <d v="2025-02-10T00:00:00"/>
    <s v="Video"/>
    <s v="Explore the latest video on Myntra! Trendy styles await."/>
    <n v="1766"/>
    <n v="92"/>
    <n v="424"/>
    <n v="24724"/>
    <n v="24333"/>
    <n v="52"/>
    <x v="2"/>
    <s v="FashionUpgrade"/>
    <n v="9.3782106604200055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0"/>
    <s v="EndOfSeasonSale"/>
    <n v="7.433873720136519E-2"/>
  </r>
  <r>
    <s v="P101"/>
    <s v="Youtube"/>
    <d v="2024-10-18T00:00:00"/>
    <s v="Video"/>
    <s v="Explore the latest video on Myntra! Trendy styles await."/>
    <n v="4450"/>
    <n v="983"/>
    <n v="143"/>
    <n v="75650"/>
    <n v="75008"/>
    <n v="12"/>
    <x v="2"/>
    <s v="EndOfSeasonSale"/>
    <n v="7.433873720136519E-2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3"/>
    <s v="MyntraFestiveEdit"/>
    <n v="0.40988316414479986"/>
  </r>
  <r>
    <s v="P102"/>
    <s v="Twitter"/>
    <d v="2024-09-18T00:00:00"/>
    <s v="Reel"/>
    <s v="Explore the latest reel on Myntra! Trendy styles await."/>
    <n v="1000"/>
    <n v="978"/>
    <n v="162"/>
    <n v="6000"/>
    <n v="5221"/>
    <n v="223"/>
    <x v="1"/>
    <s v="MyntraFestiveEdit"/>
    <n v="0.40988316414479986"/>
  </r>
  <r>
    <s v="P103"/>
    <s v="Facebook"/>
    <d v="2024-06-11T00:00:00"/>
    <s v="Image"/>
    <s v="Explore the latest image on Myntra! Trendy styles await."/>
    <n v="3689"/>
    <n v="48"/>
    <n v="306"/>
    <n v="40579"/>
    <n v="39588"/>
    <n v="212"/>
    <x v="3"/>
    <s v="FashionUpgrade"/>
    <n v="0.10212690714357886"/>
  </r>
  <r>
    <s v="P104"/>
    <s v="Youtube"/>
    <d v="2025-03-23T00:00:00"/>
    <s v="Story"/>
    <s v="Explore the latest story on Myntra! Trendy styles await."/>
    <n v="3655"/>
    <n v="568"/>
    <n v="286"/>
    <n v="32895"/>
    <n v="32015"/>
    <n v="199"/>
    <x v="3"/>
    <s v="StyleRevolution"/>
    <n v="0.14084023114165234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2"/>
    <s v="StyleRevolution"/>
    <n v="0.15848642720043871"/>
  </r>
  <r>
    <s v="P105"/>
    <s v="Instagram"/>
    <d v="2024-06-14T00:00:00"/>
    <s v="Carousel"/>
    <s v="Explore the latest carousel on Myntra! Trendy styles await."/>
    <n v="498"/>
    <n v="38"/>
    <n v="42"/>
    <n v="4482"/>
    <n v="3647"/>
    <n v="32"/>
    <x v="4"/>
    <s v="StyleRevolution"/>
    <n v="0.15848642720043871"/>
  </r>
  <r>
    <s v="P106"/>
    <s v="Instagram"/>
    <d v="2025-02-04T00:00:00"/>
    <s v="Image"/>
    <s v="Explore the latest image on Myntra! Trendy styles await."/>
    <n v="4619"/>
    <n v="821"/>
    <n v="499"/>
    <n v="69285"/>
    <n v="69141"/>
    <n v="298"/>
    <x v="1"/>
    <s v="FashionUpgrade"/>
    <n v="8.5896935248260795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0"/>
    <s v="MyntraFestiveEdit"/>
    <n v="6.2817648089730102E-2"/>
  </r>
  <r>
    <s v="P107"/>
    <s v="Youtube"/>
    <d v="2024-06-21T00:00:00"/>
    <s v="Image"/>
    <s v="Explore the latest image on Myntra! Trendy styles await."/>
    <n v="4832"/>
    <n v="893"/>
    <n v="10"/>
    <n v="91808"/>
    <n v="91296"/>
    <n v="182"/>
    <x v="2"/>
    <s v="MyntraFestiveEdit"/>
    <n v="6.2817648089730102E-2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2"/>
    <s v="FashionUpgrade"/>
    <n v="0.10178726693073133"/>
  </r>
  <r>
    <s v="P108"/>
    <s v="Twitter"/>
    <d v="2025-03-25T00:00:00"/>
    <s v="Video"/>
    <s v="Explore the latest video on Myntra! Trendy styles await."/>
    <n v="4050"/>
    <n v="871"/>
    <n v="347"/>
    <n v="52650"/>
    <n v="51755"/>
    <n v="209"/>
    <x v="4"/>
    <s v="FashionUpgrade"/>
    <n v="0.10178726693073133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1"/>
    <s v="FashionUpgrade"/>
    <n v="0.1713335736890598"/>
  </r>
  <r>
    <s v="P109"/>
    <s v="Twitter"/>
    <d v="2024-08-08T00:00:00"/>
    <s v="Story"/>
    <s v="Explore the latest story on Myntra! Trendy styles await."/>
    <n v="3649"/>
    <n v="215"/>
    <n v="413"/>
    <n v="25543"/>
    <n v="24963"/>
    <n v="167"/>
    <x v="2"/>
    <s v="FashionUpgrade"/>
    <n v="0.1713335736890598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4"/>
    <s v="EndOfSeasonSale"/>
    <n v="0.12333134606910495"/>
  </r>
  <r>
    <s v="P110"/>
    <s v="Instagram"/>
    <d v="2024-07-29T00:00:00"/>
    <s v="Reel"/>
    <s v="Explore the latest reel on Myntra! Trendy styles await."/>
    <n v="3523"/>
    <n v="753"/>
    <n v="482"/>
    <n v="38753"/>
    <n v="38579"/>
    <n v="270"/>
    <x v="2"/>
    <s v="EndOfSeasonSale"/>
    <n v="0.12333134606910495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1"/>
    <s v="MyntraFestiveEdit"/>
    <n v="7.4998138079988078E-2"/>
  </r>
  <r>
    <s v="P111"/>
    <s v="Youtube"/>
    <d v="2024-11-23T00:00:00"/>
    <s v="Image"/>
    <s v="Explore the latest image on Myntra! Trendy styles await."/>
    <n v="2719"/>
    <n v="17"/>
    <n v="285"/>
    <n v="40785"/>
    <n v="40281"/>
    <n v="40"/>
    <x v="2"/>
    <s v="MyntraFestiveEdit"/>
    <n v="7.4998138079988078E-2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1"/>
    <s v="MyntraFestiveEdit"/>
    <n v="0.18215238659946634"/>
  </r>
  <r>
    <s v="P112"/>
    <s v="Twitter"/>
    <d v="2024-10-05T00:00:00"/>
    <s v="Story"/>
    <s v="Explore the latest story on Myntra! Trendy styles await."/>
    <n v="1957"/>
    <n v="877"/>
    <n v="238"/>
    <n v="17613"/>
    <n v="16865"/>
    <n v="297"/>
    <x v="0"/>
    <s v="MyntraFestiveEdit"/>
    <n v="0.18215238659946634"/>
  </r>
  <r>
    <s v="P113"/>
    <s v="Twitter"/>
    <d v="2024-10-02T00:00:00"/>
    <s v="Carousel"/>
    <s v="Explore the latest carousel on Myntra! Trendy styles await."/>
    <n v="4419"/>
    <n v="236"/>
    <n v="369"/>
    <n v="44190"/>
    <n v="43582"/>
    <n v="10"/>
    <x v="3"/>
    <s v="StyleRevolution"/>
    <n v="0.11527694919921068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4"/>
    <s v="MyntraFestiveEdit"/>
    <n v="0.13083474437059314"/>
  </r>
  <r>
    <s v="P114"/>
    <s v="Twitter"/>
    <d v="2024-11-14T00:00:00"/>
    <s v="Story"/>
    <s v="Explore the latest story on Myntra! Trendy styles await."/>
    <n v="4000"/>
    <n v="689"/>
    <n v="488"/>
    <n v="40000"/>
    <n v="39569"/>
    <n v="44"/>
    <x v="1"/>
    <s v="MyntraFestiveEdit"/>
    <n v="0.13083474437059314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0"/>
    <s v="FashionUpgrade"/>
    <n v="6.272772737015074E-2"/>
  </r>
  <r>
    <s v="P115"/>
    <s v="Twitter"/>
    <d v="2025-05-11T00:00:00"/>
    <s v="Image"/>
    <s v="Explore the latest image on Myntra! Trendy styles await."/>
    <n v="2493"/>
    <n v="97"/>
    <n v="44"/>
    <n v="42381"/>
    <n v="41991"/>
    <n v="242"/>
    <x v="2"/>
    <s v="FashionUpgrade"/>
    <n v="6.272772737015074E-2"/>
  </r>
  <r>
    <s v="P116"/>
    <s v="Youtube"/>
    <d v="2025-03-18T00:00:00"/>
    <s v="Reel"/>
    <s v="Explore the latest reel on Myntra! Trendy styles await."/>
    <n v="3704"/>
    <n v="186"/>
    <n v="458"/>
    <n v="25928"/>
    <n v="25081"/>
    <n v="131"/>
    <x v="2"/>
    <s v="FashionUpgrade"/>
    <n v="0.17335831904629001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0"/>
    <s v="EndOfSeasonSale"/>
    <n v="0.12194155522535909"/>
  </r>
  <r>
    <s v="P117"/>
    <s v="Twitter"/>
    <d v="2024-11-04T00:00:00"/>
    <s v="Image"/>
    <s v="Explore the latest image on Myntra! Trendy styles await."/>
    <n v="1606"/>
    <n v="451"/>
    <n v="405"/>
    <n v="20878"/>
    <n v="20190"/>
    <n v="219"/>
    <x v="2"/>
    <s v="EndOfSeasonSale"/>
    <n v="0.12194155522535909"/>
  </r>
  <r>
    <s v="P118"/>
    <s v="Facebook"/>
    <d v="2024-11-04T00:00:00"/>
    <s v="Image"/>
    <s v="Explore the latest image on Myntra! Trendy styles await."/>
    <n v="4551"/>
    <n v="714"/>
    <n v="207"/>
    <n v="68265"/>
    <n v="67754"/>
    <n v="57"/>
    <x v="3"/>
    <s v="EndOfSeasonSale"/>
    <n v="8.0762759394279307E-2"/>
  </r>
  <r>
    <s v="P119"/>
    <s v="Instagram"/>
    <d v="2025-02-07T00:00:00"/>
    <s v="Reel"/>
    <s v="Explore the latest reel on Myntra! Trendy styles await."/>
    <n v="1970"/>
    <n v="675"/>
    <n v="478"/>
    <n v="9850"/>
    <n v="8924"/>
    <n v="117"/>
    <x v="3"/>
    <s v="StyleRevolution"/>
    <n v="0.34995517705064993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0"/>
    <s v="StyleRevolution"/>
    <n v="0.24860784556366786"/>
  </r>
  <r>
    <s v="P120"/>
    <s v="Facebook"/>
    <d v="2024-10-21T00:00:00"/>
    <s v="Story"/>
    <s v="Explore the latest story on Myntra! Trendy styles await."/>
    <n v="780"/>
    <n v="928"/>
    <n v="301"/>
    <n v="8580"/>
    <n v="8081"/>
    <n v="91"/>
    <x v="1"/>
    <s v="StyleRevolution"/>
    <n v="0.24860784556366786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4"/>
    <s v="StyleRevolution"/>
    <n v="0.38494623655913979"/>
  </r>
  <r>
    <s v="P121"/>
    <s v="Instagram"/>
    <d v="2024-07-29T00:00:00"/>
    <s v="Story"/>
    <s v="Explore the latest story on Myntra! Trendy styles await."/>
    <n v="498"/>
    <n v="701"/>
    <n v="412"/>
    <n v="4980"/>
    <n v="4185"/>
    <n v="185"/>
    <x v="2"/>
    <s v="StyleRevolution"/>
    <n v="0.38494623655913979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1"/>
    <s v="EndOfSeasonSale"/>
    <n v="8.2053564804510717E-2"/>
  </r>
  <r>
    <s v="P122"/>
    <s v="Instagram"/>
    <d v="2024-10-02T00:00:00"/>
    <s v="Text"/>
    <s v="Explore the latest text on Myntra! Trendy styles await."/>
    <n v="3432"/>
    <n v="869"/>
    <n v="123"/>
    <n v="54912"/>
    <n v="53916"/>
    <n v="264"/>
    <x v="3"/>
    <s v="EndOfSeasonSale"/>
    <n v="8.2053564804510717E-2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0"/>
    <s v="EndOfSeasonSale"/>
    <n v="0.23983985847958661"/>
  </r>
  <r>
    <s v="P123"/>
    <s v="Instagram"/>
    <d v="2024-06-14T00:00:00"/>
    <s v="Story"/>
    <s v="Explore the latest story on Myntra! Trendy styles await."/>
    <n v="4363"/>
    <n v="649"/>
    <n v="140"/>
    <n v="21815"/>
    <n v="21481"/>
    <n v="157"/>
    <x v="1"/>
    <s v="EndOfSeasonSale"/>
    <n v="0.23983985847958661"/>
  </r>
  <r>
    <s v="P124"/>
    <s v="Youtube"/>
    <d v="2025-04-06T00:00:00"/>
    <s v="Carousel"/>
    <s v="Explore the latest carousel on Myntra! Trendy styles await."/>
    <n v="736"/>
    <n v="771"/>
    <n v="225"/>
    <n v="5152"/>
    <n v="4706"/>
    <n v="19"/>
    <x v="2"/>
    <s v="MyntraFestiveEdit"/>
    <n v="0.36804079898002551"/>
  </r>
  <r>
    <s v="P125"/>
    <s v="Twitter"/>
    <d v="2024-09-08T00:00:00"/>
    <s v="Carousel"/>
    <s v="Explore the latest carousel on Myntra! Trendy styles await."/>
    <n v="3811"/>
    <n v="866"/>
    <n v="216"/>
    <n v="34299"/>
    <n v="34088"/>
    <n v="233"/>
    <x v="2"/>
    <s v="MyntraFestiveEdit"/>
    <n v="0.14354024876789487"/>
  </r>
  <r>
    <s v="P126"/>
    <s v="Instagram"/>
    <d v="2025-03-28T00:00:00"/>
    <s v="Carousel"/>
    <s v="Explore the latest carousel on Myntra! Trendy styles await."/>
    <n v="4158"/>
    <n v="167"/>
    <n v="241"/>
    <n v="45738"/>
    <n v="45183"/>
    <n v="142"/>
    <x v="1"/>
    <s v="EndOfSeasonSale"/>
    <n v="0.10105570679237766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0"/>
    <s v="FashionUpgrade"/>
    <n v="6.9885778413196209E-2"/>
  </r>
  <r>
    <s v="P127"/>
    <s v="Facebook"/>
    <d v="2025-01-27T00:00:00"/>
    <s v="Reel"/>
    <s v="Explore the latest reel on Myntra! Trendy styles await."/>
    <n v="3452"/>
    <n v="652"/>
    <n v="442"/>
    <n v="65588"/>
    <n v="65049"/>
    <n v="158"/>
    <x v="2"/>
    <s v="FashionUpgrade"/>
    <n v="6.9885778413196209E-2"/>
  </r>
  <r>
    <s v="P128"/>
    <s v="Twitter"/>
    <d v="2025-01-10T00:00:00"/>
    <s v="Image"/>
    <s v="Explore the latest image on Myntra! Trendy styles await."/>
    <n v="3092"/>
    <n v="106"/>
    <n v="291"/>
    <n v="27828"/>
    <n v="27217"/>
    <n v="102"/>
    <x v="2"/>
    <s v="StyleRevolution"/>
    <n v="0.12819193886174082"/>
  </r>
  <r>
    <s v="P129"/>
    <s v="Twitter"/>
    <d v="2024-07-21T00:00:00"/>
    <s v="Text"/>
    <s v="Explore the latest text on Myntra! Trendy styles await."/>
    <n v="2147"/>
    <n v="430"/>
    <n v="393"/>
    <n v="17176"/>
    <n v="16483"/>
    <n v="170"/>
    <x v="4"/>
    <s v="StyleRevolution"/>
    <n v="0.18018564581690227"/>
  </r>
  <r>
    <s v="P130"/>
    <s v="Youtube"/>
    <d v="2024-09-29T00:00:00"/>
    <s v="Reel"/>
    <s v="Explore the latest reel on Myntra! Trendy styles await."/>
    <n v="2936"/>
    <n v="439"/>
    <n v="44"/>
    <n v="38168"/>
    <n v="37571"/>
    <n v="22"/>
    <x v="0"/>
    <s v="MyntraFestiveEdit"/>
    <n v="9.1001038034654383E-2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0"/>
    <s v="EndOfSeasonSale"/>
    <n v="0.13207634470792365"/>
  </r>
  <r>
    <s v="P131"/>
    <s v="Instagram"/>
    <d v="2024-10-21T00:00:00"/>
    <s v="Reel"/>
    <s v="Explore the latest reel on Myntra! Trendy styles await."/>
    <n v="4840"/>
    <n v="658"/>
    <n v="211"/>
    <n v="43560"/>
    <n v="43225"/>
    <n v="57"/>
    <x v="1"/>
    <s v="EndOfSeasonSale"/>
    <n v="0.13207634470792365"/>
  </r>
  <r>
    <s v="P132"/>
    <s v="Instagram"/>
    <d v="2025-03-04T00:00:00"/>
    <s v="Story"/>
    <s v="Explore the latest story on Myntra! Trendy styles await."/>
    <n v="1947"/>
    <n v="842"/>
    <n v="101"/>
    <n v="21417"/>
    <n v="20967"/>
    <n v="186"/>
    <x v="1"/>
    <s v="EndOfSeasonSale"/>
    <n v="0.13783564649210664"/>
  </r>
  <r>
    <s v="P133"/>
    <s v="Facebook"/>
    <d v="2025-02-06T00:00:00"/>
    <s v="Image"/>
    <s v="Explore the latest image on Myntra! Trendy styles await."/>
    <n v="2072"/>
    <n v="532"/>
    <n v="71"/>
    <n v="37296"/>
    <n v="36467"/>
    <n v="25"/>
    <x v="0"/>
    <s v="MyntraFestiveEdit"/>
    <n v="7.3353991279787201E-2"/>
  </r>
  <r>
    <s v="P134"/>
    <s v="Twitter"/>
    <d v="2025-04-24T00:00:00"/>
    <s v="Reel"/>
    <s v="Explore the latest reel on Myntra! Trendy styles await."/>
    <n v="3731"/>
    <n v="115"/>
    <n v="135"/>
    <n v="55965"/>
    <n v="55436"/>
    <n v="103"/>
    <x v="4"/>
    <s v="StyleRevolution"/>
    <n v="7.1812540587343959E-2"/>
  </r>
  <r>
    <s v="P135"/>
    <s v="Facebook"/>
    <d v="2024-11-28T00:00:00"/>
    <s v="Text"/>
    <s v="Explore the latest text on Myntra! Trendy styles await."/>
    <n v="4213"/>
    <n v="253"/>
    <n v="434"/>
    <n v="75834"/>
    <n v="75437"/>
    <n v="272"/>
    <x v="3"/>
    <s v="MyntraFestiveEdit"/>
    <n v="6.4954862998263446E-2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0"/>
    <s v="StyleRevolution"/>
    <n v="0.209307775226133"/>
  </r>
  <r>
    <s v="P136"/>
    <s v="Instagram"/>
    <d v="2024-07-11T00:00:00"/>
    <s v="Text"/>
    <s v="Explore the latest text on Myntra! Trendy styles await."/>
    <n v="3134"/>
    <n v="888"/>
    <n v="444"/>
    <n v="21938"/>
    <n v="21337"/>
    <n v="130"/>
    <x v="1"/>
    <s v="StyleRevolution"/>
    <n v="0.209307775226133"/>
  </r>
  <r>
    <s v="P137"/>
    <s v="Facebook"/>
    <d v="2024-07-31T00:00:00"/>
    <s v="Video"/>
    <s v="Explore the latest video on Myntra! Trendy styles await."/>
    <n v="3008"/>
    <n v="94"/>
    <n v="37"/>
    <n v="15040"/>
    <n v="14639"/>
    <n v="277"/>
    <x v="4"/>
    <s v="FashionUpgrade"/>
    <n v="0.2144272149737004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1"/>
    <s v="StyleRevolution"/>
    <n v="0.19843412526997839"/>
  </r>
  <r>
    <s v="P138"/>
    <s v="Twitter"/>
    <d v="2025-03-29T00:00:00"/>
    <s v="Image"/>
    <s v="Explore the latest image on Myntra! Trendy styles await."/>
    <n v="305"/>
    <n v="187"/>
    <n v="243"/>
    <n v="4575"/>
    <n v="3704"/>
    <n v="234"/>
    <x v="3"/>
    <s v="StyleRevolution"/>
    <n v="0.19843412526997839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1"/>
    <s v="EndOfSeasonSale"/>
    <n v="9.6587550937879116E-2"/>
  </r>
  <r>
    <s v="P139"/>
    <s v="Youtube"/>
    <d v="2024-10-29T00:00:00"/>
    <s v="Text"/>
    <s v="Explore the latest text on Myntra! Trendy styles await."/>
    <n v="2746"/>
    <n v="156"/>
    <n v="203"/>
    <n v="32952"/>
    <n v="32147"/>
    <n v="147"/>
    <x v="2"/>
    <s v="EndOfSeasonSale"/>
    <n v="9.6587550937879116E-2"/>
  </r>
  <r>
    <s v="P140"/>
    <s v="Facebook"/>
    <d v="2024-07-15T00:00:00"/>
    <s v="Image"/>
    <s v="Explore the latest image on Myntra! Trendy styles await."/>
    <n v="2291"/>
    <n v="78"/>
    <n v="485"/>
    <n v="18328"/>
    <n v="18101"/>
    <n v="10"/>
    <x v="4"/>
    <s v="FashionUpgrade"/>
    <n v="0.15767084691453512"/>
  </r>
  <r>
    <s v="P141"/>
    <s v="Twitter"/>
    <d v="2024-08-31T00:00:00"/>
    <s v="Image"/>
    <s v="Explore the latest image on Myntra! Trendy styles await."/>
    <n v="3170"/>
    <n v="857"/>
    <n v="379"/>
    <n v="19020"/>
    <n v="18559"/>
    <n v="240"/>
    <x v="0"/>
    <s v="MyntraFestiveEdit"/>
    <n v="0.23740503259873916"/>
  </r>
  <r>
    <s v="P142"/>
    <s v="Youtube"/>
    <d v="2025-03-25T00:00:00"/>
    <s v="Story"/>
    <s v="Explore the latest story on Myntra! Trendy styles await."/>
    <n v="2070"/>
    <n v="275"/>
    <n v="386"/>
    <n v="39330"/>
    <n v="38627"/>
    <n v="114"/>
    <x v="0"/>
    <s v="StyleRevolution"/>
    <n v="7.070184068138867E-2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1"/>
    <s v="EndOfSeasonSale"/>
    <n v="1.4957020057306589"/>
  </r>
  <r>
    <s v="P143"/>
    <s v="Youtube"/>
    <d v="2024-10-02T00:00:00"/>
    <s v="Carousel"/>
    <s v="Explore the latest carousel on Myntra! Trendy styles await."/>
    <n v="80"/>
    <n v="362"/>
    <n v="80"/>
    <n v="1040"/>
    <n v="349"/>
    <n v="117"/>
    <x v="2"/>
    <s v="EndOfSeasonSale"/>
    <n v="1.4957020057306589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3"/>
    <s v="FashionUpgrade"/>
    <n v="6.604891714254929E-2"/>
  </r>
  <r>
    <s v="P144"/>
    <s v="Youtube"/>
    <d v="2024-10-28T00:00:00"/>
    <s v="Story"/>
    <s v="Explore the latest story on Myntra! Trendy styles await."/>
    <n v="4929"/>
    <n v="749"/>
    <n v="452"/>
    <n v="93651"/>
    <n v="92810"/>
    <n v="66"/>
    <x v="2"/>
    <s v="FashionUpgrade"/>
    <n v="6.604891714254929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4"/>
    <s v="FashionUpgrade"/>
    <n v="5.7465965178716709E-2"/>
  </r>
  <r>
    <s v="P145"/>
    <s v="Instagram"/>
    <d v="2024-08-12T00:00:00"/>
    <s v="Carousel"/>
    <s v="Explore the latest carousel on Myntra! Trendy styles await."/>
    <n v="1878"/>
    <n v="62"/>
    <n v="179"/>
    <n v="37560"/>
    <n v="36874"/>
    <n v="142"/>
    <x v="3"/>
    <s v="FashionUpgrade"/>
    <n v="5.7465965178716709E-2"/>
  </r>
  <r>
    <s v="P146"/>
    <s v="Youtube"/>
    <d v="2024-06-05T00:00:00"/>
    <s v="Reel"/>
    <s v="Explore the latest reel on Myntra! Trendy styles await."/>
    <n v="3065"/>
    <n v="772"/>
    <n v="142"/>
    <n v="18390"/>
    <n v="17875"/>
    <n v="200"/>
    <x v="2"/>
    <s v="FashionUpgrade"/>
    <n v="0.2226013986013986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0"/>
    <s v="MyntraFestiveEdit"/>
    <n v="0.15594030318461358"/>
  </r>
  <r>
    <s v="P147"/>
    <s v="Instagram"/>
    <d v="2024-10-21T00:00:00"/>
    <s v="Reel"/>
    <s v="Explore the latest reel on Myntra! Trendy styles await."/>
    <n v="3256"/>
    <n v="459"/>
    <n v="266"/>
    <n v="26048"/>
    <n v="25529"/>
    <n v="143"/>
    <x v="2"/>
    <s v="MyntraFestiveEdit"/>
    <n v="0.15594030318461358"/>
  </r>
  <r>
    <s v="P148"/>
    <s v="Instagram"/>
    <d v="2025-04-15T00:00:00"/>
    <s v="Video"/>
    <s v="Explore the latest video on Myntra! Trendy styles await."/>
    <n v="4133"/>
    <n v="466"/>
    <n v="327"/>
    <n v="24798"/>
    <n v="24620"/>
    <n v="176"/>
    <x v="2"/>
    <s v="EndOfSeasonSale"/>
    <n v="0.20008123476848091"/>
  </r>
  <r>
    <s v="P149"/>
    <s v="Twitter"/>
    <d v="2024-06-16T00:00:00"/>
    <s v="Video"/>
    <s v="Explore the latest video on Myntra! Trendy styles await."/>
    <n v="1702"/>
    <n v="750"/>
    <n v="179"/>
    <n v="34040"/>
    <n v="33174"/>
    <n v="76"/>
    <x v="3"/>
    <s v="MyntraFestiveEdit"/>
    <n v="7.9309097485982999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3"/>
    <s v="EndOfSeasonSale"/>
    <n v="6.379680141744766E-2"/>
  </r>
  <r>
    <s v="P150"/>
    <s v="Youtube"/>
    <d v="2024-08-22T00:00:00"/>
    <s v="Carousel"/>
    <s v="Explore the latest carousel on Myntra! Trendy styles await."/>
    <n v="4295"/>
    <n v="853"/>
    <n v="325"/>
    <n v="85900"/>
    <n v="85788"/>
    <n v="290"/>
    <x v="0"/>
    <s v="EndOfSeasonSale"/>
    <n v="6.379680141744766E-2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3"/>
    <s v="MyntraFestiveEdit"/>
    <n v="0.11129468736647201"/>
  </r>
  <r>
    <s v="P151"/>
    <s v="Instagram"/>
    <d v="2024-07-26T00:00:00"/>
    <s v="Image"/>
    <s v="Explore the latest image on Myntra! Trendy styles await."/>
    <n v="3559"/>
    <n v="59"/>
    <n v="289"/>
    <n v="35590"/>
    <n v="35105"/>
    <n v="122"/>
    <x v="2"/>
    <s v="MyntraFestiveEdit"/>
    <n v="0.11129468736647201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0"/>
    <s v="StyleRevolution"/>
    <n v="0.19823757490306662"/>
  </r>
  <r>
    <s v="P152"/>
    <s v="Facebook"/>
    <d v="2025-04-22T00:00:00"/>
    <s v="Image"/>
    <s v="Explore the latest image on Myntra! Trendy styles await."/>
    <n v="4804"/>
    <n v="550"/>
    <n v="270"/>
    <n v="28824"/>
    <n v="28370"/>
    <n v="47"/>
    <x v="2"/>
    <s v="StyleRevolution"/>
    <n v="0.19823757490306662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4"/>
    <s v="MyntraFestiveEdit"/>
    <n v="0.19418099983925413"/>
  </r>
  <r>
    <s v="P153"/>
    <s v="Twitter"/>
    <d v="2025-01-01T00:00:00"/>
    <s v="Video"/>
    <s v="Explore the latest video on Myntra! Trendy styles await."/>
    <n v="754"/>
    <n v="197"/>
    <n v="257"/>
    <n v="6786"/>
    <n v="6221"/>
    <n v="212"/>
    <x v="3"/>
    <s v="MyntraFestiveEdit"/>
    <n v="0.19418099983925413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0"/>
    <s v="EndOfSeasonSale"/>
    <n v="0.3261802575107296"/>
  </r>
  <r>
    <s v="P154"/>
    <s v="Instagram"/>
    <d v="2024-10-09T00:00:00"/>
    <s v="Carousel"/>
    <s v="Explore the latest carousel on Myntra! Trendy styles await."/>
    <n v="985"/>
    <n v="932"/>
    <n v="287"/>
    <n v="6895"/>
    <n v="6757"/>
    <n v="64"/>
    <x v="1"/>
    <s v="EndOfSeasonSale"/>
    <n v="0.3261802575107296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1"/>
    <s v="MyntraFestiveEdit"/>
    <n v="0.11597470928947252"/>
  </r>
  <r>
    <s v="P155"/>
    <s v="Youtube"/>
    <d v="2024-12-21T00:00:00"/>
    <s v="Image"/>
    <s v="Explore the latest image on Myntra! Trendy styles await."/>
    <n v="2283"/>
    <n v="210"/>
    <n v="130"/>
    <n v="22830"/>
    <n v="22617"/>
    <n v="143"/>
    <x v="2"/>
    <s v="MyntraFestiveEdit"/>
    <n v="0.11597470928947252"/>
  </r>
  <r>
    <s v="P156"/>
    <s v="Facebook"/>
    <d v="2024-10-22T00:00:00"/>
    <s v="Carousel"/>
    <s v="Explore the latest carousel on Myntra! Trendy styles await."/>
    <n v="3352"/>
    <n v="941"/>
    <n v="482"/>
    <n v="43576"/>
    <n v="43338"/>
    <n v="240"/>
    <x v="3"/>
    <s v="MyntraFestiveEdit"/>
    <n v="0.11018044210623472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2"/>
    <s v="StyleRevolution"/>
    <n v="0.10840484603735487"/>
  </r>
  <r>
    <s v="P157"/>
    <s v="Youtube"/>
    <d v="2024-07-23T00:00:00"/>
    <s v="Story"/>
    <s v="Explore the latest story on Myntra! Trendy styles await."/>
    <n v="4775"/>
    <n v="173"/>
    <n v="206"/>
    <n v="47750"/>
    <n v="47544"/>
    <n v="187"/>
    <x v="3"/>
    <s v="StyleRevolution"/>
    <n v="0.10840484603735487"/>
  </r>
  <r>
    <s v="P158"/>
    <s v="Instagram"/>
    <d v="2024-08-11T00:00:00"/>
    <s v="Story"/>
    <s v="Explore the latest story on Myntra! Trendy styles await."/>
    <n v="1762"/>
    <n v="405"/>
    <n v="423"/>
    <n v="22906"/>
    <n v="21925"/>
    <n v="25"/>
    <x v="4"/>
    <s v="EndOfSeasonSale"/>
    <n v="0.11812998859749145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2"/>
    <s v="EndOfSeasonSale"/>
    <n v="0.22887877534133222"/>
  </r>
  <r>
    <s v="P159"/>
    <s v="Facebook"/>
    <d v="2024-11-25T00:00:00"/>
    <s v="Story"/>
    <s v="Explore the latest story on Myntra! Trendy styles await."/>
    <n v="2120"/>
    <n v="158"/>
    <n v="488"/>
    <n v="12720"/>
    <n v="12085"/>
    <n v="17"/>
    <x v="3"/>
    <s v="EndOfSeasonSale"/>
    <n v="0.22887877534133222"/>
  </r>
  <r>
    <s v="P160"/>
    <s v="Twitter"/>
    <d v="2024-08-24T00:00:00"/>
    <s v="Video"/>
    <s v="Explore the latest video on Myntra! Trendy styles await."/>
    <n v="1082"/>
    <n v="209"/>
    <n v="484"/>
    <n v="19476"/>
    <n v="18654"/>
    <n v="20"/>
    <x v="2"/>
    <s v="StyleRevolution"/>
    <n v="9.5153854401200819E-2"/>
  </r>
  <r>
    <s v="P161"/>
    <s v="Twitter"/>
    <d v="2025-02-19T00:00:00"/>
    <s v="Text"/>
    <s v="Explore the latest text on Myntra! Trendy styles await."/>
    <n v="4671"/>
    <n v="876"/>
    <n v="366"/>
    <n v="51381"/>
    <n v="50565"/>
    <n v="245"/>
    <x v="0"/>
    <s v="EndOfSeasonSale"/>
    <n v="0.1169385938890537"/>
  </r>
  <r>
    <s v="P162"/>
    <s v="Facebook"/>
    <d v="2025-04-01T00:00:00"/>
    <s v="Story"/>
    <s v="Explore the latest story on Myntra! Trendy styles await."/>
    <n v="3430"/>
    <n v="566"/>
    <n v="164"/>
    <n v="48020"/>
    <n v="47305"/>
    <n v="120"/>
    <x v="3"/>
    <s v="EndOfSeasonSale"/>
    <n v="8.7939964062995452E-2"/>
  </r>
  <r>
    <s v="P163"/>
    <s v="Instagram"/>
    <d v="2025-04-08T00:00:00"/>
    <s v="Image"/>
    <s v="Explore the latest image on Myntra! Trendy styles await."/>
    <n v="4501"/>
    <n v="375"/>
    <n v="323"/>
    <n v="22505"/>
    <n v="21836"/>
    <n v="132"/>
    <x v="1"/>
    <s v="StyleRevolution"/>
    <n v="0.23809305733650851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4"/>
    <s v="EndOfSeasonSale"/>
    <n v="0.15531069827033953"/>
  </r>
  <r>
    <s v="P164"/>
    <s v="Youtube"/>
    <d v="2025-02-27T00:00:00"/>
    <s v="Text"/>
    <s v="Explore the latest text on Myntra! Trendy styles await."/>
    <n v="4934"/>
    <n v="971"/>
    <n v="156"/>
    <n v="39472"/>
    <n v="39025"/>
    <n v="169"/>
    <x v="2"/>
    <s v="EndOfSeasonSale"/>
    <n v="0.15531069827033953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3"/>
    <s v="EndOfSeasonSale"/>
    <n v="0.1575481484822516"/>
  </r>
  <r>
    <s v="P165"/>
    <s v="Twitter"/>
    <d v="2024-12-11T00:00:00"/>
    <s v="Text"/>
    <s v="Explore the latest text on Myntra! Trendy styles await."/>
    <n v="3239"/>
    <n v="43"/>
    <n v="211"/>
    <n v="22673"/>
    <n v="22171"/>
    <n v="230"/>
    <x v="2"/>
    <s v="EndOfSeasonSale"/>
    <n v="0.1575481484822516"/>
  </r>
  <r>
    <s v="P166"/>
    <s v="Twitter"/>
    <d v="2025-02-16T00:00:00"/>
    <s v="Reel"/>
    <s v="Explore the latest reel on Myntra! Trendy styles await."/>
    <n v="1076"/>
    <n v="313"/>
    <n v="306"/>
    <n v="11836"/>
    <n v="11596"/>
    <n v="104"/>
    <x v="4"/>
    <s v="EndOfSeasonSale"/>
    <n v="0.14617109348051052"/>
  </r>
  <r>
    <s v="P167"/>
    <s v="Instagram"/>
    <d v="2024-11-28T00:00:00"/>
    <s v="Text"/>
    <s v="Explore the latest text on Myntra! Trendy styles await."/>
    <n v="4771"/>
    <n v="818"/>
    <n v="56"/>
    <n v="57252"/>
    <n v="56378"/>
    <n v="150"/>
    <x v="0"/>
    <s v="EndOfSeasonSale"/>
    <n v="0.10012770939018766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1"/>
    <s v="StyleRevolution"/>
    <n v="7.5474346676648804E-2"/>
  </r>
  <r>
    <s v="P168"/>
    <s v="Facebook"/>
    <d v="2024-11-12T00:00:00"/>
    <s v="Text"/>
    <s v="Explore the latest text on Myntra! Trendy styles await."/>
    <n v="2418"/>
    <n v="754"/>
    <n v="54"/>
    <n v="43524"/>
    <n v="42743"/>
    <n v="182"/>
    <x v="3"/>
    <s v="StyleRevolution"/>
    <n v="7.5474346676648804E-2"/>
  </r>
  <r>
    <s v="P169"/>
    <s v="Youtube"/>
    <d v="2024-12-03T00:00:00"/>
    <s v="Video"/>
    <s v="Explore the latest video on Myntra! Trendy styles await."/>
    <n v="3809"/>
    <n v="273"/>
    <n v="200"/>
    <n v="34281"/>
    <n v="33534"/>
    <n v="83"/>
    <x v="3"/>
    <s v="MyntraFestiveEdit"/>
    <n v="0.12769129838372995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2"/>
    <s v="StyleRevolution"/>
    <n v="6.8780494995504066E-2"/>
  </r>
  <r>
    <s v="P170"/>
    <s v="Twitter"/>
    <d v="2025-04-28T00:00:00"/>
    <s v="Text"/>
    <s v="Explore the latest text on Myntra! Trendy styles await."/>
    <n v="3577"/>
    <n v="596"/>
    <n v="493"/>
    <n v="67963"/>
    <n v="67839"/>
    <n v="53"/>
    <x v="3"/>
    <s v="StyleRevolution"/>
    <n v="6.8780494995504066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0"/>
    <s v="StyleRevolution"/>
    <n v="9.8931953314247964E-2"/>
  </r>
  <r>
    <s v="P171"/>
    <s v="Youtube"/>
    <d v="2024-12-31T00:00:00"/>
    <s v="Video"/>
    <s v="Explore the latest video on Myntra! Trendy styles await."/>
    <n v="1018"/>
    <n v="447"/>
    <n v="332"/>
    <n v="18324"/>
    <n v="18164"/>
    <n v="38"/>
    <x v="1"/>
    <s v="StyleRevolution"/>
    <n v="9.8931953314247964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1"/>
    <s v="StyleRevolution"/>
    <n v="7.3636275554694319E-2"/>
  </r>
  <r>
    <s v="P172"/>
    <s v="Facebook"/>
    <d v="2024-08-14T00:00:00"/>
    <s v="Carousel"/>
    <s v="Explore the latest carousel on Myntra! Trendy styles await."/>
    <n v="3073"/>
    <n v="553"/>
    <n v="174"/>
    <n v="52241"/>
    <n v="51605"/>
    <n v="246"/>
    <x v="2"/>
    <s v="StyleRevolution"/>
    <n v="7.3636275554694319E-2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4"/>
    <s v="StyleRevolution"/>
    <n v="0.14890435008778205"/>
  </r>
  <r>
    <s v="P173"/>
    <s v="Twitter"/>
    <d v="2024-12-05T00:00:00"/>
    <s v="Video"/>
    <s v="Explore the latest video on Myntra! Trendy styles await."/>
    <n v="1330"/>
    <n v="925"/>
    <n v="35"/>
    <n v="15960"/>
    <n v="15379"/>
    <n v="229"/>
    <x v="3"/>
    <s v="StyleRevolution"/>
    <n v="0.14890435008778205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0"/>
    <s v="StyleRevolution"/>
    <n v="0.13989877270171028"/>
  </r>
  <r>
    <s v="P174"/>
    <s v="Facebook"/>
    <d v="2024-06-22T00:00:00"/>
    <s v="Text"/>
    <s v="Explore the latest text on Myntra! Trendy styles await."/>
    <n v="3828"/>
    <n v="148"/>
    <n v="253"/>
    <n v="30624"/>
    <n v="30229"/>
    <n v="235"/>
    <x v="2"/>
    <s v="StyleRevolution"/>
    <n v="0.13989877270171028"/>
  </r>
  <r>
    <s v="P175"/>
    <s v="Instagram"/>
    <d v="2025-01-17T00:00:00"/>
    <s v="Reel"/>
    <s v="Explore the latest reel on Myntra! Trendy styles await."/>
    <n v="142"/>
    <n v="784"/>
    <n v="183"/>
    <n v="1704"/>
    <n v="995"/>
    <n v="154"/>
    <x v="0"/>
    <s v="FashionUpgrade"/>
    <n v="1.114572864321608"/>
  </r>
  <r>
    <s v="P176"/>
    <s v="Facebook"/>
    <d v="2024-06-20T00:00:00"/>
    <s v="Video"/>
    <s v="Explore the latest video on Myntra! Trendy styles await."/>
    <n v="3798"/>
    <n v="31"/>
    <n v="279"/>
    <n v="75960"/>
    <n v="75813"/>
    <n v="266"/>
    <x v="1"/>
    <s v="EndOfSeasonSale"/>
    <n v="5.4185957553453894E-2"/>
  </r>
  <r>
    <s v="P177"/>
    <s v="Instagram"/>
    <d v="2024-07-10T00:00:00"/>
    <s v="Carousel"/>
    <s v="Explore the latest carousel on Myntra! Trendy styles await."/>
    <n v="3099"/>
    <n v="694"/>
    <n v="171"/>
    <n v="43386"/>
    <n v="42921"/>
    <n v="52"/>
    <x v="4"/>
    <s v="StyleRevolution"/>
    <n v="9.2355723305607984E-2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2"/>
    <s v="StyleRevolution"/>
    <n v="1.0822407628128725"/>
  </r>
  <r>
    <s v="P178"/>
    <s v="Instagram"/>
    <d v="2024-11-07T00:00:00"/>
    <s v="Video"/>
    <s v="Explore the latest video on Myntra! Trendy styles await."/>
    <n v="129"/>
    <n v="643"/>
    <n v="136"/>
    <n v="1290"/>
    <n v="839"/>
    <n v="238"/>
    <x v="4"/>
    <s v="StyleRevolution"/>
    <n v="1.0822407628128725"/>
  </r>
  <r>
    <s v="P179"/>
    <s v="Facebook"/>
    <d v="2024-07-15T00:00:00"/>
    <s v="Carousel"/>
    <s v="Explore the latest carousel on Myntra! Trendy styles await."/>
    <n v="3796"/>
    <n v="667"/>
    <n v="395"/>
    <n v="64532"/>
    <n v="63550"/>
    <n v="292"/>
    <x v="2"/>
    <s v="FashionUpgrade"/>
    <n v="7.6443745082612119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2"/>
    <s v="StyleRevolution"/>
    <n v="9.1489943042098398E-2"/>
  </r>
  <r>
    <s v="P180"/>
    <s v="Youtube"/>
    <d v="2024-12-03T00:00:00"/>
    <s v="Text"/>
    <s v="Explore the latest text on Myntra! Trendy styles await."/>
    <n v="3711"/>
    <n v="352"/>
    <n v="290"/>
    <n v="48243"/>
    <n v="47579"/>
    <n v="11"/>
    <x v="4"/>
    <s v="StyleRevolution"/>
    <n v="9.1489943042098398E-2"/>
  </r>
  <r>
    <s v="P181"/>
    <s v="Youtube"/>
    <d v="2025-03-21T00:00:00"/>
    <s v="Image"/>
    <s v="Explore the latest image on Myntra! Trendy styles await."/>
    <n v="606"/>
    <n v="789"/>
    <n v="470"/>
    <n v="7878"/>
    <n v="7389"/>
    <n v="239"/>
    <x v="0"/>
    <s v="EndOfSeasonSale"/>
    <n v="0.25240221951549602"/>
  </r>
  <r>
    <s v="P182"/>
    <s v="Facebook"/>
    <d v="2024-07-31T00:00:00"/>
    <s v="Image"/>
    <s v="Explore the latest image on Myntra! Trendy styles await."/>
    <n v="4689"/>
    <n v="134"/>
    <n v="403"/>
    <n v="51579"/>
    <n v="50924"/>
    <n v="173"/>
    <x v="4"/>
    <s v="FashionUpgrade"/>
    <n v="0.10262351739847617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2"/>
    <s v="EndOfSeasonSale"/>
    <n v="0.3107357704766312"/>
  </r>
  <r>
    <s v="P183"/>
    <s v="Instagram"/>
    <d v="2024-12-17T00:00:00"/>
    <s v="Story"/>
    <s v="Explore the latest story on Myntra! Trendy styles await."/>
    <n v="360"/>
    <n v="590"/>
    <n v="393"/>
    <n v="4680"/>
    <n v="4322"/>
    <n v="208"/>
    <x v="4"/>
    <s v="EndOfSeasonSale"/>
    <n v="0.3107357704766312"/>
  </r>
  <r>
    <s v="P184"/>
    <s v="Twitter"/>
    <d v="2024-07-28T00:00:00"/>
    <s v="Image"/>
    <s v="Explore the latest image on Myntra! Trendy styles await."/>
    <n v="3215"/>
    <n v="960"/>
    <n v="202"/>
    <n v="32150"/>
    <n v="31404"/>
    <n v="251"/>
    <x v="2"/>
    <s v="MyntraFestiveEdit"/>
    <n v="0.13937714940771875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0"/>
    <s v="StyleRevolution"/>
    <n v="9.6109793427801085E-2"/>
  </r>
  <r>
    <s v="P185"/>
    <s v="Instagram"/>
    <d v="2025-01-11T00:00:00"/>
    <s v="Carousel"/>
    <s v="Explore the latest carousel on Myntra! Trendy styles await."/>
    <n v="4523"/>
    <n v="61"/>
    <n v="157"/>
    <n v="49753"/>
    <n v="49329"/>
    <n v="71"/>
    <x v="3"/>
    <s v="StyleRevolution"/>
    <n v="9.6109793427801085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3"/>
    <s v="FashionUpgrade"/>
    <n v="8.6364133805128959E-2"/>
  </r>
  <r>
    <s v="P186"/>
    <s v="Facebook"/>
    <d v="2024-08-24T00:00:00"/>
    <s v="Carousel"/>
    <s v="Explore the latest carousel on Myntra! Trendy styles await."/>
    <n v="4292"/>
    <n v="51"/>
    <n v="392"/>
    <n v="55796"/>
    <n v="54826"/>
    <n v="264"/>
    <x v="2"/>
    <s v="FashionUpgrade"/>
    <n v="8.6364133805128959E-2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0"/>
    <s v="FashionUpgrade"/>
    <n v="8.6080047086521477E-2"/>
  </r>
  <r>
    <s v="P187"/>
    <s v="Twitter"/>
    <d v="2024-12-22T00:00:00"/>
    <s v="Reel"/>
    <s v="Explore the latest reel on Myntra! Trendy styles await."/>
    <n v="1644"/>
    <n v="546"/>
    <n v="150"/>
    <n v="27948"/>
    <n v="27184"/>
    <n v="300"/>
    <x v="3"/>
    <s v="FashionUpgrade"/>
    <n v="8.6080047086521477E-2"/>
  </r>
  <r>
    <s v="P188"/>
    <s v="Youtube"/>
    <d v="2024-06-06T00:00:00"/>
    <s v="Reel"/>
    <s v="Explore the latest reel on Myntra! Trendy styles await."/>
    <n v="2728"/>
    <n v="533"/>
    <n v="215"/>
    <n v="40920"/>
    <n v="40816"/>
    <n v="137"/>
    <x v="0"/>
    <s v="EndOfSeasonSale"/>
    <n v="8.516268130145041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0"/>
    <s v="FashionUpgrade"/>
    <n v="7.3561482972655592E-2"/>
  </r>
  <r>
    <s v="P189"/>
    <s v="Facebook"/>
    <d v="2025-03-24T00:00:00"/>
    <s v="Reel"/>
    <s v="Explore the latest reel on Myntra! Trendy styles await."/>
    <n v="3360"/>
    <n v="525"/>
    <n v="500"/>
    <n v="60480"/>
    <n v="59610"/>
    <n v="192"/>
    <x v="2"/>
    <s v="FashionUpgrade"/>
    <n v="7.3561482972655592E-2"/>
  </r>
  <r>
    <s v="P190"/>
    <s v="Youtube"/>
    <d v="2024-10-04T00:00:00"/>
    <s v="Text"/>
    <s v="Explore the latest text on Myntra! Trendy styles await."/>
    <n v="1963"/>
    <n v="213"/>
    <n v="19"/>
    <n v="39260"/>
    <n v="38771"/>
    <n v="145"/>
    <x v="2"/>
    <s v="FashionUpgrade"/>
    <n v="5.6614479894766707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1"/>
    <s v="StyleRevolution"/>
    <n v="9.9845201238390094E-2"/>
  </r>
  <r>
    <s v="P191"/>
    <s v="Youtube"/>
    <d v="2024-12-03T00:00:00"/>
    <s v="Story"/>
    <s v="Explore the latest story on Myntra! Trendy styles await."/>
    <n v="4285"/>
    <n v="886"/>
    <n v="376"/>
    <n v="55705"/>
    <n v="55556"/>
    <n v="51"/>
    <x v="4"/>
    <s v="StyleRevolution"/>
    <n v="9.9845201238390094E-2"/>
  </r>
  <r>
    <s v="P192"/>
    <s v="Instagram"/>
    <d v="2024-11-29T00:00:00"/>
    <s v="Video"/>
    <s v="Explore the latest video on Myntra! Trendy styles await."/>
    <n v="1176"/>
    <n v="464"/>
    <n v="394"/>
    <n v="14112"/>
    <n v="13588"/>
    <n v="272"/>
    <x v="4"/>
    <s v="FashionUpgrade"/>
    <n v="0.14969090373859287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4"/>
    <s v="FashionUpgrade"/>
    <n v="0.10066999449579593"/>
  </r>
  <r>
    <s v="P193"/>
    <s v="Twitter"/>
    <d v="2024-09-11T00:00:00"/>
    <s v="Image"/>
    <s v="Explore the latest image on Myntra! Trendy styles await."/>
    <n v="4858"/>
    <n v="317"/>
    <n v="129"/>
    <n v="53438"/>
    <n v="52687"/>
    <n v="223"/>
    <x v="3"/>
    <s v="FashionUpgrade"/>
    <n v="0.10066999449579593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4"/>
    <s v="EndOfSeasonSale"/>
    <n v="8.4631634539213102E-2"/>
  </r>
  <r>
    <s v="P194"/>
    <s v="Youtube"/>
    <d v="2024-10-02T00:00:00"/>
    <s v="Story"/>
    <s v="Explore the latest story on Myntra! Trendy styles await."/>
    <n v="4350"/>
    <n v="771"/>
    <n v="7"/>
    <n v="60900"/>
    <n v="60592"/>
    <n v="195"/>
    <x v="2"/>
    <s v="EndOfSeasonSale"/>
    <n v="8.4631634539213102E-2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1"/>
    <s v="MyntraFestiveEdit"/>
    <n v="0.14121739130434782"/>
  </r>
  <r>
    <s v="P195"/>
    <s v="Instagram"/>
    <d v="2024-08-15T00:00:00"/>
    <s v="Carousel"/>
    <s v="Explore the latest carousel on Myntra! Trendy styles await."/>
    <n v="914"/>
    <n v="464"/>
    <n v="246"/>
    <n v="11882"/>
    <n v="11500"/>
    <n v="282"/>
    <x v="3"/>
    <s v="MyntraFestiveEdit"/>
    <n v="0.14121739130434782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3"/>
    <s v="MyntraFestiveEdit"/>
    <n v="0.13228545809378131"/>
  </r>
  <r>
    <s v="P196"/>
    <s v="Instagram"/>
    <d v="2024-12-19T00:00:00"/>
    <s v="Text"/>
    <s v="Explore the latest text on Myntra! Trendy styles await."/>
    <n v="1813"/>
    <n v="623"/>
    <n v="72"/>
    <n v="19943"/>
    <n v="18959"/>
    <n v="85"/>
    <x v="1"/>
    <s v="MyntraFestiveEdit"/>
    <n v="0.13228545809378131"/>
  </r>
  <r>
    <s v="P197"/>
    <s v="Twitter"/>
    <d v="2024-10-22T00:00:00"/>
    <s v="Reel"/>
    <s v="Explore the latest reel on Myntra! Trendy styles await."/>
    <n v="4782"/>
    <n v="721"/>
    <n v="82"/>
    <n v="86076"/>
    <n v="85339"/>
    <n v="19"/>
    <x v="4"/>
    <s v="EndOfSeasonSale"/>
    <n v="6.5444872801415532E-2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3"/>
    <s v="EndOfSeasonSale"/>
    <n v="0.21076334158973203"/>
  </r>
  <r>
    <s v="P198"/>
    <s v="Twitter"/>
    <d v="2024-09-14T00:00:00"/>
    <s v="Image"/>
    <s v="Explore the latest image on Myntra! Trendy styles await."/>
    <n v="1048"/>
    <n v="374"/>
    <n v="450"/>
    <n v="9432"/>
    <n v="8882"/>
    <n v="158"/>
    <x v="0"/>
    <s v="EndOfSeasonSale"/>
    <n v="0.21076334158973203"/>
  </r>
  <r>
    <s v="P199"/>
    <s v="Youtube"/>
    <d v="2024-11-30T00:00:00"/>
    <s v="Carousel"/>
    <s v="Explore the latest carousel on Myntra! Trendy styles await."/>
    <n v="2509"/>
    <n v="324"/>
    <n v="171"/>
    <n v="35126"/>
    <n v="34685"/>
    <n v="277"/>
    <x v="4"/>
    <s v="EndOfSeasonSale"/>
    <n v="8.6608043822978237E-2"/>
  </r>
  <r>
    <s v="P200"/>
    <s v="Facebook"/>
    <d v="2025-04-07T00:00:00"/>
    <s v="Reel"/>
    <s v="Explore the latest reel on Myntra! Trendy styles await."/>
    <n v="3718"/>
    <n v="385"/>
    <n v="310"/>
    <n v="70642"/>
    <n v="69749"/>
    <n v="233"/>
    <x v="3"/>
    <s v="FashionUpgrade"/>
    <n v="6.3269724297122534E-2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0"/>
    <s v="StyleRevolution"/>
    <n v="9.1596638655462179E-2"/>
  </r>
  <r>
    <s v="P201"/>
    <s v="Twitter"/>
    <d v="2025-01-15T00:00:00"/>
    <s v="Reel"/>
    <s v="Explore the latest reel on Myntra! Trendy styles await."/>
    <n v="802"/>
    <n v="262"/>
    <n v="244"/>
    <n v="14436"/>
    <n v="14280"/>
    <n v="49"/>
    <x v="4"/>
    <s v="StyleRevolution"/>
    <n v="9.1596638655462179E-2"/>
  </r>
  <r>
    <s v="P202"/>
    <s v="Facebook"/>
    <d v="2024-06-02T00:00:00"/>
    <s v="Image"/>
    <s v="Explore the latest image on Myntra! Trendy styles await."/>
    <n v="1871"/>
    <n v="252"/>
    <n v="335"/>
    <n v="29936"/>
    <n v="29576"/>
    <n v="288"/>
    <x v="3"/>
    <s v="EndOfSeasonSale"/>
    <n v="8.3107925344874226E-2"/>
  </r>
  <r>
    <s v="P203"/>
    <s v="Instagram"/>
    <d v="2024-11-21T00:00:00"/>
    <s v="Carousel"/>
    <s v="Explore the latest carousel on Myntra! Trendy styles await."/>
    <n v="3773"/>
    <n v="299"/>
    <n v="38"/>
    <n v="71687"/>
    <n v="71447"/>
    <n v="286"/>
    <x v="3"/>
    <s v="StyleRevolution"/>
    <n v="5.7525158509104654E-2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4"/>
    <s v="StyleRevolution"/>
    <n v="0.31403160185448009"/>
  </r>
  <r>
    <s v="P204"/>
    <s v="Instagram"/>
    <d v="2025-01-01T00:00:00"/>
    <s v="Carousel"/>
    <s v="Explore the latest carousel on Myntra! Trendy styles await."/>
    <n v="2234"/>
    <n v="653"/>
    <n v="432"/>
    <n v="11170"/>
    <n v="10569"/>
    <n v="198"/>
    <x v="2"/>
    <s v="StyleRevolution"/>
    <n v="0.31403160185448009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2"/>
    <s v="FashionUpgrade"/>
    <n v="0.10486292213626701"/>
  </r>
  <r>
    <s v="P205"/>
    <s v="Twitter"/>
    <d v="2025-04-24T00:00:00"/>
    <s v="Video"/>
    <s v="Explore the latest video on Myntra! Trendy styles await."/>
    <n v="3820"/>
    <n v="697"/>
    <n v="268"/>
    <n v="45840"/>
    <n v="45631"/>
    <n v="171"/>
    <x v="4"/>
    <s v="FashionUpgrade"/>
    <n v="0.10486292213626701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1"/>
    <s v="EndOfSeasonSale"/>
    <n v="0.10984246278363925"/>
  </r>
  <r>
    <s v="P206"/>
    <s v="Twitter"/>
    <d v="2024-06-24T00:00:00"/>
    <s v="Text"/>
    <s v="Explore the latest text on Myntra! Trendy styles await."/>
    <n v="941"/>
    <n v="121"/>
    <n v="458"/>
    <n v="14115"/>
    <n v="13838"/>
    <n v="87"/>
    <x v="0"/>
    <s v="EndOfSeasonSale"/>
    <n v="0.10984246278363925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2"/>
    <s v="MyntraFestiveEdit"/>
    <n v="0.14635531902170662"/>
  </r>
  <r>
    <s v="P207"/>
    <s v="Twitter"/>
    <d v="2024-12-29T00:00:00"/>
    <s v="Carousel"/>
    <s v="Explore the latest carousel on Myntra! Trendy styles await."/>
    <n v="4274"/>
    <n v="340"/>
    <n v="281"/>
    <n v="34192"/>
    <n v="33446"/>
    <n v="129"/>
    <x v="4"/>
    <s v="MyntraFestiveEdit"/>
    <n v="0.14635531902170662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3"/>
    <s v="FashionUpgrade"/>
    <n v="8.7587232582084423E-2"/>
  </r>
  <r>
    <s v="P208"/>
    <s v="Youtube"/>
    <d v="2024-06-24T00:00:00"/>
    <s v="Video"/>
    <s v="Explore the latest video on Myntra! Trendy styles await."/>
    <n v="2949"/>
    <n v="476"/>
    <n v="403"/>
    <n v="44235"/>
    <n v="43705"/>
    <n v="135"/>
    <x v="4"/>
    <s v="FashionUpgrade"/>
    <n v="8.7587232582084423E-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2"/>
    <s v="FashionUpgrade"/>
    <n v="8.3840974671369028E-2"/>
  </r>
  <r>
    <s v="P209"/>
    <s v="Twitter"/>
    <d v="2025-03-19T00:00:00"/>
    <s v="Video"/>
    <s v="Explore the latest video on Myntra! Trendy styles await."/>
    <n v="3160"/>
    <n v="204"/>
    <n v="297"/>
    <n v="44240"/>
    <n v="43666"/>
    <n v="49"/>
    <x v="3"/>
    <s v="FashionUpgrade"/>
    <n v="8.3840974671369028E-2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3"/>
    <s v="FashionUpgrade"/>
    <n v="0.58881220486741737"/>
  </r>
  <r>
    <s v="P210"/>
    <s v="Youtube"/>
    <d v="2025-02-19T00:00:00"/>
    <s v="Image"/>
    <s v="Explore the latest image on Myntra! Trendy styles await."/>
    <n v="257"/>
    <n v="966"/>
    <n v="398"/>
    <n v="3341"/>
    <n v="2753"/>
    <n v="287"/>
    <x v="0"/>
    <s v="FashionUpgrade"/>
    <n v="0.58881220486741737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3"/>
    <s v="FashionUpgrade"/>
    <n v="0.18863419293218719"/>
  </r>
  <r>
    <s v="P211"/>
    <s v="Twitter"/>
    <d v="2024-07-18T00:00:00"/>
    <s v="Carousel"/>
    <s v="Explore the latest carousel on Myntra! Trendy styles await."/>
    <n v="2120"/>
    <n v="38"/>
    <n v="212"/>
    <n v="12720"/>
    <n v="12564"/>
    <n v="21"/>
    <x v="0"/>
    <s v="FashionUpgrade"/>
    <n v="0.18863419293218719"/>
  </r>
  <r>
    <s v="P212"/>
    <s v="Youtube"/>
    <d v="2025-03-03T00:00:00"/>
    <s v="Video"/>
    <s v="Explore the latest video on Myntra! Trendy styles await."/>
    <n v="3874"/>
    <n v="884"/>
    <n v="19"/>
    <n v="38740"/>
    <n v="38552"/>
    <n v="219"/>
    <x v="2"/>
    <s v="StyleRevolution"/>
    <n v="0.12391056235733555"/>
  </r>
  <r>
    <s v="P213"/>
    <s v="Facebook"/>
    <d v="2025-05-01T00:00:00"/>
    <s v="Carousel"/>
    <s v="Explore the latest carousel on Myntra! Trendy styles await."/>
    <n v="2696"/>
    <n v="628"/>
    <n v="443"/>
    <n v="45832"/>
    <n v="45632"/>
    <n v="248"/>
    <x v="0"/>
    <s v="MyntraFestiveEdit"/>
    <n v="8.2551718092566617E-2"/>
  </r>
  <r>
    <s v="P214"/>
    <s v="Instagram"/>
    <d v="2024-12-23T00:00:00"/>
    <s v="Image"/>
    <s v="Explore the latest image on Myntra! Trendy styles await."/>
    <n v="521"/>
    <n v="746"/>
    <n v="315"/>
    <n v="4168"/>
    <n v="3399"/>
    <n v="282"/>
    <x v="0"/>
    <s v="FashionUpgrade"/>
    <n v="0.46543100912032953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0"/>
    <s v="FashionUpgrade"/>
    <n v="7.2362283900512456E-2"/>
  </r>
  <r>
    <s v="P215"/>
    <s v="Facebook"/>
    <d v="2025-05-06T00:00:00"/>
    <s v="Image"/>
    <s v="Explore the latest image on Myntra! Trendy styles await."/>
    <n v="4872"/>
    <n v="925"/>
    <n v="176"/>
    <n v="82824"/>
    <n v="82543"/>
    <n v="89"/>
    <x v="3"/>
    <s v="FashionUpgrade"/>
    <n v="7.2362283900512456E-2"/>
  </r>
  <r>
    <s v="P216"/>
    <s v="Youtube"/>
    <d v="2024-07-29T00:00:00"/>
    <s v="Story"/>
    <s v="Explore the latest story on Myntra! Trendy styles await."/>
    <n v="1509"/>
    <n v="88"/>
    <n v="163"/>
    <n v="30180"/>
    <n v="29689"/>
    <n v="119"/>
    <x v="3"/>
    <s v="FashionUpgrade"/>
    <n v="5.928121526491293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4"/>
    <s v="MyntraFestiveEdit"/>
    <n v="6.3068678915135609E-2"/>
  </r>
  <r>
    <s v="P217"/>
    <s v="Facebook"/>
    <d v="2024-12-03T00:00:00"/>
    <s v="Image"/>
    <s v="Explore the latest image on Myntra! Trendy styles await."/>
    <n v="4606"/>
    <n v="931"/>
    <n v="230"/>
    <n v="92120"/>
    <n v="91440"/>
    <n v="56"/>
    <x v="1"/>
    <s v="MyntraFestiveEdit"/>
    <n v="6.3068678915135609E-2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4"/>
    <s v="FashionUpgrade"/>
    <n v="0.19651967293311901"/>
  </r>
  <r>
    <s v="P218"/>
    <s v="Facebook"/>
    <d v="2024-06-11T00:00:00"/>
    <s v="Carousel"/>
    <s v="Explore the latest carousel on Myntra! Trendy styles await."/>
    <n v="1869"/>
    <n v="453"/>
    <n v="490"/>
    <n v="14952"/>
    <n v="14309"/>
    <n v="275"/>
    <x v="2"/>
    <s v="FashionUpgrade"/>
    <n v="0.19651967293311901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2"/>
    <s v="EndOfSeasonSale"/>
    <n v="0.29812855980471931"/>
  </r>
  <r>
    <s v="P219"/>
    <s v="Twitter"/>
    <d v="2025-01-28T00:00:00"/>
    <s v="Reel"/>
    <s v="Explore the latest reel on Myntra! Trendy styles await."/>
    <n v="1188"/>
    <n v="470"/>
    <n v="174"/>
    <n v="7128"/>
    <n v="6145"/>
    <n v="270"/>
    <x v="1"/>
    <s v="EndOfSeasonSale"/>
    <n v="0.29812855980471931"/>
  </r>
  <r>
    <s v="P220"/>
    <s v="Instagram"/>
    <d v="2024-06-02T00:00:00"/>
    <s v="Story"/>
    <s v="Explore the latest story on Myntra! Trendy styles await."/>
    <n v="84"/>
    <n v="897"/>
    <n v="85"/>
    <n v="588"/>
    <n v="8"/>
    <n v="12"/>
    <x v="2"/>
    <s v="EndOfSeasonSale"/>
    <n v="133.25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3"/>
    <s v="StyleRevolution"/>
    <n v="0.1630623261900867"/>
  </r>
  <r>
    <s v="P221"/>
    <s v="Facebook"/>
    <d v="2025-03-23T00:00:00"/>
    <s v="Video"/>
    <s v="Explore the latest video on Myntra! Trendy styles await."/>
    <n v="4453"/>
    <n v="111"/>
    <n v="420"/>
    <n v="31171"/>
    <n v="30565"/>
    <n v="23"/>
    <x v="1"/>
    <s v="StyleRevolution"/>
    <n v="0.1630623261900867"/>
  </r>
  <r>
    <s v="P222"/>
    <s v="Facebook"/>
    <d v="2024-10-08T00:00:00"/>
    <s v="Reel"/>
    <s v="Explore the latest reel on Myntra! Trendy styles await."/>
    <n v="1814"/>
    <n v="653"/>
    <n v="363"/>
    <n v="25396"/>
    <n v="25286"/>
    <n v="39"/>
    <x v="2"/>
    <s v="FashionUpgrade"/>
    <n v="0.11191963932610931"/>
  </r>
  <r>
    <s v="P223"/>
    <s v="Twitter"/>
    <d v="2024-11-12T00:00:00"/>
    <s v="Image"/>
    <s v="Explore the latest image on Myntra! Trendy styles await."/>
    <n v="3338"/>
    <n v="277"/>
    <n v="118"/>
    <n v="60084"/>
    <n v="59842"/>
    <n v="252"/>
    <x v="2"/>
    <s v="FashionUpgrade"/>
    <n v="6.2380936466027208E-2"/>
  </r>
  <r>
    <s v="P224"/>
    <s v="Facebook"/>
    <d v="2025-05-13T00:00:00"/>
    <s v="Image"/>
    <s v="Explore the latest image on Myntra! Trendy styles await."/>
    <n v="602"/>
    <n v="594"/>
    <n v="156"/>
    <n v="4214"/>
    <n v="3363"/>
    <n v="164"/>
    <x v="0"/>
    <s v="MyntraFestiveEdit"/>
    <n v="0.40202200416294975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4"/>
    <s v="MyntraFestiveEdit"/>
    <n v="5.7256384274703129E-2"/>
  </r>
  <r>
    <s v="P225"/>
    <s v="Twitter"/>
    <d v="2024-06-20T00:00:00"/>
    <s v="Carousel"/>
    <s v="Explore the latest carousel on Myntra! Trendy styles await."/>
    <n v="4672"/>
    <n v="325"/>
    <n v="32"/>
    <n v="88768"/>
    <n v="87833"/>
    <n v="118"/>
    <x v="0"/>
    <s v="MyntraFestiveEdit"/>
    <n v="5.7256384274703129E-2"/>
  </r>
  <r>
    <s v="P226"/>
    <s v="Instagram"/>
    <d v="2024-08-07T00:00:00"/>
    <s v="Carousel"/>
    <s v="Explore the latest carousel on Myntra! Trendy styles await."/>
    <n v="1741"/>
    <n v="164"/>
    <n v="318"/>
    <n v="8705"/>
    <n v="8272"/>
    <n v="121"/>
    <x v="0"/>
    <s v="EndOfSeasonSale"/>
    <n v="0.26873791102514505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3"/>
    <s v="EndOfSeasonSale"/>
    <n v="0.11958997722095673"/>
  </r>
  <r>
    <s v="P227"/>
    <s v="Instagram"/>
    <d v="2024-06-12T00:00:00"/>
    <s v="Text"/>
    <s v="Explore the latest text on Myntra! Trendy styles await."/>
    <n v="246"/>
    <n v="149"/>
    <n v="130"/>
    <n v="4674"/>
    <n v="4390"/>
    <n v="217"/>
    <x v="4"/>
    <s v="EndOfSeasonSale"/>
    <n v="0.11958997722095673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3"/>
    <s v="StyleRevolution"/>
    <n v="8.2291899129658563E-2"/>
  </r>
  <r>
    <s v="P228"/>
    <s v="Instagram"/>
    <d v="2024-07-01T00:00:00"/>
    <s v="Story"/>
    <s v="Explore the latest story on Myntra! Trendy styles await."/>
    <n v="4808"/>
    <n v="772"/>
    <n v="320"/>
    <n v="72120"/>
    <n v="71696"/>
    <n v="195"/>
    <x v="0"/>
    <s v="StyleRevolution"/>
    <n v="8.2291899129658563E-2"/>
  </r>
  <r>
    <s v="P229"/>
    <s v="Instagram"/>
    <d v="2024-07-03T00:00:00"/>
    <s v="Carousel"/>
    <s v="Explore the latest carousel on Myntra! Trendy styles await."/>
    <n v="4799"/>
    <n v="694"/>
    <n v="289"/>
    <n v="43191"/>
    <n v="42228"/>
    <n v="118"/>
    <x v="3"/>
    <s v="EndOfSeasonSale"/>
    <n v="0.13692336838116889"/>
  </r>
  <r>
    <s v="P230"/>
    <s v="Facebook"/>
    <d v="2024-07-15T00:00:00"/>
    <s v="Reel"/>
    <s v="Explore the latest reel on Myntra! Trendy styles await."/>
    <n v="3663"/>
    <n v="17"/>
    <n v="295"/>
    <n v="51282"/>
    <n v="50567"/>
    <n v="84"/>
    <x v="0"/>
    <s v="FashionUpgrade"/>
    <n v="7.8608578717345307E-2"/>
  </r>
  <r>
    <s v="P231"/>
    <s v="Instagram"/>
    <d v="2025-05-01T00:00:00"/>
    <s v="Text"/>
    <s v="Explore the latest text on Myntra! Trendy styles await."/>
    <n v="1430"/>
    <n v="376"/>
    <n v="33"/>
    <n v="21450"/>
    <n v="20509"/>
    <n v="251"/>
    <x v="4"/>
    <s v="MyntraFestiveEdit"/>
    <n v="8.9667950655809639E-2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1"/>
    <s v="StyleRevolution"/>
    <n v="1.0258620689655173"/>
  </r>
  <r>
    <s v="P232"/>
    <s v="Twitter"/>
    <d v="2025-04-29T00:00:00"/>
    <s v="Story"/>
    <s v="Explore the latest story on Myntra! Trendy styles await."/>
    <n v="249"/>
    <n v="592"/>
    <n v="230"/>
    <n v="1494"/>
    <n v="1044"/>
    <n v="201"/>
    <x v="3"/>
    <s v="StyleRevolution"/>
    <n v="1.0258620689655173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4"/>
    <s v="EndOfSeasonSale"/>
    <n v="7.4284798461415183E-2"/>
  </r>
  <r>
    <s v="P233"/>
    <s v="Facebook"/>
    <d v="2025-03-08T00:00:00"/>
    <s v="Image"/>
    <s v="Explore the latest image on Myntra! Trendy styles await."/>
    <n v="2382"/>
    <n v="265"/>
    <n v="134"/>
    <n v="38112"/>
    <n v="37437"/>
    <n v="249"/>
    <x v="3"/>
    <s v="EndOfSeasonSale"/>
    <n v="7.4284798461415183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1"/>
    <s v="EndOfSeasonSale"/>
    <n v="7.7406298747839289E-2"/>
  </r>
  <r>
    <s v="P234"/>
    <s v="Facebook"/>
    <d v="2024-06-01T00:00:00"/>
    <s v="Text"/>
    <s v="Explore the latest text on Myntra! Trendy styles await."/>
    <n v="1272"/>
    <n v="465"/>
    <n v="99"/>
    <n v="24168"/>
    <n v="23719"/>
    <n v="42"/>
    <x v="4"/>
    <s v="EndOfSeasonSale"/>
    <n v="7.7406298747839289E-2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2"/>
    <s v="StyleRevolution"/>
    <n v="0.13102427128091976"/>
  </r>
  <r>
    <s v="P235"/>
    <s v="Facebook"/>
    <d v="2024-12-22T00:00:00"/>
    <s v="Image"/>
    <s v="Explore the latest image on Myntra! Trendy styles await."/>
    <n v="3196"/>
    <n v="941"/>
    <n v="376"/>
    <n v="35156"/>
    <n v="34444"/>
    <n v="241"/>
    <x v="3"/>
    <s v="StyleRevolution"/>
    <n v="0.13102427128091976"/>
  </r>
  <r>
    <s v="P236"/>
    <s v="Facebook"/>
    <d v="2024-08-19T00:00:00"/>
    <s v="Text"/>
    <s v="Explore the latest text on Myntra! Trendy styles await."/>
    <n v="1257"/>
    <n v="19"/>
    <n v="351"/>
    <n v="12570"/>
    <n v="11660"/>
    <n v="194"/>
    <x v="2"/>
    <s v="FashionUpgrade"/>
    <n v="0.13953687821612351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0"/>
    <s v="StyleRevolution"/>
    <n v="6.752474692240823E-2"/>
  </r>
  <r>
    <s v="P237"/>
    <s v="Instagram"/>
    <d v="2024-10-22T00:00:00"/>
    <s v="Story"/>
    <s v="Explore the latest story on Myntra! Trendy styles await."/>
    <n v="3770"/>
    <n v="917"/>
    <n v="129"/>
    <n v="71630"/>
    <n v="71322"/>
    <n v="76"/>
    <x v="3"/>
    <s v="StyleRevolution"/>
    <n v="6.752474692240823E-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3"/>
    <s v="FashionUpgrade"/>
    <n v="7.323127844435251E-2"/>
  </r>
  <r>
    <s v="P238"/>
    <s v="Twitter"/>
    <d v="2024-07-16T00:00:00"/>
    <s v="Text"/>
    <s v="Explore the latest text on Myntra! Trendy styles await."/>
    <n v="4725"/>
    <n v="400"/>
    <n v="362"/>
    <n v="75600"/>
    <n v="74927"/>
    <n v="43"/>
    <x v="1"/>
    <s v="FashionUpgrade"/>
    <n v="7.323127844435251E-2"/>
  </r>
  <r>
    <s v="P239"/>
    <s v="Youtube"/>
    <d v="2025-02-24T00:00:00"/>
    <s v="Text"/>
    <s v="Explore the latest text on Myntra! Trendy styles await."/>
    <n v="4188"/>
    <n v="942"/>
    <n v="118"/>
    <n v="20940"/>
    <n v="20471"/>
    <n v="102"/>
    <x v="2"/>
    <s v="EndOfSeasonSale"/>
    <n v="0.25636265937179425"/>
  </r>
  <r>
    <s v="P240"/>
    <s v="Twitter"/>
    <d v="2024-08-26T00:00:00"/>
    <s v="Carousel"/>
    <s v="Explore the latest carousel on Myntra! Trendy styles await."/>
    <n v="929"/>
    <n v="192"/>
    <n v="322"/>
    <n v="16722"/>
    <n v="15996"/>
    <n v="145"/>
    <x v="1"/>
    <s v="MyntraFestiveEdit"/>
    <n v="9.0210052513128289E-2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0"/>
    <s v="MyntraFestiveEdit"/>
    <n v="0.18346209065426949"/>
  </r>
  <r>
    <s v="P241"/>
    <s v="Facebook"/>
    <d v="2025-01-18T00:00:00"/>
    <s v="Story"/>
    <s v="Explore the latest story on Myntra! Trendy styles await."/>
    <n v="4321"/>
    <n v="874"/>
    <n v="172"/>
    <n v="30247"/>
    <n v="29254"/>
    <n v="122"/>
    <x v="1"/>
    <s v="MyntraFestiveEdit"/>
    <n v="0.18346209065426949"/>
  </r>
  <r>
    <s v="P242"/>
    <s v="Facebook"/>
    <d v="2024-07-07T00:00:00"/>
    <s v="Reel"/>
    <s v="Explore the latest reel on Myntra! Trendy styles await."/>
    <n v="4767"/>
    <n v="190"/>
    <n v="340"/>
    <n v="28602"/>
    <n v="28044"/>
    <n v="210"/>
    <x v="4"/>
    <s v="StyleRevolution"/>
    <n v="0.18888175723862502"/>
  </r>
  <r>
    <s v="P243"/>
    <s v="Twitter"/>
    <d v="2025-03-06T00:00:00"/>
    <s v="Image"/>
    <s v="Explore the latest image on Myntra! Trendy styles await."/>
    <n v="3592"/>
    <n v="911"/>
    <n v="375"/>
    <n v="50288"/>
    <n v="49490"/>
    <n v="32"/>
    <x v="2"/>
    <s v="EndOfSeasonSale"/>
    <n v="9.8565366740755708E-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2"/>
    <s v="FashionUpgrade"/>
    <n v="0.26697073019527962"/>
  </r>
  <r>
    <s v="P244"/>
    <s v="Youtube"/>
    <d v="2024-10-25T00:00:00"/>
    <s v="Video"/>
    <s v="Explore the latest video on Myntra! Trendy styles await."/>
    <n v="4661"/>
    <n v="935"/>
    <n v="433"/>
    <n v="23305"/>
    <n v="22583"/>
    <n v="63"/>
    <x v="4"/>
    <s v="FashionUpgrade"/>
    <n v="0.26697073019527962"/>
  </r>
  <r>
    <s v="P245"/>
    <s v="Facebook"/>
    <d v="2025-01-12T00:00:00"/>
    <s v="Reel"/>
    <s v="Explore the latest reel on Myntra! Trendy styles await."/>
    <n v="4134"/>
    <n v="824"/>
    <n v="99"/>
    <n v="41340"/>
    <n v="41050"/>
    <n v="177"/>
    <x v="1"/>
    <s v="EndOfSeasonSale"/>
    <n v="0.12319123020706456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0"/>
    <s v="EndOfSeasonSale"/>
    <n v="0.27668128654970758"/>
  </r>
  <r>
    <s v="P246"/>
    <s v="Facebook"/>
    <d v="2024-10-11T00:00:00"/>
    <s v="Image"/>
    <s v="Explore the latest image on Myntra! Trendy styles await."/>
    <n v="400"/>
    <n v="680"/>
    <n v="434"/>
    <n v="6400"/>
    <n v="5472"/>
    <n v="160"/>
    <x v="3"/>
    <s v="EndOfSeasonSale"/>
    <n v="0.27668128654970758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3"/>
    <s v="StyleRevolution"/>
    <n v="0.12149210903873744"/>
  </r>
  <r>
    <s v="P247"/>
    <s v="Facebook"/>
    <d v="2024-08-27T00:00:00"/>
    <s v="Reel"/>
    <s v="Explore the latest reel on Myntra! Trendy styles await."/>
    <n v="3960"/>
    <n v="266"/>
    <n v="8"/>
    <n v="35640"/>
    <n v="34850"/>
    <n v="208"/>
    <x v="1"/>
    <s v="StyleRevolution"/>
    <n v="0.12149210903873744"/>
  </r>
  <r>
    <s v="P248"/>
    <s v="Facebook"/>
    <d v="2025-02-02T00:00:00"/>
    <s v="Story"/>
    <s v="Explore the latest story on Myntra! Trendy styles await."/>
    <n v="886"/>
    <n v="126"/>
    <n v="153"/>
    <n v="4430"/>
    <n v="4037"/>
    <n v="212"/>
    <x v="0"/>
    <s v="MyntraFestiveEdit"/>
    <n v="0.2885806291800842"/>
  </r>
  <r>
    <s v="P249"/>
    <s v="Twitter"/>
    <d v="2024-07-18T00:00:00"/>
    <s v="Image"/>
    <s v="Explore the latest image on Myntra! Trendy styles await."/>
    <n v="827"/>
    <n v="77"/>
    <n v="402"/>
    <n v="14886"/>
    <n v="14129"/>
    <n v="254"/>
    <x v="2"/>
    <s v="EndOfSeasonSale"/>
    <n v="9.2434000990869847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4"/>
    <s v="FashionUpgrade"/>
    <n v="7.3326714168905502E-2"/>
  </r>
  <r>
    <s v="P250"/>
    <s v="Facebook"/>
    <d v="2024-06-22T00:00:00"/>
    <s v="Reel"/>
    <s v="Explore the latest reel on Myntra! Trendy styles await."/>
    <n v="3813"/>
    <n v="935"/>
    <n v="274"/>
    <n v="68634"/>
    <n v="68488"/>
    <n v="251"/>
    <x v="3"/>
    <s v="FashionUpgrade"/>
    <n v="7.3326714168905502E-2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4"/>
    <s v="MyntraFestiveEdit"/>
    <n v="0.11706067950066304"/>
  </r>
  <r>
    <s v="P251"/>
    <s v="Instagram"/>
    <d v="2025-03-27T00:00:00"/>
    <s v="Carousel"/>
    <s v="Explore the latest carousel on Myntra! Trendy styles await."/>
    <n v="1377"/>
    <n v="796"/>
    <n v="387"/>
    <n v="22032"/>
    <n v="21869"/>
    <n v="189"/>
    <x v="1"/>
    <s v="MyntraFestiveEdit"/>
    <n v="0.11706067950066304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2"/>
    <s v="FashionUpgrade"/>
    <n v="0.16150591697835551"/>
  </r>
  <r>
    <s v="P252"/>
    <s v="Facebook"/>
    <d v="2025-04-28T00:00:00"/>
    <s v="Carousel"/>
    <s v="Explore the latest carousel on Myntra! Trendy styles await."/>
    <n v="2089"/>
    <n v="476"/>
    <n v="69"/>
    <n v="16712"/>
    <n v="16309"/>
    <n v="64"/>
    <x v="0"/>
    <s v="FashionUpgrade"/>
    <n v="0.16150591697835551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2"/>
    <s v="FashionUpgrade"/>
    <n v="8.7658943607093309E-2"/>
  </r>
  <r>
    <s v="P253"/>
    <s v="Twitter"/>
    <d v="2024-08-03T00:00:00"/>
    <s v="Reel"/>
    <s v="Explore the latest reel on Myntra! Trendy styles await."/>
    <n v="3791"/>
    <n v="593"/>
    <n v="228"/>
    <n v="53074"/>
    <n v="52613"/>
    <n v="205"/>
    <x v="4"/>
    <s v="FashionUpgrade"/>
    <n v="8.7658943607093309E-2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4"/>
    <s v="StyleRevolution"/>
    <n v="0.13593749999999999"/>
  </r>
  <r>
    <s v="P254"/>
    <s v="Twitter"/>
    <d v="2025-01-14T00:00:00"/>
    <s v="Image"/>
    <s v="Explore the latest image on Myntra! Trendy styles await."/>
    <n v="2692"/>
    <n v="115"/>
    <n v="64"/>
    <n v="21536"/>
    <n v="21120"/>
    <n v="224"/>
    <x v="3"/>
    <s v="StyleRevolution"/>
    <n v="0.13593749999999999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2"/>
    <s v="FashionUpgrade"/>
    <n v="0.12277555899692993"/>
  </r>
  <r>
    <s v="P255"/>
    <s v="Facebook"/>
    <d v="2025-04-03T00:00:00"/>
    <s v="Story"/>
    <s v="Explore the latest story on Myntra! Trendy styles await."/>
    <n v="3767"/>
    <n v="514"/>
    <n v="238"/>
    <n v="37670"/>
    <n v="36807"/>
    <n v="226"/>
    <x v="4"/>
    <s v="FashionUpgrade"/>
    <n v="0.12277555899692993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4"/>
    <s v="StyleRevolution"/>
    <n v="5.8791277258566976E-2"/>
  </r>
  <r>
    <s v="P256"/>
    <s v="Youtube"/>
    <d v="2024-09-18T00:00:00"/>
    <s v="Carousel"/>
    <s v="Explore the latest carousel on Myntra! Trendy styles await."/>
    <n v="2143"/>
    <n v="12"/>
    <n v="204"/>
    <n v="40717"/>
    <n v="40125"/>
    <n v="248"/>
    <x v="0"/>
    <s v="StyleRevolution"/>
    <n v="5.8791277258566976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4"/>
    <s v="StyleRevolution"/>
    <n v="8.1423625422471349E-2"/>
  </r>
  <r>
    <s v="P257"/>
    <s v="Facebook"/>
    <d v="2025-04-06T00:00:00"/>
    <s v="Image"/>
    <s v="Explore the latest image on Myntra! Trendy styles await."/>
    <n v="3090"/>
    <n v="697"/>
    <n v="164"/>
    <n v="49440"/>
    <n v="48524"/>
    <n v="25"/>
    <x v="2"/>
    <s v="StyleRevolution"/>
    <n v="8.1423625422471349E-2"/>
  </r>
  <r>
    <s v="P258"/>
    <s v="Instagram"/>
    <d v="2024-08-05T00:00:00"/>
    <s v="Story"/>
    <s v="Explore the latest story on Myntra! Trendy styles await."/>
    <n v="3601"/>
    <n v="695"/>
    <n v="75"/>
    <n v="21606"/>
    <n v="21454"/>
    <n v="172"/>
    <x v="2"/>
    <s v="EndOfSeasonSale"/>
    <n v="0.20373823063298219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4"/>
    <s v="StyleRevolution"/>
    <n v="0.29557823129251698"/>
  </r>
  <r>
    <s v="P259"/>
    <s v="Facebook"/>
    <d v="2025-02-10T00:00:00"/>
    <s v="Text"/>
    <s v="Explore the latest text on Myntra! Trendy styles await."/>
    <n v="562"/>
    <n v="158"/>
    <n v="149"/>
    <n v="3372"/>
    <n v="2940"/>
    <n v="93"/>
    <x v="0"/>
    <s v="StyleRevolution"/>
    <n v="0.29557823129251698"/>
  </r>
  <r>
    <s v="P260"/>
    <s v="Instagram"/>
    <d v="2025-02-12T00:00:00"/>
    <s v="Story"/>
    <s v="Explore the latest story on Myntra! Trendy styles await."/>
    <n v="4332"/>
    <n v="771"/>
    <n v="219"/>
    <n v="60648"/>
    <n v="60397"/>
    <n v="10"/>
    <x v="1"/>
    <s v="MyntraFestiveEdit"/>
    <n v="8.8116959451628396E-2"/>
  </r>
  <r>
    <s v="P261"/>
    <s v="Instagram"/>
    <d v="2024-10-27T00:00:00"/>
    <s v="Image"/>
    <s v="Explore the latest image on Myntra! Trendy styles await."/>
    <n v="4853"/>
    <n v="837"/>
    <n v="340"/>
    <n v="72795"/>
    <n v="72237"/>
    <n v="170"/>
    <x v="0"/>
    <s v="EndOfSeasonSale"/>
    <n v="8.3475227376552177E-2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0"/>
    <s v="MyntraFestiveEdit"/>
    <n v="0.15716257831581182"/>
  </r>
  <r>
    <s v="P262"/>
    <s v="Youtube"/>
    <d v="2025-01-18T00:00:00"/>
    <s v="Image"/>
    <s v="Explore the latest image on Myntra! Trendy styles await."/>
    <n v="1206"/>
    <n v="238"/>
    <n v="36"/>
    <n v="9648"/>
    <n v="9417"/>
    <n v="237"/>
    <x v="2"/>
    <s v="MyntraFestiveEdit"/>
    <n v="0.15716257831581182"/>
  </r>
  <r>
    <s v="P263"/>
    <s v="Instagram"/>
    <d v="2024-08-20T00:00:00"/>
    <s v="Reel"/>
    <s v="Explore the latest reel on Myntra! Trendy styles await."/>
    <n v="2603"/>
    <n v="690"/>
    <n v="205"/>
    <n v="13015"/>
    <n v="12130"/>
    <n v="20"/>
    <x v="3"/>
    <s v="FashionUpgrade"/>
    <n v="0.28837592745259688"/>
  </r>
  <r>
    <s v="P264"/>
    <s v="Twitter"/>
    <d v="2025-01-30T00:00:00"/>
    <s v="Image"/>
    <s v="Explore the latest image on Myntra! Trendy styles await."/>
    <n v="59"/>
    <n v="163"/>
    <n v="93"/>
    <n v="590"/>
    <n v="475"/>
    <n v="293"/>
    <x v="3"/>
    <s v="StyleRevolution"/>
    <n v="0.66315789473684206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2"/>
    <s v="FashionUpgrade"/>
    <n v="0.25959697273639099"/>
  </r>
  <r>
    <s v="P265"/>
    <s v="Twitter"/>
    <d v="2025-02-20T00:00:00"/>
    <s v="Carousel"/>
    <s v="Explore the latest carousel on Myntra! Trendy styles await."/>
    <n v="1877"/>
    <n v="745"/>
    <n v="225"/>
    <n v="11262"/>
    <n v="10967"/>
    <n v="41"/>
    <x v="0"/>
    <s v="FashionUpgrade"/>
    <n v="0.25959697273639099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0"/>
    <s v="MyntraFestiveEdit"/>
    <n v="0.10257137646653564"/>
  </r>
  <r>
    <s v="P266"/>
    <s v="Facebook"/>
    <d v="2024-11-25T00:00:00"/>
    <s v="Story"/>
    <s v="Explore the latest story on Myntra! Trendy styles await."/>
    <n v="4182"/>
    <n v="640"/>
    <n v="240"/>
    <n v="50184"/>
    <n v="49351"/>
    <n v="10"/>
    <x v="2"/>
    <s v="MyntraFestiveEdit"/>
    <n v="0.10257137646653564"/>
  </r>
  <r>
    <s v="P267"/>
    <s v="Twitter"/>
    <d v="2024-10-04T00:00:00"/>
    <s v="Reel"/>
    <s v="Explore the latest reel on Myntra! Trendy styles await."/>
    <n v="4187"/>
    <n v="66"/>
    <n v="31"/>
    <n v="66992"/>
    <n v="66614"/>
    <n v="62"/>
    <x v="2"/>
    <s v="StyleRevolution"/>
    <n v="6.4310805536373736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2"/>
    <s v="FashionUpgrade"/>
    <n v="8.4242424242424244E-2"/>
  </r>
  <r>
    <s v="P268"/>
    <s v="Instagram"/>
    <d v="2025-04-13T00:00:00"/>
    <s v="Reel"/>
    <s v="Explore the latest reel on Myntra! Trendy styles await."/>
    <n v="4579"/>
    <n v="125"/>
    <n v="300"/>
    <n v="59527"/>
    <n v="59400"/>
    <n v="269"/>
    <x v="1"/>
    <s v="FashionUpgrade"/>
    <n v="8.4242424242424244E-2"/>
  </r>
  <r>
    <s v="P269"/>
    <s v="Instagram"/>
    <d v="2024-11-05T00:00:00"/>
    <s v="Video"/>
    <s v="Explore the latest video on Myntra! Trendy styles await."/>
    <n v="4561"/>
    <n v="51"/>
    <n v="441"/>
    <n v="22805"/>
    <n v="21890"/>
    <n v="45"/>
    <x v="2"/>
    <s v="EndOfSeasonSale"/>
    <n v="0.23083599817268158"/>
  </r>
  <r>
    <s v="P270"/>
    <s v="Youtube"/>
    <d v="2025-01-15T00:00:00"/>
    <s v="Reel"/>
    <s v="Explore the latest reel on Myntra! Trendy styles await."/>
    <n v="3774"/>
    <n v="239"/>
    <n v="39"/>
    <n v="60384"/>
    <n v="59490"/>
    <n v="241"/>
    <x v="4"/>
    <s v="MyntraFestiveEdit"/>
    <n v="6.8112287779458727E-2"/>
  </r>
  <r>
    <s v="P271"/>
    <s v="Instagram"/>
    <d v="2024-10-17T00:00:00"/>
    <s v="Video"/>
    <s v="Explore the latest video on Myntra! Trendy styles await."/>
    <n v="3575"/>
    <n v="749"/>
    <n v="111"/>
    <n v="21450"/>
    <n v="20785"/>
    <n v="195"/>
    <x v="4"/>
    <s v="MyntraFestiveEdit"/>
    <n v="0.21337503006976186"/>
  </r>
  <r>
    <s v="P272"/>
    <s v="Instagram"/>
    <d v="2025-03-27T00:00:00"/>
    <s v="Text"/>
    <s v="Explore the latest text on Myntra! Trendy styles await."/>
    <n v="4941"/>
    <n v="414"/>
    <n v="266"/>
    <n v="39528"/>
    <n v="39154"/>
    <n v="217"/>
    <x v="0"/>
    <s v="EndOfSeasonSale"/>
    <n v="0.14356132195944221"/>
  </r>
  <r>
    <s v="P273"/>
    <s v="Youtube"/>
    <d v="2024-10-12T00:00:00"/>
    <s v="Story"/>
    <s v="Explore the latest story on Myntra! Trendy styles await."/>
    <n v="3641"/>
    <n v="226"/>
    <n v="46"/>
    <n v="40051"/>
    <n v="39319"/>
    <n v="296"/>
    <x v="3"/>
    <s v="EndOfSeasonSale"/>
    <n v="9.9519316361046828E-2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3"/>
    <s v="EndOfSeasonSale"/>
    <n v="7.9199105908204046E-2"/>
  </r>
  <r>
    <s v="P274"/>
    <s v="Twitter"/>
    <d v="2025-01-01T00:00:00"/>
    <s v="Carousel"/>
    <s v="Explore the latest carousel on Myntra! Trendy styles await."/>
    <n v="3535"/>
    <n v="494"/>
    <n v="152"/>
    <n v="53025"/>
    <n v="52791"/>
    <n v="44"/>
    <x v="2"/>
    <s v="EndOfSeasonSale"/>
    <n v="7.9199105908204046E-2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1"/>
    <s v="StyleRevolution"/>
    <n v="0.17317739254333889"/>
  </r>
  <r>
    <s v="P275"/>
    <s v="Facebook"/>
    <d v="2024-08-05T00:00:00"/>
    <s v="Reel"/>
    <s v="Explore the latest reel on Myntra! Trendy styles await."/>
    <n v="1741"/>
    <n v="831"/>
    <n v="345"/>
    <n v="17410"/>
    <n v="16844"/>
    <n v="58"/>
    <x v="4"/>
    <s v="StyleRevolution"/>
    <n v="0.17317739254333889"/>
  </r>
  <r>
    <s v="P276"/>
    <s v="Twitter"/>
    <d v="2024-06-07T00:00:00"/>
    <s v="Carousel"/>
    <s v="Explore the latest carousel on Myntra! Trendy styles await."/>
    <n v="1556"/>
    <n v="195"/>
    <n v="131"/>
    <n v="9336"/>
    <n v="8875"/>
    <n v="137"/>
    <x v="1"/>
    <s v="EndOfSeasonSale"/>
    <n v="0.21205633802816901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3"/>
    <s v="StyleRevolution"/>
    <n v="0.25565412361084033"/>
  </r>
  <r>
    <s v="P277"/>
    <s v="Facebook"/>
    <d v="2025-04-06T00:00:00"/>
    <s v="Image"/>
    <s v="Explore the latest image on Myntra! Trendy styles await."/>
    <n v="4236"/>
    <n v="711"/>
    <n v="298"/>
    <n v="21180"/>
    <n v="20516"/>
    <n v="238"/>
    <x v="0"/>
    <s v="StyleRevolution"/>
    <n v="0.25565412361084033"/>
  </r>
  <r>
    <s v="P278"/>
    <s v="Twitter"/>
    <d v="2024-11-26T00:00:00"/>
    <s v="Text"/>
    <s v="Explore the latest text on Myntra! Trendy styles await."/>
    <n v="4516"/>
    <n v="836"/>
    <n v="169"/>
    <n v="49676"/>
    <n v="49257"/>
    <n v="282"/>
    <x v="3"/>
    <s v="FashionUpgrade"/>
    <n v="0.11208559189556815"/>
  </r>
  <r>
    <s v="P279"/>
    <s v="Youtube"/>
    <d v="2024-09-02T00:00:00"/>
    <s v="Image"/>
    <s v="Explore the latest image on Myntra! Trendy styles await."/>
    <n v="4905"/>
    <n v="845"/>
    <n v="129"/>
    <n v="98100"/>
    <n v="97772"/>
    <n v="279"/>
    <x v="3"/>
    <s v="StyleRevolution"/>
    <n v="6.0129689481651191E-2"/>
  </r>
  <r>
    <s v="P280"/>
    <s v="Youtube"/>
    <d v="2024-10-21T00:00:00"/>
    <s v="Video"/>
    <s v="Explore the latest video on Myntra! Trendy styles await."/>
    <n v="4275"/>
    <n v="680"/>
    <n v="385"/>
    <n v="64125"/>
    <n v="63650"/>
    <n v="104"/>
    <x v="2"/>
    <s v="StyleRevolution"/>
    <n v="8.3896307934014133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1"/>
    <s v="EndOfSeasonSale"/>
    <n v="6.4089086859688199E-2"/>
  </r>
  <r>
    <s v="P281"/>
    <s v="Youtube"/>
    <d v="2025-03-22T00:00:00"/>
    <s v="Image"/>
    <s v="Explore the latest image on Myntra! Trendy styles await."/>
    <n v="3166"/>
    <n v="90"/>
    <n v="341"/>
    <n v="56988"/>
    <n v="56125"/>
    <n v="135"/>
    <x v="2"/>
    <s v="EndOfSeasonSale"/>
    <n v="6.4089086859688199E-2"/>
  </r>
  <r>
    <s v="P282"/>
    <s v="Instagram"/>
    <d v="2024-10-03T00:00:00"/>
    <s v="Video"/>
    <s v="Explore the latest video on Myntra! Trendy styles await."/>
    <n v="1488"/>
    <n v="417"/>
    <n v="168"/>
    <n v="19344"/>
    <n v="18395"/>
    <n v="30"/>
    <x v="0"/>
    <s v="FashionUpgrade"/>
    <n v="0.11269366675727099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3"/>
    <s v="MyntraFestiveEdit"/>
    <n v="5.841132483657057E-2"/>
  </r>
  <r>
    <s v="P283"/>
    <s v="Twitter"/>
    <d v="2025-05-09T00:00:00"/>
    <s v="Reel"/>
    <s v="Explore the latest reel on Myntra! Trendy styles await."/>
    <n v="3367"/>
    <n v="302"/>
    <n v="57"/>
    <n v="63973"/>
    <n v="63789"/>
    <n v="157"/>
    <x v="1"/>
    <s v="MyntraFestiveEdit"/>
    <n v="5.841132483657057E-2"/>
  </r>
  <r>
    <s v="P284"/>
    <s v="Twitter"/>
    <d v="2024-09-17T00:00:00"/>
    <s v="Text"/>
    <s v="Explore the latest text on Myntra! Trendy styles await."/>
    <n v="571"/>
    <n v="190"/>
    <n v="352"/>
    <n v="9707"/>
    <n v="9418"/>
    <n v="231"/>
    <x v="4"/>
    <s v="EndOfSeasonSale"/>
    <n v="0.11817795710341898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4"/>
    <s v="FashionUpgrade"/>
    <n v="0.13778341078721307"/>
  </r>
  <r>
    <s v="P285"/>
    <s v="Youtube"/>
    <d v="2024-07-18T00:00:00"/>
    <s v="Text"/>
    <s v="Explore the latest text on Myntra! Trendy styles await."/>
    <n v="4021"/>
    <n v="794"/>
    <n v="77"/>
    <n v="36189"/>
    <n v="35505"/>
    <n v="174"/>
    <x v="2"/>
    <s v="FashionUpgrade"/>
    <n v="0.13778341078721307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1"/>
    <s v="EndOfSeasonSale"/>
    <n v="0.20377513758164892"/>
  </r>
  <r>
    <s v="P286"/>
    <s v="Youtube"/>
    <d v="2024-09-25T00:00:00"/>
    <s v="Video"/>
    <s v="Explore the latest video on Myntra! Trendy styles await."/>
    <n v="3389"/>
    <n v="344"/>
    <n v="229"/>
    <n v="20334"/>
    <n v="19443"/>
    <n v="228"/>
    <x v="0"/>
    <s v="EndOfSeasonSale"/>
    <n v="0.20377513758164892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1"/>
    <s v="MyntraFestiveEdit"/>
    <n v="0.31705846895720313"/>
  </r>
  <r>
    <s v="P287"/>
    <s v="Instagram"/>
    <d v="2024-08-15T00:00:00"/>
    <s v="Reel"/>
    <s v="Explore the latest reel on Myntra! Trendy styles await."/>
    <n v="1164"/>
    <n v="616"/>
    <n v="324"/>
    <n v="6984"/>
    <n v="6636"/>
    <n v="82"/>
    <x v="3"/>
    <s v="MyntraFestiveEdit"/>
    <n v="0.31705846895720313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1"/>
    <s v="MyntraFestiveEdit"/>
    <n v="6.8238806666433408E-2"/>
  </r>
  <r>
    <s v="P288"/>
    <s v="Youtube"/>
    <d v="2025-04-17T00:00:00"/>
    <s v="Carousel"/>
    <s v="Explore the latest carousel on Myntra! Trendy styles await."/>
    <n v="4780"/>
    <n v="691"/>
    <n v="380"/>
    <n v="86040"/>
    <n v="85743"/>
    <n v="262"/>
    <x v="4"/>
    <s v="MyntraFestiveEdit"/>
    <n v="6.8238806666433408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3"/>
    <s v="EndOfSeasonSale"/>
    <n v="7.4029713232753661E-2"/>
  </r>
  <r>
    <s v="P289"/>
    <s v="Facebook"/>
    <d v="2024-11-28T00:00:00"/>
    <s v="Carousel"/>
    <s v="Explore the latest carousel on Myntra! Trendy styles await."/>
    <n v="2751"/>
    <n v="33"/>
    <n v="430"/>
    <n v="44016"/>
    <n v="43415"/>
    <n v="129"/>
    <x v="2"/>
    <s v="EndOfSeasonSale"/>
    <n v="7.4029713232753661E-2"/>
  </r>
  <r>
    <s v="P290"/>
    <s v="Instagram"/>
    <d v="2024-12-20T00:00:00"/>
    <s v="Carousel"/>
    <s v="Explore the latest carousel on Myntra! Trendy styles await."/>
    <n v="2107"/>
    <n v="550"/>
    <n v="349"/>
    <n v="35819"/>
    <n v="35340"/>
    <n v="191"/>
    <x v="3"/>
    <s v="MyntraFestiveEdit"/>
    <n v="8.5059422750424454E-2"/>
  </r>
  <r>
    <s v="P291"/>
    <s v="Facebook"/>
    <d v="2024-11-06T00:00:00"/>
    <s v="Video"/>
    <s v="Explore the latest video on Myntra! Trendy styles await."/>
    <n v="4663"/>
    <n v="145"/>
    <n v="225"/>
    <n v="69945"/>
    <n v="69596"/>
    <n v="35"/>
    <x v="1"/>
    <s v="EndOfSeasonSale"/>
    <n v="7.2317374561756423E-2"/>
  </r>
  <r>
    <s v="P292"/>
    <s v="Facebook"/>
    <d v="2024-11-17T00:00:00"/>
    <s v="Text"/>
    <s v="Explore the latest text on Myntra! Trendy styles await."/>
    <n v="880"/>
    <n v="297"/>
    <n v="345"/>
    <n v="12320"/>
    <n v="11978"/>
    <n v="238"/>
    <x v="0"/>
    <s v="EndOfSeasonSale"/>
    <n v="0.12706628819502422"/>
  </r>
  <r>
    <s v="P293"/>
    <s v="Facebook"/>
    <d v="2025-05-14T00:00:00"/>
    <s v="Text"/>
    <s v="Explore the latest text on Myntra! Trendy styles await."/>
    <n v="2634"/>
    <n v="726"/>
    <n v="241"/>
    <n v="28974"/>
    <n v="28102"/>
    <n v="277"/>
    <x v="2"/>
    <s v="MyntraFestiveEdit"/>
    <n v="0.12814034588285531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3"/>
    <s v="StyleRevolution"/>
    <n v="0.18378570161433386"/>
  </r>
  <r>
    <s v="P294"/>
    <s v="Facebook"/>
    <d v="2024-06-19T00:00:00"/>
    <s v="Carousel"/>
    <s v="Explore the latest carousel on Myntra! Trendy styles await."/>
    <n v="4731"/>
    <n v="173"/>
    <n v="276"/>
    <n v="28386"/>
    <n v="28185"/>
    <n v="89"/>
    <x v="1"/>
    <s v="StyleRevolution"/>
    <n v="0.18378570161433386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0"/>
    <s v="MyntraFestiveEdit"/>
    <n v="0.16769460494708824"/>
  </r>
  <r>
    <s v="P295"/>
    <s v="Twitter"/>
    <d v="2025-05-06T00:00:00"/>
    <s v="Image"/>
    <s v="Explore the latest image on Myntra! Trendy styles await."/>
    <n v="1952"/>
    <n v="344"/>
    <n v="287"/>
    <n v="15616"/>
    <n v="15403"/>
    <n v="235"/>
    <x v="1"/>
    <s v="MyntraFestiveEdit"/>
    <n v="0.16769460494708824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1"/>
    <s v="FashionUpgrade"/>
    <n v="5.9728958139854849E-2"/>
  </r>
  <r>
    <s v="P296"/>
    <s v="Twitter"/>
    <d v="2025-02-11T00:00:00"/>
    <s v="Video"/>
    <s v="Explore the latest video on Myntra! Trendy styles await."/>
    <n v="3440"/>
    <n v="13"/>
    <n v="20"/>
    <n v="58480"/>
    <n v="58146"/>
    <n v="210"/>
    <x v="4"/>
    <s v="FashionUpgrade"/>
    <n v="5.9728958139854849E-2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2"/>
    <s v="FashionUpgrade"/>
    <n v="0.257393850658858"/>
  </r>
  <r>
    <s v="P297"/>
    <s v="Twitter"/>
    <d v="2024-12-24T00:00:00"/>
    <s v="Text"/>
    <s v="Explore the latest text on Myntra! Trendy styles await."/>
    <n v="2166"/>
    <n v="354"/>
    <n v="117"/>
    <n v="10830"/>
    <n v="10245"/>
    <n v="24"/>
    <x v="3"/>
    <s v="FashionUpgrade"/>
    <n v="0.257393850658858"/>
  </r>
  <r>
    <s v="P298"/>
    <s v="Facebook"/>
    <d v="2024-10-24T00:00:00"/>
    <s v="Image"/>
    <s v="Explore the latest image on Myntra! Trendy styles await."/>
    <n v="4303"/>
    <n v="451"/>
    <n v="286"/>
    <n v="86060"/>
    <n v="85823"/>
    <n v="14"/>
    <x v="0"/>
    <s v="EndOfSeasonSale"/>
    <n v="5.8725516469943957E-2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0"/>
    <s v="EndOfSeasonSale"/>
    <n v="0.14397026555013209"/>
  </r>
  <r>
    <s v="P299"/>
    <s v="Facebook"/>
    <d v="2024-08-26T00:00:00"/>
    <s v="Image"/>
    <s v="Explore the latest image on Myntra! Trendy styles await."/>
    <n v="2581"/>
    <n v="517"/>
    <n v="117"/>
    <n v="23229"/>
    <n v="22331"/>
    <n v="70"/>
    <x v="2"/>
    <s v="EndOfSeasonSale"/>
    <n v="0.14397026555013209"/>
  </r>
  <r>
    <s v="P300"/>
    <s v="Twitter"/>
    <d v="2024-08-31T00:00:00"/>
    <s v="Carousel"/>
    <s v="Explore the latest carousel on Myntra! Trendy styles await."/>
    <n v="4494"/>
    <n v="717"/>
    <n v="45"/>
    <n v="62916"/>
    <n v="62688"/>
    <n v="191"/>
    <x v="1"/>
    <s v="FashionUpgrade"/>
    <n v="8.3843797856049007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x v="0"/>
    <s v="Explore the latest reel on Myntra! Trendy styles await."/>
    <n v="1461"/>
    <n v="184"/>
    <n v="344"/>
    <n v="21915"/>
    <n v="21675"/>
    <n v="15"/>
    <s v="#MyntraSale"/>
    <s v="FashionUpgrade"/>
    <n v="9.1764705882352943E-2"/>
  </r>
  <r>
    <s v="P002"/>
    <s v="Twitter"/>
    <d v="2025-04-03T00:00:00"/>
    <x v="1"/>
    <s v="Explore the latest text on Myntra! Trendy styles await."/>
    <n v="4054"/>
    <n v="389"/>
    <n v="493"/>
    <n v="64864"/>
    <n v="64383"/>
    <n v="117"/>
    <s v="#MyntraFashion"/>
    <s v="EndOfSeasonSale"/>
    <n v="7.6666200705155091E-2"/>
  </r>
  <r>
    <s v="P003"/>
    <s v="Youtube"/>
    <d v="2025-05-12T00:00:00"/>
    <x v="0"/>
    <s v="Explore the latest reel on Myntra! Trendy styles await."/>
    <n v="2795"/>
    <n v="105"/>
    <n v="49"/>
    <n v="53105"/>
    <n v="52307"/>
    <n v="204"/>
    <s v="#MyntraFashion"/>
    <s v="FashionUpgrade"/>
    <n v="5.6378687364979828E-2"/>
  </r>
  <r>
    <s v="P003"/>
    <s v="Youtube"/>
    <d v="2025-05-12T00:00:00"/>
    <x v="0"/>
    <s v="Explore the latest reel on Myntra! Trendy styles await."/>
    <n v="2795"/>
    <n v="105"/>
    <n v="49"/>
    <n v="53105"/>
    <n v="52307"/>
    <n v="204"/>
    <s v="#MyntraSale"/>
    <s v="FashionUpgrade"/>
    <n v="5.6378687364979828E-2"/>
  </r>
  <r>
    <s v="P004"/>
    <s v="Instagram"/>
    <d v="2024-08-12T00:00:00"/>
    <x v="2"/>
    <s v="Explore the latest story on Myntra! Trendy styles await."/>
    <n v="2404"/>
    <n v="363"/>
    <n v="138"/>
    <n v="19232"/>
    <n v="18636"/>
    <n v="128"/>
    <s v="#MyntraSale"/>
    <s v="FashionUpgrade"/>
    <n v="0.15588109036273878"/>
  </r>
  <r>
    <s v="P005"/>
    <s v="Youtube"/>
    <d v="2024-06-26T00:00:00"/>
    <x v="0"/>
    <s v="Explore the latest reel on Myntra! Trendy styles await."/>
    <n v="3557"/>
    <n v="687"/>
    <n v="424"/>
    <n v="71140"/>
    <n v="70701"/>
    <n v="224"/>
    <s v="#StyleWithMyntra"/>
    <s v="MyntraFestiveEdit"/>
    <n v="6.6024525820002553E-2"/>
  </r>
  <r>
    <s v="P005"/>
    <s v="Youtube"/>
    <d v="2024-06-26T00:00:00"/>
    <x v="0"/>
    <s v="Explore the latest reel on Myntra! Trendy styles await."/>
    <n v="3557"/>
    <n v="687"/>
    <n v="424"/>
    <n v="71140"/>
    <n v="70701"/>
    <n v="224"/>
    <s v="#MyntraFashion"/>
    <s v="MyntraFestiveEdit"/>
    <n v="6.6024525820002553E-2"/>
  </r>
  <r>
    <s v="P006"/>
    <s v="Facebook"/>
    <d v="2024-10-31T00:00:00"/>
    <x v="3"/>
    <s v="Explore the latest carousel on Myntra! Trendy styles await."/>
    <n v="2945"/>
    <n v="930"/>
    <n v="355"/>
    <n v="23560"/>
    <n v="23275"/>
    <n v="256"/>
    <s v="#MyntraTrend"/>
    <s v="EndOfSeasonSale"/>
    <n v="0.18174006444683136"/>
  </r>
  <r>
    <s v="P007"/>
    <s v="Twitter"/>
    <d v="2024-06-24T00:00:00"/>
    <x v="3"/>
    <s v="Explore the latest carousel on Myntra! Trendy styles await."/>
    <n v="3860"/>
    <n v="201"/>
    <n v="279"/>
    <n v="61760"/>
    <n v="61660"/>
    <n v="235"/>
    <s v="#MyntraTrend"/>
    <s v="MyntraFestiveEdit"/>
    <n v="7.0385987674343176E-2"/>
  </r>
  <r>
    <s v="P008"/>
    <s v="Youtube"/>
    <d v="2024-07-13T00:00:00"/>
    <x v="4"/>
    <s v="Explore the latest image on Myntra! Trendy styles await."/>
    <n v="3929"/>
    <n v="262"/>
    <n v="278"/>
    <n v="43219"/>
    <n v="42841"/>
    <n v="39"/>
    <s v="#MyntraFashion"/>
    <s v="MyntraFestiveEdit"/>
    <n v="0.10431595901122756"/>
  </r>
  <r>
    <s v="P008"/>
    <s v="Youtube"/>
    <d v="2024-07-13T00:00:00"/>
    <x v="4"/>
    <s v="Explore the latest image on Myntra! Trendy styles await."/>
    <n v="3929"/>
    <n v="262"/>
    <n v="278"/>
    <n v="43219"/>
    <n v="42841"/>
    <n v="39"/>
    <s v="#MyntraSale"/>
    <s v="MyntraFestiveEdit"/>
    <n v="0.10431595901122756"/>
  </r>
  <r>
    <s v="P009"/>
    <s v="Facebook"/>
    <d v="2024-08-30T00:00:00"/>
    <x v="1"/>
    <s v="Explore the latest text on Myntra! Trendy styles await."/>
    <n v="3784"/>
    <n v="808"/>
    <n v="404"/>
    <n v="56760"/>
    <n v="56343"/>
    <n v="131"/>
    <s v="#MyntraFashion"/>
    <s v="MyntraFestiveEdit"/>
    <n v="8.8671174768826647E-2"/>
  </r>
  <r>
    <s v="P009"/>
    <s v="Facebook"/>
    <d v="2024-08-30T00:00:00"/>
    <x v="1"/>
    <s v="Explore the latest text on Myntra! Trendy styles await."/>
    <n v="3784"/>
    <n v="808"/>
    <n v="404"/>
    <n v="56760"/>
    <n v="56343"/>
    <n v="131"/>
    <s v="#MyntraSale"/>
    <s v="MyntraFestiveEdit"/>
    <n v="8.8671174768826647E-2"/>
  </r>
  <r>
    <s v="P010"/>
    <s v="Facebook"/>
    <d v="2025-03-11T00:00:00"/>
    <x v="4"/>
    <s v="Explore the latest image on Myntra! Trendy styles await."/>
    <n v="4241"/>
    <n v="902"/>
    <n v="47"/>
    <n v="72097"/>
    <n v="71598"/>
    <n v="167"/>
    <s v="#MyntraTrend"/>
    <s v="StyleRevolution"/>
    <n v="7.2488058325651555E-2"/>
  </r>
  <r>
    <s v="P011"/>
    <s v="Instagram"/>
    <d v="2025-02-02T00:00:00"/>
    <x v="2"/>
    <s v="Explore the latest story on Myntra! Trendy styles await."/>
    <n v="1792"/>
    <n v="614"/>
    <n v="497"/>
    <n v="25088"/>
    <n v="24675"/>
    <n v="65"/>
    <s v="#StyleWithMyntra"/>
    <s v="FashionUpgrade"/>
    <n v="0.11764944275582573"/>
  </r>
  <r>
    <s v="P012"/>
    <s v="Facebook"/>
    <d v="2024-07-21T00:00:00"/>
    <x v="0"/>
    <s v="Explore the latest reel on Myntra! Trendy styles await."/>
    <n v="1946"/>
    <n v="686"/>
    <n v="377"/>
    <n v="23352"/>
    <n v="22982"/>
    <n v="213"/>
    <s v="#StyleWithMyntra"/>
    <s v="MyntraFestiveEdit"/>
    <n v="0.13092855278043686"/>
  </r>
  <r>
    <s v="P012"/>
    <s v="Facebook"/>
    <d v="2024-07-21T00:00:00"/>
    <x v="0"/>
    <s v="Explore the latest reel on Myntra! Trendy styles await."/>
    <n v="1946"/>
    <n v="686"/>
    <n v="377"/>
    <n v="23352"/>
    <n v="22982"/>
    <n v="213"/>
    <s v="#MyntraSale"/>
    <s v="MyntraFestiveEdit"/>
    <n v="0.13092855278043686"/>
  </r>
  <r>
    <s v="P013"/>
    <s v="Youtube"/>
    <d v="2024-11-18T00:00:00"/>
    <x v="3"/>
    <s v="Explore the latest carousel on Myntra! Trendy styles await."/>
    <n v="1171"/>
    <n v="286"/>
    <n v="231"/>
    <n v="22249"/>
    <n v="21282"/>
    <n v="114"/>
    <s v="#MyntraFashion"/>
    <s v="StyleRevolution"/>
    <n v="7.9315853773141626E-2"/>
  </r>
  <r>
    <s v="P014"/>
    <s v="Facebook"/>
    <d v="2025-02-16T00:00:00"/>
    <x v="2"/>
    <s v="Explore the latest story on Myntra! Trendy styles await."/>
    <n v="4242"/>
    <n v="555"/>
    <n v="131"/>
    <n v="33936"/>
    <n v="33802"/>
    <n v="265"/>
    <s v="#MyntraSale"/>
    <s v="MyntraFestiveEdit"/>
    <n v="0.14579018992958998"/>
  </r>
  <r>
    <s v="P014"/>
    <s v="Facebook"/>
    <d v="2025-02-16T00:00:00"/>
    <x v="2"/>
    <s v="Explore the latest story on Myntra! Trendy styles await."/>
    <n v="4242"/>
    <n v="555"/>
    <n v="131"/>
    <n v="33936"/>
    <n v="33802"/>
    <n v="265"/>
    <s v="#MyntraFashion"/>
    <s v="MyntraFestiveEdit"/>
    <n v="0.14579018992958998"/>
  </r>
  <r>
    <s v="P015"/>
    <s v="Facebook"/>
    <d v="2024-10-24T00:00:00"/>
    <x v="5"/>
    <s v="Explore the latest video on Myntra! Trendy styles await."/>
    <n v="3888"/>
    <n v="604"/>
    <n v="128"/>
    <n v="77760"/>
    <n v="77167"/>
    <n v="20"/>
    <s v="#MyntraFashion"/>
    <s v="FashionUpgrade"/>
    <n v="5.9870151748804543E-2"/>
  </r>
  <r>
    <s v="P015"/>
    <s v="Facebook"/>
    <d v="2024-10-24T00:00:00"/>
    <x v="5"/>
    <s v="Explore the latest video on Myntra! Trendy styles await."/>
    <n v="3888"/>
    <n v="604"/>
    <n v="128"/>
    <n v="77760"/>
    <n v="77167"/>
    <n v="20"/>
    <s v="#FashionDeals"/>
    <s v="FashionUpgrade"/>
    <n v="5.9870151748804543E-2"/>
  </r>
  <r>
    <s v="P016"/>
    <s v="Facebook"/>
    <d v="2024-08-26T00:00:00"/>
    <x v="1"/>
    <s v="Explore the latest text on Myntra! Trendy styles await."/>
    <n v="3452"/>
    <n v="377"/>
    <n v="360"/>
    <n v="55232"/>
    <n v="55075"/>
    <n v="87"/>
    <s v="#MyntraSale"/>
    <s v="MyntraFestiveEdit"/>
    <n v="7.6059918293236495E-2"/>
  </r>
  <r>
    <s v="P016"/>
    <s v="Facebook"/>
    <d v="2024-08-26T00:00:00"/>
    <x v="1"/>
    <s v="Explore the latest text on Myntra! Trendy styles await."/>
    <n v="3452"/>
    <n v="377"/>
    <n v="360"/>
    <n v="55232"/>
    <n v="55075"/>
    <n v="87"/>
    <s v="#FashionDeals"/>
    <s v="MyntraFestiveEdit"/>
    <n v="7.6059918293236495E-2"/>
  </r>
  <r>
    <s v="P017"/>
    <s v="Facebook"/>
    <d v="2025-05-05T00:00:00"/>
    <x v="1"/>
    <s v="Explore the latest text on Myntra! Trendy styles await."/>
    <n v="4441"/>
    <n v="511"/>
    <n v="70"/>
    <n v="53292"/>
    <n v="53082"/>
    <n v="159"/>
    <s v="#FashionDeals"/>
    <s v="MyntraFestiveEdit"/>
    <n v="9.4608341810783314E-2"/>
  </r>
  <r>
    <s v="P018"/>
    <s v="Instagram"/>
    <d v="2024-08-19T00:00:00"/>
    <x v="0"/>
    <s v="Explore the latest reel on Myntra! Trendy styles await."/>
    <n v="3000"/>
    <n v="382"/>
    <n v="325"/>
    <n v="36000"/>
    <n v="35819"/>
    <n v="19"/>
    <s v="#StyleWithMyntra"/>
    <s v="EndOfSeasonSale"/>
    <n v="0.10349255981462352"/>
  </r>
  <r>
    <s v="P019"/>
    <s v="Instagram"/>
    <d v="2024-06-23T00:00:00"/>
    <x v="5"/>
    <s v="Explore the latest video on Myntra! Trendy styles await."/>
    <n v="1071"/>
    <n v="519"/>
    <n v="22"/>
    <n v="16065"/>
    <n v="15865"/>
    <n v="103"/>
    <s v="#MyntraSale"/>
    <s v="MyntraFestiveEdit"/>
    <n v="0.10160731169240467"/>
  </r>
  <r>
    <s v="P019"/>
    <s v="Instagram"/>
    <d v="2024-06-23T00:00:00"/>
    <x v="5"/>
    <s v="Explore the latest video on Myntra! Trendy styles await."/>
    <n v="1071"/>
    <n v="519"/>
    <n v="22"/>
    <n v="16065"/>
    <n v="15865"/>
    <n v="103"/>
    <s v="#StyleWithMyntra"/>
    <s v="MyntraFestiveEdit"/>
    <n v="0.10160731169240467"/>
  </r>
  <r>
    <s v="P020"/>
    <s v="Instagram"/>
    <d v="2024-09-09T00:00:00"/>
    <x v="3"/>
    <s v="Explore the latest carousel on Myntra! Trendy styles await."/>
    <n v="4054"/>
    <n v="488"/>
    <n v="373"/>
    <n v="77026"/>
    <n v="76881"/>
    <n v="25"/>
    <s v="#MyntraFashion"/>
    <s v="MyntraFestiveEdit"/>
    <n v="6.3929969693422309E-2"/>
  </r>
  <r>
    <s v="P020"/>
    <s v="Instagram"/>
    <d v="2024-09-09T00:00:00"/>
    <x v="3"/>
    <s v="Explore the latest carousel on Myntra! Trendy styles await."/>
    <n v="4054"/>
    <n v="488"/>
    <n v="373"/>
    <n v="77026"/>
    <n v="76881"/>
    <n v="25"/>
    <s v="#MyntraSale"/>
    <s v="MyntraFestiveEdit"/>
    <n v="6.3929969693422309E-2"/>
  </r>
  <r>
    <s v="P021"/>
    <s v="Instagram"/>
    <d v="2025-01-04T00:00:00"/>
    <x v="0"/>
    <s v="Explore the latest reel on Myntra! Trendy styles await."/>
    <n v="4838"/>
    <n v="640"/>
    <n v="128"/>
    <n v="72570"/>
    <n v="72396"/>
    <n v="83"/>
    <s v="#StyleWithMyntra"/>
    <s v="MyntraFestiveEdit"/>
    <n v="7.7435217415326815E-2"/>
  </r>
  <r>
    <s v="P021"/>
    <s v="Instagram"/>
    <d v="2025-01-04T00:00:00"/>
    <x v="0"/>
    <s v="Explore the latest reel on Myntra! Trendy styles await."/>
    <n v="4838"/>
    <n v="640"/>
    <n v="128"/>
    <n v="72570"/>
    <n v="72396"/>
    <n v="83"/>
    <s v="#MyntraTrend"/>
    <s v="MyntraFestiveEdit"/>
    <n v="7.7435217415326815E-2"/>
  </r>
  <r>
    <s v="P022"/>
    <s v="Facebook"/>
    <d v="2025-02-27T00:00:00"/>
    <x v="1"/>
    <s v="Explore the latest text on Myntra! Trendy styles await."/>
    <n v="1570"/>
    <n v="187"/>
    <n v="260"/>
    <n v="25120"/>
    <n v="24613"/>
    <n v="133"/>
    <s v="#MyntraSale"/>
    <s v="StyleRevolution"/>
    <n v="8.1948563767114943E-2"/>
  </r>
  <r>
    <s v="P023"/>
    <s v="Facebook"/>
    <d v="2024-11-06T00:00:00"/>
    <x v="5"/>
    <s v="Explore the latest video on Myntra! Trendy styles await."/>
    <n v="1606"/>
    <n v="547"/>
    <n v="316"/>
    <n v="32120"/>
    <n v="31736"/>
    <n v="225"/>
    <s v="#MyntraSale"/>
    <s v="MyntraFestiveEdit"/>
    <n v="7.7798084194605502E-2"/>
  </r>
  <r>
    <s v="P024"/>
    <s v="Facebook"/>
    <d v="2025-01-23T00:00:00"/>
    <x v="5"/>
    <s v="Explore the latest video on Myntra! Trendy styles await."/>
    <n v="3961"/>
    <n v="761"/>
    <n v="131"/>
    <n v="67337"/>
    <n v="66615"/>
    <n v="161"/>
    <s v="#MyntraTrend"/>
    <s v="EndOfSeasonSale"/>
    <n v="7.2851459881408093E-2"/>
  </r>
  <r>
    <s v="P025"/>
    <s v="Twitter"/>
    <d v="2025-04-10T00:00:00"/>
    <x v="3"/>
    <s v="Explore the latest carousel on Myntra! Trendy styles await."/>
    <n v="3128"/>
    <n v="211"/>
    <n v="197"/>
    <n v="59432"/>
    <n v="59182"/>
    <n v="238"/>
    <s v="#StyleWithMyntra"/>
    <s v="FashionUpgrade"/>
    <n v="5.9747896319826972E-2"/>
  </r>
  <r>
    <s v="P025"/>
    <s v="Twitter"/>
    <d v="2025-04-10T00:00:00"/>
    <x v="3"/>
    <s v="Explore the latest carousel on Myntra! Trendy styles await."/>
    <n v="3128"/>
    <n v="211"/>
    <n v="197"/>
    <n v="59432"/>
    <n v="59182"/>
    <n v="238"/>
    <s v="#MyntraSale"/>
    <s v="FashionUpgrade"/>
    <n v="5.9747896319826972E-2"/>
  </r>
  <r>
    <s v="P026"/>
    <s v="Youtube"/>
    <d v="2025-04-05T00:00:00"/>
    <x v="0"/>
    <s v="Explore the latest reel on Myntra! Trendy styles await."/>
    <n v="3009"/>
    <n v="413"/>
    <n v="358"/>
    <n v="42126"/>
    <n v="41309"/>
    <n v="211"/>
    <s v="#MyntraSale"/>
    <s v="EndOfSeasonSale"/>
    <n v="9.1505483066644078E-2"/>
  </r>
  <r>
    <s v="P027"/>
    <s v="Youtube"/>
    <d v="2024-09-17T00:00:00"/>
    <x v="1"/>
    <s v="Explore the latest text on Myntra! Trendy styles await."/>
    <n v="2076"/>
    <n v="195"/>
    <n v="104"/>
    <n v="33216"/>
    <n v="32244"/>
    <n v="51"/>
    <s v="#MyntraTrend"/>
    <s v="StyleRevolution"/>
    <n v="7.3657114501922832E-2"/>
  </r>
  <r>
    <s v="P028"/>
    <s v="Instagram"/>
    <d v="2025-03-04T00:00:00"/>
    <x v="5"/>
    <s v="Explore the latest video on Myntra! Trendy styles await."/>
    <n v="432"/>
    <n v="624"/>
    <n v="123"/>
    <n v="6912"/>
    <n v="6259"/>
    <n v="79"/>
    <s v="#MyntraSale"/>
    <s v="EndOfSeasonSale"/>
    <n v="0.18836874900143794"/>
  </r>
  <r>
    <s v="P028"/>
    <s v="Instagram"/>
    <d v="2025-03-04T00:00:00"/>
    <x v="5"/>
    <s v="Explore the latest video on Myntra! Trendy styles await."/>
    <n v="432"/>
    <n v="624"/>
    <n v="123"/>
    <n v="6912"/>
    <n v="6259"/>
    <n v="79"/>
    <s v="#MyntraTrend"/>
    <s v="EndOfSeasonSale"/>
    <n v="0.18836874900143794"/>
  </r>
  <r>
    <s v="P029"/>
    <s v="Instagram"/>
    <d v="2025-01-31T00:00:00"/>
    <x v="3"/>
    <s v="Explore the latest carousel on Myntra! Trendy styles await."/>
    <n v="2566"/>
    <n v="118"/>
    <n v="37"/>
    <n v="12830"/>
    <n v="12264"/>
    <n v="221"/>
    <s v="#MyntraTrend"/>
    <s v="MyntraFestiveEdit"/>
    <n v="0.22186888454011741"/>
  </r>
  <r>
    <s v="P029"/>
    <s v="Instagram"/>
    <d v="2025-01-31T00:00:00"/>
    <x v="3"/>
    <s v="Explore the latest carousel on Myntra! Trendy styles await."/>
    <n v="2566"/>
    <n v="118"/>
    <n v="37"/>
    <n v="12830"/>
    <n v="12264"/>
    <n v="221"/>
    <s v="#MyntraFashion"/>
    <s v="MyntraFestiveEdit"/>
    <n v="0.22186888454011741"/>
  </r>
  <r>
    <s v="P030"/>
    <s v="Instagram"/>
    <d v="2025-02-25T00:00:00"/>
    <x v="5"/>
    <s v="Explore the latest video on Myntra! Trendy styles await."/>
    <n v="3095"/>
    <n v="39"/>
    <n v="78"/>
    <n v="55710"/>
    <n v="54808"/>
    <n v="93"/>
    <s v="#MyntraSale"/>
    <s v="StyleRevolution"/>
    <n v="5.8604583272514964E-2"/>
  </r>
  <r>
    <s v="P031"/>
    <s v="Instagram"/>
    <d v="2024-12-16T00:00:00"/>
    <x v="1"/>
    <s v="Explore the latest text on Myntra! Trendy styles await."/>
    <n v="438"/>
    <n v="153"/>
    <n v="275"/>
    <n v="3066"/>
    <n v="2701"/>
    <n v="282"/>
    <s v="#MyntraTrend"/>
    <s v="StyleRevolution"/>
    <n v="0.32062199185486856"/>
  </r>
  <r>
    <s v="P032"/>
    <s v="Twitter"/>
    <d v="2024-07-31T00:00:00"/>
    <x v="3"/>
    <s v="Explore the latest carousel on Myntra! Trendy styles await."/>
    <n v="2278"/>
    <n v="10"/>
    <n v="321"/>
    <n v="13668"/>
    <n v="12676"/>
    <n v="275"/>
    <s v="#MyntraTrend"/>
    <s v="StyleRevolution"/>
    <n v="0.20582202587567056"/>
  </r>
  <r>
    <s v="P032"/>
    <s v="Twitter"/>
    <d v="2024-07-31T00:00:00"/>
    <x v="3"/>
    <s v="Explore the latest carousel on Myntra! Trendy styles await."/>
    <n v="2278"/>
    <n v="10"/>
    <n v="321"/>
    <n v="13668"/>
    <n v="12676"/>
    <n v="275"/>
    <s v="#MyntraFashion"/>
    <s v="StyleRevolution"/>
    <n v="0.20582202587567056"/>
  </r>
  <r>
    <s v="P033"/>
    <s v="Facebook"/>
    <d v="2024-08-21T00:00:00"/>
    <x v="4"/>
    <s v="Explore the latest image on Myntra! Trendy styles await."/>
    <n v="1407"/>
    <n v="400"/>
    <n v="351"/>
    <n v="16884"/>
    <n v="15954"/>
    <n v="113"/>
    <s v="#MyntraFashion"/>
    <s v="MyntraFestiveEdit"/>
    <n v="0.13526388366553843"/>
  </r>
  <r>
    <s v="P033"/>
    <s v="Facebook"/>
    <d v="2024-08-21T00:00:00"/>
    <x v="4"/>
    <s v="Explore the latest image on Myntra! Trendy styles await."/>
    <n v="1407"/>
    <n v="400"/>
    <n v="351"/>
    <n v="16884"/>
    <n v="15954"/>
    <n v="113"/>
    <s v="#FashionDeals"/>
    <s v="MyntraFestiveEdit"/>
    <n v="0.13526388366553843"/>
  </r>
  <r>
    <s v="P034"/>
    <s v="Facebook"/>
    <d v="2025-03-26T00:00:00"/>
    <x v="1"/>
    <s v="Explore the latest text on Myntra! Trendy styles await."/>
    <n v="1652"/>
    <n v="89"/>
    <n v="357"/>
    <n v="29736"/>
    <n v="28771"/>
    <n v="215"/>
    <s v="#MyntraTrend"/>
    <s v="EndOfSeasonSale"/>
    <n v="7.2920649264884785E-2"/>
  </r>
  <r>
    <s v="P034"/>
    <s v="Facebook"/>
    <d v="2025-03-26T00:00:00"/>
    <x v="1"/>
    <s v="Explore the latest text on Myntra! Trendy styles await."/>
    <n v="1652"/>
    <n v="89"/>
    <n v="357"/>
    <n v="29736"/>
    <n v="28771"/>
    <n v="215"/>
    <s v="#FashionDeals"/>
    <s v="EndOfSeasonSale"/>
    <n v="7.2920649264884785E-2"/>
  </r>
  <r>
    <s v="P035"/>
    <s v="Instagram"/>
    <d v="2024-11-30T00:00:00"/>
    <x v="5"/>
    <s v="Explore the latest video on Myntra! Trendy styles await."/>
    <n v="3775"/>
    <n v="16"/>
    <n v="239"/>
    <n v="33975"/>
    <n v="33310"/>
    <n v="271"/>
    <s v="#StyleWithMyntra"/>
    <s v="MyntraFestiveEdit"/>
    <n v="0.12098468928249775"/>
  </r>
  <r>
    <s v="P035"/>
    <s v="Instagram"/>
    <d v="2024-11-30T00:00:00"/>
    <x v="5"/>
    <s v="Explore the latest video on Myntra! Trendy styles await."/>
    <n v="3775"/>
    <n v="16"/>
    <n v="239"/>
    <n v="33975"/>
    <n v="33310"/>
    <n v="271"/>
    <s v="#MyntraSale"/>
    <s v="MyntraFestiveEdit"/>
    <n v="0.12098468928249775"/>
  </r>
  <r>
    <s v="P036"/>
    <s v="Instagram"/>
    <d v="2025-04-19T00:00:00"/>
    <x v="2"/>
    <s v="Explore the latest story on Myntra! Trendy styles await."/>
    <n v="4518"/>
    <n v="285"/>
    <n v="383"/>
    <n v="67770"/>
    <n v="67621"/>
    <n v="31"/>
    <s v="#FashionDeals"/>
    <s v="EndOfSeasonSale"/>
    <n v="7.6692151846319931E-2"/>
  </r>
  <r>
    <s v="P037"/>
    <s v="Facebook"/>
    <d v="2025-01-06T00:00:00"/>
    <x v="3"/>
    <s v="Explore the latest carousel on Myntra! Trendy styles await."/>
    <n v="3024"/>
    <n v="925"/>
    <n v="350"/>
    <n v="24192"/>
    <n v="23518"/>
    <n v="36"/>
    <s v="#MyntraSale"/>
    <s v="MyntraFestiveEdit"/>
    <n v="0.18279615613572583"/>
  </r>
  <r>
    <s v="P038"/>
    <s v="Youtube"/>
    <d v="2025-02-17T00:00:00"/>
    <x v="0"/>
    <s v="Explore the latest reel on Myntra! Trendy styles await."/>
    <n v="3138"/>
    <n v="123"/>
    <n v="291"/>
    <n v="28242"/>
    <n v="27550"/>
    <n v="87"/>
    <s v="#FashionDeals"/>
    <s v="StyleRevolution"/>
    <n v="0.12892921960072595"/>
  </r>
  <r>
    <s v="P039"/>
    <s v="Facebook"/>
    <d v="2024-11-25T00:00:00"/>
    <x v="4"/>
    <s v="Explore the latest image on Myntra! Trendy styles await."/>
    <n v="3564"/>
    <n v="629"/>
    <n v="177"/>
    <n v="60588"/>
    <n v="59627"/>
    <n v="92"/>
    <s v="#FashionDeals"/>
    <s v="MyntraFestiveEdit"/>
    <n v="7.3288946282724268E-2"/>
  </r>
  <r>
    <s v="P039"/>
    <s v="Facebook"/>
    <d v="2024-11-25T00:00:00"/>
    <x v="4"/>
    <s v="Explore the latest image on Myntra! Trendy styles await."/>
    <n v="3564"/>
    <n v="629"/>
    <n v="177"/>
    <n v="60588"/>
    <n v="59627"/>
    <n v="92"/>
    <s v="#MyntraSale"/>
    <s v="MyntraFestiveEdit"/>
    <n v="7.3288946282724268E-2"/>
  </r>
  <r>
    <s v="P040"/>
    <s v="Twitter"/>
    <d v="2025-03-07T00:00:00"/>
    <x v="4"/>
    <s v="Explore the latest image on Myntra! Trendy styles await."/>
    <n v="4750"/>
    <n v="151"/>
    <n v="415"/>
    <n v="38000"/>
    <n v="37792"/>
    <n v="299"/>
    <s v="#StyleWithMyntra"/>
    <s v="EndOfSeasonSale"/>
    <n v="0.14066469093988146"/>
  </r>
  <r>
    <s v="P040"/>
    <s v="Twitter"/>
    <d v="2025-03-07T00:00:00"/>
    <x v="4"/>
    <s v="Explore the latest image on Myntra! Trendy styles await."/>
    <n v="4750"/>
    <n v="151"/>
    <n v="415"/>
    <n v="38000"/>
    <n v="37792"/>
    <n v="299"/>
    <s v="#MyntraSale"/>
    <s v="EndOfSeasonSale"/>
    <n v="0.14066469093988146"/>
  </r>
  <r>
    <s v="P041"/>
    <s v="Instagram"/>
    <d v="2025-03-08T00:00:00"/>
    <x v="0"/>
    <s v="Explore the latest reel on Myntra! Trendy styles await."/>
    <n v="456"/>
    <n v="629"/>
    <n v="428"/>
    <n v="8208"/>
    <n v="7377"/>
    <n v="205"/>
    <s v="#MyntraSale"/>
    <s v="MyntraFestiveEdit"/>
    <n v="0.20509692286837466"/>
  </r>
  <r>
    <s v="P041"/>
    <s v="Instagram"/>
    <d v="2025-03-08T00:00:00"/>
    <x v="0"/>
    <s v="Explore the latest reel on Myntra! Trendy styles await."/>
    <n v="456"/>
    <n v="629"/>
    <n v="428"/>
    <n v="8208"/>
    <n v="7377"/>
    <n v="205"/>
    <s v="#FashionDeals"/>
    <s v="MyntraFestiveEdit"/>
    <n v="0.20509692286837466"/>
  </r>
  <r>
    <s v="P042"/>
    <s v="Youtube"/>
    <d v="2025-03-05T00:00:00"/>
    <x v="0"/>
    <s v="Explore the latest reel on Myntra! Trendy styles await."/>
    <n v="1543"/>
    <n v="820"/>
    <n v="333"/>
    <n v="12344"/>
    <n v="11496"/>
    <n v="241"/>
    <s v="#StyleWithMyntra"/>
    <s v="MyntraFestiveEdit"/>
    <n v="0.23451635351426584"/>
  </r>
  <r>
    <s v="P043"/>
    <s v="Instagram"/>
    <d v="2024-12-14T00:00:00"/>
    <x v="3"/>
    <s v="Explore the latest carousel on Myntra! Trendy styles await."/>
    <n v="2174"/>
    <n v="658"/>
    <n v="15"/>
    <n v="13044"/>
    <n v="12206"/>
    <n v="137"/>
    <s v="#MyntraSale"/>
    <s v="StyleRevolution"/>
    <n v="0.23324594461740128"/>
  </r>
  <r>
    <s v="P043"/>
    <s v="Instagram"/>
    <d v="2024-12-14T00:00:00"/>
    <x v="3"/>
    <s v="Explore the latest carousel on Myntra! Trendy styles await."/>
    <n v="2174"/>
    <n v="658"/>
    <n v="15"/>
    <n v="13044"/>
    <n v="12206"/>
    <n v="137"/>
    <s v="#MyntraFashion"/>
    <s v="StyleRevolution"/>
    <n v="0.23324594461740128"/>
  </r>
  <r>
    <s v="P044"/>
    <s v="Twitter"/>
    <d v="2025-03-02T00:00:00"/>
    <x v="4"/>
    <s v="Explore the latest image on Myntra! Trendy styles await."/>
    <n v="2358"/>
    <n v="784"/>
    <n v="344"/>
    <n v="35370"/>
    <n v="34475"/>
    <n v="216"/>
    <s v="#MyntraSale"/>
    <s v="FashionUpgrade"/>
    <n v="0.10111675126903553"/>
  </r>
  <r>
    <s v="P044"/>
    <s v="Twitter"/>
    <d v="2025-03-02T00:00:00"/>
    <x v="4"/>
    <s v="Explore the latest image on Myntra! Trendy styles await."/>
    <n v="2358"/>
    <n v="784"/>
    <n v="344"/>
    <n v="35370"/>
    <n v="34475"/>
    <n v="216"/>
    <s v="#StyleWithMyntra"/>
    <s v="FashionUpgrade"/>
    <n v="0.10111675126903553"/>
  </r>
  <r>
    <s v="P045"/>
    <s v="Facebook"/>
    <d v="2024-11-01T00:00:00"/>
    <x v="5"/>
    <s v="Explore the latest video on Myntra! Trendy styles await."/>
    <n v="3371"/>
    <n v="106"/>
    <n v="327"/>
    <n v="50565"/>
    <n v="49816"/>
    <n v="176"/>
    <s v="#FashionDeals"/>
    <s v="StyleRevolution"/>
    <n v="7.636100851132166E-2"/>
  </r>
  <r>
    <s v="P046"/>
    <s v="Twitter"/>
    <d v="2025-05-02T00:00:00"/>
    <x v="5"/>
    <s v="Explore the latest video on Myntra! Trendy styles await."/>
    <n v="1108"/>
    <n v="177"/>
    <n v="212"/>
    <n v="8864"/>
    <n v="8710"/>
    <n v="97"/>
    <s v="#MyntraFashion"/>
    <s v="StyleRevolution"/>
    <n v="0.17187141216991964"/>
  </r>
  <r>
    <s v="P047"/>
    <s v="Twitter"/>
    <d v="2025-02-24T00:00:00"/>
    <x v="3"/>
    <s v="Explore the latest carousel on Myntra! Trendy styles await."/>
    <n v="2704"/>
    <n v="752"/>
    <n v="153"/>
    <n v="21632"/>
    <n v="20792"/>
    <n v="127"/>
    <s v="#FashionDeals"/>
    <s v="FashionUpgrade"/>
    <n v="0.17357637552904964"/>
  </r>
  <r>
    <s v="P047"/>
    <s v="Twitter"/>
    <d v="2025-02-24T00:00:00"/>
    <x v="3"/>
    <s v="Explore the latest carousel on Myntra! Trendy styles await."/>
    <n v="2704"/>
    <n v="752"/>
    <n v="153"/>
    <n v="21632"/>
    <n v="20792"/>
    <n v="127"/>
    <s v="#MyntraFashion"/>
    <s v="FashionUpgrade"/>
    <n v="0.17357637552904964"/>
  </r>
  <r>
    <s v="P048"/>
    <s v="Twitter"/>
    <d v="2025-03-11T00:00:00"/>
    <x v="2"/>
    <s v="Explore the latest story on Myntra! Trendy styles await."/>
    <n v="1950"/>
    <n v="295"/>
    <n v="478"/>
    <n v="37050"/>
    <n v="36272"/>
    <n v="119"/>
    <s v="#MyntraFashion"/>
    <s v="StyleRevolution"/>
    <n v="7.5071680635200699E-2"/>
  </r>
  <r>
    <s v="P048"/>
    <s v="Twitter"/>
    <d v="2025-03-11T00:00:00"/>
    <x v="2"/>
    <s v="Explore the latest story on Myntra! Trendy styles await."/>
    <n v="1950"/>
    <n v="295"/>
    <n v="478"/>
    <n v="37050"/>
    <n v="36272"/>
    <n v="119"/>
    <s v="#StyleWithMyntra"/>
    <s v="StyleRevolution"/>
    <n v="7.5071680635200699E-2"/>
  </r>
  <r>
    <s v="P049"/>
    <s v="Twitter"/>
    <d v="2024-06-10T00:00:00"/>
    <x v="2"/>
    <s v="Explore the latest story on Myntra! Trendy styles await."/>
    <n v="2164"/>
    <n v="549"/>
    <n v="274"/>
    <n v="28132"/>
    <n v="27361"/>
    <n v="177"/>
    <s v="#StyleWithMyntra"/>
    <s v="FashionUpgrade"/>
    <n v="0.10916998647710245"/>
  </r>
  <r>
    <s v="P050"/>
    <s v="Youtube"/>
    <d v="2024-07-03T00:00:00"/>
    <x v="2"/>
    <s v="Explore the latest story on Myntra! Trendy styles await."/>
    <n v="2754"/>
    <n v="130"/>
    <n v="90"/>
    <n v="22032"/>
    <n v="21288"/>
    <n v="112"/>
    <s v="#MyntraFashion"/>
    <s v="FashionUpgrade"/>
    <n v="0.13970311912814731"/>
  </r>
  <r>
    <s v="P051"/>
    <s v="Facebook"/>
    <d v="2024-06-13T00:00:00"/>
    <x v="3"/>
    <s v="Explore the latest carousel on Myntra! Trendy styles await."/>
    <n v="2200"/>
    <n v="504"/>
    <n v="239"/>
    <n v="37400"/>
    <n v="36938"/>
    <n v="225"/>
    <s v="#MyntraSale"/>
    <s v="MyntraFestiveEdit"/>
    <n v="7.967404840543614E-2"/>
  </r>
  <r>
    <s v="P052"/>
    <s v="Facebook"/>
    <d v="2025-01-03T00:00:00"/>
    <x v="4"/>
    <s v="Explore the latest image on Myntra! Trendy styles await."/>
    <n v="947"/>
    <n v="338"/>
    <n v="350"/>
    <n v="10417"/>
    <n v="9730"/>
    <n v="34"/>
    <s v="#MyntraFashion"/>
    <s v="MyntraFestiveEdit"/>
    <n v="0.16803699897225077"/>
  </r>
  <r>
    <s v="P052"/>
    <s v="Facebook"/>
    <d v="2025-01-03T00:00:00"/>
    <x v="4"/>
    <s v="Explore the latest image on Myntra! Trendy styles await."/>
    <n v="947"/>
    <n v="338"/>
    <n v="350"/>
    <n v="10417"/>
    <n v="9730"/>
    <n v="34"/>
    <s v="#MyntraSale"/>
    <s v="MyntraFestiveEdit"/>
    <n v="0.16803699897225077"/>
  </r>
  <r>
    <s v="P053"/>
    <s v="Youtube"/>
    <d v="2025-02-24T00:00:00"/>
    <x v="3"/>
    <s v="Explore the latest carousel on Myntra! Trendy styles await."/>
    <n v="804"/>
    <n v="639"/>
    <n v="43"/>
    <n v="4020"/>
    <n v="3144"/>
    <n v="11"/>
    <s v="#StyleWithMyntra"/>
    <s v="StyleRevolution"/>
    <n v="0.47264631043256999"/>
  </r>
  <r>
    <s v="P053"/>
    <s v="Youtube"/>
    <d v="2025-02-24T00:00:00"/>
    <x v="3"/>
    <s v="Explore the latest carousel on Myntra! Trendy styles await."/>
    <n v="804"/>
    <n v="639"/>
    <n v="43"/>
    <n v="4020"/>
    <n v="3144"/>
    <n v="11"/>
    <s v="#MyntraTrend"/>
    <s v="StyleRevolution"/>
    <n v="0.47264631043256999"/>
  </r>
  <r>
    <s v="P054"/>
    <s v="Youtube"/>
    <d v="2025-03-13T00:00:00"/>
    <x v="3"/>
    <s v="Explore the latest carousel on Myntra! Trendy styles await."/>
    <n v="1686"/>
    <n v="904"/>
    <n v="472"/>
    <n v="18546"/>
    <n v="18171"/>
    <n v="52"/>
    <s v="#MyntraFashion"/>
    <s v="EndOfSeasonSale"/>
    <n v="0.16851026360684607"/>
  </r>
  <r>
    <s v="P054"/>
    <s v="Youtube"/>
    <d v="2025-03-13T00:00:00"/>
    <x v="3"/>
    <s v="Explore the latest carousel on Myntra! Trendy styles await."/>
    <n v="1686"/>
    <n v="904"/>
    <n v="472"/>
    <n v="18546"/>
    <n v="18171"/>
    <n v="52"/>
    <s v="#FashionDeals"/>
    <s v="EndOfSeasonSale"/>
    <n v="0.16851026360684607"/>
  </r>
  <r>
    <s v="P055"/>
    <s v="Facebook"/>
    <d v="2024-06-17T00:00:00"/>
    <x v="4"/>
    <s v="Explore the latest image on Myntra! Trendy styles await."/>
    <n v="1226"/>
    <n v="119"/>
    <n v="7"/>
    <n v="14712"/>
    <n v="14049"/>
    <n v="123"/>
    <s v="#MyntraSale"/>
    <s v="StyleRevolution"/>
    <n v="9.6234607445369783E-2"/>
  </r>
  <r>
    <s v="P055"/>
    <s v="Facebook"/>
    <d v="2024-06-17T00:00:00"/>
    <x v="4"/>
    <s v="Explore the latest image on Myntra! Trendy styles await."/>
    <n v="1226"/>
    <n v="119"/>
    <n v="7"/>
    <n v="14712"/>
    <n v="14049"/>
    <n v="123"/>
    <s v="#MyntraTrend"/>
    <s v="StyleRevolution"/>
    <n v="9.6234607445369783E-2"/>
  </r>
  <r>
    <s v="P056"/>
    <s v="Facebook"/>
    <d v="2024-12-18T00:00:00"/>
    <x v="3"/>
    <s v="Explore the latest carousel on Myntra! Trendy styles await."/>
    <n v="2946"/>
    <n v="498"/>
    <n v="367"/>
    <n v="29460"/>
    <n v="28527"/>
    <n v="60"/>
    <s v="#StyleWithMyntra"/>
    <s v="EndOfSeasonSale"/>
    <n v="0.13359273670557717"/>
  </r>
  <r>
    <s v="P056"/>
    <s v="Facebook"/>
    <d v="2024-12-18T00:00:00"/>
    <x v="3"/>
    <s v="Explore the latest carousel on Myntra! Trendy styles await."/>
    <n v="2946"/>
    <n v="498"/>
    <n v="367"/>
    <n v="29460"/>
    <n v="28527"/>
    <n v="60"/>
    <s v="#FashionDeals"/>
    <s v="EndOfSeasonSale"/>
    <n v="0.13359273670557717"/>
  </r>
  <r>
    <s v="P057"/>
    <s v="Twitter"/>
    <d v="2024-10-21T00:00:00"/>
    <x v="5"/>
    <s v="Explore the latest video on Myntra! Trendy styles await."/>
    <n v="2825"/>
    <n v="535"/>
    <n v="295"/>
    <n v="45200"/>
    <n v="44739"/>
    <n v="169"/>
    <s v="#StyleWithMyntra"/>
    <s v="EndOfSeasonSale"/>
    <n v="8.1696059366548196E-2"/>
  </r>
  <r>
    <s v="P058"/>
    <s v="Instagram"/>
    <d v="2025-04-15T00:00:00"/>
    <x v="0"/>
    <s v="Explore the latest reel on Myntra! Trendy styles await."/>
    <n v="103"/>
    <n v="770"/>
    <n v="19"/>
    <n v="1030"/>
    <n v="410"/>
    <n v="262"/>
    <s v="#MyntraSale"/>
    <s v="MyntraFestiveEdit"/>
    <n v="2.1756097560975611"/>
  </r>
  <r>
    <s v="P059"/>
    <s v="Instagram"/>
    <d v="2024-06-22T00:00:00"/>
    <x v="1"/>
    <s v="Explore the latest text on Myntra! Trendy styles await."/>
    <n v="2180"/>
    <n v="263"/>
    <n v="387"/>
    <n v="30520"/>
    <n v="30059"/>
    <n v="174"/>
    <s v="#FashionDeals"/>
    <s v="FashionUpgrade"/>
    <n v="9.4148175255331187E-2"/>
  </r>
  <r>
    <s v="P060"/>
    <s v="Instagram"/>
    <d v="2025-01-28T00:00:00"/>
    <x v="5"/>
    <s v="Explore the latest video on Myntra! Trendy styles await."/>
    <n v="904"/>
    <n v="973"/>
    <n v="63"/>
    <n v="11752"/>
    <n v="11580"/>
    <n v="84"/>
    <s v="#StyleWithMyntra"/>
    <s v="FashionUpgrade"/>
    <n v="0.16753022452504318"/>
  </r>
  <r>
    <s v="P061"/>
    <s v="Twitter"/>
    <d v="2024-09-05T00:00:00"/>
    <x v="5"/>
    <s v="Explore the latest video on Myntra! Trendy styles await."/>
    <n v="4886"/>
    <n v="983"/>
    <n v="409"/>
    <n v="43974"/>
    <n v="43239"/>
    <n v="65"/>
    <s v="#MyntraFashion"/>
    <s v="FashionUpgrade"/>
    <n v="0.14519299706283678"/>
  </r>
  <r>
    <s v="P062"/>
    <s v="Twitter"/>
    <d v="2024-11-22T00:00:00"/>
    <x v="3"/>
    <s v="Explore the latest carousel on Myntra! Trendy styles await."/>
    <n v="53"/>
    <n v="81"/>
    <n v="379"/>
    <n v="954"/>
    <n v="7"/>
    <n v="148"/>
    <s v="#FashionDeals"/>
    <s v="MyntraFestiveEdit"/>
    <n v="73.285714285714292"/>
  </r>
  <r>
    <s v="P063"/>
    <s v="Twitter"/>
    <d v="2024-07-31T00:00:00"/>
    <x v="3"/>
    <s v="Explore the latest carousel on Myntra! Trendy styles await."/>
    <n v="4507"/>
    <n v="217"/>
    <n v="13"/>
    <n v="90140"/>
    <n v="89591"/>
    <n v="125"/>
    <s v="#MyntraSale"/>
    <s v="FashionUpgrade"/>
    <n v="5.2873614537174492E-2"/>
  </r>
  <r>
    <s v="P064"/>
    <s v="Facebook"/>
    <d v="2024-08-17T00:00:00"/>
    <x v="4"/>
    <s v="Explore the latest image on Myntra! Trendy styles await."/>
    <n v="2878"/>
    <n v="248"/>
    <n v="416"/>
    <n v="43170"/>
    <n v="42667"/>
    <n v="75"/>
    <s v="#FashionDeals"/>
    <s v="EndOfSeasonSale"/>
    <n v="8.3014976445496519E-2"/>
  </r>
  <r>
    <s v="P064"/>
    <s v="Facebook"/>
    <d v="2024-08-17T00:00:00"/>
    <x v="4"/>
    <s v="Explore the latest image on Myntra! Trendy styles await."/>
    <n v="2878"/>
    <n v="248"/>
    <n v="416"/>
    <n v="43170"/>
    <n v="42667"/>
    <n v="75"/>
    <s v="#MyntraTrend"/>
    <s v="EndOfSeasonSale"/>
    <n v="8.3014976445496519E-2"/>
  </r>
  <r>
    <s v="P065"/>
    <s v="Instagram"/>
    <d v="2025-03-28T00:00:00"/>
    <x v="2"/>
    <s v="Explore the latest story on Myntra! Trendy styles await."/>
    <n v="1881"/>
    <n v="501"/>
    <n v="99"/>
    <n v="20691"/>
    <n v="19987"/>
    <n v="289"/>
    <s v="#FashionDeals"/>
    <s v="EndOfSeasonSale"/>
    <n v="0.12413068494521438"/>
  </r>
  <r>
    <s v="P066"/>
    <s v="Twitter"/>
    <d v="2024-07-26T00:00:00"/>
    <x v="3"/>
    <s v="Explore the latest carousel on Myntra! Trendy styles await."/>
    <n v="432"/>
    <n v="171"/>
    <n v="280"/>
    <n v="3024"/>
    <n v="2285"/>
    <n v="184"/>
    <s v="#MyntraFashion"/>
    <s v="MyntraFestiveEdit"/>
    <n v="0.3864332603938731"/>
  </r>
  <r>
    <s v="P067"/>
    <s v="Facebook"/>
    <d v="2025-03-29T00:00:00"/>
    <x v="3"/>
    <s v="Explore the latest carousel on Myntra! Trendy styles await."/>
    <n v="4712"/>
    <n v="568"/>
    <n v="127"/>
    <n v="84816"/>
    <n v="84691"/>
    <n v="100"/>
    <s v="#FashionDeals"/>
    <s v="FashionUpgrade"/>
    <n v="6.3843855899682375E-2"/>
  </r>
  <r>
    <s v="P068"/>
    <s v="Instagram"/>
    <d v="2024-12-08T00:00:00"/>
    <x v="2"/>
    <s v="Explore the latest story on Myntra! Trendy styles await."/>
    <n v="2610"/>
    <n v="126"/>
    <n v="288"/>
    <n v="15660"/>
    <n v="15145"/>
    <n v="73"/>
    <s v="#MyntraFashion"/>
    <s v="FashionUpgrade"/>
    <n v="0.19966985803895676"/>
  </r>
  <r>
    <s v="P069"/>
    <s v="Twitter"/>
    <d v="2025-03-08T00:00:00"/>
    <x v="1"/>
    <s v="Explore the latest text on Myntra! Trendy styles await."/>
    <n v="1292"/>
    <n v="626"/>
    <n v="496"/>
    <n v="25840"/>
    <n v="24916"/>
    <n v="149"/>
    <s v="#StyleWithMyntra"/>
    <s v="StyleRevolution"/>
    <n v="9.6885535398940445E-2"/>
  </r>
  <r>
    <s v="P069"/>
    <s v="Twitter"/>
    <d v="2025-03-08T00:00:00"/>
    <x v="1"/>
    <s v="Explore the latest text on Myntra! Trendy styles await."/>
    <n v="1292"/>
    <n v="626"/>
    <n v="496"/>
    <n v="25840"/>
    <n v="24916"/>
    <n v="149"/>
    <s v="#MyntraTrend"/>
    <s v="StyleRevolution"/>
    <n v="9.6885535398940445E-2"/>
  </r>
  <r>
    <s v="P070"/>
    <s v="Facebook"/>
    <d v="2025-04-02T00:00:00"/>
    <x v="5"/>
    <s v="Explore the latest video on Myntra! Trendy styles await."/>
    <n v="199"/>
    <n v="772"/>
    <n v="400"/>
    <n v="3582"/>
    <n v="2988"/>
    <n v="43"/>
    <s v="#MyntraTrend"/>
    <s v="FashionUpgrade"/>
    <n v="0.45883534136546184"/>
  </r>
  <r>
    <s v="P071"/>
    <s v="Youtube"/>
    <d v="2024-09-02T00:00:00"/>
    <x v="3"/>
    <s v="Explore the latest carousel on Myntra! Trendy styles await."/>
    <n v="2551"/>
    <n v="915"/>
    <n v="205"/>
    <n v="30612"/>
    <n v="30360"/>
    <n v="227"/>
    <s v="#MyntraSale"/>
    <s v="EndOfSeasonSale"/>
    <n v="0.12091567852437418"/>
  </r>
  <r>
    <s v="P071"/>
    <s v="Youtube"/>
    <d v="2024-09-02T00:00:00"/>
    <x v="3"/>
    <s v="Explore the latest carousel on Myntra! Trendy styles await."/>
    <n v="2551"/>
    <n v="915"/>
    <n v="205"/>
    <n v="30612"/>
    <n v="30360"/>
    <n v="227"/>
    <s v="#FashionDeals"/>
    <s v="EndOfSeasonSale"/>
    <n v="0.12091567852437418"/>
  </r>
  <r>
    <s v="P072"/>
    <s v="Youtube"/>
    <d v="2025-03-03T00:00:00"/>
    <x v="0"/>
    <s v="Explore the latest reel on Myntra! Trendy styles await."/>
    <n v="296"/>
    <n v="60"/>
    <n v="141"/>
    <n v="5624"/>
    <n v="5239"/>
    <n v="88"/>
    <s v="#MyntraTrend"/>
    <s v="StyleRevolution"/>
    <n v="9.4865432334414967E-2"/>
  </r>
  <r>
    <s v="P073"/>
    <s v="Facebook"/>
    <d v="2024-10-18T00:00:00"/>
    <x v="2"/>
    <s v="Explore the latest story on Myntra! Trendy styles await."/>
    <n v="4126"/>
    <n v="426"/>
    <n v="486"/>
    <n v="78394"/>
    <n v="77798"/>
    <n v="88"/>
    <s v="#MyntraFashion"/>
    <s v="FashionUpgrade"/>
    <n v="6.4757448777603532E-2"/>
  </r>
  <r>
    <s v="P074"/>
    <s v="Youtube"/>
    <d v="2024-10-28T00:00:00"/>
    <x v="0"/>
    <s v="Explore the latest reel on Myntra! Trendy styles await."/>
    <n v="1855"/>
    <n v="200"/>
    <n v="174"/>
    <n v="16695"/>
    <n v="16330"/>
    <n v="123"/>
    <s v="#MyntraFashion"/>
    <s v="MyntraFestiveEdit"/>
    <n v="0.13649724433557869"/>
  </r>
  <r>
    <s v="P075"/>
    <s v="Instagram"/>
    <d v="2024-08-01T00:00:00"/>
    <x v="0"/>
    <s v="Explore the latest reel on Myntra! Trendy styles await."/>
    <n v="1674"/>
    <n v="929"/>
    <n v="37"/>
    <n v="21762"/>
    <n v="20998"/>
    <n v="255"/>
    <s v="#StyleWithMyntra"/>
    <s v="MyntraFestiveEdit"/>
    <n v="0.1257262596437756"/>
  </r>
  <r>
    <s v="P075"/>
    <s v="Instagram"/>
    <d v="2024-08-01T00:00:00"/>
    <x v="0"/>
    <s v="Explore the latest reel on Myntra! Trendy styles await."/>
    <n v="1674"/>
    <n v="929"/>
    <n v="37"/>
    <n v="21762"/>
    <n v="20998"/>
    <n v="255"/>
    <s v="#FashionDeals"/>
    <s v="MyntraFestiveEdit"/>
    <n v="0.1257262596437756"/>
  </r>
  <r>
    <s v="P076"/>
    <s v="Twitter"/>
    <d v="2024-11-07T00:00:00"/>
    <x v="2"/>
    <s v="Explore the latest story on Myntra! Trendy styles await."/>
    <n v="1121"/>
    <n v="135"/>
    <n v="18"/>
    <n v="15694"/>
    <n v="14957"/>
    <n v="99"/>
    <s v="#MyntraSale"/>
    <s v="StyleRevolution"/>
    <n v="8.5177508858728351E-2"/>
  </r>
  <r>
    <s v="P076"/>
    <s v="Twitter"/>
    <d v="2024-11-07T00:00:00"/>
    <x v="2"/>
    <s v="Explore the latest story on Myntra! Trendy styles await."/>
    <n v="1121"/>
    <n v="135"/>
    <n v="18"/>
    <n v="15694"/>
    <n v="14957"/>
    <n v="99"/>
    <s v="#MyntraFashion"/>
    <s v="StyleRevolution"/>
    <n v="8.5177508858728351E-2"/>
  </r>
  <r>
    <s v="P077"/>
    <s v="Facebook"/>
    <d v="2025-03-04T00:00:00"/>
    <x v="2"/>
    <s v="Explore the latest story on Myntra! Trendy styles await."/>
    <n v="1249"/>
    <n v="116"/>
    <n v="420"/>
    <n v="8743"/>
    <n v="8538"/>
    <n v="63"/>
    <s v="#MyntraFashion"/>
    <s v="MyntraFestiveEdit"/>
    <n v="0.20906535488404779"/>
  </r>
  <r>
    <s v="P077"/>
    <s v="Facebook"/>
    <d v="2025-03-04T00:00:00"/>
    <x v="2"/>
    <s v="Explore the latest story on Myntra! Trendy styles await."/>
    <n v="1249"/>
    <n v="116"/>
    <n v="420"/>
    <n v="8743"/>
    <n v="8538"/>
    <n v="63"/>
    <s v="#FashionDeals"/>
    <s v="MyntraFestiveEdit"/>
    <n v="0.20906535488404779"/>
  </r>
  <r>
    <s v="P078"/>
    <s v="Twitter"/>
    <d v="2024-06-17T00:00:00"/>
    <x v="4"/>
    <s v="Explore the latest image on Myntra! Trendy styles await."/>
    <n v="954"/>
    <n v="324"/>
    <n v="288"/>
    <n v="19080"/>
    <n v="18859"/>
    <n v="21"/>
    <s v="#MyntraTrend"/>
    <s v="MyntraFestiveEdit"/>
    <n v="8.303727663184686E-2"/>
  </r>
  <r>
    <s v="P079"/>
    <s v="Instagram"/>
    <d v="2024-10-09T00:00:00"/>
    <x v="3"/>
    <s v="Explore the latest carousel on Myntra! Trendy styles await."/>
    <n v="3068"/>
    <n v="137"/>
    <n v="329"/>
    <n v="39884"/>
    <n v="39404"/>
    <n v="266"/>
    <s v="#MyntraSale"/>
    <s v="MyntraFestiveEdit"/>
    <n v="8.9686326261293275E-2"/>
  </r>
  <r>
    <s v="P079"/>
    <s v="Instagram"/>
    <d v="2024-10-09T00:00:00"/>
    <x v="3"/>
    <s v="Explore the latest carousel on Myntra! Trendy styles await."/>
    <n v="3068"/>
    <n v="137"/>
    <n v="329"/>
    <n v="39884"/>
    <n v="39404"/>
    <n v="266"/>
    <s v="#MyntraTrend"/>
    <s v="MyntraFestiveEdit"/>
    <n v="8.9686326261293275E-2"/>
  </r>
  <r>
    <s v="P080"/>
    <s v="Instagram"/>
    <d v="2024-06-13T00:00:00"/>
    <x v="2"/>
    <s v="Explore the latest story on Myntra! Trendy styles await."/>
    <n v="2103"/>
    <n v="892"/>
    <n v="103"/>
    <n v="39957"/>
    <n v="39466"/>
    <n v="28"/>
    <s v="#FashionDeals"/>
    <s v="EndOfSeasonSale"/>
    <n v="7.8497947600466231E-2"/>
  </r>
  <r>
    <s v="P080"/>
    <s v="Instagram"/>
    <d v="2024-06-13T00:00:00"/>
    <x v="2"/>
    <s v="Explore the latest story on Myntra! Trendy styles await."/>
    <n v="2103"/>
    <n v="892"/>
    <n v="103"/>
    <n v="39957"/>
    <n v="39466"/>
    <n v="28"/>
    <s v="#MyntraFashion"/>
    <s v="EndOfSeasonSale"/>
    <n v="7.8497947600466231E-2"/>
  </r>
  <r>
    <s v="P081"/>
    <s v="Instagram"/>
    <d v="2024-10-19T00:00:00"/>
    <x v="2"/>
    <s v="Explore the latest story on Myntra! Trendy styles await."/>
    <n v="1816"/>
    <n v="29"/>
    <n v="41"/>
    <n v="19976"/>
    <n v="19262"/>
    <n v="283"/>
    <s v="#MyntraTrend"/>
    <s v="MyntraFestiveEdit"/>
    <n v="9.7912989305368084E-2"/>
  </r>
  <r>
    <s v="P081"/>
    <s v="Instagram"/>
    <d v="2024-10-19T00:00:00"/>
    <x v="2"/>
    <s v="Explore the latest story on Myntra! Trendy styles await."/>
    <n v="1816"/>
    <n v="29"/>
    <n v="41"/>
    <n v="19976"/>
    <n v="19262"/>
    <n v="283"/>
    <s v="#MyntraSale"/>
    <s v="MyntraFestiveEdit"/>
    <n v="9.7912989305368084E-2"/>
  </r>
  <r>
    <s v="P082"/>
    <s v="Instagram"/>
    <d v="2024-07-24T00:00:00"/>
    <x v="4"/>
    <s v="Explore the latest image on Myntra! Trendy styles await."/>
    <n v="725"/>
    <n v="88"/>
    <n v="428"/>
    <n v="14500"/>
    <n v="13637"/>
    <n v="200"/>
    <s v="#MyntraTrend"/>
    <s v="MyntraFestiveEdit"/>
    <n v="9.1002419887071931E-2"/>
  </r>
  <r>
    <s v="P083"/>
    <s v="Youtube"/>
    <d v="2024-10-15T00:00:00"/>
    <x v="5"/>
    <s v="Explore the latest video on Myntra! Trendy styles await."/>
    <n v="1094"/>
    <n v="472"/>
    <n v="21"/>
    <n v="9846"/>
    <n v="9609"/>
    <n v="112"/>
    <s v="#MyntraTrend"/>
    <s v="MyntraFestiveEdit"/>
    <n v="0.16515766468935372"/>
  </r>
  <r>
    <s v="P083"/>
    <s v="Youtube"/>
    <d v="2024-10-15T00:00:00"/>
    <x v="5"/>
    <s v="Explore the latest video on Myntra! Trendy styles await."/>
    <n v="1094"/>
    <n v="472"/>
    <n v="21"/>
    <n v="9846"/>
    <n v="9609"/>
    <n v="112"/>
    <s v="#StyleWithMyntra"/>
    <s v="MyntraFestiveEdit"/>
    <n v="0.16515766468935372"/>
  </r>
  <r>
    <s v="P084"/>
    <s v="Facebook"/>
    <d v="2024-12-09T00:00:00"/>
    <x v="4"/>
    <s v="Explore the latest image on Myntra! Trendy styles await."/>
    <n v="1841"/>
    <n v="851"/>
    <n v="342"/>
    <n v="34979"/>
    <n v="34154"/>
    <n v="255"/>
    <s v="#MyntraFashion"/>
    <s v="FashionUpgrade"/>
    <n v="8.8832933184985655E-2"/>
  </r>
  <r>
    <s v="P084"/>
    <s v="Facebook"/>
    <d v="2024-12-09T00:00:00"/>
    <x v="4"/>
    <s v="Explore the latest image on Myntra! Trendy styles await."/>
    <n v="1841"/>
    <n v="851"/>
    <n v="342"/>
    <n v="34979"/>
    <n v="34154"/>
    <n v="255"/>
    <s v="#FashionDeals"/>
    <s v="FashionUpgrade"/>
    <n v="8.8832933184985655E-2"/>
  </r>
  <r>
    <s v="P085"/>
    <s v="Instagram"/>
    <d v="2025-04-19T00:00:00"/>
    <x v="4"/>
    <s v="Explore the latest image on Myntra! Trendy styles await."/>
    <n v="4177"/>
    <n v="569"/>
    <n v="55"/>
    <n v="25062"/>
    <n v="24847"/>
    <n v="230"/>
    <s v="#MyntraFashion"/>
    <s v="FashionUpgrade"/>
    <n v="0.19322252183362176"/>
  </r>
  <r>
    <s v="P086"/>
    <s v="Youtube"/>
    <d v="2025-01-27T00:00:00"/>
    <x v="1"/>
    <s v="Explore the latest text on Myntra! Trendy styles await."/>
    <n v="3428"/>
    <n v="305"/>
    <n v="85"/>
    <n v="58276"/>
    <n v="58052"/>
    <n v="242"/>
    <s v="#MyntraTrend"/>
    <s v="MyntraFestiveEdit"/>
    <n v="6.5768621236133126E-2"/>
  </r>
  <r>
    <s v="P086"/>
    <s v="Youtube"/>
    <d v="2025-01-27T00:00:00"/>
    <x v="1"/>
    <s v="Explore the latest text on Myntra! Trendy styles await."/>
    <n v="3428"/>
    <n v="305"/>
    <n v="85"/>
    <n v="58276"/>
    <n v="58052"/>
    <n v="242"/>
    <s v="#StyleWithMyntra"/>
    <s v="MyntraFestiveEdit"/>
    <n v="6.5768621236133126E-2"/>
  </r>
  <r>
    <s v="P087"/>
    <s v="Twitter"/>
    <d v="2024-06-06T00:00:00"/>
    <x v="5"/>
    <s v="Explore the latest video on Myntra! Trendy styles await."/>
    <n v="1436"/>
    <n v="765"/>
    <n v="496"/>
    <n v="12924"/>
    <n v="12701"/>
    <n v="197"/>
    <s v="#MyntraTrend"/>
    <s v="EndOfSeasonSale"/>
    <n v="0.21234548460751121"/>
  </r>
  <r>
    <s v="P087"/>
    <s v="Twitter"/>
    <d v="2024-06-06T00:00:00"/>
    <x v="5"/>
    <s v="Explore the latest video on Myntra! Trendy styles await."/>
    <n v="1436"/>
    <n v="765"/>
    <n v="496"/>
    <n v="12924"/>
    <n v="12701"/>
    <n v="197"/>
    <s v="#MyntraSale"/>
    <s v="EndOfSeasonSale"/>
    <n v="0.21234548460751121"/>
  </r>
  <r>
    <s v="P088"/>
    <s v="Facebook"/>
    <d v="2024-07-07T00:00:00"/>
    <x v="2"/>
    <s v="Explore the latest story on Myntra! Trendy styles await."/>
    <n v="302"/>
    <n v="47"/>
    <n v="430"/>
    <n v="5738"/>
    <n v="4890"/>
    <n v="25"/>
    <s v="#MyntraFashion"/>
    <s v="EndOfSeasonSale"/>
    <n v="0.15930470347648262"/>
  </r>
  <r>
    <s v="P088"/>
    <s v="Facebook"/>
    <d v="2024-07-07T00:00:00"/>
    <x v="2"/>
    <s v="Explore the latest story on Myntra! Trendy styles await."/>
    <n v="302"/>
    <n v="47"/>
    <n v="430"/>
    <n v="5738"/>
    <n v="4890"/>
    <n v="25"/>
    <s v="#MyntraSale"/>
    <s v="EndOfSeasonSale"/>
    <n v="0.15930470347648262"/>
  </r>
  <r>
    <s v="P089"/>
    <s v="Twitter"/>
    <d v="2025-01-10T00:00:00"/>
    <x v="4"/>
    <s v="Explore the latest image on Myntra! Trendy styles await."/>
    <n v="2214"/>
    <n v="249"/>
    <n v="152"/>
    <n v="15498"/>
    <n v="14800"/>
    <n v="180"/>
    <s v="#MyntraSale"/>
    <s v="EndOfSeasonSale"/>
    <n v="0.17668918918918919"/>
  </r>
  <r>
    <s v="P090"/>
    <s v="Instagram"/>
    <d v="2024-06-03T00:00:00"/>
    <x v="4"/>
    <s v="Explore the latest image on Myntra! Trendy styles await."/>
    <n v="3861"/>
    <n v="960"/>
    <n v="101"/>
    <n v="69498"/>
    <n v="68817"/>
    <n v="297"/>
    <s v="#MyntraFashion"/>
    <s v="EndOfSeasonSale"/>
    <n v="7.1523024833979973E-2"/>
  </r>
  <r>
    <s v="P091"/>
    <s v="Facebook"/>
    <d v="2025-03-24T00:00:00"/>
    <x v="4"/>
    <s v="Explore the latest image on Myntra! Trendy styles await."/>
    <n v="1263"/>
    <n v="397"/>
    <n v="357"/>
    <n v="25260"/>
    <n v="24615"/>
    <n v="137"/>
    <s v="#MyntraSale"/>
    <s v="EndOfSeasonSale"/>
    <n v="8.1941905342270971E-2"/>
  </r>
  <r>
    <s v="P092"/>
    <s v="Twitter"/>
    <d v="2024-10-21T00:00:00"/>
    <x v="2"/>
    <s v="Explore the latest story on Myntra! Trendy styles await."/>
    <n v="3801"/>
    <n v="967"/>
    <n v="401"/>
    <n v="38010"/>
    <n v="37625"/>
    <n v="236"/>
    <s v="#StyleWithMyntra"/>
    <s v="StyleRevolution"/>
    <n v="0.13738205980066445"/>
  </r>
  <r>
    <s v="P093"/>
    <s v="Instagram"/>
    <d v="2024-12-11T00:00:00"/>
    <x v="5"/>
    <s v="Explore the latest video on Myntra! Trendy styles await."/>
    <n v="1431"/>
    <n v="951"/>
    <n v="26"/>
    <n v="8586"/>
    <n v="8396"/>
    <n v="150"/>
    <s v="#MyntraTrend"/>
    <s v="FashionUpgrade"/>
    <n v="0.28680323963792281"/>
  </r>
  <r>
    <s v="P093"/>
    <s v="Instagram"/>
    <d v="2024-12-11T00:00:00"/>
    <x v="5"/>
    <s v="Explore the latest video on Myntra! Trendy styles await."/>
    <n v="1431"/>
    <n v="951"/>
    <n v="26"/>
    <n v="8586"/>
    <n v="8396"/>
    <n v="150"/>
    <s v="#FashionDeals"/>
    <s v="FashionUpgrade"/>
    <n v="0.28680323963792281"/>
  </r>
  <r>
    <s v="P094"/>
    <s v="Instagram"/>
    <d v="2024-11-07T00:00:00"/>
    <x v="4"/>
    <s v="Explore the latest image on Myntra! Trendy styles await."/>
    <n v="2647"/>
    <n v="304"/>
    <n v="170"/>
    <n v="18529"/>
    <n v="17841"/>
    <n v="46"/>
    <s v="#StyleWithMyntra"/>
    <s v="EndOfSeasonSale"/>
    <n v="0.17493414046297853"/>
  </r>
  <r>
    <s v="P095"/>
    <s v="Instagram"/>
    <d v="2024-11-08T00:00:00"/>
    <x v="1"/>
    <s v="Explore the latest text on Myntra! Trendy styles await."/>
    <n v="3182"/>
    <n v="559"/>
    <n v="160"/>
    <n v="57276"/>
    <n v="56890"/>
    <n v="163"/>
    <s v="#StyleWithMyntra"/>
    <s v="EndOfSeasonSale"/>
    <n v="6.8570926349094743E-2"/>
  </r>
  <r>
    <s v="P095"/>
    <s v="Instagram"/>
    <d v="2024-11-08T00:00:00"/>
    <x v="1"/>
    <s v="Explore the latest text on Myntra! Trendy styles await."/>
    <n v="3182"/>
    <n v="559"/>
    <n v="160"/>
    <n v="57276"/>
    <n v="56890"/>
    <n v="163"/>
    <s v="#MyntraTrend"/>
    <s v="EndOfSeasonSale"/>
    <n v="6.8570926349094743E-2"/>
  </r>
  <r>
    <s v="P096"/>
    <s v="Twitter"/>
    <d v="2024-09-10T00:00:00"/>
    <x v="4"/>
    <s v="Explore the latest image on Myntra! Trendy styles await."/>
    <n v="1238"/>
    <n v="366"/>
    <n v="444"/>
    <n v="19808"/>
    <n v="19334"/>
    <n v="123"/>
    <s v="#FashionDeals"/>
    <s v="MyntraFestiveEdit"/>
    <n v="0.1059273818144202"/>
  </r>
  <r>
    <s v="P097"/>
    <s v="Instagram"/>
    <d v="2024-08-13T00:00:00"/>
    <x v="4"/>
    <s v="Explore the latest image on Myntra! Trendy styles await."/>
    <n v="4739"/>
    <n v="527"/>
    <n v="135"/>
    <n v="61607"/>
    <n v="61333"/>
    <n v="36"/>
    <s v="#StyleWithMyntra"/>
    <s v="EndOfSeasonSale"/>
    <n v="8.8060261197071721E-2"/>
  </r>
  <r>
    <s v="P097"/>
    <s v="Instagram"/>
    <d v="2024-08-13T00:00:00"/>
    <x v="4"/>
    <s v="Explore the latest image on Myntra! Trendy styles await."/>
    <n v="4739"/>
    <n v="527"/>
    <n v="135"/>
    <n v="61607"/>
    <n v="61333"/>
    <n v="36"/>
    <s v="#MyntraSale"/>
    <s v="EndOfSeasonSale"/>
    <n v="8.8060261197071721E-2"/>
  </r>
  <r>
    <s v="P098"/>
    <s v="Twitter"/>
    <d v="2024-06-10T00:00:00"/>
    <x v="2"/>
    <s v="Explore the latest story on Myntra! Trendy styles await."/>
    <n v="1575"/>
    <n v="771"/>
    <n v="486"/>
    <n v="25200"/>
    <n v="24826"/>
    <n v="17"/>
    <s v="#StyleWithMyntra"/>
    <s v="MyntraFestiveEdit"/>
    <n v="0.1140739547248852"/>
  </r>
  <r>
    <s v="P099"/>
    <s v="Youtube"/>
    <d v="2024-07-02T00:00:00"/>
    <x v="3"/>
    <s v="Explore the latest carousel on Myntra! Trendy styles await."/>
    <n v="4171"/>
    <n v="548"/>
    <n v="86"/>
    <n v="66736"/>
    <n v="66634"/>
    <n v="173"/>
    <s v="#StyleWithMyntra"/>
    <s v="MyntraFestiveEdit"/>
    <n v="7.2110334063691203E-2"/>
  </r>
  <r>
    <s v="P100"/>
    <s v="Youtube"/>
    <d v="2025-02-10T00:00:00"/>
    <x v="5"/>
    <s v="Explore the latest video on Myntra! Trendy styles await."/>
    <n v="1766"/>
    <n v="92"/>
    <n v="424"/>
    <n v="24724"/>
    <n v="24333"/>
    <n v="52"/>
    <s v="#StyleWithMyntra"/>
    <s v="FashionUpgrade"/>
    <n v="9.3782106604200055E-2"/>
  </r>
  <r>
    <s v="P101"/>
    <s v="Youtube"/>
    <d v="2024-10-18T00:00:00"/>
    <x v="5"/>
    <s v="Explore the latest video on Myntra! Trendy styles await."/>
    <n v="4450"/>
    <n v="983"/>
    <n v="143"/>
    <n v="75650"/>
    <n v="75008"/>
    <n v="12"/>
    <s v="#MyntraSale"/>
    <s v="EndOfSeasonSale"/>
    <n v="7.433873720136519E-2"/>
  </r>
  <r>
    <s v="P101"/>
    <s v="Youtube"/>
    <d v="2024-10-18T00:00:00"/>
    <x v="5"/>
    <s v="Explore the latest video on Myntra! Trendy styles await."/>
    <n v="4450"/>
    <n v="983"/>
    <n v="143"/>
    <n v="75650"/>
    <n v="75008"/>
    <n v="12"/>
    <s v="#StyleWithMyntra"/>
    <s v="EndOfSeasonSale"/>
    <n v="7.433873720136519E-2"/>
  </r>
  <r>
    <s v="P102"/>
    <s v="Twitter"/>
    <d v="2024-09-18T00:00:00"/>
    <x v="0"/>
    <s v="Explore the latest reel on Myntra! Trendy styles await."/>
    <n v="1000"/>
    <n v="978"/>
    <n v="162"/>
    <n v="6000"/>
    <n v="5221"/>
    <n v="223"/>
    <s v="#MyntraTrend"/>
    <s v="MyntraFestiveEdit"/>
    <n v="0.40988316414479986"/>
  </r>
  <r>
    <s v="P102"/>
    <s v="Twitter"/>
    <d v="2024-09-18T00:00:00"/>
    <x v="0"/>
    <s v="Explore the latest reel on Myntra! Trendy styles await."/>
    <n v="1000"/>
    <n v="978"/>
    <n v="162"/>
    <n v="6000"/>
    <n v="5221"/>
    <n v="223"/>
    <s v="#MyntraFashion"/>
    <s v="MyntraFestiveEdit"/>
    <n v="0.40988316414479986"/>
  </r>
  <r>
    <s v="P103"/>
    <s v="Facebook"/>
    <d v="2024-06-11T00:00:00"/>
    <x v="4"/>
    <s v="Explore the latest image on Myntra! Trendy styles await."/>
    <n v="3689"/>
    <n v="48"/>
    <n v="306"/>
    <n v="40579"/>
    <n v="39588"/>
    <n v="212"/>
    <s v="#MyntraTrend"/>
    <s v="FashionUpgrade"/>
    <n v="0.10212690714357886"/>
  </r>
  <r>
    <s v="P104"/>
    <s v="Youtube"/>
    <d v="2025-03-23T00:00:00"/>
    <x v="2"/>
    <s v="Explore the latest story on Myntra! Trendy styles await."/>
    <n v="3655"/>
    <n v="568"/>
    <n v="286"/>
    <n v="32895"/>
    <n v="32015"/>
    <n v="199"/>
    <s v="#MyntraTrend"/>
    <s v="StyleRevolution"/>
    <n v="0.14084023114165234"/>
  </r>
  <r>
    <s v="P105"/>
    <s v="Instagram"/>
    <d v="2024-06-14T00:00:00"/>
    <x v="3"/>
    <s v="Explore the latest carousel on Myntra! Trendy styles await."/>
    <n v="498"/>
    <n v="38"/>
    <n v="42"/>
    <n v="4482"/>
    <n v="3647"/>
    <n v="32"/>
    <s v="#StyleWithMyntra"/>
    <s v="StyleRevolution"/>
    <n v="0.15848642720043871"/>
  </r>
  <r>
    <s v="P105"/>
    <s v="Instagram"/>
    <d v="2024-06-14T00:00:00"/>
    <x v="3"/>
    <s v="Explore the latest carousel on Myntra! Trendy styles await."/>
    <n v="498"/>
    <n v="38"/>
    <n v="42"/>
    <n v="4482"/>
    <n v="3647"/>
    <n v="32"/>
    <s v="#FashionDeals"/>
    <s v="StyleRevolution"/>
    <n v="0.15848642720043871"/>
  </r>
  <r>
    <s v="P106"/>
    <s v="Instagram"/>
    <d v="2025-02-04T00:00:00"/>
    <x v="4"/>
    <s v="Explore the latest image on Myntra! Trendy styles await."/>
    <n v="4619"/>
    <n v="821"/>
    <n v="499"/>
    <n v="69285"/>
    <n v="69141"/>
    <n v="298"/>
    <s v="#MyntraFashion"/>
    <s v="FashionUpgrade"/>
    <n v="8.5896935248260795E-2"/>
  </r>
  <r>
    <s v="P107"/>
    <s v="Youtube"/>
    <d v="2024-06-21T00:00:00"/>
    <x v="4"/>
    <s v="Explore the latest image on Myntra! Trendy styles await."/>
    <n v="4832"/>
    <n v="893"/>
    <n v="10"/>
    <n v="91808"/>
    <n v="91296"/>
    <n v="182"/>
    <s v="#MyntraSale"/>
    <s v="MyntraFestiveEdit"/>
    <n v="6.2817648089730102E-2"/>
  </r>
  <r>
    <s v="P107"/>
    <s v="Youtube"/>
    <d v="2024-06-21T00:00:00"/>
    <x v="4"/>
    <s v="Explore the latest image on Myntra! Trendy styles await."/>
    <n v="4832"/>
    <n v="893"/>
    <n v="10"/>
    <n v="91808"/>
    <n v="91296"/>
    <n v="182"/>
    <s v="#StyleWithMyntra"/>
    <s v="MyntraFestiveEdit"/>
    <n v="6.2817648089730102E-2"/>
  </r>
  <r>
    <s v="P108"/>
    <s v="Twitter"/>
    <d v="2025-03-25T00:00:00"/>
    <x v="5"/>
    <s v="Explore the latest video on Myntra! Trendy styles await."/>
    <n v="4050"/>
    <n v="871"/>
    <n v="347"/>
    <n v="52650"/>
    <n v="51755"/>
    <n v="209"/>
    <s v="#StyleWithMyntra"/>
    <s v="FashionUpgrade"/>
    <n v="0.10178726693073133"/>
  </r>
  <r>
    <s v="P108"/>
    <s v="Twitter"/>
    <d v="2025-03-25T00:00:00"/>
    <x v="5"/>
    <s v="Explore the latest video on Myntra! Trendy styles await."/>
    <n v="4050"/>
    <n v="871"/>
    <n v="347"/>
    <n v="52650"/>
    <n v="51755"/>
    <n v="209"/>
    <s v="#FashionDeals"/>
    <s v="FashionUpgrade"/>
    <n v="0.10178726693073133"/>
  </r>
  <r>
    <s v="P109"/>
    <s v="Twitter"/>
    <d v="2024-08-08T00:00:00"/>
    <x v="2"/>
    <s v="Explore the latest story on Myntra! Trendy styles await."/>
    <n v="3649"/>
    <n v="215"/>
    <n v="413"/>
    <n v="25543"/>
    <n v="24963"/>
    <n v="167"/>
    <s v="#MyntraFashion"/>
    <s v="FashionUpgrade"/>
    <n v="0.1713335736890598"/>
  </r>
  <r>
    <s v="P109"/>
    <s v="Twitter"/>
    <d v="2024-08-08T00:00:00"/>
    <x v="2"/>
    <s v="Explore the latest story on Myntra! Trendy styles await."/>
    <n v="3649"/>
    <n v="215"/>
    <n v="413"/>
    <n v="25543"/>
    <n v="24963"/>
    <n v="167"/>
    <s v="#StyleWithMyntra"/>
    <s v="FashionUpgrade"/>
    <n v="0.1713335736890598"/>
  </r>
  <r>
    <s v="P110"/>
    <s v="Instagram"/>
    <d v="2024-07-29T00:00:00"/>
    <x v="0"/>
    <s v="Explore the latest reel on Myntra! Trendy styles await."/>
    <n v="3523"/>
    <n v="753"/>
    <n v="482"/>
    <n v="38753"/>
    <n v="38579"/>
    <n v="270"/>
    <s v="#FashionDeals"/>
    <s v="EndOfSeasonSale"/>
    <n v="0.12333134606910495"/>
  </r>
  <r>
    <s v="P110"/>
    <s v="Instagram"/>
    <d v="2024-07-29T00:00:00"/>
    <x v="0"/>
    <s v="Explore the latest reel on Myntra! Trendy styles await."/>
    <n v="3523"/>
    <n v="753"/>
    <n v="482"/>
    <n v="38753"/>
    <n v="38579"/>
    <n v="270"/>
    <s v="#StyleWithMyntra"/>
    <s v="EndOfSeasonSale"/>
    <n v="0.12333134606910495"/>
  </r>
  <r>
    <s v="P111"/>
    <s v="Youtube"/>
    <d v="2024-11-23T00:00:00"/>
    <x v="4"/>
    <s v="Explore the latest image on Myntra! Trendy styles await."/>
    <n v="2719"/>
    <n v="17"/>
    <n v="285"/>
    <n v="40785"/>
    <n v="40281"/>
    <n v="40"/>
    <s v="#MyntraFashion"/>
    <s v="MyntraFestiveEdit"/>
    <n v="7.4998138079988078E-2"/>
  </r>
  <r>
    <s v="P111"/>
    <s v="Youtube"/>
    <d v="2024-11-23T00:00:00"/>
    <x v="4"/>
    <s v="Explore the latest image on Myntra! Trendy styles await."/>
    <n v="2719"/>
    <n v="17"/>
    <n v="285"/>
    <n v="40785"/>
    <n v="40281"/>
    <n v="40"/>
    <s v="#StyleWithMyntra"/>
    <s v="MyntraFestiveEdit"/>
    <n v="7.4998138079988078E-2"/>
  </r>
  <r>
    <s v="P112"/>
    <s v="Twitter"/>
    <d v="2024-10-05T00:00:00"/>
    <x v="2"/>
    <s v="Explore the latest story on Myntra! Trendy styles await."/>
    <n v="1957"/>
    <n v="877"/>
    <n v="238"/>
    <n v="17613"/>
    <n v="16865"/>
    <n v="297"/>
    <s v="#MyntraFashion"/>
    <s v="MyntraFestiveEdit"/>
    <n v="0.18215238659946634"/>
  </r>
  <r>
    <s v="P112"/>
    <s v="Twitter"/>
    <d v="2024-10-05T00:00:00"/>
    <x v="2"/>
    <s v="Explore the latest story on Myntra! Trendy styles await."/>
    <n v="1957"/>
    <n v="877"/>
    <n v="238"/>
    <n v="17613"/>
    <n v="16865"/>
    <n v="297"/>
    <s v="#MyntraSale"/>
    <s v="MyntraFestiveEdit"/>
    <n v="0.18215238659946634"/>
  </r>
  <r>
    <s v="P113"/>
    <s v="Twitter"/>
    <d v="2024-10-02T00:00:00"/>
    <x v="3"/>
    <s v="Explore the latest carousel on Myntra! Trendy styles await."/>
    <n v="4419"/>
    <n v="236"/>
    <n v="369"/>
    <n v="44190"/>
    <n v="43582"/>
    <n v="10"/>
    <s v="#MyntraTrend"/>
    <s v="StyleRevolution"/>
    <n v="0.11527694919921068"/>
  </r>
  <r>
    <s v="P114"/>
    <s v="Twitter"/>
    <d v="2024-11-14T00:00:00"/>
    <x v="2"/>
    <s v="Explore the latest story on Myntra! Trendy styles await."/>
    <n v="4000"/>
    <n v="689"/>
    <n v="488"/>
    <n v="40000"/>
    <n v="39569"/>
    <n v="44"/>
    <s v="#FashionDeals"/>
    <s v="MyntraFestiveEdit"/>
    <n v="0.13083474437059314"/>
  </r>
  <r>
    <s v="P114"/>
    <s v="Twitter"/>
    <d v="2024-11-14T00:00:00"/>
    <x v="2"/>
    <s v="Explore the latest story on Myntra! Trendy styles await."/>
    <n v="4000"/>
    <n v="689"/>
    <n v="488"/>
    <n v="40000"/>
    <n v="39569"/>
    <n v="44"/>
    <s v="#MyntraFashion"/>
    <s v="MyntraFestiveEdit"/>
    <n v="0.13083474437059314"/>
  </r>
  <r>
    <s v="P115"/>
    <s v="Twitter"/>
    <d v="2025-05-11T00:00:00"/>
    <x v="4"/>
    <s v="Explore the latest image on Myntra! Trendy styles await."/>
    <n v="2493"/>
    <n v="97"/>
    <n v="44"/>
    <n v="42381"/>
    <n v="41991"/>
    <n v="242"/>
    <s v="#MyntraSale"/>
    <s v="FashionUpgrade"/>
    <n v="6.272772737015074E-2"/>
  </r>
  <r>
    <s v="P115"/>
    <s v="Twitter"/>
    <d v="2025-05-11T00:00:00"/>
    <x v="4"/>
    <s v="Explore the latest image on Myntra! Trendy styles await."/>
    <n v="2493"/>
    <n v="97"/>
    <n v="44"/>
    <n v="42381"/>
    <n v="41991"/>
    <n v="242"/>
    <s v="#StyleWithMyntra"/>
    <s v="FashionUpgrade"/>
    <n v="6.272772737015074E-2"/>
  </r>
  <r>
    <s v="P116"/>
    <s v="Youtube"/>
    <d v="2025-03-18T00:00:00"/>
    <x v="0"/>
    <s v="Explore the latest reel on Myntra! Trendy styles await."/>
    <n v="3704"/>
    <n v="186"/>
    <n v="458"/>
    <n v="25928"/>
    <n v="25081"/>
    <n v="131"/>
    <s v="#StyleWithMyntra"/>
    <s v="FashionUpgrade"/>
    <n v="0.17335831904629001"/>
  </r>
  <r>
    <s v="P117"/>
    <s v="Twitter"/>
    <d v="2024-11-04T00:00:00"/>
    <x v="4"/>
    <s v="Explore the latest image on Myntra! Trendy styles await."/>
    <n v="1606"/>
    <n v="451"/>
    <n v="405"/>
    <n v="20878"/>
    <n v="20190"/>
    <n v="219"/>
    <s v="#MyntraSale"/>
    <s v="EndOfSeasonSale"/>
    <n v="0.12194155522535909"/>
  </r>
  <r>
    <s v="P117"/>
    <s v="Twitter"/>
    <d v="2024-11-04T00:00:00"/>
    <x v="4"/>
    <s v="Explore the latest image on Myntra! Trendy styles await."/>
    <n v="1606"/>
    <n v="451"/>
    <n v="405"/>
    <n v="20878"/>
    <n v="20190"/>
    <n v="219"/>
    <s v="#StyleWithMyntra"/>
    <s v="EndOfSeasonSale"/>
    <n v="0.12194155522535909"/>
  </r>
  <r>
    <s v="P118"/>
    <s v="Facebook"/>
    <d v="2024-11-04T00:00:00"/>
    <x v="4"/>
    <s v="Explore the latest image on Myntra! Trendy styles await."/>
    <n v="4551"/>
    <n v="714"/>
    <n v="207"/>
    <n v="68265"/>
    <n v="67754"/>
    <n v="57"/>
    <s v="#MyntraTrend"/>
    <s v="EndOfSeasonSale"/>
    <n v="8.0762759394279307E-2"/>
  </r>
  <r>
    <s v="P119"/>
    <s v="Instagram"/>
    <d v="2025-02-07T00:00:00"/>
    <x v="0"/>
    <s v="Explore the latest reel on Myntra! Trendy styles await."/>
    <n v="1970"/>
    <n v="675"/>
    <n v="478"/>
    <n v="9850"/>
    <n v="8924"/>
    <n v="117"/>
    <s v="#MyntraTrend"/>
    <s v="StyleRevolution"/>
    <n v="0.34995517705064993"/>
  </r>
  <r>
    <s v="P120"/>
    <s v="Facebook"/>
    <d v="2024-10-21T00:00:00"/>
    <x v="2"/>
    <s v="Explore the latest story on Myntra! Trendy styles await."/>
    <n v="780"/>
    <n v="928"/>
    <n v="301"/>
    <n v="8580"/>
    <n v="8081"/>
    <n v="91"/>
    <s v="#MyntraSale"/>
    <s v="StyleRevolution"/>
    <n v="0.24860784556366786"/>
  </r>
  <r>
    <s v="P120"/>
    <s v="Facebook"/>
    <d v="2024-10-21T00:00:00"/>
    <x v="2"/>
    <s v="Explore the latest story on Myntra! Trendy styles await."/>
    <n v="780"/>
    <n v="928"/>
    <n v="301"/>
    <n v="8580"/>
    <n v="8081"/>
    <n v="91"/>
    <s v="#MyntraFashion"/>
    <s v="StyleRevolution"/>
    <n v="0.24860784556366786"/>
  </r>
  <r>
    <s v="P121"/>
    <s v="Instagram"/>
    <d v="2024-07-29T00:00:00"/>
    <x v="2"/>
    <s v="Explore the latest story on Myntra! Trendy styles await."/>
    <n v="498"/>
    <n v="701"/>
    <n v="412"/>
    <n v="4980"/>
    <n v="4185"/>
    <n v="185"/>
    <s v="#FashionDeals"/>
    <s v="StyleRevolution"/>
    <n v="0.38494623655913979"/>
  </r>
  <r>
    <s v="P121"/>
    <s v="Instagram"/>
    <d v="2024-07-29T00:00:00"/>
    <x v="2"/>
    <s v="Explore the latest story on Myntra! Trendy styles await."/>
    <n v="498"/>
    <n v="701"/>
    <n v="412"/>
    <n v="4980"/>
    <n v="4185"/>
    <n v="185"/>
    <s v="#StyleWithMyntra"/>
    <s v="StyleRevolution"/>
    <n v="0.38494623655913979"/>
  </r>
  <r>
    <s v="P122"/>
    <s v="Instagram"/>
    <d v="2024-10-02T00:00:00"/>
    <x v="1"/>
    <s v="Explore the latest text on Myntra! Trendy styles await."/>
    <n v="3432"/>
    <n v="869"/>
    <n v="123"/>
    <n v="54912"/>
    <n v="53916"/>
    <n v="264"/>
    <s v="#MyntraFashion"/>
    <s v="EndOfSeasonSale"/>
    <n v="8.2053564804510717E-2"/>
  </r>
  <r>
    <s v="P122"/>
    <s v="Instagram"/>
    <d v="2024-10-02T00:00:00"/>
    <x v="1"/>
    <s v="Explore the latest text on Myntra! Trendy styles await."/>
    <n v="3432"/>
    <n v="869"/>
    <n v="123"/>
    <n v="54912"/>
    <n v="53916"/>
    <n v="264"/>
    <s v="#MyntraTrend"/>
    <s v="EndOfSeasonSale"/>
    <n v="8.2053564804510717E-2"/>
  </r>
  <r>
    <s v="P123"/>
    <s v="Instagram"/>
    <d v="2024-06-14T00:00:00"/>
    <x v="2"/>
    <s v="Explore the latest story on Myntra! Trendy styles await."/>
    <n v="4363"/>
    <n v="649"/>
    <n v="140"/>
    <n v="21815"/>
    <n v="21481"/>
    <n v="157"/>
    <s v="#MyntraSale"/>
    <s v="EndOfSeasonSale"/>
    <n v="0.23983985847958661"/>
  </r>
  <r>
    <s v="P123"/>
    <s v="Instagram"/>
    <d v="2024-06-14T00:00:00"/>
    <x v="2"/>
    <s v="Explore the latest story on Myntra! Trendy styles await."/>
    <n v="4363"/>
    <n v="649"/>
    <n v="140"/>
    <n v="21815"/>
    <n v="21481"/>
    <n v="157"/>
    <s v="#MyntraFashion"/>
    <s v="EndOfSeasonSale"/>
    <n v="0.23983985847958661"/>
  </r>
  <r>
    <s v="P124"/>
    <s v="Youtube"/>
    <d v="2025-04-06T00:00:00"/>
    <x v="3"/>
    <s v="Explore the latest carousel on Myntra! Trendy styles await."/>
    <n v="736"/>
    <n v="771"/>
    <n v="225"/>
    <n v="5152"/>
    <n v="4706"/>
    <n v="19"/>
    <s v="#StyleWithMyntra"/>
    <s v="MyntraFestiveEdit"/>
    <n v="0.36804079898002551"/>
  </r>
  <r>
    <s v="P125"/>
    <s v="Twitter"/>
    <d v="2024-09-08T00:00:00"/>
    <x v="3"/>
    <s v="Explore the latest carousel on Myntra! Trendy styles await."/>
    <n v="3811"/>
    <n v="866"/>
    <n v="216"/>
    <n v="34299"/>
    <n v="34088"/>
    <n v="233"/>
    <s v="#StyleWithMyntra"/>
    <s v="MyntraFestiveEdit"/>
    <n v="0.14354024876789487"/>
  </r>
  <r>
    <s v="P126"/>
    <s v="Instagram"/>
    <d v="2025-03-28T00:00:00"/>
    <x v="3"/>
    <s v="Explore the latest carousel on Myntra! Trendy styles await."/>
    <n v="4158"/>
    <n v="167"/>
    <n v="241"/>
    <n v="45738"/>
    <n v="45183"/>
    <n v="142"/>
    <s v="#MyntraFashion"/>
    <s v="EndOfSeasonSale"/>
    <n v="0.10105570679237766"/>
  </r>
  <r>
    <s v="P127"/>
    <s v="Facebook"/>
    <d v="2025-01-27T00:00:00"/>
    <x v="0"/>
    <s v="Explore the latest reel on Myntra! Trendy styles await."/>
    <n v="3452"/>
    <n v="652"/>
    <n v="442"/>
    <n v="65588"/>
    <n v="65049"/>
    <n v="158"/>
    <s v="#MyntraSale"/>
    <s v="FashionUpgrade"/>
    <n v="6.9885778413196209E-2"/>
  </r>
  <r>
    <s v="P127"/>
    <s v="Facebook"/>
    <d v="2025-01-27T00:00:00"/>
    <x v="0"/>
    <s v="Explore the latest reel on Myntra! Trendy styles await."/>
    <n v="3452"/>
    <n v="652"/>
    <n v="442"/>
    <n v="65588"/>
    <n v="65049"/>
    <n v="158"/>
    <s v="#StyleWithMyntra"/>
    <s v="FashionUpgrade"/>
    <n v="6.9885778413196209E-2"/>
  </r>
  <r>
    <s v="P128"/>
    <s v="Twitter"/>
    <d v="2025-01-10T00:00:00"/>
    <x v="4"/>
    <s v="Explore the latest image on Myntra! Trendy styles await."/>
    <n v="3092"/>
    <n v="106"/>
    <n v="291"/>
    <n v="27828"/>
    <n v="27217"/>
    <n v="102"/>
    <s v="#StyleWithMyntra"/>
    <s v="StyleRevolution"/>
    <n v="0.12819193886174082"/>
  </r>
  <r>
    <s v="P129"/>
    <s v="Twitter"/>
    <d v="2024-07-21T00:00:00"/>
    <x v="1"/>
    <s v="Explore the latest text on Myntra! Trendy styles await."/>
    <n v="2147"/>
    <n v="430"/>
    <n v="393"/>
    <n v="17176"/>
    <n v="16483"/>
    <n v="170"/>
    <s v="#FashionDeals"/>
    <s v="StyleRevolution"/>
    <n v="0.18018564581690227"/>
  </r>
  <r>
    <s v="P130"/>
    <s v="Youtube"/>
    <d v="2024-09-29T00:00:00"/>
    <x v="0"/>
    <s v="Explore the latest reel on Myntra! Trendy styles await."/>
    <n v="2936"/>
    <n v="439"/>
    <n v="44"/>
    <n v="38168"/>
    <n v="37571"/>
    <n v="22"/>
    <s v="#MyntraSale"/>
    <s v="MyntraFestiveEdit"/>
    <n v="9.1001038034654383E-2"/>
  </r>
  <r>
    <s v="P131"/>
    <s v="Instagram"/>
    <d v="2024-10-21T00:00:00"/>
    <x v="0"/>
    <s v="Explore the latest reel on Myntra! Trendy styles await."/>
    <n v="4840"/>
    <n v="658"/>
    <n v="211"/>
    <n v="43560"/>
    <n v="43225"/>
    <n v="57"/>
    <s v="#MyntraSale"/>
    <s v="EndOfSeasonSale"/>
    <n v="0.13207634470792365"/>
  </r>
  <r>
    <s v="P131"/>
    <s v="Instagram"/>
    <d v="2024-10-21T00:00:00"/>
    <x v="0"/>
    <s v="Explore the latest reel on Myntra! Trendy styles await."/>
    <n v="4840"/>
    <n v="658"/>
    <n v="211"/>
    <n v="43560"/>
    <n v="43225"/>
    <n v="57"/>
    <s v="#MyntraFashion"/>
    <s v="EndOfSeasonSale"/>
    <n v="0.13207634470792365"/>
  </r>
  <r>
    <s v="P132"/>
    <s v="Instagram"/>
    <d v="2025-03-04T00:00:00"/>
    <x v="2"/>
    <s v="Explore the latest story on Myntra! Trendy styles await."/>
    <n v="1947"/>
    <n v="842"/>
    <n v="101"/>
    <n v="21417"/>
    <n v="20967"/>
    <n v="186"/>
    <s v="#MyntraFashion"/>
    <s v="EndOfSeasonSale"/>
    <n v="0.13783564649210664"/>
  </r>
  <r>
    <s v="P133"/>
    <s v="Facebook"/>
    <d v="2025-02-06T00:00:00"/>
    <x v="4"/>
    <s v="Explore the latest image on Myntra! Trendy styles await."/>
    <n v="2072"/>
    <n v="532"/>
    <n v="71"/>
    <n v="37296"/>
    <n v="36467"/>
    <n v="25"/>
    <s v="#MyntraSale"/>
    <s v="MyntraFestiveEdit"/>
    <n v="7.3353991279787201E-2"/>
  </r>
  <r>
    <s v="P134"/>
    <s v="Twitter"/>
    <d v="2025-04-24T00:00:00"/>
    <x v="0"/>
    <s v="Explore the latest reel on Myntra! Trendy styles await."/>
    <n v="3731"/>
    <n v="115"/>
    <n v="135"/>
    <n v="55965"/>
    <n v="55436"/>
    <n v="103"/>
    <s v="#FashionDeals"/>
    <s v="StyleRevolution"/>
    <n v="7.1812540587343959E-2"/>
  </r>
  <r>
    <s v="P135"/>
    <s v="Facebook"/>
    <d v="2024-11-28T00:00:00"/>
    <x v="1"/>
    <s v="Explore the latest text on Myntra! Trendy styles await."/>
    <n v="4213"/>
    <n v="253"/>
    <n v="434"/>
    <n v="75834"/>
    <n v="75437"/>
    <n v="272"/>
    <s v="#MyntraTrend"/>
    <s v="MyntraFestiveEdit"/>
    <n v="6.4954862998263446E-2"/>
  </r>
  <r>
    <s v="P136"/>
    <s v="Instagram"/>
    <d v="2024-07-11T00:00:00"/>
    <x v="1"/>
    <s v="Explore the latest text on Myntra! Trendy styles await."/>
    <n v="3134"/>
    <n v="888"/>
    <n v="444"/>
    <n v="21938"/>
    <n v="21337"/>
    <n v="130"/>
    <s v="#MyntraSale"/>
    <s v="StyleRevolution"/>
    <n v="0.209307775226133"/>
  </r>
  <r>
    <s v="P136"/>
    <s v="Instagram"/>
    <d v="2024-07-11T00:00:00"/>
    <x v="1"/>
    <s v="Explore the latest text on Myntra! Trendy styles await."/>
    <n v="3134"/>
    <n v="888"/>
    <n v="444"/>
    <n v="21938"/>
    <n v="21337"/>
    <n v="130"/>
    <s v="#MyntraFashion"/>
    <s v="StyleRevolution"/>
    <n v="0.209307775226133"/>
  </r>
  <r>
    <s v="P137"/>
    <s v="Facebook"/>
    <d v="2024-07-31T00:00:00"/>
    <x v="5"/>
    <s v="Explore the latest video on Myntra! Trendy styles await."/>
    <n v="3008"/>
    <n v="94"/>
    <n v="37"/>
    <n v="15040"/>
    <n v="14639"/>
    <n v="277"/>
    <s v="#FashionDeals"/>
    <s v="FashionUpgrade"/>
    <n v="0.2144272149737004"/>
  </r>
  <r>
    <s v="P138"/>
    <s v="Twitter"/>
    <d v="2025-03-29T00:00:00"/>
    <x v="4"/>
    <s v="Explore the latest image on Myntra! Trendy styles await."/>
    <n v="305"/>
    <n v="187"/>
    <n v="243"/>
    <n v="4575"/>
    <n v="3704"/>
    <n v="234"/>
    <s v="#MyntraFashion"/>
    <s v="StyleRevolution"/>
    <n v="0.19843412526997839"/>
  </r>
  <r>
    <s v="P138"/>
    <s v="Twitter"/>
    <d v="2025-03-29T00:00:00"/>
    <x v="4"/>
    <s v="Explore the latest image on Myntra! Trendy styles await."/>
    <n v="305"/>
    <n v="187"/>
    <n v="243"/>
    <n v="4575"/>
    <n v="3704"/>
    <n v="234"/>
    <s v="#MyntraTrend"/>
    <s v="StyleRevolution"/>
    <n v="0.19843412526997839"/>
  </r>
  <r>
    <s v="P139"/>
    <s v="Youtube"/>
    <d v="2024-10-29T00:00:00"/>
    <x v="1"/>
    <s v="Explore the latest text on Myntra! Trendy styles await."/>
    <n v="2746"/>
    <n v="156"/>
    <n v="203"/>
    <n v="32952"/>
    <n v="32147"/>
    <n v="147"/>
    <s v="#MyntraFashion"/>
    <s v="EndOfSeasonSale"/>
    <n v="9.6587550937879116E-2"/>
  </r>
  <r>
    <s v="P139"/>
    <s v="Youtube"/>
    <d v="2024-10-29T00:00:00"/>
    <x v="1"/>
    <s v="Explore the latest text on Myntra! Trendy styles await."/>
    <n v="2746"/>
    <n v="156"/>
    <n v="203"/>
    <n v="32952"/>
    <n v="32147"/>
    <n v="147"/>
    <s v="#StyleWithMyntra"/>
    <s v="EndOfSeasonSale"/>
    <n v="9.6587550937879116E-2"/>
  </r>
  <r>
    <s v="P140"/>
    <s v="Facebook"/>
    <d v="2024-07-15T00:00:00"/>
    <x v="4"/>
    <s v="Explore the latest image on Myntra! Trendy styles await."/>
    <n v="2291"/>
    <n v="78"/>
    <n v="485"/>
    <n v="18328"/>
    <n v="18101"/>
    <n v="10"/>
    <s v="#FashionDeals"/>
    <s v="FashionUpgrade"/>
    <n v="0.15767084691453512"/>
  </r>
  <r>
    <s v="P141"/>
    <s v="Twitter"/>
    <d v="2024-08-31T00:00:00"/>
    <x v="4"/>
    <s v="Explore the latest image on Myntra! Trendy styles await."/>
    <n v="3170"/>
    <n v="857"/>
    <n v="379"/>
    <n v="19020"/>
    <n v="18559"/>
    <n v="240"/>
    <s v="#MyntraSale"/>
    <s v="MyntraFestiveEdit"/>
    <n v="0.23740503259873916"/>
  </r>
  <r>
    <s v="P142"/>
    <s v="Youtube"/>
    <d v="2025-03-25T00:00:00"/>
    <x v="2"/>
    <s v="Explore the latest story on Myntra! Trendy styles await."/>
    <n v="2070"/>
    <n v="275"/>
    <n v="386"/>
    <n v="39330"/>
    <n v="38627"/>
    <n v="114"/>
    <s v="#MyntraSale"/>
    <s v="StyleRevolution"/>
    <n v="7.070184068138867E-2"/>
  </r>
  <r>
    <s v="P143"/>
    <s v="Youtube"/>
    <d v="2024-10-02T00:00:00"/>
    <x v="3"/>
    <s v="Explore the latest carousel on Myntra! Trendy styles await."/>
    <n v="80"/>
    <n v="362"/>
    <n v="80"/>
    <n v="1040"/>
    <n v="349"/>
    <n v="117"/>
    <s v="#MyntraFashion"/>
    <s v="EndOfSeasonSale"/>
    <n v="1.4957020057306589"/>
  </r>
  <r>
    <s v="P143"/>
    <s v="Youtube"/>
    <d v="2024-10-02T00:00:00"/>
    <x v="3"/>
    <s v="Explore the latest carousel on Myntra! Trendy styles await."/>
    <n v="80"/>
    <n v="362"/>
    <n v="80"/>
    <n v="1040"/>
    <n v="349"/>
    <n v="117"/>
    <s v="#StyleWithMyntra"/>
    <s v="EndOfSeasonSale"/>
    <n v="1.4957020057306589"/>
  </r>
  <r>
    <s v="P144"/>
    <s v="Youtube"/>
    <d v="2024-10-28T00:00:00"/>
    <x v="2"/>
    <s v="Explore the latest story on Myntra! Trendy styles await."/>
    <n v="4929"/>
    <n v="749"/>
    <n v="452"/>
    <n v="93651"/>
    <n v="92810"/>
    <n v="66"/>
    <s v="#MyntraTrend"/>
    <s v="FashionUpgrade"/>
    <n v="6.604891714254929E-2"/>
  </r>
  <r>
    <s v="P144"/>
    <s v="Youtube"/>
    <d v="2024-10-28T00:00:00"/>
    <x v="2"/>
    <s v="Explore the latest story on Myntra! Trendy styles await."/>
    <n v="4929"/>
    <n v="749"/>
    <n v="452"/>
    <n v="93651"/>
    <n v="92810"/>
    <n v="66"/>
    <s v="#StyleWithMyntra"/>
    <s v="FashionUpgrade"/>
    <n v="6.604891714254929E-2"/>
  </r>
  <r>
    <s v="P145"/>
    <s v="Instagram"/>
    <d v="2024-08-12T00:00:00"/>
    <x v="3"/>
    <s v="Explore the latest carousel on Myntra! Trendy styles await."/>
    <n v="1878"/>
    <n v="62"/>
    <n v="179"/>
    <n v="37560"/>
    <n v="36874"/>
    <n v="142"/>
    <s v="#FashionDeals"/>
    <s v="FashionUpgrade"/>
    <n v="5.7465965178716709E-2"/>
  </r>
  <r>
    <s v="P145"/>
    <s v="Instagram"/>
    <d v="2024-08-12T00:00:00"/>
    <x v="3"/>
    <s v="Explore the latest carousel on Myntra! Trendy styles await."/>
    <n v="1878"/>
    <n v="62"/>
    <n v="179"/>
    <n v="37560"/>
    <n v="36874"/>
    <n v="142"/>
    <s v="#MyntraTrend"/>
    <s v="FashionUpgrade"/>
    <n v="5.7465965178716709E-2"/>
  </r>
  <r>
    <s v="P146"/>
    <s v="Youtube"/>
    <d v="2024-06-05T00:00:00"/>
    <x v="0"/>
    <s v="Explore the latest reel on Myntra! Trendy styles await."/>
    <n v="3065"/>
    <n v="772"/>
    <n v="142"/>
    <n v="18390"/>
    <n v="17875"/>
    <n v="200"/>
    <s v="#StyleWithMyntra"/>
    <s v="FashionUpgrade"/>
    <n v="0.2226013986013986"/>
  </r>
  <r>
    <s v="P147"/>
    <s v="Instagram"/>
    <d v="2024-10-21T00:00:00"/>
    <x v="0"/>
    <s v="Explore the latest reel on Myntra! Trendy styles await."/>
    <n v="3256"/>
    <n v="459"/>
    <n v="266"/>
    <n v="26048"/>
    <n v="25529"/>
    <n v="143"/>
    <s v="#MyntraSale"/>
    <s v="MyntraFestiveEdit"/>
    <n v="0.15594030318461358"/>
  </r>
  <r>
    <s v="P147"/>
    <s v="Instagram"/>
    <d v="2024-10-21T00:00:00"/>
    <x v="0"/>
    <s v="Explore the latest reel on Myntra! Trendy styles await."/>
    <n v="3256"/>
    <n v="459"/>
    <n v="266"/>
    <n v="26048"/>
    <n v="25529"/>
    <n v="143"/>
    <s v="#StyleWithMyntra"/>
    <s v="MyntraFestiveEdit"/>
    <n v="0.15594030318461358"/>
  </r>
  <r>
    <s v="P148"/>
    <s v="Instagram"/>
    <d v="2025-04-15T00:00:00"/>
    <x v="5"/>
    <s v="Explore the latest video on Myntra! Trendy styles await."/>
    <n v="4133"/>
    <n v="466"/>
    <n v="327"/>
    <n v="24798"/>
    <n v="24620"/>
    <n v="176"/>
    <s v="#StyleWithMyntra"/>
    <s v="EndOfSeasonSale"/>
    <n v="0.20008123476848091"/>
  </r>
  <r>
    <s v="P149"/>
    <s v="Twitter"/>
    <d v="2024-06-16T00:00:00"/>
    <x v="5"/>
    <s v="Explore the latest video on Myntra! Trendy styles await."/>
    <n v="1702"/>
    <n v="750"/>
    <n v="179"/>
    <n v="34040"/>
    <n v="33174"/>
    <n v="76"/>
    <s v="#MyntraTrend"/>
    <s v="MyntraFestiveEdit"/>
    <n v="7.9309097485982999E-2"/>
  </r>
  <r>
    <s v="P150"/>
    <s v="Youtube"/>
    <d v="2024-08-22T00:00:00"/>
    <x v="3"/>
    <s v="Explore the latest carousel on Myntra! Trendy styles await."/>
    <n v="4295"/>
    <n v="853"/>
    <n v="325"/>
    <n v="85900"/>
    <n v="85788"/>
    <n v="290"/>
    <s v="#MyntraTrend"/>
    <s v="EndOfSeasonSale"/>
    <n v="6.379680141744766E-2"/>
  </r>
  <r>
    <s v="P150"/>
    <s v="Youtube"/>
    <d v="2024-08-22T00:00:00"/>
    <x v="3"/>
    <s v="Explore the latest carousel on Myntra! Trendy styles await."/>
    <n v="4295"/>
    <n v="853"/>
    <n v="325"/>
    <n v="85900"/>
    <n v="85788"/>
    <n v="290"/>
    <s v="#MyntraSale"/>
    <s v="EndOfSeasonSale"/>
    <n v="6.379680141744766E-2"/>
  </r>
  <r>
    <s v="P151"/>
    <s v="Instagram"/>
    <d v="2024-07-26T00:00:00"/>
    <x v="4"/>
    <s v="Explore the latest image on Myntra! Trendy styles await."/>
    <n v="3559"/>
    <n v="59"/>
    <n v="289"/>
    <n v="35590"/>
    <n v="35105"/>
    <n v="122"/>
    <s v="#MyntraTrend"/>
    <s v="MyntraFestiveEdit"/>
    <n v="0.11129468736647201"/>
  </r>
  <r>
    <s v="P151"/>
    <s v="Instagram"/>
    <d v="2024-07-26T00:00:00"/>
    <x v="4"/>
    <s v="Explore the latest image on Myntra! Trendy styles await."/>
    <n v="3559"/>
    <n v="59"/>
    <n v="289"/>
    <n v="35590"/>
    <n v="35105"/>
    <n v="122"/>
    <s v="#StyleWithMyntra"/>
    <s v="MyntraFestiveEdit"/>
    <n v="0.11129468736647201"/>
  </r>
  <r>
    <s v="P152"/>
    <s v="Facebook"/>
    <d v="2025-04-22T00:00:00"/>
    <x v="4"/>
    <s v="Explore the latest image on Myntra! Trendy styles await."/>
    <n v="4804"/>
    <n v="550"/>
    <n v="270"/>
    <n v="28824"/>
    <n v="28370"/>
    <n v="47"/>
    <s v="#MyntraSale"/>
    <s v="StyleRevolution"/>
    <n v="0.19823757490306662"/>
  </r>
  <r>
    <s v="P152"/>
    <s v="Facebook"/>
    <d v="2025-04-22T00:00:00"/>
    <x v="4"/>
    <s v="Explore the latest image on Myntra! Trendy styles await."/>
    <n v="4804"/>
    <n v="550"/>
    <n v="270"/>
    <n v="28824"/>
    <n v="28370"/>
    <n v="47"/>
    <s v="#StyleWithMyntra"/>
    <s v="StyleRevolution"/>
    <n v="0.19823757490306662"/>
  </r>
  <r>
    <s v="P153"/>
    <s v="Twitter"/>
    <d v="2025-01-01T00:00:00"/>
    <x v="5"/>
    <s v="Explore the latest video on Myntra! Trendy styles await."/>
    <n v="754"/>
    <n v="197"/>
    <n v="257"/>
    <n v="6786"/>
    <n v="6221"/>
    <n v="212"/>
    <s v="#FashionDeals"/>
    <s v="MyntraFestiveEdit"/>
    <n v="0.19418099983925413"/>
  </r>
  <r>
    <s v="P153"/>
    <s v="Twitter"/>
    <d v="2025-01-01T00:00:00"/>
    <x v="5"/>
    <s v="Explore the latest video on Myntra! Trendy styles await."/>
    <n v="754"/>
    <n v="197"/>
    <n v="257"/>
    <n v="6786"/>
    <n v="6221"/>
    <n v="212"/>
    <s v="#MyntraTrend"/>
    <s v="MyntraFestiveEdit"/>
    <n v="0.19418099983925413"/>
  </r>
  <r>
    <s v="P154"/>
    <s v="Instagram"/>
    <d v="2024-10-09T00:00:00"/>
    <x v="3"/>
    <s v="Explore the latest carousel on Myntra! Trendy styles await."/>
    <n v="985"/>
    <n v="932"/>
    <n v="287"/>
    <n v="6895"/>
    <n v="6757"/>
    <n v="64"/>
    <s v="#MyntraSale"/>
    <s v="EndOfSeasonSale"/>
    <n v="0.3261802575107296"/>
  </r>
  <r>
    <s v="P154"/>
    <s v="Instagram"/>
    <d v="2024-10-09T00:00:00"/>
    <x v="3"/>
    <s v="Explore the latest carousel on Myntra! Trendy styles await."/>
    <n v="985"/>
    <n v="932"/>
    <n v="287"/>
    <n v="6895"/>
    <n v="6757"/>
    <n v="64"/>
    <s v="#MyntraFashion"/>
    <s v="EndOfSeasonSale"/>
    <n v="0.3261802575107296"/>
  </r>
  <r>
    <s v="P155"/>
    <s v="Youtube"/>
    <d v="2024-12-21T00:00:00"/>
    <x v="4"/>
    <s v="Explore the latest image on Myntra! Trendy styles await."/>
    <n v="2283"/>
    <n v="210"/>
    <n v="130"/>
    <n v="22830"/>
    <n v="22617"/>
    <n v="143"/>
    <s v="#MyntraFashion"/>
    <s v="MyntraFestiveEdit"/>
    <n v="0.11597470928947252"/>
  </r>
  <r>
    <s v="P155"/>
    <s v="Youtube"/>
    <d v="2024-12-21T00:00:00"/>
    <x v="4"/>
    <s v="Explore the latest image on Myntra! Trendy styles await."/>
    <n v="2283"/>
    <n v="210"/>
    <n v="130"/>
    <n v="22830"/>
    <n v="22617"/>
    <n v="143"/>
    <s v="#StyleWithMyntra"/>
    <s v="MyntraFestiveEdit"/>
    <n v="0.11597470928947252"/>
  </r>
  <r>
    <s v="P156"/>
    <s v="Facebook"/>
    <d v="2024-10-22T00:00:00"/>
    <x v="3"/>
    <s v="Explore the latest carousel on Myntra! Trendy styles await."/>
    <n v="3352"/>
    <n v="941"/>
    <n v="482"/>
    <n v="43576"/>
    <n v="43338"/>
    <n v="240"/>
    <s v="#MyntraTrend"/>
    <s v="MyntraFestiveEdit"/>
    <n v="0.11018044210623472"/>
  </r>
  <r>
    <s v="P157"/>
    <s v="Youtube"/>
    <d v="2024-07-23T00:00:00"/>
    <x v="2"/>
    <s v="Explore the latest story on Myntra! Trendy styles await."/>
    <n v="4775"/>
    <n v="173"/>
    <n v="206"/>
    <n v="47750"/>
    <n v="47544"/>
    <n v="187"/>
    <s v="#StyleWithMyntra"/>
    <s v="StyleRevolution"/>
    <n v="0.10840484603735487"/>
  </r>
  <r>
    <s v="P157"/>
    <s v="Youtube"/>
    <d v="2024-07-23T00:00:00"/>
    <x v="2"/>
    <s v="Explore the latest story on Myntra! Trendy styles await."/>
    <n v="4775"/>
    <n v="173"/>
    <n v="206"/>
    <n v="47750"/>
    <n v="47544"/>
    <n v="187"/>
    <s v="#MyntraTrend"/>
    <s v="StyleRevolution"/>
    <n v="0.10840484603735487"/>
  </r>
  <r>
    <s v="P158"/>
    <s v="Instagram"/>
    <d v="2024-08-11T00:00:00"/>
    <x v="2"/>
    <s v="Explore the latest story on Myntra! Trendy styles await."/>
    <n v="1762"/>
    <n v="405"/>
    <n v="423"/>
    <n v="22906"/>
    <n v="21925"/>
    <n v="25"/>
    <s v="#FashionDeals"/>
    <s v="EndOfSeasonSale"/>
    <n v="0.11812998859749145"/>
  </r>
  <r>
    <s v="P159"/>
    <s v="Facebook"/>
    <d v="2024-11-25T00:00:00"/>
    <x v="2"/>
    <s v="Explore the latest story on Myntra! Trendy styles await."/>
    <n v="2120"/>
    <n v="158"/>
    <n v="488"/>
    <n v="12720"/>
    <n v="12085"/>
    <n v="17"/>
    <s v="#StyleWithMyntra"/>
    <s v="EndOfSeasonSale"/>
    <n v="0.22887877534133222"/>
  </r>
  <r>
    <s v="P159"/>
    <s v="Facebook"/>
    <d v="2024-11-25T00:00:00"/>
    <x v="2"/>
    <s v="Explore the latest story on Myntra! Trendy styles await."/>
    <n v="2120"/>
    <n v="158"/>
    <n v="488"/>
    <n v="12720"/>
    <n v="12085"/>
    <n v="17"/>
    <s v="#MyntraTrend"/>
    <s v="EndOfSeasonSale"/>
    <n v="0.22887877534133222"/>
  </r>
  <r>
    <s v="P160"/>
    <s v="Twitter"/>
    <d v="2024-08-24T00:00:00"/>
    <x v="5"/>
    <s v="Explore the latest video on Myntra! Trendy styles await."/>
    <n v="1082"/>
    <n v="209"/>
    <n v="484"/>
    <n v="19476"/>
    <n v="18654"/>
    <n v="20"/>
    <s v="#StyleWithMyntra"/>
    <s v="StyleRevolution"/>
    <n v="9.5153854401200819E-2"/>
  </r>
  <r>
    <s v="P161"/>
    <s v="Twitter"/>
    <d v="2025-02-19T00:00:00"/>
    <x v="1"/>
    <s v="Explore the latest text on Myntra! Trendy styles await."/>
    <n v="4671"/>
    <n v="876"/>
    <n v="366"/>
    <n v="51381"/>
    <n v="50565"/>
    <n v="245"/>
    <s v="#MyntraSale"/>
    <s v="EndOfSeasonSale"/>
    <n v="0.1169385938890537"/>
  </r>
  <r>
    <s v="P162"/>
    <s v="Facebook"/>
    <d v="2025-04-01T00:00:00"/>
    <x v="2"/>
    <s v="Explore the latest story on Myntra! Trendy styles await."/>
    <n v="3430"/>
    <n v="566"/>
    <n v="164"/>
    <n v="48020"/>
    <n v="47305"/>
    <n v="120"/>
    <s v="#MyntraTrend"/>
    <s v="EndOfSeasonSale"/>
    <n v="8.7939964062995452E-2"/>
  </r>
  <r>
    <s v="P163"/>
    <s v="Instagram"/>
    <d v="2025-04-08T00:00:00"/>
    <x v="4"/>
    <s v="Explore the latest image on Myntra! Trendy styles await."/>
    <n v="4501"/>
    <n v="375"/>
    <n v="323"/>
    <n v="22505"/>
    <n v="21836"/>
    <n v="132"/>
    <s v="#MyntraFashion"/>
    <s v="StyleRevolution"/>
    <n v="0.23809305733650851"/>
  </r>
  <r>
    <s v="P164"/>
    <s v="Youtube"/>
    <d v="2025-02-27T00:00:00"/>
    <x v="1"/>
    <s v="Explore the latest text on Myntra! Trendy styles await."/>
    <n v="4934"/>
    <n v="971"/>
    <n v="156"/>
    <n v="39472"/>
    <n v="39025"/>
    <n v="169"/>
    <s v="#FashionDeals"/>
    <s v="EndOfSeasonSale"/>
    <n v="0.15531069827033953"/>
  </r>
  <r>
    <s v="P164"/>
    <s v="Youtube"/>
    <d v="2025-02-27T00:00:00"/>
    <x v="1"/>
    <s v="Explore the latest text on Myntra! Trendy styles await."/>
    <n v="4934"/>
    <n v="971"/>
    <n v="156"/>
    <n v="39472"/>
    <n v="39025"/>
    <n v="169"/>
    <s v="#StyleWithMyntra"/>
    <s v="EndOfSeasonSale"/>
    <n v="0.15531069827033953"/>
  </r>
  <r>
    <s v="P165"/>
    <s v="Twitter"/>
    <d v="2024-12-11T00:00:00"/>
    <x v="1"/>
    <s v="Explore the latest text on Myntra! Trendy styles await."/>
    <n v="3239"/>
    <n v="43"/>
    <n v="211"/>
    <n v="22673"/>
    <n v="22171"/>
    <n v="230"/>
    <s v="#MyntraTrend"/>
    <s v="EndOfSeasonSale"/>
    <n v="0.1575481484822516"/>
  </r>
  <r>
    <s v="P165"/>
    <s v="Twitter"/>
    <d v="2024-12-11T00:00:00"/>
    <x v="1"/>
    <s v="Explore the latest text on Myntra! Trendy styles await."/>
    <n v="3239"/>
    <n v="43"/>
    <n v="211"/>
    <n v="22673"/>
    <n v="22171"/>
    <n v="230"/>
    <s v="#StyleWithMyntra"/>
    <s v="EndOfSeasonSale"/>
    <n v="0.1575481484822516"/>
  </r>
  <r>
    <s v="P166"/>
    <s v="Twitter"/>
    <d v="2025-02-16T00:00:00"/>
    <x v="0"/>
    <s v="Explore the latest reel on Myntra! Trendy styles await."/>
    <n v="1076"/>
    <n v="313"/>
    <n v="306"/>
    <n v="11836"/>
    <n v="11596"/>
    <n v="104"/>
    <s v="#FashionDeals"/>
    <s v="EndOfSeasonSale"/>
    <n v="0.14617109348051052"/>
  </r>
  <r>
    <s v="P167"/>
    <s v="Instagram"/>
    <d v="2024-11-28T00:00:00"/>
    <x v="1"/>
    <s v="Explore the latest text on Myntra! Trendy styles await."/>
    <n v="4771"/>
    <n v="818"/>
    <n v="56"/>
    <n v="57252"/>
    <n v="56378"/>
    <n v="150"/>
    <s v="#MyntraSale"/>
    <s v="EndOfSeasonSale"/>
    <n v="0.10012770939018766"/>
  </r>
  <r>
    <s v="P168"/>
    <s v="Facebook"/>
    <d v="2024-11-12T00:00:00"/>
    <x v="1"/>
    <s v="Explore the latest text on Myntra! Trendy styles await."/>
    <n v="2418"/>
    <n v="754"/>
    <n v="54"/>
    <n v="43524"/>
    <n v="42743"/>
    <n v="182"/>
    <s v="#MyntraFashion"/>
    <s v="StyleRevolution"/>
    <n v="7.5474346676648804E-2"/>
  </r>
  <r>
    <s v="P168"/>
    <s v="Facebook"/>
    <d v="2024-11-12T00:00:00"/>
    <x v="1"/>
    <s v="Explore the latest text on Myntra! Trendy styles await."/>
    <n v="2418"/>
    <n v="754"/>
    <n v="54"/>
    <n v="43524"/>
    <n v="42743"/>
    <n v="182"/>
    <s v="#MyntraTrend"/>
    <s v="StyleRevolution"/>
    <n v="7.5474346676648804E-2"/>
  </r>
  <r>
    <s v="P169"/>
    <s v="Youtube"/>
    <d v="2024-12-03T00:00:00"/>
    <x v="5"/>
    <s v="Explore the latest video on Myntra! Trendy styles await."/>
    <n v="3809"/>
    <n v="273"/>
    <n v="200"/>
    <n v="34281"/>
    <n v="33534"/>
    <n v="83"/>
    <s v="#MyntraTrend"/>
    <s v="MyntraFestiveEdit"/>
    <n v="0.12769129838372995"/>
  </r>
  <r>
    <s v="P170"/>
    <s v="Twitter"/>
    <d v="2025-04-28T00:00:00"/>
    <x v="1"/>
    <s v="Explore the latest text on Myntra! Trendy styles await."/>
    <n v="3577"/>
    <n v="596"/>
    <n v="493"/>
    <n v="67963"/>
    <n v="67839"/>
    <n v="53"/>
    <s v="#StyleWithMyntra"/>
    <s v="StyleRevolution"/>
    <n v="6.8780494995504066E-2"/>
  </r>
  <r>
    <s v="P170"/>
    <s v="Twitter"/>
    <d v="2025-04-28T00:00:00"/>
    <x v="1"/>
    <s v="Explore the latest text on Myntra! Trendy styles await."/>
    <n v="3577"/>
    <n v="596"/>
    <n v="493"/>
    <n v="67963"/>
    <n v="67839"/>
    <n v="53"/>
    <s v="#MyntraTrend"/>
    <s v="StyleRevolution"/>
    <n v="6.8780494995504066E-2"/>
  </r>
  <r>
    <s v="P171"/>
    <s v="Youtube"/>
    <d v="2024-12-31T00:00:00"/>
    <x v="5"/>
    <s v="Explore the latest video on Myntra! Trendy styles await."/>
    <n v="1018"/>
    <n v="447"/>
    <n v="332"/>
    <n v="18324"/>
    <n v="18164"/>
    <n v="38"/>
    <s v="#MyntraSale"/>
    <s v="StyleRevolution"/>
    <n v="9.8931953314247964E-2"/>
  </r>
  <r>
    <s v="P171"/>
    <s v="Youtube"/>
    <d v="2024-12-31T00:00:00"/>
    <x v="5"/>
    <s v="Explore the latest video on Myntra! Trendy styles await."/>
    <n v="1018"/>
    <n v="447"/>
    <n v="332"/>
    <n v="18324"/>
    <n v="18164"/>
    <n v="38"/>
    <s v="#MyntraFashion"/>
    <s v="StyleRevolution"/>
    <n v="9.8931953314247964E-2"/>
  </r>
  <r>
    <s v="P172"/>
    <s v="Facebook"/>
    <d v="2024-08-14T00:00:00"/>
    <x v="3"/>
    <s v="Explore the latest carousel on Myntra! Trendy styles await."/>
    <n v="3073"/>
    <n v="553"/>
    <n v="174"/>
    <n v="52241"/>
    <n v="51605"/>
    <n v="246"/>
    <s v="#MyntraFashion"/>
    <s v="StyleRevolution"/>
    <n v="7.3636275554694319E-2"/>
  </r>
  <r>
    <s v="P172"/>
    <s v="Facebook"/>
    <d v="2024-08-14T00:00:00"/>
    <x v="3"/>
    <s v="Explore the latest carousel on Myntra! Trendy styles await."/>
    <n v="3073"/>
    <n v="553"/>
    <n v="174"/>
    <n v="52241"/>
    <n v="51605"/>
    <n v="246"/>
    <s v="#StyleWithMyntra"/>
    <s v="StyleRevolution"/>
    <n v="7.3636275554694319E-2"/>
  </r>
  <r>
    <s v="P173"/>
    <s v="Twitter"/>
    <d v="2024-12-05T00:00:00"/>
    <x v="5"/>
    <s v="Explore the latest video on Myntra! Trendy styles await."/>
    <n v="1330"/>
    <n v="925"/>
    <n v="35"/>
    <n v="15960"/>
    <n v="15379"/>
    <n v="229"/>
    <s v="#FashionDeals"/>
    <s v="StyleRevolution"/>
    <n v="0.14890435008778205"/>
  </r>
  <r>
    <s v="P173"/>
    <s v="Twitter"/>
    <d v="2024-12-05T00:00:00"/>
    <x v="5"/>
    <s v="Explore the latest video on Myntra! Trendy styles await."/>
    <n v="1330"/>
    <n v="925"/>
    <n v="35"/>
    <n v="15960"/>
    <n v="15379"/>
    <n v="229"/>
    <s v="#MyntraTrend"/>
    <s v="StyleRevolution"/>
    <n v="0.14890435008778205"/>
  </r>
  <r>
    <s v="P174"/>
    <s v="Facebook"/>
    <d v="2024-06-22T00:00:00"/>
    <x v="1"/>
    <s v="Explore the latest text on Myntra! Trendy styles await."/>
    <n v="3828"/>
    <n v="148"/>
    <n v="253"/>
    <n v="30624"/>
    <n v="30229"/>
    <n v="235"/>
    <s v="#MyntraSale"/>
    <s v="StyleRevolution"/>
    <n v="0.13989877270171028"/>
  </r>
  <r>
    <s v="P174"/>
    <s v="Facebook"/>
    <d v="2024-06-22T00:00:00"/>
    <x v="1"/>
    <s v="Explore the latest text on Myntra! Trendy styles await."/>
    <n v="3828"/>
    <n v="148"/>
    <n v="253"/>
    <n v="30624"/>
    <n v="30229"/>
    <n v="235"/>
    <s v="#StyleWithMyntra"/>
    <s v="StyleRevolution"/>
    <n v="0.13989877270171028"/>
  </r>
  <r>
    <s v="P175"/>
    <s v="Instagram"/>
    <d v="2025-01-17T00:00:00"/>
    <x v="0"/>
    <s v="Explore the latest reel on Myntra! Trendy styles await."/>
    <n v="142"/>
    <n v="784"/>
    <n v="183"/>
    <n v="1704"/>
    <n v="995"/>
    <n v="154"/>
    <s v="#MyntraSale"/>
    <s v="FashionUpgrade"/>
    <n v="1.114572864321608"/>
  </r>
  <r>
    <s v="P176"/>
    <s v="Facebook"/>
    <d v="2024-06-20T00:00:00"/>
    <x v="5"/>
    <s v="Explore the latest video on Myntra! Trendy styles await."/>
    <n v="3798"/>
    <n v="31"/>
    <n v="279"/>
    <n v="75960"/>
    <n v="75813"/>
    <n v="266"/>
    <s v="#MyntraFashion"/>
    <s v="EndOfSeasonSale"/>
    <n v="5.4185957553453894E-2"/>
  </r>
  <r>
    <s v="P177"/>
    <s v="Instagram"/>
    <d v="2024-07-10T00:00:00"/>
    <x v="3"/>
    <s v="Explore the latest carousel on Myntra! Trendy styles await."/>
    <n v="3099"/>
    <n v="694"/>
    <n v="171"/>
    <n v="43386"/>
    <n v="42921"/>
    <n v="52"/>
    <s v="#FashionDeals"/>
    <s v="StyleRevolution"/>
    <n v="9.2355723305607984E-2"/>
  </r>
  <r>
    <s v="P178"/>
    <s v="Instagram"/>
    <d v="2024-11-07T00:00:00"/>
    <x v="5"/>
    <s v="Explore the latest video on Myntra! Trendy styles await."/>
    <n v="129"/>
    <n v="643"/>
    <n v="136"/>
    <n v="1290"/>
    <n v="839"/>
    <n v="238"/>
    <s v="#StyleWithMyntra"/>
    <s v="StyleRevolution"/>
    <n v="1.0822407628128725"/>
  </r>
  <r>
    <s v="P178"/>
    <s v="Instagram"/>
    <d v="2024-11-07T00:00:00"/>
    <x v="5"/>
    <s v="Explore the latest video on Myntra! Trendy styles await."/>
    <n v="129"/>
    <n v="643"/>
    <n v="136"/>
    <n v="1290"/>
    <n v="839"/>
    <n v="238"/>
    <s v="#FashionDeals"/>
    <s v="StyleRevolution"/>
    <n v="1.0822407628128725"/>
  </r>
  <r>
    <s v="P179"/>
    <s v="Facebook"/>
    <d v="2024-07-15T00:00:00"/>
    <x v="3"/>
    <s v="Explore the latest carousel on Myntra! Trendy styles await."/>
    <n v="3796"/>
    <n v="667"/>
    <n v="395"/>
    <n v="64532"/>
    <n v="63550"/>
    <n v="292"/>
    <s v="#StyleWithMyntra"/>
    <s v="FashionUpgrade"/>
    <n v="7.6443745082612119E-2"/>
  </r>
  <r>
    <s v="P180"/>
    <s v="Youtube"/>
    <d v="2024-12-03T00:00:00"/>
    <x v="1"/>
    <s v="Explore the latest text on Myntra! Trendy styles await."/>
    <n v="3711"/>
    <n v="352"/>
    <n v="290"/>
    <n v="48243"/>
    <n v="47579"/>
    <n v="11"/>
    <s v="#StyleWithMyntra"/>
    <s v="StyleRevolution"/>
    <n v="9.1489943042098398E-2"/>
  </r>
  <r>
    <s v="P180"/>
    <s v="Youtube"/>
    <d v="2024-12-03T00:00:00"/>
    <x v="1"/>
    <s v="Explore the latest text on Myntra! Trendy styles await."/>
    <n v="3711"/>
    <n v="352"/>
    <n v="290"/>
    <n v="48243"/>
    <n v="47579"/>
    <n v="11"/>
    <s v="#FashionDeals"/>
    <s v="StyleRevolution"/>
    <n v="9.1489943042098398E-2"/>
  </r>
  <r>
    <s v="P181"/>
    <s v="Youtube"/>
    <d v="2025-03-21T00:00:00"/>
    <x v="4"/>
    <s v="Explore the latest image on Myntra! Trendy styles await."/>
    <n v="606"/>
    <n v="789"/>
    <n v="470"/>
    <n v="7878"/>
    <n v="7389"/>
    <n v="239"/>
    <s v="#MyntraSale"/>
    <s v="EndOfSeasonSale"/>
    <n v="0.25240221951549602"/>
  </r>
  <r>
    <s v="P182"/>
    <s v="Facebook"/>
    <d v="2024-07-31T00:00:00"/>
    <x v="4"/>
    <s v="Explore the latest image on Myntra! Trendy styles await."/>
    <n v="4689"/>
    <n v="134"/>
    <n v="403"/>
    <n v="51579"/>
    <n v="50924"/>
    <n v="173"/>
    <s v="#FashionDeals"/>
    <s v="FashionUpgrade"/>
    <n v="0.10262351739847617"/>
  </r>
  <r>
    <s v="P183"/>
    <s v="Instagram"/>
    <d v="2024-12-17T00:00:00"/>
    <x v="2"/>
    <s v="Explore the latest story on Myntra! Trendy styles await."/>
    <n v="360"/>
    <n v="590"/>
    <n v="393"/>
    <n v="4680"/>
    <n v="4322"/>
    <n v="208"/>
    <s v="#StyleWithMyntra"/>
    <s v="EndOfSeasonSale"/>
    <n v="0.3107357704766312"/>
  </r>
  <r>
    <s v="P183"/>
    <s v="Instagram"/>
    <d v="2024-12-17T00:00:00"/>
    <x v="2"/>
    <s v="Explore the latest story on Myntra! Trendy styles await."/>
    <n v="360"/>
    <n v="590"/>
    <n v="393"/>
    <n v="4680"/>
    <n v="4322"/>
    <n v="208"/>
    <s v="#FashionDeals"/>
    <s v="EndOfSeasonSale"/>
    <n v="0.3107357704766312"/>
  </r>
  <r>
    <s v="P184"/>
    <s v="Twitter"/>
    <d v="2024-07-28T00:00:00"/>
    <x v="4"/>
    <s v="Explore the latest image on Myntra! Trendy styles await."/>
    <n v="3215"/>
    <n v="960"/>
    <n v="202"/>
    <n v="32150"/>
    <n v="31404"/>
    <n v="251"/>
    <s v="#StyleWithMyntra"/>
    <s v="MyntraFestiveEdit"/>
    <n v="0.13937714940771875"/>
  </r>
  <r>
    <s v="P185"/>
    <s v="Instagram"/>
    <d v="2025-01-11T00:00:00"/>
    <x v="3"/>
    <s v="Explore the latest carousel on Myntra! Trendy styles await."/>
    <n v="4523"/>
    <n v="61"/>
    <n v="157"/>
    <n v="49753"/>
    <n v="49329"/>
    <n v="71"/>
    <s v="#MyntraSale"/>
    <s v="StyleRevolution"/>
    <n v="9.6109793427801085E-2"/>
  </r>
  <r>
    <s v="P185"/>
    <s v="Instagram"/>
    <d v="2025-01-11T00:00:00"/>
    <x v="3"/>
    <s v="Explore the latest carousel on Myntra! Trendy styles await."/>
    <n v="4523"/>
    <n v="61"/>
    <n v="157"/>
    <n v="49753"/>
    <n v="49329"/>
    <n v="71"/>
    <s v="#MyntraTrend"/>
    <s v="StyleRevolution"/>
    <n v="9.6109793427801085E-2"/>
  </r>
  <r>
    <s v="P186"/>
    <s v="Facebook"/>
    <d v="2024-08-24T00:00:00"/>
    <x v="3"/>
    <s v="Explore the latest carousel on Myntra! Trendy styles await."/>
    <n v="4292"/>
    <n v="51"/>
    <n v="392"/>
    <n v="55796"/>
    <n v="54826"/>
    <n v="264"/>
    <s v="#MyntraTrend"/>
    <s v="FashionUpgrade"/>
    <n v="8.6364133805128959E-2"/>
  </r>
  <r>
    <s v="P186"/>
    <s v="Facebook"/>
    <d v="2024-08-24T00:00:00"/>
    <x v="3"/>
    <s v="Explore the latest carousel on Myntra! Trendy styles await."/>
    <n v="4292"/>
    <n v="51"/>
    <n v="392"/>
    <n v="55796"/>
    <n v="54826"/>
    <n v="264"/>
    <s v="#StyleWithMyntra"/>
    <s v="FashionUpgrade"/>
    <n v="8.6364133805128959E-2"/>
  </r>
  <r>
    <s v="P187"/>
    <s v="Twitter"/>
    <d v="2024-12-22T00:00:00"/>
    <x v="0"/>
    <s v="Explore the latest reel on Myntra! Trendy styles await."/>
    <n v="1644"/>
    <n v="546"/>
    <n v="150"/>
    <n v="27948"/>
    <n v="27184"/>
    <n v="300"/>
    <s v="#MyntraSale"/>
    <s v="FashionUpgrade"/>
    <n v="8.6080047086521477E-2"/>
  </r>
  <r>
    <s v="P187"/>
    <s v="Twitter"/>
    <d v="2024-12-22T00:00:00"/>
    <x v="0"/>
    <s v="Explore the latest reel on Myntra! Trendy styles await."/>
    <n v="1644"/>
    <n v="546"/>
    <n v="150"/>
    <n v="27948"/>
    <n v="27184"/>
    <n v="300"/>
    <s v="#MyntraTrend"/>
    <s v="FashionUpgrade"/>
    <n v="8.6080047086521477E-2"/>
  </r>
  <r>
    <s v="P188"/>
    <s v="Youtube"/>
    <d v="2024-06-06T00:00:00"/>
    <x v="0"/>
    <s v="Explore the latest reel on Myntra! Trendy styles await."/>
    <n v="2728"/>
    <n v="533"/>
    <n v="215"/>
    <n v="40920"/>
    <n v="40816"/>
    <n v="137"/>
    <s v="#MyntraSale"/>
    <s v="EndOfSeasonSale"/>
    <n v="8.516268130145041E-2"/>
  </r>
  <r>
    <s v="P189"/>
    <s v="Facebook"/>
    <d v="2025-03-24T00:00:00"/>
    <x v="0"/>
    <s v="Explore the latest reel on Myntra! Trendy styles await."/>
    <n v="3360"/>
    <n v="525"/>
    <n v="500"/>
    <n v="60480"/>
    <n v="59610"/>
    <n v="192"/>
    <s v="#MyntraSale"/>
    <s v="FashionUpgrade"/>
    <n v="7.3561482972655592E-2"/>
  </r>
  <r>
    <s v="P189"/>
    <s v="Facebook"/>
    <d v="2025-03-24T00:00:00"/>
    <x v="0"/>
    <s v="Explore the latest reel on Myntra! Trendy styles await."/>
    <n v="3360"/>
    <n v="525"/>
    <n v="500"/>
    <n v="60480"/>
    <n v="59610"/>
    <n v="192"/>
    <s v="#StyleWithMyntra"/>
    <s v="FashionUpgrade"/>
    <n v="7.3561482972655592E-2"/>
  </r>
  <r>
    <s v="P190"/>
    <s v="Youtube"/>
    <d v="2024-10-04T00:00:00"/>
    <x v="1"/>
    <s v="Explore the latest text on Myntra! Trendy styles await."/>
    <n v="1963"/>
    <n v="213"/>
    <n v="19"/>
    <n v="39260"/>
    <n v="38771"/>
    <n v="145"/>
    <s v="#StyleWithMyntra"/>
    <s v="FashionUpgrade"/>
    <n v="5.6614479894766707E-2"/>
  </r>
  <r>
    <s v="P191"/>
    <s v="Youtube"/>
    <d v="2024-12-03T00:00:00"/>
    <x v="2"/>
    <s v="Explore the latest story on Myntra! Trendy styles await."/>
    <n v="4285"/>
    <n v="886"/>
    <n v="376"/>
    <n v="55705"/>
    <n v="55556"/>
    <n v="51"/>
    <s v="#MyntraFashion"/>
    <s v="StyleRevolution"/>
    <n v="9.9845201238390094E-2"/>
  </r>
  <r>
    <s v="P191"/>
    <s v="Youtube"/>
    <d v="2024-12-03T00:00:00"/>
    <x v="2"/>
    <s v="Explore the latest story on Myntra! Trendy styles await."/>
    <n v="4285"/>
    <n v="886"/>
    <n v="376"/>
    <n v="55705"/>
    <n v="55556"/>
    <n v="51"/>
    <s v="#FashionDeals"/>
    <s v="StyleRevolution"/>
    <n v="9.9845201238390094E-2"/>
  </r>
  <r>
    <s v="P192"/>
    <s v="Instagram"/>
    <d v="2024-11-29T00:00:00"/>
    <x v="5"/>
    <s v="Explore the latest video on Myntra! Trendy styles await."/>
    <n v="1176"/>
    <n v="464"/>
    <n v="394"/>
    <n v="14112"/>
    <n v="13588"/>
    <n v="272"/>
    <s v="#FashionDeals"/>
    <s v="FashionUpgrade"/>
    <n v="0.14969090373859287"/>
  </r>
  <r>
    <s v="P193"/>
    <s v="Twitter"/>
    <d v="2024-09-11T00:00:00"/>
    <x v="4"/>
    <s v="Explore the latest image on Myntra! Trendy styles await."/>
    <n v="4858"/>
    <n v="317"/>
    <n v="129"/>
    <n v="53438"/>
    <n v="52687"/>
    <n v="223"/>
    <s v="#FashionDeals"/>
    <s v="FashionUpgrade"/>
    <n v="0.10066999449579593"/>
  </r>
  <r>
    <s v="P193"/>
    <s v="Twitter"/>
    <d v="2024-09-11T00:00:00"/>
    <x v="4"/>
    <s v="Explore the latest image on Myntra! Trendy styles await."/>
    <n v="4858"/>
    <n v="317"/>
    <n v="129"/>
    <n v="53438"/>
    <n v="52687"/>
    <n v="223"/>
    <s v="#MyntraTrend"/>
    <s v="FashionUpgrade"/>
    <n v="0.10066999449579593"/>
  </r>
  <r>
    <s v="P194"/>
    <s v="Youtube"/>
    <d v="2024-10-02T00:00:00"/>
    <x v="2"/>
    <s v="Explore the latest story on Myntra! Trendy styles await."/>
    <n v="4350"/>
    <n v="771"/>
    <n v="7"/>
    <n v="60900"/>
    <n v="60592"/>
    <n v="195"/>
    <s v="#FashionDeals"/>
    <s v="EndOfSeasonSale"/>
    <n v="8.4631634539213102E-2"/>
  </r>
  <r>
    <s v="P194"/>
    <s v="Youtube"/>
    <d v="2024-10-02T00:00:00"/>
    <x v="2"/>
    <s v="Explore the latest story on Myntra! Trendy styles await."/>
    <n v="4350"/>
    <n v="771"/>
    <n v="7"/>
    <n v="60900"/>
    <n v="60592"/>
    <n v="195"/>
    <s v="#StyleWithMyntra"/>
    <s v="EndOfSeasonSale"/>
    <n v="8.4631634539213102E-2"/>
  </r>
  <r>
    <s v="P195"/>
    <s v="Instagram"/>
    <d v="2024-08-15T00:00:00"/>
    <x v="3"/>
    <s v="Explore the latest carousel on Myntra! Trendy styles await."/>
    <n v="914"/>
    <n v="464"/>
    <n v="246"/>
    <n v="11882"/>
    <n v="11500"/>
    <n v="282"/>
    <s v="#MyntraFashion"/>
    <s v="MyntraFestiveEdit"/>
    <n v="0.14121739130434782"/>
  </r>
  <r>
    <s v="P195"/>
    <s v="Instagram"/>
    <d v="2024-08-15T00:00:00"/>
    <x v="3"/>
    <s v="Explore the latest carousel on Myntra! Trendy styles await."/>
    <n v="914"/>
    <n v="464"/>
    <n v="246"/>
    <n v="11882"/>
    <n v="11500"/>
    <n v="282"/>
    <s v="#MyntraTrend"/>
    <s v="MyntraFestiveEdit"/>
    <n v="0.14121739130434782"/>
  </r>
  <r>
    <s v="P196"/>
    <s v="Instagram"/>
    <d v="2024-12-19T00:00:00"/>
    <x v="1"/>
    <s v="Explore the latest text on Myntra! Trendy styles await."/>
    <n v="1813"/>
    <n v="623"/>
    <n v="72"/>
    <n v="19943"/>
    <n v="18959"/>
    <n v="85"/>
    <s v="#MyntraTrend"/>
    <s v="MyntraFestiveEdit"/>
    <n v="0.13228545809378131"/>
  </r>
  <r>
    <s v="P196"/>
    <s v="Instagram"/>
    <d v="2024-12-19T00:00:00"/>
    <x v="1"/>
    <s v="Explore the latest text on Myntra! Trendy styles await."/>
    <n v="1813"/>
    <n v="623"/>
    <n v="72"/>
    <n v="19943"/>
    <n v="18959"/>
    <n v="85"/>
    <s v="#MyntraFashion"/>
    <s v="MyntraFestiveEdit"/>
    <n v="0.13228545809378131"/>
  </r>
  <r>
    <s v="P197"/>
    <s v="Twitter"/>
    <d v="2024-10-22T00:00:00"/>
    <x v="0"/>
    <s v="Explore the latest reel on Myntra! Trendy styles await."/>
    <n v="4782"/>
    <n v="721"/>
    <n v="82"/>
    <n v="86076"/>
    <n v="85339"/>
    <n v="19"/>
    <s v="#FashionDeals"/>
    <s v="EndOfSeasonSale"/>
    <n v="6.5444872801415532E-2"/>
  </r>
  <r>
    <s v="P198"/>
    <s v="Twitter"/>
    <d v="2024-09-14T00:00:00"/>
    <x v="4"/>
    <s v="Explore the latest image on Myntra! Trendy styles await."/>
    <n v="1048"/>
    <n v="374"/>
    <n v="450"/>
    <n v="9432"/>
    <n v="8882"/>
    <n v="158"/>
    <s v="#MyntraTrend"/>
    <s v="EndOfSeasonSale"/>
    <n v="0.21076334158973203"/>
  </r>
  <r>
    <s v="P198"/>
    <s v="Twitter"/>
    <d v="2024-09-14T00:00:00"/>
    <x v="4"/>
    <s v="Explore the latest image on Myntra! Trendy styles await."/>
    <n v="1048"/>
    <n v="374"/>
    <n v="450"/>
    <n v="9432"/>
    <n v="8882"/>
    <n v="158"/>
    <s v="#MyntraSale"/>
    <s v="EndOfSeasonSale"/>
    <n v="0.21076334158973203"/>
  </r>
  <r>
    <s v="P199"/>
    <s v="Youtube"/>
    <d v="2024-11-30T00:00:00"/>
    <x v="3"/>
    <s v="Explore the latest carousel on Myntra! Trendy styles await."/>
    <n v="2509"/>
    <n v="324"/>
    <n v="171"/>
    <n v="35126"/>
    <n v="34685"/>
    <n v="277"/>
    <s v="#FashionDeals"/>
    <s v="EndOfSeasonSale"/>
    <n v="8.6608043822978237E-2"/>
  </r>
  <r>
    <s v="P200"/>
    <s v="Facebook"/>
    <d v="2025-04-07T00:00:00"/>
    <x v="0"/>
    <s v="Explore the latest reel on Myntra! Trendy styles await."/>
    <n v="3718"/>
    <n v="385"/>
    <n v="310"/>
    <n v="70642"/>
    <n v="69749"/>
    <n v="233"/>
    <s v="#MyntraTrend"/>
    <s v="FashionUpgrade"/>
    <n v="6.3269724297122534E-2"/>
  </r>
  <r>
    <s v="P201"/>
    <s v="Twitter"/>
    <d v="2025-01-15T00:00:00"/>
    <x v="0"/>
    <s v="Explore the latest reel on Myntra! Trendy styles await."/>
    <n v="802"/>
    <n v="262"/>
    <n v="244"/>
    <n v="14436"/>
    <n v="14280"/>
    <n v="49"/>
    <s v="#MyntraSale"/>
    <s v="StyleRevolution"/>
    <n v="9.1596638655462179E-2"/>
  </r>
  <r>
    <s v="P201"/>
    <s v="Twitter"/>
    <d v="2025-01-15T00:00:00"/>
    <x v="0"/>
    <s v="Explore the latest reel on Myntra! Trendy styles await."/>
    <n v="802"/>
    <n v="262"/>
    <n v="244"/>
    <n v="14436"/>
    <n v="14280"/>
    <n v="49"/>
    <s v="#FashionDeals"/>
    <s v="StyleRevolution"/>
    <n v="9.1596638655462179E-2"/>
  </r>
  <r>
    <s v="P202"/>
    <s v="Facebook"/>
    <d v="2024-06-02T00:00:00"/>
    <x v="4"/>
    <s v="Explore the latest image on Myntra! Trendy styles await."/>
    <n v="1871"/>
    <n v="252"/>
    <n v="335"/>
    <n v="29936"/>
    <n v="29576"/>
    <n v="288"/>
    <s v="#MyntraTrend"/>
    <s v="EndOfSeasonSale"/>
    <n v="8.3107925344874226E-2"/>
  </r>
  <r>
    <s v="P203"/>
    <s v="Instagram"/>
    <d v="2024-11-21T00:00:00"/>
    <x v="3"/>
    <s v="Explore the latest carousel on Myntra! Trendy styles await."/>
    <n v="3773"/>
    <n v="299"/>
    <n v="38"/>
    <n v="71687"/>
    <n v="71447"/>
    <n v="286"/>
    <s v="#MyntraTrend"/>
    <s v="StyleRevolution"/>
    <n v="5.7525158509104654E-2"/>
  </r>
  <r>
    <s v="P204"/>
    <s v="Instagram"/>
    <d v="2025-01-01T00:00:00"/>
    <x v="3"/>
    <s v="Explore the latest carousel on Myntra! Trendy styles await."/>
    <n v="2234"/>
    <n v="653"/>
    <n v="432"/>
    <n v="11170"/>
    <n v="10569"/>
    <n v="198"/>
    <s v="#FashionDeals"/>
    <s v="StyleRevolution"/>
    <n v="0.31403160185448009"/>
  </r>
  <r>
    <s v="P204"/>
    <s v="Instagram"/>
    <d v="2025-01-01T00:00:00"/>
    <x v="3"/>
    <s v="Explore the latest carousel on Myntra! Trendy styles await."/>
    <n v="2234"/>
    <n v="653"/>
    <n v="432"/>
    <n v="11170"/>
    <n v="10569"/>
    <n v="198"/>
    <s v="#StyleWithMyntra"/>
    <s v="StyleRevolution"/>
    <n v="0.31403160185448009"/>
  </r>
  <r>
    <s v="P205"/>
    <s v="Twitter"/>
    <d v="2025-04-24T00:00:00"/>
    <x v="5"/>
    <s v="Explore the latest video on Myntra! Trendy styles await."/>
    <n v="3820"/>
    <n v="697"/>
    <n v="268"/>
    <n v="45840"/>
    <n v="45631"/>
    <n v="171"/>
    <s v="#StyleWithMyntra"/>
    <s v="FashionUpgrade"/>
    <n v="0.10486292213626701"/>
  </r>
  <r>
    <s v="P205"/>
    <s v="Twitter"/>
    <d v="2025-04-24T00:00:00"/>
    <x v="5"/>
    <s v="Explore the latest video on Myntra! Trendy styles await."/>
    <n v="3820"/>
    <n v="697"/>
    <n v="268"/>
    <n v="45840"/>
    <n v="45631"/>
    <n v="171"/>
    <s v="#FashionDeals"/>
    <s v="FashionUpgrade"/>
    <n v="0.10486292213626701"/>
  </r>
  <r>
    <s v="P206"/>
    <s v="Twitter"/>
    <d v="2024-06-24T00:00:00"/>
    <x v="1"/>
    <s v="Explore the latest text on Myntra! Trendy styles await."/>
    <n v="941"/>
    <n v="121"/>
    <n v="458"/>
    <n v="14115"/>
    <n v="13838"/>
    <n v="87"/>
    <s v="#MyntraFashion"/>
    <s v="EndOfSeasonSale"/>
    <n v="0.10984246278363925"/>
  </r>
  <r>
    <s v="P206"/>
    <s v="Twitter"/>
    <d v="2024-06-24T00:00:00"/>
    <x v="1"/>
    <s v="Explore the latest text on Myntra! Trendy styles await."/>
    <n v="941"/>
    <n v="121"/>
    <n v="458"/>
    <n v="14115"/>
    <n v="13838"/>
    <n v="87"/>
    <s v="#MyntraSale"/>
    <s v="EndOfSeasonSale"/>
    <n v="0.10984246278363925"/>
  </r>
  <r>
    <s v="P207"/>
    <s v="Twitter"/>
    <d v="2024-12-29T00:00:00"/>
    <x v="3"/>
    <s v="Explore the latest carousel on Myntra! Trendy styles await."/>
    <n v="4274"/>
    <n v="340"/>
    <n v="281"/>
    <n v="34192"/>
    <n v="33446"/>
    <n v="129"/>
    <s v="#StyleWithMyntra"/>
    <s v="MyntraFestiveEdit"/>
    <n v="0.14635531902170662"/>
  </r>
  <r>
    <s v="P207"/>
    <s v="Twitter"/>
    <d v="2024-12-29T00:00:00"/>
    <x v="3"/>
    <s v="Explore the latest carousel on Myntra! Trendy styles await."/>
    <n v="4274"/>
    <n v="340"/>
    <n v="281"/>
    <n v="34192"/>
    <n v="33446"/>
    <n v="129"/>
    <s v="#FashionDeals"/>
    <s v="MyntraFestiveEdit"/>
    <n v="0.14635531902170662"/>
  </r>
  <r>
    <s v="P208"/>
    <s v="Youtube"/>
    <d v="2024-06-24T00:00:00"/>
    <x v="5"/>
    <s v="Explore the latest video on Myntra! Trendy styles await."/>
    <n v="2949"/>
    <n v="476"/>
    <n v="403"/>
    <n v="44235"/>
    <n v="43705"/>
    <n v="135"/>
    <s v="#MyntraTrend"/>
    <s v="FashionUpgrade"/>
    <n v="8.7587232582084423E-2"/>
  </r>
  <r>
    <s v="P208"/>
    <s v="Youtube"/>
    <d v="2024-06-24T00:00:00"/>
    <x v="5"/>
    <s v="Explore the latest video on Myntra! Trendy styles await."/>
    <n v="2949"/>
    <n v="476"/>
    <n v="403"/>
    <n v="44235"/>
    <n v="43705"/>
    <n v="135"/>
    <s v="#FashionDeals"/>
    <s v="FashionUpgrade"/>
    <n v="8.7587232582084423E-2"/>
  </r>
  <r>
    <s v="P209"/>
    <s v="Twitter"/>
    <d v="2025-03-19T00:00:00"/>
    <x v="5"/>
    <s v="Explore the latest video on Myntra! Trendy styles await."/>
    <n v="3160"/>
    <n v="204"/>
    <n v="297"/>
    <n v="44240"/>
    <n v="43666"/>
    <n v="49"/>
    <s v="#StyleWithMyntra"/>
    <s v="FashionUpgrade"/>
    <n v="8.3840974671369028E-2"/>
  </r>
  <r>
    <s v="P209"/>
    <s v="Twitter"/>
    <d v="2025-03-19T00:00:00"/>
    <x v="5"/>
    <s v="Explore the latest video on Myntra! Trendy styles await."/>
    <n v="3160"/>
    <n v="204"/>
    <n v="297"/>
    <n v="44240"/>
    <n v="43666"/>
    <n v="49"/>
    <s v="#MyntraTrend"/>
    <s v="FashionUpgrade"/>
    <n v="8.3840974671369028E-2"/>
  </r>
  <r>
    <s v="P210"/>
    <s v="Youtube"/>
    <d v="2025-02-19T00:00:00"/>
    <x v="4"/>
    <s v="Explore the latest image on Myntra! Trendy styles await."/>
    <n v="257"/>
    <n v="966"/>
    <n v="398"/>
    <n v="3341"/>
    <n v="2753"/>
    <n v="287"/>
    <s v="#MyntraTrend"/>
    <s v="FashionUpgrade"/>
    <n v="0.58881220486741737"/>
  </r>
  <r>
    <s v="P210"/>
    <s v="Youtube"/>
    <d v="2025-02-19T00:00:00"/>
    <x v="4"/>
    <s v="Explore the latest image on Myntra! Trendy styles await."/>
    <n v="257"/>
    <n v="966"/>
    <n v="398"/>
    <n v="3341"/>
    <n v="2753"/>
    <n v="287"/>
    <s v="#MyntraSale"/>
    <s v="FashionUpgrade"/>
    <n v="0.58881220486741737"/>
  </r>
  <r>
    <s v="P211"/>
    <s v="Twitter"/>
    <d v="2024-07-18T00:00:00"/>
    <x v="3"/>
    <s v="Explore the latest carousel on Myntra! Trendy styles await."/>
    <n v="2120"/>
    <n v="38"/>
    <n v="212"/>
    <n v="12720"/>
    <n v="12564"/>
    <n v="21"/>
    <s v="#MyntraTrend"/>
    <s v="FashionUpgrade"/>
    <n v="0.18863419293218719"/>
  </r>
  <r>
    <s v="P211"/>
    <s v="Twitter"/>
    <d v="2024-07-18T00:00:00"/>
    <x v="3"/>
    <s v="Explore the latest carousel on Myntra! Trendy styles await."/>
    <n v="2120"/>
    <n v="38"/>
    <n v="212"/>
    <n v="12720"/>
    <n v="12564"/>
    <n v="21"/>
    <s v="#MyntraSale"/>
    <s v="FashionUpgrade"/>
    <n v="0.18863419293218719"/>
  </r>
  <r>
    <s v="P212"/>
    <s v="Youtube"/>
    <d v="2025-03-03T00:00:00"/>
    <x v="5"/>
    <s v="Explore the latest video on Myntra! Trendy styles await."/>
    <n v="3874"/>
    <n v="884"/>
    <n v="19"/>
    <n v="38740"/>
    <n v="38552"/>
    <n v="219"/>
    <s v="#StyleWithMyntra"/>
    <s v="StyleRevolution"/>
    <n v="0.12391056235733555"/>
  </r>
  <r>
    <s v="P213"/>
    <s v="Facebook"/>
    <d v="2025-05-01T00:00:00"/>
    <x v="3"/>
    <s v="Explore the latest carousel on Myntra! Trendy styles await."/>
    <n v="2696"/>
    <n v="628"/>
    <n v="443"/>
    <n v="45832"/>
    <n v="45632"/>
    <n v="248"/>
    <s v="#MyntraSale"/>
    <s v="MyntraFestiveEdit"/>
    <n v="8.2551718092566617E-2"/>
  </r>
  <r>
    <s v="P214"/>
    <s v="Instagram"/>
    <d v="2024-12-23T00:00:00"/>
    <x v="4"/>
    <s v="Explore the latest image on Myntra! Trendy styles await."/>
    <n v="521"/>
    <n v="746"/>
    <n v="315"/>
    <n v="4168"/>
    <n v="3399"/>
    <n v="282"/>
    <s v="#MyntraSale"/>
    <s v="FashionUpgrade"/>
    <n v="0.46543100912032953"/>
  </r>
  <r>
    <s v="P215"/>
    <s v="Facebook"/>
    <d v="2025-05-06T00:00:00"/>
    <x v="4"/>
    <s v="Explore the latest image on Myntra! Trendy styles await."/>
    <n v="4872"/>
    <n v="925"/>
    <n v="176"/>
    <n v="82824"/>
    <n v="82543"/>
    <n v="89"/>
    <s v="#MyntraSale"/>
    <s v="FashionUpgrade"/>
    <n v="7.2362283900512456E-2"/>
  </r>
  <r>
    <s v="P215"/>
    <s v="Facebook"/>
    <d v="2025-05-06T00:00:00"/>
    <x v="4"/>
    <s v="Explore the latest image on Myntra! Trendy styles await."/>
    <n v="4872"/>
    <n v="925"/>
    <n v="176"/>
    <n v="82824"/>
    <n v="82543"/>
    <n v="89"/>
    <s v="#MyntraTrend"/>
    <s v="FashionUpgrade"/>
    <n v="7.2362283900512456E-2"/>
  </r>
  <r>
    <s v="P216"/>
    <s v="Youtube"/>
    <d v="2024-07-29T00:00:00"/>
    <x v="2"/>
    <s v="Explore the latest story on Myntra! Trendy styles await."/>
    <n v="1509"/>
    <n v="88"/>
    <n v="163"/>
    <n v="30180"/>
    <n v="29689"/>
    <n v="119"/>
    <s v="#MyntraTrend"/>
    <s v="FashionUpgrade"/>
    <n v="5.928121526491293E-2"/>
  </r>
  <r>
    <s v="P217"/>
    <s v="Facebook"/>
    <d v="2024-12-03T00:00:00"/>
    <x v="4"/>
    <s v="Explore the latest image on Myntra! Trendy styles await."/>
    <n v="4606"/>
    <n v="931"/>
    <n v="230"/>
    <n v="92120"/>
    <n v="91440"/>
    <n v="56"/>
    <s v="#FashionDeals"/>
    <s v="MyntraFestiveEdit"/>
    <n v="6.3068678915135609E-2"/>
  </r>
  <r>
    <s v="P217"/>
    <s v="Facebook"/>
    <d v="2024-12-03T00:00:00"/>
    <x v="4"/>
    <s v="Explore the latest image on Myntra! Trendy styles await."/>
    <n v="4606"/>
    <n v="931"/>
    <n v="230"/>
    <n v="92120"/>
    <n v="91440"/>
    <n v="56"/>
    <s v="#MyntraFashion"/>
    <s v="MyntraFestiveEdit"/>
    <n v="6.3068678915135609E-2"/>
  </r>
  <r>
    <s v="P218"/>
    <s v="Facebook"/>
    <d v="2024-06-11T00:00:00"/>
    <x v="3"/>
    <s v="Explore the latest carousel on Myntra! Trendy styles await."/>
    <n v="1869"/>
    <n v="453"/>
    <n v="490"/>
    <n v="14952"/>
    <n v="14309"/>
    <n v="275"/>
    <s v="#FashionDeals"/>
    <s v="FashionUpgrade"/>
    <n v="0.19651967293311901"/>
  </r>
  <r>
    <s v="P218"/>
    <s v="Facebook"/>
    <d v="2024-06-11T00:00:00"/>
    <x v="3"/>
    <s v="Explore the latest carousel on Myntra! Trendy styles await."/>
    <n v="1869"/>
    <n v="453"/>
    <n v="490"/>
    <n v="14952"/>
    <n v="14309"/>
    <n v="275"/>
    <s v="#StyleWithMyntra"/>
    <s v="FashionUpgrade"/>
    <n v="0.19651967293311901"/>
  </r>
  <r>
    <s v="P219"/>
    <s v="Twitter"/>
    <d v="2025-01-28T00:00:00"/>
    <x v="0"/>
    <s v="Explore the latest reel on Myntra! Trendy styles await."/>
    <n v="1188"/>
    <n v="470"/>
    <n v="174"/>
    <n v="7128"/>
    <n v="6145"/>
    <n v="270"/>
    <s v="#StyleWithMyntra"/>
    <s v="EndOfSeasonSale"/>
    <n v="0.29812855980471931"/>
  </r>
  <r>
    <s v="P219"/>
    <s v="Twitter"/>
    <d v="2025-01-28T00:00:00"/>
    <x v="0"/>
    <s v="Explore the latest reel on Myntra! Trendy styles await."/>
    <n v="1188"/>
    <n v="470"/>
    <n v="174"/>
    <n v="7128"/>
    <n v="6145"/>
    <n v="270"/>
    <s v="#MyntraFashion"/>
    <s v="EndOfSeasonSale"/>
    <n v="0.29812855980471931"/>
  </r>
  <r>
    <s v="P220"/>
    <s v="Instagram"/>
    <d v="2024-06-02T00:00:00"/>
    <x v="2"/>
    <s v="Explore the latest story on Myntra! Trendy styles await."/>
    <n v="84"/>
    <n v="897"/>
    <n v="85"/>
    <n v="588"/>
    <n v="8"/>
    <n v="12"/>
    <s v="#StyleWithMyntra"/>
    <s v="EndOfSeasonSale"/>
    <n v="133.25"/>
  </r>
  <r>
    <s v="P221"/>
    <s v="Facebook"/>
    <d v="2025-03-23T00:00:00"/>
    <x v="5"/>
    <s v="Explore the latest video on Myntra! Trendy styles await."/>
    <n v="4453"/>
    <n v="111"/>
    <n v="420"/>
    <n v="31171"/>
    <n v="30565"/>
    <n v="23"/>
    <s v="#MyntraTrend"/>
    <s v="StyleRevolution"/>
    <n v="0.1630623261900867"/>
  </r>
  <r>
    <s v="P221"/>
    <s v="Facebook"/>
    <d v="2025-03-23T00:00:00"/>
    <x v="5"/>
    <s v="Explore the latest video on Myntra! Trendy styles await."/>
    <n v="4453"/>
    <n v="111"/>
    <n v="420"/>
    <n v="31171"/>
    <n v="30565"/>
    <n v="23"/>
    <s v="#MyntraFashion"/>
    <s v="StyleRevolution"/>
    <n v="0.1630623261900867"/>
  </r>
  <r>
    <s v="P222"/>
    <s v="Facebook"/>
    <d v="2024-10-08T00:00:00"/>
    <x v="0"/>
    <s v="Explore the latest reel on Myntra! Trendy styles await."/>
    <n v="1814"/>
    <n v="653"/>
    <n v="363"/>
    <n v="25396"/>
    <n v="25286"/>
    <n v="39"/>
    <s v="#StyleWithMyntra"/>
    <s v="FashionUpgrade"/>
    <n v="0.11191963932610931"/>
  </r>
  <r>
    <s v="P223"/>
    <s v="Twitter"/>
    <d v="2024-11-12T00:00:00"/>
    <x v="4"/>
    <s v="Explore the latest image on Myntra! Trendy styles await."/>
    <n v="3338"/>
    <n v="277"/>
    <n v="118"/>
    <n v="60084"/>
    <n v="59842"/>
    <n v="252"/>
    <s v="#StyleWithMyntra"/>
    <s v="FashionUpgrade"/>
    <n v="6.2380936466027208E-2"/>
  </r>
  <r>
    <s v="P224"/>
    <s v="Facebook"/>
    <d v="2025-05-13T00:00:00"/>
    <x v="4"/>
    <s v="Explore the latest image on Myntra! Trendy styles await."/>
    <n v="602"/>
    <n v="594"/>
    <n v="156"/>
    <n v="4214"/>
    <n v="3363"/>
    <n v="164"/>
    <s v="#MyntraSale"/>
    <s v="MyntraFestiveEdit"/>
    <n v="0.40202200416294975"/>
  </r>
  <r>
    <s v="P225"/>
    <s v="Twitter"/>
    <d v="2024-06-20T00:00:00"/>
    <x v="3"/>
    <s v="Explore the latest carousel on Myntra! Trendy styles await."/>
    <n v="4672"/>
    <n v="325"/>
    <n v="32"/>
    <n v="88768"/>
    <n v="87833"/>
    <n v="118"/>
    <s v="#FashionDeals"/>
    <s v="MyntraFestiveEdit"/>
    <n v="5.7256384274703129E-2"/>
  </r>
  <r>
    <s v="P225"/>
    <s v="Twitter"/>
    <d v="2024-06-20T00:00:00"/>
    <x v="3"/>
    <s v="Explore the latest carousel on Myntra! Trendy styles await."/>
    <n v="4672"/>
    <n v="325"/>
    <n v="32"/>
    <n v="88768"/>
    <n v="87833"/>
    <n v="118"/>
    <s v="#MyntraSale"/>
    <s v="MyntraFestiveEdit"/>
    <n v="5.7256384274703129E-2"/>
  </r>
  <r>
    <s v="P226"/>
    <s v="Instagram"/>
    <d v="2024-08-07T00:00:00"/>
    <x v="3"/>
    <s v="Explore the latest carousel on Myntra! Trendy styles await."/>
    <n v="1741"/>
    <n v="164"/>
    <n v="318"/>
    <n v="8705"/>
    <n v="8272"/>
    <n v="121"/>
    <s v="#MyntraSale"/>
    <s v="EndOfSeasonSale"/>
    <n v="0.26873791102514505"/>
  </r>
  <r>
    <s v="P227"/>
    <s v="Instagram"/>
    <d v="2024-06-12T00:00:00"/>
    <x v="1"/>
    <s v="Explore the latest text on Myntra! Trendy styles await."/>
    <n v="246"/>
    <n v="149"/>
    <n v="130"/>
    <n v="4674"/>
    <n v="4390"/>
    <n v="217"/>
    <s v="#MyntraTrend"/>
    <s v="EndOfSeasonSale"/>
    <n v="0.11958997722095673"/>
  </r>
  <r>
    <s v="P227"/>
    <s v="Instagram"/>
    <d v="2024-06-12T00:00:00"/>
    <x v="1"/>
    <s v="Explore the latest text on Myntra! Trendy styles await."/>
    <n v="246"/>
    <n v="149"/>
    <n v="130"/>
    <n v="4674"/>
    <n v="4390"/>
    <n v="217"/>
    <s v="#FashionDeals"/>
    <s v="EndOfSeasonSale"/>
    <n v="0.11958997722095673"/>
  </r>
  <r>
    <s v="P228"/>
    <s v="Instagram"/>
    <d v="2024-07-01T00:00:00"/>
    <x v="2"/>
    <s v="Explore the latest story on Myntra! Trendy styles await."/>
    <n v="4808"/>
    <n v="772"/>
    <n v="320"/>
    <n v="72120"/>
    <n v="71696"/>
    <n v="195"/>
    <s v="#MyntraTrend"/>
    <s v="StyleRevolution"/>
    <n v="8.2291899129658563E-2"/>
  </r>
  <r>
    <s v="P228"/>
    <s v="Instagram"/>
    <d v="2024-07-01T00:00:00"/>
    <x v="2"/>
    <s v="Explore the latest story on Myntra! Trendy styles await."/>
    <n v="4808"/>
    <n v="772"/>
    <n v="320"/>
    <n v="72120"/>
    <n v="71696"/>
    <n v="195"/>
    <s v="#MyntraSale"/>
    <s v="StyleRevolution"/>
    <n v="8.2291899129658563E-2"/>
  </r>
  <r>
    <s v="P229"/>
    <s v="Instagram"/>
    <d v="2024-07-03T00:00:00"/>
    <x v="3"/>
    <s v="Explore the latest carousel on Myntra! Trendy styles await."/>
    <n v="4799"/>
    <n v="694"/>
    <n v="289"/>
    <n v="43191"/>
    <n v="42228"/>
    <n v="118"/>
    <s v="#MyntraTrend"/>
    <s v="EndOfSeasonSale"/>
    <n v="0.13692336838116889"/>
  </r>
  <r>
    <s v="P230"/>
    <s v="Facebook"/>
    <d v="2024-07-15T00:00:00"/>
    <x v="0"/>
    <s v="Explore the latest reel on Myntra! Trendy styles await."/>
    <n v="3663"/>
    <n v="17"/>
    <n v="295"/>
    <n v="51282"/>
    <n v="50567"/>
    <n v="84"/>
    <s v="#MyntraSale"/>
    <s v="FashionUpgrade"/>
    <n v="7.8608578717345307E-2"/>
  </r>
  <r>
    <s v="P231"/>
    <s v="Instagram"/>
    <d v="2025-05-01T00:00:00"/>
    <x v="1"/>
    <s v="Explore the latest text on Myntra! Trendy styles await."/>
    <n v="1430"/>
    <n v="376"/>
    <n v="33"/>
    <n v="21450"/>
    <n v="20509"/>
    <n v="251"/>
    <s v="#FashionDeals"/>
    <s v="MyntraFestiveEdit"/>
    <n v="8.9667950655809639E-2"/>
  </r>
  <r>
    <s v="P232"/>
    <s v="Twitter"/>
    <d v="2025-04-29T00:00:00"/>
    <x v="2"/>
    <s v="Explore the latest story on Myntra! Trendy styles await."/>
    <n v="249"/>
    <n v="592"/>
    <n v="230"/>
    <n v="1494"/>
    <n v="1044"/>
    <n v="201"/>
    <s v="#MyntraFashion"/>
    <s v="StyleRevolution"/>
    <n v="1.0258620689655173"/>
  </r>
  <r>
    <s v="P232"/>
    <s v="Twitter"/>
    <d v="2025-04-29T00:00:00"/>
    <x v="2"/>
    <s v="Explore the latest story on Myntra! Trendy styles await."/>
    <n v="249"/>
    <n v="592"/>
    <n v="230"/>
    <n v="1494"/>
    <n v="1044"/>
    <n v="201"/>
    <s v="#MyntraTrend"/>
    <s v="StyleRevolution"/>
    <n v="1.0258620689655173"/>
  </r>
  <r>
    <s v="P233"/>
    <s v="Facebook"/>
    <d v="2025-03-08T00:00:00"/>
    <x v="4"/>
    <s v="Explore the latest image on Myntra! Trendy styles await."/>
    <n v="2382"/>
    <n v="265"/>
    <n v="134"/>
    <n v="38112"/>
    <n v="37437"/>
    <n v="249"/>
    <s v="#FashionDeals"/>
    <s v="EndOfSeasonSale"/>
    <n v="7.4284798461415183E-2"/>
  </r>
  <r>
    <s v="P233"/>
    <s v="Facebook"/>
    <d v="2025-03-08T00:00:00"/>
    <x v="4"/>
    <s v="Explore the latest image on Myntra! Trendy styles await."/>
    <n v="2382"/>
    <n v="265"/>
    <n v="134"/>
    <n v="38112"/>
    <n v="37437"/>
    <n v="249"/>
    <s v="#MyntraTrend"/>
    <s v="EndOfSeasonSale"/>
    <n v="7.4284798461415183E-2"/>
  </r>
  <r>
    <s v="P234"/>
    <s v="Facebook"/>
    <d v="2024-06-01T00:00:00"/>
    <x v="1"/>
    <s v="Explore the latest text on Myntra! Trendy styles await."/>
    <n v="1272"/>
    <n v="465"/>
    <n v="99"/>
    <n v="24168"/>
    <n v="23719"/>
    <n v="42"/>
    <s v="#MyntraFashion"/>
    <s v="EndOfSeasonSale"/>
    <n v="7.7406298747839289E-2"/>
  </r>
  <r>
    <s v="P234"/>
    <s v="Facebook"/>
    <d v="2024-06-01T00:00:00"/>
    <x v="1"/>
    <s v="Explore the latest text on Myntra! Trendy styles await."/>
    <n v="1272"/>
    <n v="465"/>
    <n v="99"/>
    <n v="24168"/>
    <n v="23719"/>
    <n v="42"/>
    <s v="#FashionDeals"/>
    <s v="EndOfSeasonSale"/>
    <n v="7.7406298747839289E-2"/>
  </r>
  <r>
    <s v="P235"/>
    <s v="Facebook"/>
    <d v="2024-12-22T00:00:00"/>
    <x v="4"/>
    <s v="Explore the latest image on Myntra! Trendy styles await."/>
    <n v="3196"/>
    <n v="941"/>
    <n v="376"/>
    <n v="35156"/>
    <n v="34444"/>
    <n v="241"/>
    <s v="#StyleWithMyntra"/>
    <s v="StyleRevolution"/>
    <n v="0.13102427128091976"/>
  </r>
  <r>
    <s v="P235"/>
    <s v="Facebook"/>
    <d v="2024-12-22T00:00:00"/>
    <x v="4"/>
    <s v="Explore the latest image on Myntra! Trendy styles await."/>
    <n v="3196"/>
    <n v="941"/>
    <n v="376"/>
    <n v="35156"/>
    <n v="34444"/>
    <n v="241"/>
    <s v="#MyntraTrend"/>
    <s v="StyleRevolution"/>
    <n v="0.13102427128091976"/>
  </r>
  <r>
    <s v="P236"/>
    <s v="Facebook"/>
    <d v="2024-08-19T00:00:00"/>
    <x v="1"/>
    <s v="Explore the latest text on Myntra! Trendy styles await."/>
    <n v="1257"/>
    <n v="19"/>
    <n v="351"/>
    <n v="12570"/>
    <n v="11660"/>
    <n v="194"/>
    <s v="#StyleWithMyntra"/>
    <s v="FashionUpgrade"/>
    <n v="0.13953687821612351"/>
  </r>
  <r>
    <s v="P237"/>
    <s v="Instagram"/>
    <d v="2024-10-22T00:00:00"/>
    <x v="2"/>
    <s v="Explore the latest story on Myntra! Trendy styles await."/>
    <n v="3770"/>
    <n v="917"/>
    <n v="129"/>
    <n v="71630"/>
    <n v="71322"/>
    <n v="76"/>
    <s v="#MyntraSale"/>
    <s v="StyleRevolution"/>
    <n v="6.752474692240823E-2"/>
  </r>
  <r>
    <s v="P237"/>
    <s v="Instagram"/>
    <d v="2024-10-22T00:00:00"/>
    <x v="2"/>
    <s v="Explore the latest story on Myntra! Trendy styles await."/>
    <n v="3770"/>
    <n v="917"/>
    <n v="129"/>
    <n v="71630"/>
    <n v="71322"/>
    <n v="76"/>
    <s v="#MyntraTrend"/>
    <s v="StyleRevolution"/>
    <n v="6.752474692240823E-2"/>
  </r>
  <r>
    <s v="P238"/>
    <s v="Twitter"/>
    <d v="2024-07-16T00:00:00"/>
    <x v="1"/>
    <s v="Explore the latest text on Myntra! Trendy styles await."/>
    <n v="4725"/>
    <n v="400"/>
    <n v="362"/>
    <n v="75600"/>
    <n v="74927"/>
    <n v="43"/>
    <s v="#MyntraTrend"/>
    <s v="FashionUpgrade"/>
    <n v="7.323127844435251E-2"/>
  </r>
  <r>
    <s v="P238"/>
    <s v="Twitter"/>
    <d v="2024-07-16T00:00:00"/>
    <x v="1"/>
    <s v="Explore the latest text on Myntra! Trendy styles await."/>
    <n v="4725"/>
    <n v="400"/>
    <n v="362"/>
    <n v="75600"/>
    <n v="74927"/>
    <n v="43"/>
    <s v="#MyntraFashion"/>
    <s v="FashionUpgrade"/>
    <n v="7.323127844435251E-2"/>
  </r>
  <r>
    <s v="P239"/>
    <s v="Youtube"/>
    <d v="2025-02-24T00:00:00"/>
    <x v="1"/>
    <s v="Explore the latest text on Myntra! Trendy styles await."/>
    <n v="4188"/>
    <n v="942"/>
    <n v="118"/>
    <n v="20940"/>
    <n v="20471"/>
    <n v="102"/>
    <s v="#StyleWithMyntra"/>
    <s v="EndOfSeasonSale"/>
    <n v="0.25636265937179425"/>
  </r>
  <r>
    <s v="P240"/>
    <s v="Twitter"/>
    <d v="2024-08-26T00:00:00"/>
    <x v="3"/>
    <s v="Explore the latest carousel on Myntra! Trendy styles await."/>
    <n v="929"/>
    <n v="192"/>
    <n v="322"/>
    <n v="16722"/>
    <n v="15996"/>
    <n v="145"/>
    <s v="#MyntraFashion"/>
    <s v="MyntraFestiveEdit"/>
    <n v="9.0210052513128289E-2"/>
  </r>
  <r>
    <s v="P241"/>
    <s v="Facebook"/>
    <d v="2025-01-18T00:00:00"/>
    <x v="2"/>
    <s v="Explore the latest story on Myntra! Trendy styles await."/>
    <n v="4321"/>
    <n v="874"/>
    <n v="172"/>
    <n v="30247"/>
    <n v="29254"/>
    <n v="122"/>
    <s v="#MyntraSale"/>
    <s v="MyntraFestiveEdit"/>
    <n v="0.18346209065426949"/>
  </r>
  <r>
    <s v="P241"/>
    <s v="Facebook"/>
    <d v="2025-01-18T00:00:00"/>
    <x v="2"/>
    <s v="Explore the latest story on Myntra! Trendy styles await."/>
    <n v="4321"/>
    <n v="874"/>
    <n v="172"/>
    <n v="30247"/>
    <n v="29254"/>
    <n v="122"/>
    <s v="#MyntraFashion"/>
    <s v="MyntraFestiveEdit"/>
    <n v="0.18346209065426949"/>
  </r>
  <r>
    <s v="P242"/>
    <s v="Facebook"/>
    <d v="2024-07-07T00:00:00"/>
    <x v="0"/>
    <s v="Explore the latest reel on Myntra! Trendy styles await."/>
    <n v="4767"/>
    <n v="190"/>
    <n v="340"/>
    <n v="28602"/>
    <n v="28044"/>
    <n v="210"/>
    <s v="#FashionDeals"/>
    <s v="StyleRevolution"/>
    <n v="0.18888175723862502"/>
  </r>
  <r>
    <s v="P243"/>
    <s v="Twitter"/>
    <d v="2025-03-06T00:00:00"/>
    <x v="4"/>
    <s v="Explore the latest image on Myntra! Trendy styles await."/>
    <n v="3592"/>
    <n v="911"/>
    <n v="375"/>
    <n v="50288"/>
    <n v="49490"/>
    <n v="32"/>
    <s v="#StyleWithMyntra"/>
    <s v="EndOfSeasonSale"/>
    <n v="9.8565366740755708E-2"/>
  </r>
  <r>
    <s v="P244"/>
    <s v="Youtube"/>
    <d v="2024-10-25T00:00:00"/>
    <x v="5"/>
    <s v="Explore the latest video on Myntra! Trendy styles await."/>
    <n v="4661"/>
    <n v="935"/>
    <n v="433"/>
    <n v="23305"/>
    <n v="22583"/>
    <n v="63"/>
    <s v="#StyleWithMyntra"/>
    <s v="FashionUpgrade"/>
    <n v="0.26697073019527962"/>
  </r>
  <r>
    <s v="P244"/>
    <s v="Youtube"/>
    <d v="2024-10-25T00:00:00"/>
    <x v="5"/>
    <s v="Explore the latest video on Myntra! Trendy styles await."/>
    <n v="4661"/>
    <n v="935"/>
    <n v="433"/>
    <n v="23305"/>
    <n v="22583"/>
    <n v="63"/>
    <s v="#FashionDeals"/>
    <s v="FashionUpgrade"/>
    <n v="0.26697073019527962"/>
  </r>
  <r>
    <s v="P245"/>
    <s v="Facebook"/>
    <d v="2025-01-12T00:00:00"/>
    <x v="0"/>
    <s v="Explore the latest reel on Myntra! Trendy styles await."/>
    <n v="4134"/>
    <n v="824"/>
    <n v="99"/>
    <n v="41340"/>
    <n v="41050"/>
    <n v="177"/>
    <s v="#MyntraFashion"/>
    <s v="EndOfSeasonSale"/>
    <n v="0.12319123020706456"/>
  </r>
  <r>
    <s v="P246"/>
    <s v="Facebook"/>
    <d v="2024-10-11T00:00:00"/>
    <x v="4"/>
    <s v="Explore the latest image on Myntra! Trendy styles await."/>
    <n v="400"/>
    <n v="680"/>
    <n v="434"/>
    <n v="6400"/>
    <n v="5472"/>
    <n v="160"/>
    <s v="#MyntraSale"/>
    <s v="EndOfSeasonSale"/>
    <n v="0.27668128654970758"/>
  </r>
  <r>
    <s v="P246"/>
    <s v="Facebook"/>
    <d v="2024-10-11T00:00:00"/>
    <x v="4"/>
    <s v="Explore the latest image on Myntra! Trendy styles await."/>
    <n v="400"/>
    <n v="680"/>
    <n v="434"/>
    <n v="6400"/>
    <n v="5472"/>
    <n v="160"/>
    <s v="#MyntraTrend"/>
    <s v="EndOfSeasonSale"/>
    <n v="0.27668128654970758"/>
  </r>
  <r>
    <s v="P247"/>
    <s v="Facebook"/>
    <d v="2024-08-27T00:00:00"/>
    <x v="0"/>
    <s v="Explore the latest reel on Myntra! Trendy styles await."/>
    <n v="3960"/>
    <n v="266"/>
    <n v="8"/>
    <n v="35640"/>
    <n v="34850"/>
    <n v="208"/>
    <s v="#MyntraTrend"/>
    <s v="StyleRevolution"/>
    <n v="0.12149210903873744"/>
  </r>
  <r>
    <s v="P247"/>
    <s v="Facebook"/>
    <d v="2024-08-27T00:00:00"/>
    <x v="0"/>
    <s v="Explore the latest reel on Myntra! Trendy styles await."/>
    <n v="3960"/>
    <n v="266"/>
    <n v="8"/>
    <n v="35640"/>
    <n v="34850"/>
    <n v="208"/>
    <s v="#MyntraFashion"/>
    <s v="StyleRevolution"/>
    <n v="0.12149210903873744"/>
  </r>
  <r>
    <s v="P248"/>
    <s v="Facebook"/>
    <d v="2025-02-02T00:00:00"/>
    <x v="2"/>
    <s v="Explore the latest story on Myntra! Trendy styles await."/>
    <n v="886"/>
    <n v="126"/>
    <n v="153"/>
    <n v="4430"/>
    <n v="4037"/>
    <n v="212"/>
    <s v="#MyntraSale"/>
    <s v="MyntraFestiveEdit"/>
    <n v="0.2885806291800842"/>
  </r>
  <r>
    <s v="P249"/>
    <s v="Twitter"/>
    <d v="2024-07-18T00:00:00"/>
    <x v="4"/>
    <s v="Explore the latest image on Myntra! Trendy styles await."/>
    <n v="827"/>
    <n v="77"/>
    <n v="402"/>
    <n v="14886"/>
    <n v="14129"/>
    <n v="254"/>
    <s v="#StyleWithMyntra"/>
    <s v="EndOfSeasonSale"/>
    <n v="9.2434000990869847E-2"/>
  </r>
  <r>
    <s v="P250"/>
    <s v="Facebook"/>
    <d v="2024-06-22T00:00:00"/>
    <x v="0"/>
    <s v="Explore the latest reel on Myntra! Trendy styles await."/>
    <n v="3813"/>
    <n v="935"/>
    <n v="274"/>
    <n v="68634"/>
    <n v="68488"/>
    <n v="251"/>
    <s v="#FashionDeals"/>
    <s v="FashionUpgrade"/>
    <n v="7.3326714168905502E-2"/>
  </r>
  <r>
    <s v="P250"/>
    <s v="Facebook"/>
    <d v="2024-06-22T00:00:00"/>
    <x v="0"/>
    <s v="Explore the latest reel on Myntra! Trendy styles await."/>
    <n v="3813"/>
    <n v="935"/>
    <n v="274"/>
    <n v="68634"/>
    <n v="68488"/>
    <n v="251"/>
    <s v="#MyntraTrend"/>
    <s v="FashionUpgrade"/>
    <n v="7.3326714168905502E-2"/>
  </r>
  <r>
    <s v="P251"/>
    <s v="Instagram"/>
    <d v="2025-03-27T00:00:00"/>
    <x v="3"/>
    <s v="Explore the latest carousel on Myntra! Trendy styles await."/>
    <n v="1377"/>
    <n v="796"/>
    <n v="387"/>
    <n v="22032"/>
    <n v="21869"/>
    <n v="189"/>
    <s v="#FashionDeals"/>
    <s v="MyntraFestiveEdit"/>
    <n v="0.11706067950066304"/>
  </r>
  <r>
    <s v="P251"/>
    <s v="Instagram"/>
    <d v="2025-03-27T00:00:00"/>
    <x v="3"/>
    <s v="Explore the latest carousel on Myntra! Trendy styles await."/>
    <n v="1377"/>
    <n v="796"/>
    <n v="387"/>
    <n v="22032"/>
    <n v="21869"/>
    <n v="189"/>
    <s v="#MyntraFashion"/>
    <s v="MyntraFestiveEdit"/>
    <n v="0.11706067950066304"/>
  </r>
  <r>
    <s v="P252"/>
    <s v="Facebook"/>
    <d v="2025-04-28T00:00:00"/>
    <x v="3"/>
    <s v="Explore the latest carousel on Myntra! Trendy styles await."/>
    <n v="2089"/>
    <n v="476"/>
    <n v="69"/>
    <n v="16712"/>
    <n v="16309"/>
    <n v="64"/>
    <s v="#StyleWithMyntra"/>
    <s v="FashionUpgrade"/>
    <n v="0.16150591697835551"/>
  </r>
  <r>
    <s v="P252"/>
    <s v="Facebook"/>
    <d v="2025-04-28T00:00:00"/>
    <x v="3"/>
    <s v="Explore the latest carousel on Myntra! Trendy styles await."/>
    <n v="2089"/>
    <n v="476"/>
    <n v="69"/>
    <n v="16712"/>
    <n v="16309"/>
    <n v="64"/>
    <s v="#MyntraSale"/>
    <s v="FashionUpgrade"/>
    <n v="0.16150591697835551"/>
  </r>
  <r>
    <s v="P253"/>
    <s v="Twitter"/>
    <d v="2024-08-03T00:00:00"/>
    <x v="0"/>
    <s v="Explore the latest reel on Myntra! Trendy styles await."/>
    <n v="3791"/>
    <n v="593"/>
    <n v="228"/>
    <n v="53074"/>
    <n v="52613"/>
    <n v="205"/>
    <s v="#StyleWithMyntra"/>
    <s v="FashionUpgrade"/>
    <n v="8.7658943607093309E-2"/>
  </r>
  <r>
    <s v="P253"/>
    <s v="Twitter"/>
    <d v="2024-08-03T00:00:00"/>
    <x v="0"/>
    <s v="Explore the latest reel on Myntra! Trendy styles await."/>
    <n v="3791"/>
    <n v="593"/>
    <n v="228"/>
    <n v="53074"/>
    <n v="52613"/>
    <n v="205"/>
    <s v="#FashionDeals"/>
    <s v="FashionUpgrade"/>
    <n v="8.7658943607093309E-2"/>
  </r>
  <r>
    <s v="P254"/>
    <s v="Twitter"/>
    <d v="2025-01-14T00:00:00"/>
    <x v="4"/>
    <s v="Explore the latest image on Myntra! Trendy styles await."/>
    <n v="2692"/>
    <n v="115"/>
    <n v="64"/>
    <n v="21536"/>
    <n v="21120"/>
    <n v="224"/>
    <s v="#FashionDeals"/>
    <s v="StyleRevolution"/>
    <n v="0.13593749999999999"/>
  </r>
  <r>
    <s v="P254"/>
    <s v="Twitter"/>
    <d v="2025-01-14T00:00:00"/>
    <x v="4"/>
    <s v="Explore the latest image on Myntra! Trendy styles await."/>
    <n v="2692"/>
    <n v="115"/>
    <n v="64"/>
    <n v="21536"/>
    <n v="21120"/>
    <n v="224"/>
    <s v="#MyntraTrend"/>
    <s v="StyleRevolution"/>
    <n v="0.13593749999999999"/>
  </r>
  <r>
    <s v="P255"/>
    <s v="Facebook"/>
    <d v="2025-04-03T00:00:00"/>
    <x v="2"/>
    <s v="Explore the latest story on Myntra! Trendy styles await."/>
    <n v="3767"/>
    <n v="514"/>
    <n v="238"/>
    <n v="37670"/>
    <n v="36807"/>
    <n v="226"/>
    <s v="#StyleWithMyntra"/>
    <s v="FashionUpgrade"/>
    <n v="0.12277555899692993"/>
  </r>
  <r>
    <s v="P255"/>
    <s v="Facebook"/>
    <d v="2025-04-03T00:00:00"/>
    <x v="2"/>
    <s v="Explore the latest story on Myntra! Trendy styles await."/>
    <n v="3767"/>
    <n v="514"/>
    <n v="238"/>
    <n v="37670"/>
    <n v="36807"/>
    <n v="226"/>
    <s v="#FashionDeals"/>
    <s v="FashionUpgrade"/>
    <n v="0.12277555899692993"/>
  </r>
  <r>
    <s v="P256"/>
    <s v="Youtube"/>
    <d v="2024-09-18T00:00:00"/>
    <x v="3"/>
    <s v="Explore the latest carousel on Myntra! Trendy styles await."/>
    <n v="2143"/>
    <n v="12"/>
    <n v="204"/>
    <n v="40717"/>
    <n v="40125"/>
    <n v="248"/>
    <s v="#FashionDeals"/>
    <s v="StyleRevolution"/>
    <n v="5.8791277258566976E-2"/>
  </r>
  <r>
    <s v="P256"/>
    <s v="Youtube"/>
    <d v="2024-09-18T00:00:00"/>
    <x v="3"/>
    <s v="Explore the latest carousel on Myntra! Trendy styles await."/>
    <n v="2143"/>
    <n v="12"/>
    <n v="204"/>
    <n v="40717"/>
    <n v="40125"/>
    <n v="248"/>
    <s v="#MyntraSale"/>
    <s v="StyleRevolution"/>
    <n v="5.8791277258566976E-2"/>
  </r>
  <r>
    <s v="P257"/>
    <s v="Facebook"/>
    <d v="2025-04-06T00:00:00"/>
    <x v="4"/>
    <s v="Explore the latest image on Myntra! Trendy styles await."/>
    <n v="3090"/>
    <n v="697"/>
    <n v="164"/>
    <n v="49440"/>
    <n v="48524"/>
    <n v="25"/>
    <s v="#FashionDeals"/>
    <s v="StyleRevolution"/>
    <n v="8.1423625422471349E-2"/>
  </r>
  <r>
    <s v="P257"/>
    <s v="Facebook"/>
    <d v="2025-04-06T00:00:00"/>
    <x v="4"/>
    <s v="Explore the latest image on Myntra! Trendy styles await."/>
    <n v="3090"/>
    <n v="697"/>
    <n v="164"/>
    <n v="49440"/>
    <n v="48524"/>
    <n v="25"/>
    <s v="#StyleWithMyntra"/>
    <s v="StyleRevolution"/>
    <n v="8.1423625422471349E-2"/>
  </r>
  <r>
    <s v="P258"/>
    <s v="Instagram"/>
    <d v="2024-08-05T00:00:00"/>
    <x v="2"/>
    <s v="Explore the latest story on Myntra! Trendy styles await."/>
    <n v="3601"/>
    <n v="695"/>
    <n v="75"/>
    <n v="21606"/>
    <n v="21454"/>
    <n v="172"/>
    <s v="#StyleWithMyntra"/>
    <s v="EndOfSeasonSale"/>
    <n v="0.20373823063298219"/>
  </r>
  <r>
    <s v="P259"/>
    <s v="Facebook"/>
    <d v="2025-02-10T00:00:00"/>
    <x v="1"/>
    <s v="Explore the latest text on Myntra! Trendy styles await."/>
    <n v="562"/>
    <n v="158"/>
    <n v="149"/>
    <n v="3372"/>
    <n v="2940"/>
    <n v="93"/>
    <s v="#FashionDeals"/>
    <s v="StyleRevolution"/>
    <n v="0.29557823129251698"/>
  </r>
  <r>
    <s v="P259"/>
    <s v="Facebook"/>
    <d v="2025-02-10T00:00:00"/>
    <x v="1"/>
    <s v="Explore the latest text on Myntra! Trendy styles await."/>
    <n v="562"/>
    <n v="158"/>
    <n v="149"/>
    <n v="3372"/>
    <n v="2940"/>
    <n v="93"/>
    <s v="#MyntraSale"/>
    <s v="StyleRevolution"/>
    <n v="0.29557823129251698"/>
  </r>
  <r>
    <s v="P260"/>
    <s v="Instagram"/>
    <d v="2025-02-12T00:00:00"/>
    <x v="2"/>
    <s v="Explore the latest story on Myntra! Trendy styles await."/>
    <n v="4332"/>
    <n v="771"/>
    <n v="219"/>
    <n v="60648"/>
    <n v="60397"/>
    <n v="10"/>
    <s v="#MyntraFashion"/>
    <s v="MyntraFestiveEdit"/>
    <n v="8.8116959451628396E-2"/>
  </r>
  <r>
    <s v="P261"/>
    <s v="Instagram"/>
    <d v="2024-10-27T00:00:00"/>
    <x v="4"/>
    <s v="Explore the latest image on Myntra! Trendy styles await."/>
    <n v="4853"/>
    <n v="837"/>
    <n v="340"/>
    <n v="72795"/>
    <n v="72237"/>
    <n v="170"/>
    <s v="#MyntraSale"/>
    <s v="EndOfSeasonSale"/>
    <n v="8.3475227376552177E-2"/>
  </r>
  <r>
    <s v="P262"/>
    <s v="Youtube"/>
    <d v="2025-01-18T00:00:00"/>
    <x v="4"/>
    <s v="Explore the latest image on Myntra! Trendy styles await."/>
    <n v="1206"/>
    <n v="238"/>
    <n v="36"/>
    <n v="9648"/>
    <n v="9417"/>
    <n v="237"/>
    <s v="#MyntraSale"/>
    <s v="MyntraFestiveEdit"/>
    <n v="0.15716257831581182"/>
  </r>
  <r>
    <s v="P262"/>
    <s v="Youtube"/>
    <d v="2025-01-18T00:00:00"/>
    <x v="4"/>
    <s v="Explore the latest image on Myntra! Trendy styles await."/>
    <n v="1206"/>
    <n v="238"/>
    <n v="36"/>
    <n v="9648"/>
    <n v="9417"/>
    <n v="237"/>
    <s v="#StyleWithMyntra"/>
    <s v="MyntraFestiveEdit"/>
    <n v="0.15716257831581182"/>
  </r>
  <r>
    <s v="P263"/>
    <s v="Instagram"/>
    <d v="2024-08-20T00:00:00"/>
    <x v="0"/>
    <s v="Explore the latest reel on Myntra! Trendy styles await."/>
    <n v="2603"/>
    <n v="690"/>
    <n v="205"/>
    <n v="13015"/>
    <n v="12130"/>
    <n v="20"/>
    <s v="#MyntraTrend"/>
    <s v="FashionUpgrade"/>
    <n v="0.28837592745259688"/>
  </r>
  <r>
    <s v="P264"/>
    <s v="Twitter"/>
    <d v="2025-01-30T00:00:00"/>
    <x v="4"/>
    <s v="Explore the latest image on Myntra! Trendy styles await."/>
    <n v="59"/>
    <n v="163"/>
    <n v="93"/>
    <n v="590"/>
    <n v="475"/>
    <n v="293"/>
    <s v="#MyntraTrend"/>
    <s v="StyleRevolution"/>
    <n v="0.66315789473684206"/>
  </r>
  <r>
    <s v="P265"/>
    <s v="Twitter"/>
    <d v="2025-02-20T00:00:00"/>
    <x v="3"/>
    <s v="Explore the latest carousel on Myntra! Trendy styles await."/>
    <n v="1877"/>
    <n v="745"/>
    <n v="225"/>
    <n v="11262"/>
    <n v="10967"/>
    <n v="41"/>
    <s v="#StyleWithMyntra"/>
    <s v="FashionUpgrade"/>
    <n v="0.25959697273639099"/>
  </r>
  <r>
    <s v="P265"/>
    <s v="Twitter"/>
    <d v="2025-02-20T00:00:00"/>
    <x v="3"/>
    <s v="Explore the latest carousel on Myntra! Trendy styles await."/>
    <n v="1877"/>
    <n v="745"/>
    <n v="225"/>
    <n v="11262"/>
    <n v="10967"/>
    <n v="41"/>
    <s v="#MyntraSale"/>
    <s v="FashionUpgrade"/>
    <n v="0.25959697273639099"/>
  </r>
  <r>
    <s v="P266"/>
    <s v="Facebook"/>
    <d v="2024-11-25T00:00:00"/>
    <x v="2"/>
    <s v="Explore the latest story on Myntra! Trendy styles await."/>
    <n v="4182"/>
    <n v="640"/>
    <n v="240"/>
    <n v="50184"/>
    <n v="49351"/>
    <n v="10"/>
    <s v="#MyntraSale"/>
    <s v="MyntraFestiveEdit"/>
    <n v="0.10257137646653564"/>
  </r>
  <r>
    <s v="P266"/>
    <s v="Facebook"/>
    <d v="2024-11-25T00:00:00"/>
    <x v="2"/>
    <s v="Explore the latest story on Myntra! Trendy styles await."/>
    <n v="4182"/>
    <n v="640"/>
    <n v="240"/>
    <n v="50184"/>
    <n v="49351"/>
    <n v="10"/>
    <s v="#StyleWithMyntra"/>
    <s v="MyntraFestiveEdit"/>
    <n v="0.10257137646653564"/>
  </r>
  <r>
    <s v="P267"/>
    <s v="Twitter"/>
    <d v="2024-10-04T00:00:00"/>
    <x v="0"/>
    <s v="Explore the latest reel on Myntra! Trendy styles await."/>
    <n v="4187"/>
    <n v="66"/>
    <n v="31"/>
    <n v="66992"/>
    <n v="66614"/>
    <n v="62"/>
    <s v="#StyleWithMyntra"/>
    <s v="StyleRevolution"/>
    <n v="6.4310805536373736E-2"/>
  </r>
  <r>
    <s v="P268"/>
    <s v="Instagram"/>
    <d v="2025-04-13T00:00:00"/>
    <x v="0"/>
    <s v="Explore the latest reel on Myntra! Trendy styles await."/>
    <n v="4579"/>
    <n v="125"/>
    <n v="300"/>
    <n v="59527"/>
    <n v="59400"/>
    <n v="269"/>
    <s v="#StyleWithMyntra"/>
    <s v="FashionUpgrade"/>
    <n v="8.4242424242424244E-2"/>
  </r>
  <r>
    <s v="P268"/>
    <s v="Instagram"/>
    <d v="2025-04-13T00:00:00"/>
    <x v="0"/>
    <s v="Explore the latest reel on Myntra! Trendy styles await."/>
    <n v="4579"/>
    <n v="125"/>
    <n v="300"/>
    <n v="59527"/>
    <n v="59400"/>
    <n v="269"/>
    <s v="#MyntraFashion"/>
    <s v="FashionUpgrade"/>
    <n v="8.4242424242424244E-2"/>
  </r>
  <r>
    <s v="P269"/>
    <s v="Instagram"/>
    <d v="2024-11-05T00:00:00"/>
    <x v="5"/>
    <s v="Explore the latest video on Myntra! Trendy styles await."/>
    <n v="4561"/>
    <n v="51"/>
    <n v="441"/>
    <n v="22805"/>
    <n v="21890"/>
    <n v="45"/>
    <s v="#StyleWithMyntra"/>
    <s v="EndOfSeasonSale"/>
    <n v="0.23083599817268158"/>
  </r>
  <r>
    <s v="P270"/>
    <s v="Youtube"/>
    <d v="2025-01-15T00:00:00"/>
    <x v="0"/>
    <s v="Explore the latest reel on Myntra! Trendy styles await."/>
    <n v="3774"/>
    <n v="239"/>
    <n v="39"/>
    <n v="60384"/>
    <n v="59490"/>
    <n v="241"/>
    <s v="#FashionDeals"/>
    <s v="MyntraFestiveEdit"/>
    <n v="6.8112287779458727E-2"/>
  </r>
  <r>
    <s v="P271"/>
    <s v="Instagram"/>
    <d v="2024-10-17T00:00:00"/>
    <x v="5"/>
    <s v="Explore the latest video on Myntra! Trendy styles await."/>
    <n v="3575"/>
    <n v="749"/>
    <n v="111"/>
    <n v="21450"/>
    <n v="20785"/>
    <n v="195"/>
    <s v="#FashionDeals"/>
    <s v="MyntraFestiveEdit"/>
    <n v="0.21337503006976186"/>
  </r>
  <r>
    <s v="P272"/>
    <s v="Instagram"/>
    <d v="2025-03-27T00:00:00"/>
    <x v="1"/>
    <s v="Explore the latest text on Myntra! Trendy styles await."/>
    <n v="4941"/>
    <n v="414"/>
    <n v="266"/>
    <n v="39528"/>
    <n v="39154"/>
    <n v="217"/>
    <s v="#MyntraSale"/>
    <s v="EndOfSeasonSale"/>
    <n v="0.14356132195944221"/>
  </r>
  <r>
    <s v="P273"/>
    <s v="Youtube"/>
    <d v="2024-10-12T00:00:00"/>
    <x v="2"/>
    <s v="Explore the latest story on Myntra! Trendy styles await."/>
    <n v="3641"/>
    <n v="226"/>
    <n v="46"/>
    <n v="40051"/>
    <n v="39319"/>
    <n v="296"/>
    <s v="#MyntraTrend"/>
    <s v="EndOfSeasonSale"/>
    <n v="9.9519316361046828E-2"/>
  </r>
  <r>
    <s v="P274"/>
    <s v="Twitter"/>
    <d v="2025-01-01T00:00:00"/>
    <x v="3"/>
    <s v="Explore the latest carousel on Myntra! Trendy styles await."/>
    <n v="3535"/>
    <n v="494"/>
    <n v="152"/>
    <n v="53025"/>
    <n v="52791"/>
    <n v="44"/>
    <s v="#MyntraTrend"/>
    <s v="EndOfSeasonSale"/>
    <n v="7.9199105908204046E-2"/>
  </r>
  <r>
    <s v="P274"/>
    <s v="Twitter"/>
    <d v="2025-01-01T00:00:00"/>
    <x v="3"/>
    <s v="Explore the latest carousel on Myntra! Trendy styles await."/>
    <n v="3535"/>
    <n v="494"/>
    <n v="152"/>
    <n v="53025"/>
    <n v="52791"/>
    <n v="44"/>
    <s v="#StyleWithMyntra"/>
    <s v="EndOfSeasonSale"/>
    <n v="7.9199105908204046E-2"/>
  </r>
  <r>
    <s v="P275"/>
    <s v="Facebook"/>
    <d v="2024-08-05T00:00:00"/>
    <x v="0"/>
    <s v="Explore the latest reel on Myntra! Trendy styles await."/>
    <n v="1741"/>
    <n v="831"/>
    <n v="345"/>
    <n v="17410"/>
    <n v="16844"/>
    <n v="58"/>
    <s v="#MyntraFashion"/>
    <s v="StyleRevolution"/>
    <n v="0.17317739254333889"/>
  </r>
  <r>
    <s v="P275"/>
    <s v="Facebook"/>
    <d v="2024-08-05T00:00:00"/>
    <x v="0"/>
    <s v="Explore the latest reel on Myntra! Trendy styles await."/>
    <n v="1741"/>
    <n v="831"/>
    <n v="345"/>
    <n v="17410"/>
    <n v="16844"/>
    <n v="58"/>
    <s v="#FashionDeals"/>
    <s v="StyleRevolution"/>
    <n v="0.17317739254333889"/>
  </r>
  <r>
    <s v="P276"/>
    <s v="Twitter"/>
    <d v="2024-06-07T00:00:00"/>
    <x v="3"/>
    <s v="Explore the latest carousel on Myntra! Trendy styles await."/>
    <n v="1556"/>
    <n v="195"/>
    <n v="131"/>
    <n v="9336"/>
    <n v="8875"/>
    <n v="137"/>
    <s v="#MyntraFashion"/>
    <s v="EndOfSeasonSale"/>
    <n v="0.21205633802816901"/>
  </r>
  <r>
    <s v="P277"/>
    <s v="Facebook"/>
    <d v="2025-04-06T00:00:00"/>
    <x v="4"/>
    <s v="Explore the latest image on Myntra! Trendy styles await."/>
    <n v="4236"/>
    <n v="711"/>
    <n v="298"/>
    <n v="21180"/>
    <n v="20516"/>
    <n v="238"/>
    <s v="#MyntraTrend"/>
    <s v="StyleRevolution"/>
    <n v="0.25565412361084033"/>
  </r>
  <r>
    <s v="P277"/>
    <s v="Facebook"/>
    <d v="2025-04-06T00:00:00"/>
    <x v="4"/>
    <s v="Explore the latest image on Myntra! Trendy styles await."/>
    <n v="4236"/>
    <n v="711"/>
    <n v="298"/>
    <n v="21180"/>
    <n v="20516"/>
    <n v="238"/>
    <s v="#MyntraSale"/>
    <s v="StyleRevolution"/>
    <n v="0.25565412361084033"/>
  </r>
  <r>
    <s v="P278"/>
    <s v="Twitter"/>
    <d v="2024-11-26T00:00:00"/>
    <x v="1"/>
    <s v="Explore the latest text on Myntra! Trendy styles await."/>
    <n v="4516"/>
    <n v="836"/>
    <n v="169"/>
    <n v="49676"/>
    <n v="49257"/>
    <n v="282"/>
    <s v="#MyntraTrend"/>
    <s v="FashionUpgrade"/>
    <n v="0.11208559189556815"/>
  </r>
  <r>
    <s v="P279"/>
    <s v="Youtube"/>
    <d v="2024-09-02T00:00:00"/>
    <x v="4"/>
    <s v="Explore the latest image on Myntra! Trendy styles await."/>
    <n v="4905"/>
    <n v="845"/>
    <n v="129"/>
    <n v="98100"/>
    <n v="97772"/>
    <n v="279"/>
    <s v="#MyntraTrend"/>
    <s v="StyleRevolution"/>
    <n v="6.0129689481651191E-2"/>
  </r>
  <r>
    <s v="P280"/>
    <s v="Youtube"/>
    <d v="2024-10-21T00:00:00"/>
    <x v="5"/>
    <s v="Explore the latest video on Myntra! Trendy styles await."/>
    <n v="4275"/>
    <n v="680"/>
    <n v="385"/>
    <n v="64125"/>
    <n v="63650"/>
    <n v="104"/>
    <s v="#StyleWithMyntra"/>
    <s v="StyleRevolution"/>
    <n v="8.3896307934014133E-2"/>
  </r>
  <r>
    <s v="P281"/>
    <s v="Youtube"/>
    <d v="2025-03-22T00:00:00"/>
    <x v="4"/>
    <s v="Explore the latest image on Myntra! Trendy styles await."/>
    <n v="3166"/>
    <n v="90"/>
    <n v="341"/>
    <n v="56988"/>
    <n v="56125"/>
    <n v="135"/>
    <s v="#MyntraFashion"/>
    <s v="EndOfSeasonSale"/>
    <n v="6.4089086859688199E-2"/>
  </r>
  <r>
    <s v="P281"/>
    <s v="Youtube"/>
    <d v="2025-03-22T00:00:00"/>
    <x v="4"/>
    <s v="Explore the latest image on Myntra! Trendy styles await."/>
    <n v="3166"/>
    <n v="90"/>
    <n v="341"/>
    <n v="56988"/>
    <n v="56125"/>
    <n v="135"/>
    <s v="#StyleWithMyntra"/>
    <s v="EndOfSeasonSale"/>
    <n v="6.4089086859688199E-2"/>
  </r>
  <r>
    <s v="P282"/>
    <s v="Instagram"/>
    <d v="2024-10-03T00:00:00"/>
    <x v="5"/>
    <s v="Explore the latest video on Myntra! Trendy styles await."/>
    <n v="1488"/>
    <n v="417"/>
    <n v="168"/>
    <n v="19344"/>
    <n v="18395"/>
    <n v="30"/>
    <s v="#MyntraSale"/>
    <s v="FashionUpgrade"/>
    <n v="0.11269366675727099"/>
  </r>
  <r>
    <s v="P283"/>
    <s v="Twitter"/>
    <d v="2025-05-09T00:00:00"/>
    <x v="0"/>
    <s v="Explore the latest reel on Myntra! Trendy styles await."/>
    <n v="3367"/>
    <n v="302"/>
    <n v="57"/>
    <n v="63973"/>
    <n v="63789"/>
    <n v="157"/>
    <s v="#MyntraTrend"/>
    <s v="MyntraFestiveEdit"/>
    <n v="5.841132483657057E-2"/>
  </r>
  <r>
    <s v="P283"/>
    <s v="Twitter"/>
    <d v="2025-05-09T00:00:00"/>
    <x v="0"/>
    <s v="Explore the latest reel on Myntra! Trendy styles await."/>
    <n v="3367"/>
    <n v="302"/>
    <n v="57"/>
    <n v="63973"/>
    <n v="63789"/>
    <n v="157"/>
    <s v="#MyntraFashion"/>
    <s v="MyntraFestiveEdit"/>
    <n v="5.841132483657057E-2"/>
  </r>
  <r>
    <s v="P284"/>
    <s v="Twitter"/>
    <d v="2024-09-17T00:00:00"/>
    <x v="1"/>
    <s v="Explore the latest text on Myntra! Trendy styles await."/>
    <n v="571"/>
    <n v="190"/>
    <n v="352"/>
    <n v="9707"/>
    <n v="9418"/>
    <n v="231"/>
    <s v="#FashionDeals"/>
    <s v="EndOfSeasonSale"/>
    <n v="0.11817795710341898"/>
  </r>
  <r>
    <s v="P285"/>
    <s v="Youtube"/>
    <d v="2024-07-18T00:00:00"/>
    <x v="1"/>
    <s v="Explore the latest text on Myntra! Trendy styles await."/>
    <n v="4021"/>
    <n v="794"/>
    <n v="77"/>
    <n v="36189"/>
    <n v="35505"/>
    <n v="174"/>
    <s v="#FashionDeals"/>
    <s v="FashionUpgrade"/>
    <n v="0.13778341078721307"/>
  </r>
  <r>
    <s v="P285"/>
    <s v="Youtube"/>
    <d v="2024-07-18T00:00:00"/>
    <x v="1"/>
    <s v="Explore the latest text on Myntra! Trendy styles await."/>
    <n v="4021"/>
    <n v="794"/>
    <n v="77"/>
    <n v="36189"/>
    <n v="35505"/>
    <n v="174"/>
    <s v="#StyleWithMyntra"/>
    <s v="FashionUpgrade"/>
    <n v="0.13778341078721307"/>
  </r>
  <r>
    <s v="P286"/>
    <s v="Youtube"/>
    <d v="2024-09-25T00:00:00"/>
    <x v="5"/>
    <s v="Explore the latest video on Myntra! Trendy styles await."/>
    <n v="3389"/>
    <n v="344"/>
    <n v="229"/>
    <n v="20334"/>
    <n v="19443"/>
    <n v="228"/>
    <s v="#MyntraFashion"/>
    <s v="EndOfSeasonSale"/>
    <n v="0.20377513758164892"/>
  </r>
  <r>
    <s v="P286"/>
    <s v="Youtube"/>
    <d v="2024-09-25T00:00:00"/>
    <x v="5"/>
    <s v="Explore the latest video on Myntra! Trendy styles await."/>
    <n v="3389"/>
    <n v="344"/>
    <n v="229"/>
    <n v="20334"/>
    <n v="19443"/>
    <n v="228"/>
    <s v="#MyntraSale"/>
    <s v="EndOfSeasonSale"/>
    <n v="0.20377513758164892"/>
  </r>
  <r>
    <s v="P287"/>
    <s v="Instagram"/>
    <d v="2024-08-15T00:00:00"/>
    <x v="0"/>
    <s v="Explore the latest reel on Myntra! Trendy styles await."/>
    <n v="1164"/>
    <n v="616"/>
    <n v="324"/>
    <n v="6984"/>
    <n v="6636"/>
    <n v="82"/>
    <s v="#MyntraFashion"/>
    <s v="MyntraFestiveEdit"/>
    <n v="0.31705846895720313"/>
  </r>
  <r>
    <s v="P287"/>
    <s v="Instagram"/>
    <d v="2024-08-15T00:00:00"/>
    <x v="0"/>
    <s v="Explore the latest reel on Myntra! Trendy styles await."/>
    <n v="1164"/>
    <n v="616"/>
    <n v="324"/>
    <n v="6984"/>
    <n v="6636"/>
    <n v="82"/>
    <s v="#MyntraTrend"/>
    <s v="MyntraFestiveEdit"/>
    <n v="0.31705846895720313"/>
  </r>
  <r>
    <s v="P288"/>
    <s v="Youtube"/>
    <d v="2025-04-17T00:00:00"/>
    <x v="3"/>
    <s v="Explore the latest carousel on Myntra! Trendy styles await."/>
    <n v="4780"/>
    <n v="691"/>
    <n v="380"/>
    <n v="86040"/>
    <n v="85743"/>
    <n v="262"/>
    <s v="#MyntraFashion"/>
    <s v="MyntraFestiveEdit"/>
    <n v="6.8238806666433408E-2"/>
  </r>
  <r>
    <s v="P288"/>
    <s v="Youtube"/>
    <d v="2025-04-17T00:00:00"/>
    <x v="3"/>
    <s v="Explore the latest carousel on Myntra! Trendy styles await."/>
    <n v="4780"/>
    <n v="691"/>
    <n v="380"/>
    <n v="86040"/>
    <n v="85743"/>
    <n v="262"/>
    <s v="#FashionDeals"/>
    <s v="MyntraFestiveEdit"/>
    <n v="6.8238806666433408E-2"/>
  </r>
  <r>
    <s v="P289"/>
    <s v="Facebook"/>
    <d v="2024-11-28T00:00:00"/>
    <x v="3"/>
    <s v="Explore the latest carousel on Myntra! Trendy styles await."/>
    <n v="2751"/>
    <n v="33"/>
    <n v="430"/>
    <n v="44016"/>
    <n v="43415"/>
    <n v="129"/>
    <s v="#MyntraTrend"/>
    <s v="EndOfSeasonSale"/>
    <n v="7.4029713232753661E-2"/>
  </r>
  <r>
    <s v="P289"/>
    <s v="Facebook"/>
    <d v="2024-11-28T00:00:00"/>
    <x v="3"/>
    <s v="Explore the latest carousel on Myntra! Trendy styles await."/>
    <n v="2751"/>
    <n v="33"/>
    <n v="430"/>
    <n v="44016"/>
    <n v="43415"/>
    <n v="129"/>
    <s v="#StyleWithMyntra"/>
    <s v="EndOfSeasonSale"/>
    <n v="7.4029713232753661E-2"/>
  </r>
  <r>
    <s v="P290"/>
    <s v="Instagram"/>
    <d v="2024-12-20T00:00:00"/>
    <x v="3"/>
    <s v="Explore the latest carousel on Myntra! Trendy styles await."/>
    <n v="2107"/>
    <n v="550"/>
    <n v="349"/>
    <n v="35819"/>
    <n v="35340"/>
    <n v="191"/>
    <s v="#MyntraTrend"/>
    <s v="MyntraFestiveEdit"/>
    <n v="8.5059422750424454E-2"/>
  </r>
  <r>
    <s v="P291"/>
    <s v="Facebook"/>
    <d v="2024-11-06T00:00:00"/>
    <x v="5"/>
    <s v="Explore the latest video on Myntra! Trendy styles await."/>
    <n v="4663"/>
    <n v="145"/>
    <n v="225"/>
    <n v="69945"/>
    <n v="69596"/>
    <n v="35"/>
    <s v="#MyntraFashion"/>
    <s v="EndOfSeasonSale"/>
    <n v="7.2317374561756423E-2"/>
  </r>
  <r>
    <s v="P292"/>
    <s v="Facebook"/>
    <d v="2024-11-17T00:00:00"/>
    <x v="1"/>
    <s v="Explore the latest text on Myntra! Trendy styles await."/>
    <n v="880"/>
    <n v="297"/>
    <n v="345"/>
    <n v="12320"/>
    <n v="11978"/>
    <n v="238"/>
    <s v="#MyntraSale"/>
    <s v="EndOfSeasonSale"/>
    <n v="0.12706628819502422"/>
  </r>
  <r>
    <s v="P293"/>
    <s v="Facebook"/>
    <d v="2025-05-14T00:00:00"/>
    <x v="1"/>
    <s v="Explore the latest text on Myntra! Trendy styles await."/>
    <n v="2634"/>
    <n v="726"/>
    <n v="241"/>
    <n v="28974"/>
    <n v="28102"/>
    <n v="277"/>
    <s v="#StyleWithMyntra"/>
    <s v="MyntraFestiveEdit"/>
    <n v="0.12814034588285531"/>
  </r>
  <r>
    <s v="P294"/>
    <s v="Facebook"/>
    <d v="2024-06-19T00:00:00"/>
    <x v="3"/>
    <s v="Explore the latest carousel on Myntra! Trendy styles await."/>
    <n v="4731"/>
    <n v="173"/>
    <n v="276"/>
    <n v="28386"/>
    <n v="28185"/>
    <n v="89"/>
    <s v="#MyntraTrend"/>
    <s v="StyleRevolution"/>
    <n v="0.18378570161433386"/>
  </r>
  <r>
    <s v="P294"/>
    <s v="Facebook"/>
    <d v="2024-06-19T00:00:00"/>
    <x v="3"/>
    <s v="Explore the latest carousel on Myntra! Trendy styles await."/>
    <n v="4731"/>
    <n v="173"/>
    <n v="276"/>
    <n v="28386"/>
    <n v="28185"/>
    <n v="89"/>
    <s v="#MyntraFashion"/>
    <s v="StyleRevolution"/>
    <n v="0.18378570161433386"/>
  </r>
  <r>
    <s v="P295"/>
    <s v="Twitter"/>
    <d v="2025-05-06T00:00:00"/>
    <x v="4"/>
    <s v="Explore the latest image on Myntra! Trendy styles await."/>
    <n v="1952"/>
    <n v="344"/>
    <n v="287"/>
    <n v="15616"/>
    <n v="15403"/>
    <n v="235"/>
    <s v="#MyntraSale"/>
    <s v="MyntraFestiveEdit"/>
    <n v="0.16769460494708824"/>
  </r>
  <r>
    <s v="P295"/>
    <s v="Twitter"/>
    <d v="2025-05-06T00:00:00"/>
    <x v="4"/>
    <s v="Explore the latest image on Myntra! Trendy styles await."/>
    <n v="1952"/>
    <n v="344"/>
    <n v="287"/>
    <n v="15616"/>
    <n v="15403"/>
    <n v="235"/>
    <s v="#MyntraFashion"/>
    <s v="MyntraFestiveEdit"/>
    <n v="0.16769460494708824"/>
  </r>
  <r>
    <s v="P296"/>
    <s v="Twitter"/>
    <d v="2025-02-11T00:00:00"/>
    <x v="5"/>
    <s v="Explore the latest video on Myntra! Trendy styles await."/>
    <n v="3440"/>
    <n v="13"/>
    <n v="20"/>
    <n v="58480"/>
    <n v="58146"/>
    <n v="210"/>
    <s v="#MyntraFashion"/>
    <s v="FashionUpgrade"/>
    <n v="5.9728958139854849E-2"/>
  </r>
  <r>
    <s v="P296"/>
    <s v="Twitter"/>
    <d v="2025-02-11T00:00:00"/>
    <x v="5"/>
    <s v="Explore the latest video on Myntra! Trendy styles await."/>
    <n v="3440"/>
    <n v="13"/>
    <n v="20"/>
    <n v="58480"/>
    <n v="58146"/>
    <n v="210"/>
    <s v="#FashionDeals"/>
    <s v="FashionUpgrade"/>
    <n v="5.9728958139854849E-2"/>
  </r>
  <r>
    <s v="P297"/>
    <s v="Twitter"/>
    <d v="2024-12-24T00:00:00"/>
    <x v="1"/>
    <s v="Explore the latest text on Myntra! Trendy styles await."/>
    <n v="2166"/>
    <n v="354"/>
    <n v="117"/>
    <n v="10830"/>
    <n v="10245"/>
    <n v="24"/>
    <s v="#StyleWithMyntra"/>
    <s v="FashionUpgrade"/>
    <n v="0.257393850658858"/>
  </r>
  <r>
    <s v="P297"/>
    <s v="Twitter"/>
    <d v="2024-12-24T00:00:00"/>
    <x v="1"/>
    <s v="Explore the latest text on Myntra! Trendy styles await."/>
    <n v="2166"/>
    <n v="354"/>
    <n v="117"/>
    <n v="10830"/>
    <n v="10245"/>
    <n v="24"/>
    <s v="#MyntraTrend"/>
    <s v="FashionUpgrade"/>
    <n v="0.257393850658858"/>
  </r>
  <r>
    <s v="P298"/>
    <s v="Facebook"/>
    <d v="2024-10-24T00:00:00"/>
    <x v="4"/>
    <s v="Explore the latest image on Myntra! Trendy styles await."/>
    <n v="4303"/>
    <n v="451"/>
    <n v="286"/>
    <n v="86060"/>
    <n v="85823"/>
    <n v="14"/>
    <s v="#MyntraSale"/>
    <s v="EndOfSeasonSale"/>
    <n v="5.8725516469943957E-2"/>
  </r>
  <r>
    <s v="P299"/>
    <s v="Facebook"/>
    <d v="2024-08-26T00:00:00"/>
    <x v="4"/>
    <s v="Explore the latest image on Myntra! Trendy styles await."/>
    <n v="2581"/>
    <n v="517"/>
    <n v="117"/>
    <n v="23229"/>
    <n v="22331"/>
    <n v="70"/>
    <s v="#MyntraSale"/>
    <s v="EndOfSeasonSale"/>
    <n v="0.14397026555013209"/>
  </r>
  <r>
    <s v="P299"/>
    <s v="Facebook"/>
    <d v="2024-08-26T00:00:00"/>
    <x v="4"/>
    <s v="Explore the latest image on Myntra! Trendy styles await."/>
    <n v="2581"/>
    <n v="517"/>
    <n v="117"/>
    <n v="23229"/>
    <n v="22331"/>
    <n v="70"/>
    <s v="#StyleWithMyntra"/>
    <s v="EndOfSeasonSale"/>
    <n v="0.14397026555013209"/>
  </r>
  <r>
    <s v="P300"/>
    <s v="Twitter"/>
    <d v="2024-08-31T00:00:00"/>
    <x v="3"/>
    <s v="Explore the latest carousel on Myntra! Trendy styles await."/>
    <n v="4494"/>
    <n v="717"/>
    <n v="45"/>
    <n v="62916"/>
    <n v="62688"/>
    <n v="191"/>
    <s v="#MyntraFashion"/>
    <s v="FashionUpgrade"/>
    <n v="8.3843797856049007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x v="0"/>
    <d v="2024-12-23T00:00:00"/>
    <x v="0"/>
    <s v="Explore the latest reel on Myntra! Trendy styles await."/>
    <n v="1461"/>
    <n v="184"/>
    <n v="344"/>
    <n v="21915"/>
    <n v="21675"/>
    <n v="15"/>
    <s v="#MyntraSale"/>
    <s v="FashionUpgrade"/>
    <n v="9.1764705882352943E-2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s v="#MyntraFashion"/>
    <s v="EndOfSeasonSale"/>
    <n v="7.6666200705155091E-2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s v="#MyntraFashion"/>
    <s v="FashionUpgrade"/>
    <n v="5.6378687364979828E-2"/>
    <n v="5.5531494209584788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s v="#MyntraSale"/>
    <s v="FashionUpgrade"/>
    <n v="5.6378687364979828E-2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s v="#MyntraSale"/>
    <s v="FashionUpgrade"/>
    <n v="0.15588109036273878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s v="#StyleWithMyntra"/>
    <s v="MyntraFestiveEdit"/>
    <n v="6.6024525820002553E-2"/>
    <n v="6.5617093055946027E-2"/>
  </r>
  <r>
    <s v="P005"/>
    <x v="1"/>
    <d v="2024-06-26T00:00:00"/>
    <x v="0"/>
    <s v="Explore the latest reel on Myntra! Trendy styles await."/>
    <n v="3557"/>
    <n v="687"/>
    <n v="424"/>
    <n v="71140"/>
    <n v="70701"/>
    <n v="224"/>
    <s v="#MyntraFashion"/>
    <s v="MyntraFestiveEdit"/>
    <n v="6.6024525820002553E-2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s v="#MyntraTrend"/>
    <s v="EndOfSeasonSale"/>
    <n v="0.18174006444683136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s v="#MyntraTrend"/>
    <s v="MyntraFestiveEdit"/>
    <n v="7.0385987674343176E-2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s v="#MyntraFashion"/>
    <s v="MyntraFestiveEdit"/>
    <n v="0.10431595901122756"/>
    <n v="0.10340359564080613"/>
  </r>
  <r>
    <s v="P008"/>
    <x v="1"/>
    <d v="2024-07-13T00:00:00"/>
    <x v="4"/>
    <s v="Explore the latest image on Myntra! Trendy styles await."/>
    <n v="3929"/>
    <n v="262"/>
    <n v="278"/>
    <n v="43219"/>
    <n v="42841"/>
    <n v="39"/>
    <s v="#MyntraSale"/>
    <s v="MyntraFestiveEdit"/>
    <n v="0.10431595901122756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s v="#MyntraFashion"/>
    <s v="MyntraFestiveEdit"/>
    <n v="8.8671174768826647E-2"/>
    <n v="8.8019732205778717E-2"/>
  </r>
  <r>
    <s v="P009"/>
    <x v="3"/>
    <d v="2024-08-30T00:00:00"/>
    <x v="1"/>
    <s v="Explore the latest text on Myntra! Trendy styles await."/>
    <n v="3784"/>
    <n v="808"/>
    <n v="404"/>
    <n v="56760"/>
    <n v="56343"/>
    <n v="131"/>
    <s v="#MyntraSale"/>
    <s v="MyntraFestiveEdit"/>
    <n v="8.8671174768826647E-2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s v="#MyntraTrend"/>
    <s v="StyleRevolution"/>
    <n v="7.2488058325651555E-2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s v="#StyleWithMyntra"/>
    <s v="FashionUpgrade"/>
    <n v="0.11764944275582573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s v="#StyleWithMyntra"/>
    <s v="MyntraFestiveEdit"/>
    <n v="0.13092855278043686"/>
    <n v="0.12885405960945528"/>
  </r>
  <r>
    <s v="P012"/>
    <x v="3"/>
    <d v="2024-07-21T00:00:00"/>
    <x v="0"/>
    <s v="Explore the latest reel on Myntra! Trendy styles await."/>
    <n v="1946"/>
    <n v="686"/>
    <n v="377"/>
    <n v="23352"/>
    <n v="22982"/>
    <n v="213"/>
    <s v="#MyntraSale"/>
    <s v="MyntraFestiveEdit"/>
    <n v="0.13092855278043686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s v="#MyntraFashion"/>
    <s v="StyleRevolution"/>
    <n v="7.9315853773141626E-2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s v="#MyntraSale"/>
    <s v="MyntraFestiveEdit"/>
    <n v="0.14579018992958998"/>
    <n v="0.1452145214521452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s v="#MyntraFashion"/>
    <s v="MyntraFestiveEdit"/>
    <n v="0.14579018992958998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s v="#MyntraFashion"/>
    <s v="FashionUpgrade"/>
    <n v="5.9870151748804543E-2"/>
    <n v="5.941358024691358E-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s v="#FashionDeals"/>
    <s v="FashionUpgrade"/>
    <n v="5.9870151748804543E-2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s v="#MyntraSale"/>
    <s v="MyntraFestiveEdit"/>
    <n v="7.6059918293236495E-2"/>
    <n v="7.58437137891077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s v="#FashionDeals"/>
    <s v="MyntraFestiveEdit"/>
    <n v="7.6059918293236495E-2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s v="#FashionDeals"/>
    <s v="MyntraFestiveEdit"/>
    <n v="9.4608341810783314E-2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s v="#StyleWithMyntra"/>
    <s v="EndOfSeasonSale"/>
    <n v="0.10349255981462352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s v="#MyntraSale"/>
    <s v="MyntraFestiveEdit"/>
    <n v="0.10160731169240467"/>
    <n v="0.10034235916588857"/>
  </r>
  <r>
    <s v="P019"/>
    <x v="2"/>
    <d v="2024-06-23T00:00:00"/>
    <x v="5"/>
    <s v="Explore the latest video on Myntra! Trendy styles await."/>
    <n v="1071"/>
    <n v="519"/>
    <n v="22"/>
    <n v="16065"/>
    <n v="15865"/>
    <n v="103"/>
    <s v="#StyleWithMyntra"/>
    <s v="MyntraFestiveEdit"/>
    <n v="0.10160731169240467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s v="#MyntraFashion"/>
    <s v="MyntraFestiveEdit"/>
    <n v="6.3929969693422309E-2"/>
    <n v="6.3809622724794221E-2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s v="#MyntraSale"/>
    <s v="MyntraFestiveEdit"/>
    <n v="6.3929969693422309E-2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s v="#StyleWithMyntra"/>
    <s v="MyntraFestiveEdit"/>
    <n v="7.7435217415326815E-2"/>
    <n v="7.7249552156538517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s v="#MyntraTrend"/>
    <s v="MyntraFestiveEdit"/>
    <n v="7.7435217415326815E-2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s v="#MyntraSale"/>
    <s v="StyleRevolution"/>
    <n v="8.1948563767114943E-2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s v="#MyntraSale"/>
    <s v="MyntraFestiveEdit"/>
    <n v="7.7798084194605502E-2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s v="#MyntraTrend"/>
    <s v="EndOfSeasonSale"/>
    <n v="7.2851459881408093E-2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s v="#StyleWithMyntra"/>
    <s v="FashionUpgrade"/>
    <n v="5.9747896319826972E-2"/>
    <n v="5.9496567505720827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s v="#MyntraSale"/>
    <s v="FashionUpgrade"/>
    <n v="5.9747896319826972E-2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s v="#MyntraSale"/>
    <s v="EndOfSeasonSale"/>
    <n v="9.1505483066644078E-2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s v="#MyntraTrend"/>
    <s v="StyleRevolution"/>
    <n v="7.3657114501922832E-2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s v="#MyntraSale"/>
    <s v="EndOfSeasonSale"/>
    <n v="0.18836874900143794"/>
    <n v="0.17057291666666666"/>
  </r>
  <r>
    <s v="P028"/>
    <x v="2"/>
    <d v="2025-03-04T00:00:00"/>
    <x v="5"/>
    <s v="Explore the latest video on Myntra! Trendy styles await."/>
    <n v="432"/>
    <n v="624"/>
    <n v="123"/>
    <n v="6912"/>
    <n v="6259"/>
    <n v="79"/>
    <s v="#MyntraTrend"/>
    <s v="EndOfSeasonSale"/>
    <n v="0.18836874900143794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s v="#MyntraTrend"/>
    <s v="MyntraFestiveEdit"/>
    <n v="0.22186888454011741"/>
    <n v="0.2120810600155884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s v="#MyntraFashion"/>
    <s v="MyntraFestiveEdit"/>
    <n v="0.22186888454011741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s v="#MyntraSale"/>
    <s v="StyleRevolution"/>
    <n v="5.8604583272514964E-2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s v="#MyntraTrend"/>
    <s v="StyleRevolution"/>
    <n v="0.32062199185486856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s v="#MyntraTrend"/>
    <s v="StyleRevolution"/>
    <n v="0.20582202587567056"/>
    <n v="0.19088381621305239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s v="#MyntraFashion"/>
    <s v="StyleRevolution"/>
    <n v="0.20582202587567056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s v="#MyntraFashion"/>
    <s v="MyntraFestiveEdit"/>
    <n v="0.13526388366553843"/>
    <n v="0.12781331438047855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s v="#FashionDeals"/>
    <s v="MyntraFestiveEdit"/>
    <n v="0.13526388366553843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s v="#MyntraTrend"/>
    <s v="EndOfSeasonSale"/>
    <n v="7.2920649264884785E-2"/>
    <n v="7.055421038471886E-2"/>
  </r>
  <r>
    <s v="P034"/>
    <x v="3"/>
    <d v="2025-03-26T00:00:00"/>
    <x v="1"/>
    <s v="Explore the latest text on Myntra! Trendy styles await."/>
    <n v="1652"/>
    <n v="89"/>
    <n v="357"/>
    <n v="29736"/>
    <n v="28771"/>
    <n v="215"/>
    <s v="#FashionDeals"/>
    <s v="EndOfSeasonSale"/>
    <n v="7.2920649264884785E-2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s v="#StyleWithMyntra"/>
    <s v="MyntraFestiveEdit"/>
    <n v="0.12098468928249775"/>
    <n v="0.1186166298749080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s v="#MyntraSale"/>
    <s v="MyntraFestiveEdit"/>
    <n v="0.12098468928249775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s v="#FashionDeals"/>
    <s v="EndOfSeasonSale"/>
    <n v="7.6692151846319931E-2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s v="#MyntraSale"/>
    <s v="MyntraFestiveEdit"/>
    <n v="0.18279615613572583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s v="#FashionDeals"/>
    <s v="StyleRevolution"/>
    <n v="0.12892921960072595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s v="#FashionDeals"/>
    <s v="MyntraFestiveEdit"/>
    <n v="7.3288946282724268E-2"/>
    <n v="7.2126493695121141E-2"/>
  </r>
  <r>
    <s v="P039"/>
    <x v="3"/>
    <d v="2024-11-25T00:00:00"/>
    <x v="4"/>
    <s v="Explore the latest image on Myntra! Trendy styles await."/>
    <n v="3564"/>
    <n v="629"/>
    <n v="177"/>
    <n v="60588"/>
    <n v="59627"/>
    <n v="92"/>
    <s v="#MyntraSale"/>
    <s v="MyntraFestiveEdit"/>
    <n v="7.3288946282724268E-2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s v="#StyleWithMyntra"/>
    <s v="EndOfSeasonSale"/>
    <n v="0.14066469093988146"/>
    <n v="0.13989473684210527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s v="#MyntraSale"/>
    <s v="EndOfSeasonSale"/>
    <n v="0.14066469093988146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s v="#MyntraSale"/>
    <s v="MyntraFestiveEdit"/>
    <n v="0.20509692286837466"/>
    <n v="0.18433235867446393"/>
  </r>
  <r>
    <s v="P041"/>
    <x v="2"/>
    <d v="2025-03-08T00:00:00"/>
    <x v="0"/>
    <s v="Explore the latest reel on Myntra! Trendy styles await."/>
    <n v="456"/>
    <n v="629"/>
    <n v="428"/>
    <n v="8208"/>
    <n v="7377"/>
    <n v="205"/>
    <s v="#FashionDeals"/>
    <s v="MyntraFestiveEdit"/>
    <n v="0.20509692286837466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s v="#StyleWithMyntra"/>
    <s v="MyntraFestiveEdit"/>
    <n v="0.23451635351426584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s v="#MyntraSale"/>
    <s v="StyleRevolution"/>
    <n v="0.23324594461740128"/>
    <n v="0.21826126954921804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s v="#MyntraFashion"/>
    <s v="StyleRevolution"/>
    <n v="0.23324594461740128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s v="#MyntraSale"/>
    <s v="FashionUpgrade"/>
    <n v="0.10111675126903553"/>
    <n v="9.8558100084817649E-2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s v="#StyleWithMyntra"/>
    <s v="FashionUpgrade"/>
    <n v="0.10111675126903553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s v="#FashionDeals"/>
    <s v="StyleRevolution"/>
    <n v="7.636100851132166E-2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s v="#MyntraFashion"/>
    <s v="StyleRevolution"/>
    <n v="0.17187141216991964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s v="#FashionDeals"/>
    <s v="FashionUpgrade"/>
    <n v="0.17357637552904964"/>
    <n v="0.16683616863905326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s v="#MyntraFashion"/>
    <s v="FashionUpgrade"/>
    <n v="0.17357637552904964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s v="#MyntraFashion"/>
    <s v="StyleRevolution"/>
    <n v="7.5071680635200699E-2"/>
    <n v="7.349527665317139E-2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s v="#StyleWithMyntra"/>
    <s v="StyleRevolution"/>
    <n v="7.5071680635200699E-2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s v="#StyleWithMyntra"/>
    <s v="FashionUpgrade"/>
    <n v="0.10916998647710245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s v="#MyntraFashion"/>
    <s v="FashionUpgrade"/>
    <n v="0.13970311912814731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s v="#MyntraSale"/>
    <s v="MyntraFestiveEdit"/>
    <n v="7.967404840543614E-2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s v="#MyntraFashion"/>
    <s v="MyntraFestiveEdit"/>
    <n v="0.16803699897225077"/>
    <n v="0.1569549774407219"/>
  </r>
  <r>
    <s v="P052"/>
    <x v="3"/>
    <d v="2025-01-03T00:00:00"/>
    <x v="4"/>
    <s v="Explore the latest image on Myntra! Trendy styles await."/>
    <n v="947"/>
    <n v="338"/>
    <n v="350"/>
    <n v="10417"/>
    <n v="9730"/>
    <n v="34"/>
    <s v="#MyntraSale"/>
    <s v="MyntraFestiveEdit"/>
    <n v="0.16803699897225077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s v="#StyleWithMyntra"/>
    <s v="StyleRevolution"/>
    <n v="0.47264631043256999"/>
    <n v="0.36965174129353234"/>
  </r>
  <r>
    <s v="P053"/>
    <x v="1"/>
    <d v="2025-02-24T00:00:00"/>
    <x v="3"/>
    <s v="Explore the latest carousel on Myntra! Trendy styles await."/>
    <n v="804"/>
    <n v="639"/>
    <n v="43"/>
    <n v="4020"/>
    <n v="3144"/>
    <n v="11"/>
    <s v="#MyntraTrend"/>
    <s v="StyleRevolution"/>
    <n v="0.47264631043256999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s v="#MyntraFashion"/>
    <s v="EndOfSeasonSale"/>
    <n v="0.16851026360684607"/>
    <n v="0.16510298716704411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s v="#FashionDeals"/>
    <s v="EndOfSeasonSale"/>
    <n v="0.16851026360684607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s v="#MyntraSale"/>
    <s v="StyleRevolution"/>
    <n v="9.6234607445369783E-2"/>
    <n v="9.1897770527460579E-2"/>
  </r>
  <r>
    <s v="P055"/>
    <x v="3"/>
    <d v="2024-06-17T00:00:00"/>
    <x v="4"/>
    <s v="Explore the latest image on Myntra! Trendy styles await."/>
    <n v="1226"/>
    <n v="119"/>
    <n v="7"/>
    <n v="14712"/>
    <n v="14049"/>
    <n v="123"/>
    <s v="#MyntraTrend"/>
    <s v="StyleRevolution"/>
    <n v="9.6234607445369783E-2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s v="#StyleWithMyntra"/>
    <s v="EndOfSeasonSale"/>
    <n v="0.13359273670557717"/>
    <n v="0.12936184657162253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s v="#FashionDeals"/>
    <s v="EndOfSeasonSale"/>
    <n v="0.13359273670557717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s v="#StyleWithMyntra"/>
    <s v="EndOfSeasonSale"/>
    <n v="8.1696059366548196E-2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s v="#MyntraSale"/>
    <s v="MyntraFestiveEdit"/>
    <n v="2.1756097560975611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s v="#FashionDeals"/>
    <s v="FashionUpgrade"/>
    <n v="9.4148175255331187E-2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s v="#StyleWithMyntra"/>
    <s v="FashionUpgrade"/>
    <n v="0.16753022452504318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s v="#MyntraFashion"/>
    <s v="FashionUpgrade"/>
    <n v="0.14519299706283678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s v="#FashionDeals"/>
    <s v="MyntraFestiveEdit"/>
    <n v="73.285714285714292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s v="#MyntraSale"/>
    <s v="FashionUpgrade"/>
    <n v="5.2873614537174492E-2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s v="#FashionDeals"/>
    <s v="EndOfSeasonSale"/>
    <n v="8.3014976445496519E-2"/>
    <n v="8.204771832290942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s v="#MyntraTrend"/>
    <s v="EndOfSeasonSale"/>
    <n v="8.3014976445496519E-2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s v="#FashionDeals"/>
    <s v="EndOfSeasonSale"/>
    <n v="0.12413068494521438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s v="#MyntraFashion"/>
    <s v="MyntraFestiveEdit"/>
    <n v="0.3864332603938731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s v="#FashionDeals"/>
    <s v="FashionUpgrade"/>
    <n v="6.3843855899682375E-2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s v="#MyntraFashion"/>
    <s v="FashionUpgrade"/>
    <n v="0.19966985803895676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s v="#StyleWithMyntra"/>
    <s v="StyleRevolution"/>
    <n v="9.6885535398940445E-2"/>
    <n v="9.3421052631578946E-2"/>
  </r>
  <r>
    <s v="P069"/>
    <x v="0"/>
    <d v="2025-03-08T00:00:00"/>
    <x v="1"/>
    <s v="Explore the latest text on Myntra! Trendy styles await."/>
    <n v="1292"/>
    <n v="626"/>
    <n v="496"/>
    <n v="25840"/>
    <n v="24916"/>
    <n v="149"/>
    <s v="#MyntraTrend"/>
    <s v="StyleRevolution"/>
    <n v="9.6885535398940445E-2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s v="#MyntraTrend"/>
    <s v="FashionUpgrade"/>
    <n v="0.45883534136546184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s v="#MyntraSale"/>
    <s v="EndOfSeasonSale"/>
    <n v="0.12091567852437418"/>
    <n v="0.1199202926956749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s v="#FashionDeals"/>
    <s v="EndOfSeasonSale"/>
    <n v="0.12091567852437418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s v="#MyntraTrend"/>
    <s v="StyleRevolution"/>
    <n v="9.4865432334414967E-2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s v="#MyntraFashion"/>
    <s v="FashionUpgrade"/>
    <n v="6.4757448777603532E-2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s v="#MyntraFashion"/>
    <s v="MyntraFestiveEdit"/>
    <n v="0.13649724433557869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s v="#StyleWithMyntra"/>
    <s v="MyntraFestiveEdit"/>
    <n v="0.1257262596437756"/>
    <n v="0.12131237937689551"/>
  </r>
  <r>
    <s v="P075"/>
    <x v="2"/>
    <d v="2024-08-01T00:00:00"/>
    <x v="0"/>
    <s v="Explore the latest reel on Myntra! Trendy styles await."/>
    <n v="1674"/>
    <n v="929"/>
    <n v="37"/>
    <n v="21762"/>
    <n v="20998"/>
    <n v="255"/>
    <s v="#FashionDeals"/>
    <s v="MyntraFestiveEdit"/>
    <n v="0.1257262596437756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s v="#MyntraSale"/>
    <s v="StyleRevolution"/>
    <n v="8.5177508858728351E-2"/>
    <n v="8.1177520071364848E-2"/>
  </r>
  <r>
    <s v="P076"/>
    <x v="0"/>
    <d v="2024-11-07T00:00:00"/>
    <x v="2"/>
    <s v="Explore the latest story on Myntra! Trendy styles await."/>
    <n v="1121"/>
    <n v="135"/>
    <n v="18"/>
    <n v="15694"/>
    <n v="14957"/>
    <n v="99"/>
    <s v="#MyntraFashion"/>
    <s v="StyleRevolution"/>
    <n v="8.5177508858728351E-2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s v="#MyntraFashion"/>
    <s v="MyntraFestiveEdit"/>
    <n v="0.20906535488404779"/>
    <n v="0.20416333066453163"/>
  </r>
  <r>
    <s v="P077"/>
    <x v="3"/>
    <d v="2025-03-04T00:00:00"/>
    <x v="2"/>
    <s v="Explore the latest story on Myntra! Trendy styles await."/>
    <n v="1249"/>
    <n v="116"/>
    <n v="420"/>
    <n v="8743"/>
    <n v="8538"/>
    <n v="63"/>
    <s v="#FashionDeals"/>
    <s v="MyntraFestiveEdit"/>
    <n v="0.20906535488404779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s v="#MyntraTrend"/>
    <s v="MyntraFestiveEdit"/>
    <n v="8.303727663184686E-2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s v="#MyntraSale"/>
    <s v="MyntraFestiveEdit"/>
    <n v="8.9686326261293275E-2"/>
    <n v="8.860696018453515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s v="#MyntraTrend"/>
    <s v="MyntraFestiveEdit"/>
    <n v="8.9686326261293275E-2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s v="#FashionDeals"/>
    <s v="EndOfSeasonSale"/>
    <n v="7.8497947600466231E-2"/>
    <n v="7.7533348349475686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s v="#MyntraFashion"/>
    <s v="EndOfSeasonSale"/>
    <n v="7.8497947600466231E-2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s v="#MyntraTrend"/>
    <s v="MyntraFestiveEdit"/>
    <n v="9.7912989305368084E-2"/>
    <n v="9.4413295955146179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s v="#MyntraSale"/>
    <s v="MyntraFestiveEdit"/>
    <n v="9.7912989305368084E-2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s v="#MyntraTrend"/>
    <s v="MyntraFestiveEdit"/>
    <n v="9.1002419887071931E-2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s v="#MyntraTrend"/>
    <s v="MyntraFestiveEdit"/>
    <n v="0.16515766468935372"/>
    <n v="0.16118220597196831"/>
  </r>
  <r>
    <s v="P083"/>
    <x v="1"/>
    <d v="2024-10-15T00:00:00"/>
    <x v="5"/>
    <s v="Explore the latest video on Myntra! Trendy styles await."/>
    <n v="1094"/>
    <n v="472"/>
    <n v="21"/>
    <n v="9846"/>
    <n v="9609"/>
    <n v="112"/>
    <s v="#StyleWithMyntra"/>
    <s v="MyntraFestiveEdit"/>
    <n v="0.16515766468935372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s v="#MyntraFashion"/>
    <s v="FashionUpgrade"/>
    <n v="8.8832933184985655E-2"/>
    <n v="8.6737756939878216E-2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s v="#FashionDeals"/>
    <s v="FashionUpgrade"/>
    <n v="8.8832933184985655E-2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s v="#MyntraFashion"/>
    <s v="FashionUpgrade"/>
    <n v="0.19322252183362176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s v="#MyntraTrend"/>
    <s v="MyntraFestiveEdit"/>
    <n v="6.5768621236133126E-2"/>
    <n v="6.5515821264328367E-2"/>
  </r>
  <r>
    <s v="P086"/>
    <x v="1"/>
    <d v="2025-01-27T00:00:00"/>
    <x v="1"/>
    <s v="Explore the latest text on Myntra! Trendy styles await."/>
    <n v="3428"/>
    <n v="305"/>
    <n v="85"/>
    <n v="58276"/>
    <n v="58052"/>
    <n v="242"/>
    <s v="#StyleWithMyntra"/>
    <s v="MyntraFestiveEdit"/>
    <n v="6.5768621236133126E-2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s v="#MyntraTrend"/>
    <s v="EndOfSeasonSale"/>
    <n v="0.21234548460751121"/>
    <n v="0.2086815227483751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s v="#MyntraSale"/>
    <s v="EndOfSeasonSale"/>
    <n v="0.21234548460751121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s v="#MyntraFashion"/>
    <s v="EndOfSeasonSale"/>
    <n v="0.15930470347648262"/>
    <n v="0.13576158940397351"/>
  </r>
  <r>
    <s v="P088"/>
    <x v="3"/>
    <d v="2024-07-07T00:00:00"/>
    <x v="2"/>
    <s v="Explore the latest story on Myntra! Trendy styles await."/>
    <n v="302"/>
    <n v="47"/>
    <n v="430"/>
    <n v="5738"/>
    <n v="4890"/>
    <n v="25"/>
    <s v="#MyntraSale"/>
    <s v="EndOfSeasonSale"/>
    <n v="0.15930470347648262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s v="#MyntraSale"/>
    <s v="EndOfSeasonSale"/>
    <n v="0.17668918918918919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s v="#MyntraFashion"/>
    <s v="EndOfSeasonSale"/>
    <n v="7.1523024833979973E-2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s v="#MyntraSale"/>
    <s v="EndOfSeasonSale"/>
    <n v="8.1941905342270971E-2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s v="#StyleWithMyntra"/>
    <s v="StyleRevolution"/>
    <n v="0.13738205980066445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s v="#MyntraTrend"/>
    <s v="FashionUpgrade"/>
    <n v="0.28680323963792281"/>
    <n v="0.28045655718611695"/>
  </r>
  <r>
    <s v="P093"/>
    <x v="2"/>
    <d v="2024-12-11T00:00:00"/>
    <x v="5"/>
    <s v="Explore the latest video on Myntra! Trendy styles await."/>
    <n v="1431"/>
    <n v="951"/>
    <n v="26"/>
    <n v="8586"/>
    <n v="8396"/>
    <n v="150"/>
    <s v="#FashionDeals"/>
    <s v="FashionUpgrade"/>
    <n v="0.28680323963792281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s v="#StyleWithMyntra"/>
    <s v="EndOfSeasonSale"/>
    <n v="0.17493414046297853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s v="#StyleWithMyntra"/>
    <s v="EndOfSeasonSale"/>
    <n v="6.8570926349094743E-2"/>
    <n v="6.8108806480899509E-2"/>
  </r>
  <r>
    <s v="P095"/>
    <x v="2"/>
    <d v="2024-11-08T00:00:00"/>
    <x v="1"/>
    <s v="Explore the latest text on Myntra! Trendy styles await."/>
    <n v="3182"/>
    <n v="559"/>
    <n v="160"/>
    <n v="57276"/>
    <n v="56890"/>
    <n v="163"/>
    <s v="#MyntraTrend"/>
    <s v="EndOfSeasonSale"/>
    <n v="6.8570926349094743E-2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s v="#FashionDeals"/>
    <s v="MyntraFestiveEdit"/>
    <n v="0.1059273818144202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s v="#StyleWithMyntra"/>
    <s v="EndOfSeasonSale"/>
    <n v="8.8060261197071721E-2"/>
    <n v="8.7668609086629767E-2"/>
  </r>
  <r>
    <s v="P097"/>
    <x v="2"/>
    <d v="2024-08-13T00:00:00"/>
    <x v="4"/>
    <s v="Explore the latest image on Myntra! Trendy styles await."/>
    <n v="4739"/>
    <n v="527"/>
    <n v="135"/>
    <n v="61607"/>
    <n v="61333"/>
    <n v="36"/>
    <s v="#MyntraSale"/>
    <s v="EndOfSeasonSale"/>
    <n v="8.8060261197071721E-2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s v="#StyleWithMyntra"/>
    <s v="MyntraFestiveEdit"/>
    <n v="0.1140739547248852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s v="#StyleWithMyntra"/>
    <s v="MyntraFestiveEdit"/>
    <n v="7.2110334063691203E-2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s v="#StyleWithMyntra"/>
    <s v="FashionUpgrade"/>
    <n v="9.3782106604200055E-2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s v="#MyntraSale"/>
    <s v="EndOfSeasonSale"/>
    <n v="7.433873720136519E-2"/>
    <n v="7.3707865168539333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s v="#StyleWithMyntra"/>
    <s v="EndOfSeasonSale"/>
    <n v="7.433873720136519E-2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s v="#MyntraTrend"/>
    <s v="MyntraFestiveEdit"/>
    <n v="0.40988316414479986"/>
    <n v="0.35666666666666669"/>
  </r>
  <r>
    <s v="P102"/>
    <x v="0"/>
    <d v="2024-09-18T00:00:00"/>
    <x v="0"/>
    <s v="Explore the latest reel on Myntra! Trendy styles await."/>
    <n v="1000"/>
    <n v="978"/>
    <n v="162"/>
    <n v="6000"/>
    <n v="5221"/>
    <n v="223"/>
    <s v="#MyntraFashion"/>
    <s v="MyntraFestiveEdit"/>
    <n v="0.40988316414479986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s v="#MyntraTrend"/>
    <s v="FashionUpgrade"/>
    <n v="0.10212690714357886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s v="#MyntraTrend"/>
    <s v="StyleRevolution"/>
    <n v="0.14084023114165234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s v="#StyleWithMyntra"/>
    <s v="StyleRevolution"/>
    <n v="0.15848642720043871"/>
    <n v="0.12896028558679162"/>
  </r>
  <r>
    <s v="P105"/>
    <x v="2"/>
    <d v="2024-06-14T00:00:00"/>
    <x v="3"/>
    <s v="Explore the latest carousel on Myntra! Trendy styles await."/>
    <n v="498"/>
    <n v="38"/>
    <n v="42"/>
    <n v="4482"/>
    <n v="3647"/>
    <n v="32"/>
    <s v="#FashionDeals"/>
    <s v="StyleRevolution"/>
    <n v="0.15848642720043871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s v="#MyntraFashion"/>
    <s v="FashionUpgrade"/>
    <n v="8.5896935248260795E-2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s v="#MyntraSale"/>
    <s v="MyntraFestiveEdit"/>
    <n v="6.2817648089730102E-2"/>
    <n v="6.24673231090972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s v="#StyleWithMyntra"/>
    <s v="MyntraFestiveEdit"/>
    <n v="6.2817648089730102E-2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s v="#StyleWithMyntra"/>
    <s v="FashionUpgrade"/>
    <n v="0.10178726693073133"/>
    <n v="0.10005698005698006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s v="#FashionDeals"/>
    <s v="FashionUpgrade"/>
    <n v="0.10178726693073133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s v="#MyntraFashion"/>
    <s v="FashionUpgrade"/>
    <n v="0.1713335736890598"/>
    <n v="0.16744313510550835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s v="#StyleWithMyntra"/>
    <s v="FashionUpgrade"/>
    <n v="0.1713335736890598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s v="#FashionDeals"/>
    <s v="EndOfSeasonSale"/>
    <n v="0.12333134606910495"/>
    <n v="0.12277759141227776"/>
  </r>
  <r>
    <s v="P110"/>
    <x v="2"/>
    <d v="2024-07-29T00:00:00"/>
    <x v="0"/>
    <s v="Explore the latest reel on Myntra! Trendy styles await."/>
    <n v="3523"/>
    <n v="753"/>
    <n v="482"/>
    <n v="38753"/>
    <n v="38579"/>
    <n v="270"/>
    <s v="#StyleWithMyntra"/>
    <s v="EndOfSeasonSale"/>
    <n v="0.12333134606910495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s v="#MyntraFashion"/>
    <s v="MyntraFestiveEdit"/>
    <n v="7.4998138079988078E-2"/>
    <n v="7.4071349760941527E-2"/>
  </r>
  <r>
    <s v="P111"/>
    <x v="1"/>
    <d v="2024-11-23T00:00:00"/>
    <x v="4"/>
    <s v="Explore the latest image on Myntra! Trendy styles await."/>
    <n v="2719"/>
    <n v="17"/>
    <n v="285"/>
    <n v="40785"/>
    <n v="40281"/>
    <n v="40"/>
    <s v="#StyleWithMyntra"/>
    <s v="MyntraFestiveEdit"/>
    <n v="7.4998138079988078E-2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s v="#MyntraFashion"/>
    <s v="MyntraFestiveEdit"/>
    <n v="0.18215238659946634"/>
    <n v="0.17441662408448305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s v="#MyntraSale"/>
    <s v="MyntraFestiveEdit"/>
    <n v="0.18215238659946634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s v="#MyntraTrend"/>
    <s v="StyleRevolution"/>
    <n v="0.11527694919921068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s v="#FashionDeals"/>
    <s v="MyntraFestiveEdit"/>
    <n v="0.13083474437059314"/>
    <n v="0.12942500000000001"/>
  </r>
  <r>
    <s v="P114"/>
    <x v="0"/>
    <d v="2024-11-14T00:00:00"/>
    <x v="2"/>
    <s v="Explore the latest story on Myntra! Trendy styles await."/>
    <n v="4000"/>
    <n v="689"/>
    <n v="488"/>
    <n v="40000"/>
    <n v="39569"/>
    <n v="44"/>
    <s v="#MyntraFashion"/>
    <s v="MyntraFestiveEdit"/>
    <n v="0.13083474437059314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s v="#MyntraSale"/>
    <s v="FashionUpgrade"/>
    <n v="6.272772737015074E-2"/>
    <n v="6.2150491965739366E-2"/>
  </r>
  <r>
    <s v="P115"/>
    <x v="0"/>
    <d v="2025-05-11T00:00:00"/>
    <x v="4"/>
    <s v="Explore the latest image on Myntra! Trendy styles await."/>
    <n v="2493"/>
    <n v="97"/>
    <n v="44"/>
    <n v="42381"/>
    <n v="41991"/>
    <n v="242"/>
    <s v="#StyleWithMyntra"/>
    <s v="FashionUpgrade"/>
    <n v="6.272772737015074E-2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s v="#StyleWithMyntra"/>
    <s v="FashionUpgrade"/>
    <n v="0.17335831904629001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s v="#MyntraSale"/>
    <s v="EndOfSeasonSale"/>
    <n v="0.12194155522535909"/>
    <n v="0.11792317271769326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s v="#StyleWithMyntra"/>
    <s v="EndOfSeasonSale"/>
    <n v="0.12194155522535909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s v="#MyntraTrend"/>
    <s v="EndOfSeasonSale"/>
    <n v="8.0762759394279307E-2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s v="#MyntraTrend"/>
    <s v="StyleRevolution"/>
    <n v="0.34995517705064993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s v="#MyntraSale"/>
    <s v="StyleRevolution"/>
    <n v="0.24860784556366786"/>
    <n v="0.23414918414918415"/>
  </r>
  <r>
    <s v="P120"/>
    <x v="3"/>
    <d v="2024-10-21T00:00:00"/>
    <x v="2"/>
    <s v="Explore the latest story on Myntra! Trendy styles await."/>
    <n v="780"/>
    <n v="928"/>
    <n v="301"/>
    <n v="8580"/>
    <n v="8081"/>
    <n v="91"/>
    <s v="#MyntraFashion"/>
    <s v="StyleRevolution"/>
    <n v="0.24860784556366786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s v="#FashionDeals"/>
    <s v="StyleRevolution"/>
    <n v="0.38494623655913979"/>
    <n v="0.32349397590361445"/>
  </r>
  <r>
    <s v="P121"/>
    <x v="2"/>
    <d v="2024-07-29T00:00:00"/>
    <x v="2"/>
    <s v="Explore the latest story on Myntra! Trendy styles await."/>
    <n v="498"/>
    <n v="701"/>
    <n v="412"/>
    <n v="4980"/>
    <n v="4185"/>
    <n v="185"/>
    <s v="#StyleWithMyntra"/>
    <s v="StyleRevolution"/>
    <n v="0.38494623655913979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s v="#MyntraFashion"/>
    <s v="EndOfSeasonSale"/>
    <n v="8.2053564804510717E-2"/>
    <n v="8.0565268065268064E-2"/>
  </r>
  <r>
    <s v="P122"/>
    <x v="2"/>
    <d v="2024-10-02T00:00:00"/>
    <x v="1"/>
    <s v="Explore the latest text on Myntra! Trendy styles await."/>
    <n v="3432"/>
    <n v="869"/>
    <n v="123"/>
    <n v="54912"/>
    <n v="53916"/>
    <n v="264"/>
    <s v="#MyntraTrend"/>
    <s v="EndOfSeasonSale"/>
    <n v="8.2053564804510717E-2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s v="#MyntraSale"/>
    <s v="EndOfSeasonSale"/>
    <n v="0.23983985847958661"/>
    <n v="0.23616777446710979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s v="#MyntraFashion"/>
    <s v="EndOfSeasonSale"/>
    <n v="0.23983985847958661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s v="#StyleWithMyntra"/>
    <s v="MyntraFestiveEdit"/>
    <n v="0.36804079898002551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s v="#StyleWithMyntra"/>
    <s v="MyntraFestiveEdit"/>
    <n v="0.14354024876789487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s v="#MyntraFashion"/>
    <s v="EndOfSeasonSale"/>
    <n v="0.10105570679237766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s v="#MyntraSale"/>
    <s v="FashionUpgrade"/>
    <n v="6.9885778413196209E-2"/>
    <n v="6.9311459413307311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s v="#StyleWithMyntra"/>
    <s v="FashionUpgrade"/>
    <n v="6.9885778413196209E-2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s v="#StyleWithMyntra"/>
    <s v="StyleRevolution"/>
    <n v="0.12819193886174082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s v="#FashionDeals"/>
    <s v="StyleRevolution"/>
    <n v="0.18018564581690227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s v="#MyntraSale"/>
    <s v="MyntraFestiveEdit"/>
    <n v="9.1001038034654383E-2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s v="#MyntraSale"/>
    <s v="EndOfSeasonSale"/>
    <n v="0.13207634470792365"/>
    <n v="0.13106060606060607"/>
  </r>
  <r>
    <s v="P131"/>
    <x v="2"/>
    <d v="2024-10-21T00:00:00"/>
    <x v="0"/>
    <s v="Explore the latest reel on Myntra! Trendy styles await."/>
    <n v="4840"/>
    <n v="658"/>
    <n v="211"/>
    <n v="43560"/>
    <n v="43225"/>
    <n v="57"/>
    <s v="#MyntraFashion"/>
    <s v="EndOfSeasonSale"/>
    <n v="0.13207634470792365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s v="#MyntraFashion"/>
    <s v="EndOfSeasonSale"/>
    <n v="0.13783564649210664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s v="#MyntraSale"/>
    <s v="MyntraFestiveEdit"/>
    <n v="7.3353991279787201E-2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s v="#FashionDeals"/>
    <s v="StyleRevolution"/>
    <n v="7.1812540587343959E-2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s v="#MyntraTrend"/>
    <s v="MyntraFestiveEdit"/>
    <n v="6.4954862998263446E-2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s v="#MyntraSale"/>
    <s v="StyleRevolution"/>
    <n v="0.209307775226133"/>
    <n v="0.20357370772176134"/>
  </r>
  <r>
    <s v="P136"/>
    <x v="2"/>
    <d v="2024-07-11T00:00:00"/>
    <x v="1"/>
    <s v="Explore the latest text on Myntra! Trendy styles await."/>
    <n v="3134"/>
    <n v="888"/>
    <n v="444"/>
    <n v="21938"/>
    <n v="21337"/>
    <n v="130"/>
    <s v="#MyntraFashion"/>
    <s v="StyleRevolution"/>
    <n v="0.209307775226133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s v="#FashionDeals"/>
    <s v="FashionUpgrade"/>
    <n v="0.2144272149737004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s v="#MyntraFashion"/>
    <s v="StyleRevolution"/>
    <n v="0.19843412526997839"/>
    <n v="0.16065573770491803"/>
  </r>
  <r>
    <s v="P138"/>
    <x v="0"/>
    <d v="2025-03-29T00:00:00"/>
    <x v="4"/>
    <s v="Explore the latest image on Myntra! Trendy styles await."/>
    <n v="305"/>
    <n v="187"/>
    <n v="243"/>
    <n v="4575"/>
    <n v="3704"/>
    <n v="234"/>
    <s v="#MyntraTrend"/>
    <s v="StyleRevolution"/>
    <n v="0.19843412526997839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s v="#MyntraFashion"/>
    <s v="EndOfSeasonSale"/>
    <n v="9.6587550937879116E-2"/>
    <n v="9.422796795338674E-2"/>
  </r>
  <r>
    <s v="P139"/>
    <x v="1"/>
    <d v="2024-10-29T00:00:00"/>
    <x v="1"/>
    <s v="Explore the latest text on Myntra! Trendy styles await."/>
    <n v="2746"/>
    <n v="156"/>
    <n v="203"/>
    <n v="32952"/>
    <n v="32147"/>
    <n v="147"/>
    <s v="#StyleWithMyntra"/>
    <s v="EndOfSeasonSale"/>
    <n v="9.6587550937879116E-2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s v="#FashionDeals"/>
    <s v="FashionUpgrade"/>
    <n v="0.15767084691453512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s v="#MyntraSale"/>
    <s v="MyntraFestiveEdit"/>
    <n v="0.23740503259873916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s v="#MyntraSale"/>
    <s v="StyleRevolution"/>
    <n v="7.070184068138867E-2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s v="#MyntraFashion"/>
    <s v="EndOfSeasonSale"/>
    <n v="1.4957020057306589"/>
    <n v="0.50192307692307692"/>
  </r>
  <r>
    <s v="P143"/>
    <x v="1"/>
    <d v="2024-10-02T00:00:00"/>
    <x v="3"/>
    <s v="Explore the latest carousel on Myntra! Trendy styles await."/>
    <n v="80"/>
    <n v="362"/>
    <n v="80"/>
    <n v="1040"/>
    <n v="349"/>
    <n v="117"/>
    <s v="#StyleWithMyntra"/>
    <s v="EndOfSeasonSale"/>
    <n v="1.4957020057306589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s v="#MyntraTrend"/>
    <s v="FashionUpgrade"/>
    <n v="6.604891714254929E-2"/>
    <n v="6.5455787978772245E-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s v="#StyleWithMyntra"/>
    <s v="FashionUpgrade"/>
    <n v="6.604891714254929E-2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s v="#FashionDeals"/>
    <s v="FashionUpgrade"/>
    <n v="5.7465965178716709E-2"/>
    <n v="5.6416400425985093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s v="#MyntraTrend"/>
    <s v="FashionUpgrade"/>
    <n v="5.7465965178716709E-2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s v="#StyleWithMyntra"/>
    <s v="FashionUpgrade"/>
    <n v="0.2226013986013986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s v="#MyntraSale"/>
    <s v="MyntraFestiveEdit"/>
    <n v="0.15594030318461358"/>
    <n v="0.15283323095823095"/>
  </r>
  <r>
    <s v="P147"/>
    <x v="2"/>
    <d v="2024-10-21T00:00:00"/>
    <x v="0"/>
    <s v="Explore the latest reel on Myntra! Trendy styles await."/>
    <n v="3256"/>
    <n v="459"/>
    <n v="266"/>
    <n v="26048"/>
    <n v="25529"/>
    <n v="143"/>
    <s v="#StyleWithMyntra"/>
    <s v="MyntraFestiveEdit"/>
    <n v="0.15594030318461358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s v="#StyleWithMyntra"/>
    <s v="EndOfSeasonSale"/>
    <n v="0.20008123476848091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s v="#MyntraTrend"/>
    <s v="MyntraFestiveEdit"/>
    <n v="7.9309097485982999E-2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s v="#MyntraTrend"/>
    <s v="EndOfSeasonSale"/>
    <n v="6.379680141744766E-2"/>
    <n v="6.3713620488940623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s v="#MyntraSale"/>
    <s v="EndOfSeasonSale"/>
    <n v="6.379680141744766E-2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s v="#MyntraTrend"/>
    <s v="MyntraFestiveEdit"/>
    <n v="0.11129468736647201"/>
    <n v="0.10977802753582468"/>
  </r>
  <r>
    <s v="P151"/>
    <x v="2"/>
    <d v="2024-07-26T00:00:00"/>
    <x v="4"/>
    <s v="Explore the latest image on Myntra! Trendy styles await."/>
    <n v="3559"/>
    <n v="59"/>
    <n v="289"/>
    <n v="35590"/>
    <n v="35105"/>
    <n v="122"/>
    <s v="#StyleWithMyntra"/>
    <s v="MyntraFestiveEdit"/>
    <n v="0.11129468736647201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s v="#MyntraSale"/>
    <s v="StyleRevolution"/>
    <n v="0.19823757490306662"/>
    <n v="0.19511518179295032"/>
  </r>
  <r>
    <s v="P152"/>
    <x v="3"/>
    <d v="2025-04-22T00:00:00"/>
    <x v="4"/>
    <s v="Explore the latest image on Myntra! Trendy styles await."/>
    <n v="4804"/>
    <n v="550"/>
    <n v="270"/>
    <n v="28824"/>
    <n v="28370"/>
    <n v="47"/>
    <s v="#StyleWithMyntra"/>
    <s v="StyleRevolution"/>
    <n v="0.19823757490306662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s v="#FashionDeals"/>
    <s v="MyntraFestiveEdit"/>
    <n v="0.19418099983925413"/>
    <n v="0.17801355732390214"/>
  </r>
  <r>
    <s v="P153"/>
    <x v="0"/>
    <d v="2025-01-01T00:00:00"/>
    <x v="5"/>
    <s v="Explore the latest video on Myntra! Trendy styles await."/>
    <n v="754"/>
    <n v="197"/>
    <n v="257"/>
    <n v="6786"/>
    <n v="6221"/>
    <n v="212"/>
    <s v="#MyntraTrend"/>
    <s v="MyntraFestiveEdit"/>
    <n v="0.19418099983925413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s v="#MyntraSale"/>
    <s v="EndOfSeasonSale"/>
    <n v="0.3261802575107296"/>
    <n v="0.31965192168237855"/>
  </r>
  <r>
    <s v="P154"/>
    <x v="2"/>
    <d v="2024-10-09T00:00:00"/>
    <x v="3"/>
    <s v="Explore the latest carousel on Myntra! Trendy styles await."/>
    <n v="985"/>
    <n v="932"/>
    <n v="287"/>
    <n v="6895"/>
    <n v="6757"/>
    <n v="64"/>
    <s v="#MyntraFashion"/>
    <s v="EndOfSeasonSale"/>
    <n v="0.3261802575107296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s v="#MyntraFashion"/>
    <s v="MyntraFestiveEdit"/>
    <n v="0.11597470928947252"/>
    <n v="0.11489268506351293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s v="#StyleWithMyntra"/>
    <s v="MyntraFestiveEdit"/>
    <n v="0.11597470928947252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s v="#MyntraTrend"/>
    <s v="MyntraFestiveEdit"/>
    <n v="0.11018044210623472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s v="#StyleWithMyntra"/>
    <s v="StyleRevolution"/>
    <n v="0.10840484603735487"/>
    <n v="0.10793717277486911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s v="#MyntraTrend"/>
    <s v="StyleRevolution"/>
    <n v="0.10840484603735487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s v="#FashionDeals"/>
    <s v="EndOfSeasonSale"/>
    <n v="0.11812998859749145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s v="#StyleWithMyntra"/>
    <s v="EndOfSeasonSale"/>
    <n v="0.22887877534133222"/>
    <n v="0.21745283018867925"/>
  </r>
  <r>
    <s v="P159"/>
    <x v="3"/>
    <d v="2024-11-25T00:00:00"/>
    <x v="2"/>
    <s v="Explore the latest story on Myntra! Trendy styles await."/>
    <n v="2120"/>
    <n v="158"/>
    <n v="488"/>
    <n v="12720"/>
    <n v="12085"/>
    <n v="17"/>
    <s v="#MyntraTrend"/>
    <s v="EndOfSeasonSale"/>
    <n v="0.22887877534133222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s v="#StyleWithMyntra"/>
    <s v="StyleRevolution"/>
    <n v="9.5153854401200819E-2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s v="#MyntraSale"/>
    <s v="EndOfSeasonSale"/>
    <n v="0.1169385938890537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s v="#MyntraTrend"/>
    <s v="EndOfSeasonSale"/>
    <n v="8.7939964062995452E-2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s v="#MyntraFashion"/>
    <s v="StyleRevolution"/>
    <n v="0.23809305733650851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s v="#FashionDeals"/>
    <s v="EndOfSeasonSale"/>
    <n v="0.15531069827033953"/>
    <n v="0.1535518848804215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s v="#StyleWithMyntra"/>
    <s v="EndOfSeasonSale"/>
    <n v="0.15531069827033953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s v="#MyntraTrend"/>
    <s v="EndOfSeasonSale"/>
    <n v="0.1575481484822516"/>
    <n v="0.15405989502933004"/>
  </r>
  <r>
    <s v="P165"/>
    <x v="0"/>
    <d v="2024-12-11T00:00:00"/>
    <x v="1"/>
    <s v="Explore the latest text on Myntra! Trendy styles await."/>
    <n v="3239"/>
    <n v="43"/>
    <n v="211"/>
    <n v="22673"/>
    <n v="22171"/>
    <n v="230"/>
    <s v="#StyleWithMyntra"/>
    <s v="EndOfSeasonSale"/>
    <n v="0.1575481484822516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s v="#FashionDeals"/>
    <s v="EndOfSeasonSale"/>
    <n v="0.14617109348051052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s v="#MyntraSale"/>
    <s v="EndOfSeasonSale"/>
    <n v="0.10012770939018766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s v="#MyntraFashion"/>
    <s v="StyleRevolution"/>
    <n v="7.5474346676648804E-2"/>
    <n v="7.412002573292896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s v="#MyntraTrend"/>
    <s v="StyleRevolution"/>
    <n v="7.5474346676648804E-2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s v="#MyntraTrend"/>
    <s v="MyntraFestiveEdit"/>
    <n v="0.12769129838372995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s v="#StyleWithMyntra"/>
    <s v="StyleRevolution"/>
    <n v="6.8780494995504066E-2"/>
    <n v="6.8655003457763777E-2"/>
  </r>
  <r>
    <s v="P170"/>
    <x v="0"/>
    <d v="2025-04-28T00:00:00"/>
    <x v="1"/>
    <s v="Explore the latest text on Myntra! Trendy styles await."/>
    <n v="3577"/>
    <n v="596"/>
    <n v="493"/>
    <n v="67963"/>
    <n v="67839"/>
    <n v="53"/>
    <s v="#MyntraTrend"/>
    <s v="StyleRevolution"/>
    <n v="6.8780494995504066E-2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s v="#MyntraSale"/>
    <s v="StyleRevolution"/>
    <n v="9.8931953314247964E-2"/>
    <n v="9.8068107400130972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s v="#MyntraFashion"/>
    <s v="StyleRevolution"/>
    <n v="9.8931953314247964E-2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s v="#MyntraFashion"/>
    <s v="StyleRevolution"/>
    <n v="7.3636275554694319E-2"/>
    <n v="7.2739802071170159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s v="#StyleWithMyntra"/>
    <s v="StyleRevolution"/>
    <n v="7.3636275554694319E-2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s v="#FashionDeals"/>
    <s v="StyleRevolution"/>
    <n v="0.14890435008778205"/>
    <n v="0.14348370927318296"/>
  </r>
  <r>
    <s v="P173"/>
    <x v="0"/>
    <d v="2024-12-05T00:00:00"/>
    <x v="5"/>
    <s v="Explore the latest video on Myntra! Trendy styles await."/>
    <n v="1330"/>
    <n v="925"/>
    <n v="35"/>
    <n v="15960"/>
    <n v="15379"/>
    <n v="229"/>
    <s v="#MyntraTrend"/>
    <s v="StyleRevolution"/>
    <n v="0.14890435008778205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s v="#MyntraSale"/>
    <s v="StyleRevolution"/>
    <n v="0.13989877270171028"/>
    <n v="0.13809430512016718"/>
  </r>
  <r>
    <s v="P174"/>
    <x v="3"/>
    <d v="2024-06-22T00:00:00"/>
    <x v="1"/>
    <s v="Explore the latest text on Myntra! Trendy styles await."/>
    <n v="3828"/>
    <n v="148"/>
    <n v="253"/>
    <n v="30624"/>
    <n v="30229"/>
    <n v="235"/>
    <s v="#StyleWithMyntra"/>
    <s v="StyleRevolution"/>
    <n v="0.13989877270171028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s v="#MyntraSale"/>
    <s v="FashionUpgrade"/>
    <n v="1.114572864321608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s v="#MyntraFashion"/>
    <s v="EndOfSeasonSale"/>
    <n v="5.4185957553453894E-2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s v="#FashionDeals"/>
    <s v="StyleRevolution"/>
    <n v="9.2355723305607984E-2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s v="#StyleWithMyntra"/>
    <s v="StyleRevolution"/>
    <n v="1.0822407628128725"/>
    <n v="0.70387596899224802"/>
  </r>
  <r>
    <s v="P178"/>
    <x v="2"/>
    <d v="2024-11-07T00:00:00"/>
    <x v="5"/>
    <s v="Explore the latest video on Myntra! Trendy styles await."/>
    <n v="129"/>
    <n v="643"/>
    <n v="136"/>
    <n v="1290"/>
    <n v="839"/>
    <n v="238"/>
    <s v="#FashionDeals"/>
    <s v="StyleRevolution"/>
    <n v="1.0822407628128725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s v="#StyleWithMyntra"/>
    <s v="FashionUpgrade"/>
    <n v="7.6443745082612119E-2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s v="#StyleWithMyntra"/>
    <s v="StyleRevolution"/>
    <n v="9.1489943042098398E-2"/>
    <n v="9.023070704558174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s v="#FashionDeals"/>
    <s v="StyleRevolution"/>
    <n v="9.1489943042098398E-2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s v="#MyntraSale"/>
    <s v="EndOfSeasonSale"/>
    <n v="0.25240221951549602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s v="#FashionDeals"/>
    <s v="FashionUpgrade"/>
    <n v="0.10262351739847617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s v="#StyleWithMyntra"/>
    <s v="EndOfSeasonSale"/>
    <n v="0.3107357704766312"/>
    <n v="0.28696581196581195"/>
  </r>
  <r>
    <s v="P183"/>
    <x v="2"/>
    <d v="2024-12-17T00:00:00"/>
    <x v="2"/>
    <s v="Explore the latest story on Myntra! Trendy styles await."/>
    <n v="360"/>
    <n v="590"/>
    <n v="393"/>
    <n v="4680"/>
    <n v="4322"/>
    <n v="208"/>
    <s v="#FashionDeals"/>
    <s v="EndOfSeasonSale"/>
    <n v="0.3107357704766312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s v="#StyleWithMyntra"/>
    <s v="MyntraFestiveEdit"/>
    <n v="0.13937714940771875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s v="#MyntraSale"/>
    <s v="StyleRevolution"/>
    <n v="9.6109793427801085E-2"/>
    <n v="9.5290736237010829E-2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s v="#MyntraTrend"/>
    <s v="StyleRevolution"/>
    <n v="9.6109793427801085E-2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s v="#MyntraTrend"/>
    <s v="FashionUpgrade"/>
    <n v="8.6364133805128959E-2"/>
    <n v="8.4862714173059003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s v="#StyleWithMyntra"/>
    <s v="FashionUpgrade"/>
    <n v="8.6364133805128959E-2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s v="#MyntraSale"/>
    <s v="FashionUpgrade"/>
    <n v="8.6080047086521477E-2"/>
    <n v="8.3726921425504502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s v="#MyntraTrend"/>
    <s v="FashionUpgrade"/>
    <n v="8.6080047086521477E-2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s v="#MyntraSale"/>
    <s v="EndOfSeasonSale"/>
    <n v="8.516268130145041E-2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s v="#MyntraSale"/>
    <s v="FashionUpgrade"/>
    <n v="7.3561482972655592E-2"/>
    <n v="7.2503306878306875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s v="#StyleWithMyntra"/>
    <s v="FashionUpgrade"/>
    <n v="7.3561482972655592E-2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s v="#StyleWithMyntra"/>
    <s v="FashionUpgrade"/>
    <n v="5.6614479894766707E-2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s v="#MyntraFashion"/>
    <s v="StyleRevolution"/>
    <n v="9.9845201238390094E-2"/>
    <n v="9.9578134817341346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s v="#FashionDeals"/>
    <s v="StyleRevolution"/>
    <n v="9.9845201238390094E-2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s v="#FashionDeals"/>
    <s v="FashionUpgrade"/>
    <n v="0.14969090373859287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s v="#FashionDeals"/>
    <s v="FashionUpgrade"/>
    <n v="0.10066999449579593"/>
    <n v="9.9255211647142488E-2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s v="#MyntraTrend"/>
    <s v="FashionUpgrade"/>
    <n v="0.10066999449579593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s v="#FashionDeals"/>
    <s v="EndOfSeasonSale"/>
    <n v="8.4631634539213102E-2"/>
    <n v="8.4203612479474554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s v="#StyleWithMyntra"/>
    <s v="EndOfSeasonSale"/>
    <n v="8.4631634539213102E-2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s v="#MyntraFashion"/>
    <s v="MyntraFestiveEdit"/>
    <n v="0.14121739130434782"/>
    <n v="0.13667732704931829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s v="#MyntraTrend"/>
    <s v="MyntraFestiveEdit"/>
    <n v="0.14121739130434782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s v="#MyntraTrend"/>
    <s v="MyntraFestiveEdit"/>
    <n v="0.13228545809378131"/>
    <n v="0.12575841147269717"/>
  </r>
  <r>
    <s v="P196"/>
    <x v="2"/>
    <d v="2024-12-19T00:00:00"/>
    <x v="1"/>
    <s v="Explore the latest text on Myntra! Trendy styles await."/>
    <n v="1813"/>
    <n v="623"/>
    <n v="72"/>
    <n v="19943"/>
    <n v="18959"/>
    <n v="85"/>
    <s v="#MyntraFashion"/>
    <s v="MyntraFestiveEdit"/>
    <n v="0.13228545809378131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s v="#FashionDeals"/>
    <s v="EndOfSeasonSale"/>
    <n v="6.5444872801415532E-2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s v="#MyntraTrend"/>
    <s v="EndOfSeasonSale"/>
    <n v="0.21076334158973203"/>
    <n v="0.19847328244274809"/>
  </r>
  <r>
    <s v="P198"/>
    <x v="0"/>
    <d v="2024-09-14T00:00:00"/>
    <x v="4"/>
    <s v="Explore the latest image on Myntra! Trendy styles await."/>
    <n v="1048"/>
    <n v="374"/>
    <n v="450"/>
    <n v="9432"/>
    <n v="8882"/>
    <n v="158"/>
    <s v="#MyntraSale"/>
    <s v="EndOfSeasonSale"/>
    <n v="0.21076334158973203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s v="#FashionDeals"/>
    <s v="EndOfSeasonSale"/>
    <n v="8.6608043822978237E-2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s v="#MyntraTrend"/>
    <s v="FashionUpgrade"/>
    <n v="6.3269724297122534E-2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s v="#MyntraSale"/>
    <s v="StyleRevolution"/>
    <n v="9.1596638655462179E-2"/>
    <n v="9.0606816292601824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s v="#FashionDeals"/>
    <s v="StyleRevolution"/>
    <n v="9.1596638655462179E-2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s v="#MyntraTrend"/>
    <s v="EndOfSeasonSale"/>
    <n v="8.3107925344874226E-2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s v="#MyntraTrend"/>
    <s v="StyleRevolution"/>
    <n v="5.7525158509104654E-2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s v="#FashionDeals"/>
    <s v="StyleRevolution"/>
    <n v="0.31403160185448009"/>
    <n v="0.29713518352730528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s v="#StyleWithMyntra"/>
    <s v="StyleRevolution"/>
    <n v="0.31403160185448009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s v="#StyleWithMyntra"/>
    <s v="FashionUpgrade"/>
    <n v="0.10486292213626701"/>
    <n v="0.1043848167539267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s v="#FashionDeals"/>
    <s v="FashionUpgrade"/>
    <n v="0.10486292213626701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s v="#MyntraFashion"/>
    <s v="EndOfSeasonSale"/>
    <n v="0.10984246278363925"/>
    <n v="0.10768685795253277"/>
  </r>
  <r>
    <s v="P206"/>
    <x v="0"/>
    <d v="2024-06-24T00:00:00"/>
    <x v="1"/>
    <s v="Explore the latest text on Myntra! Trendy styles await."/>
    <n v="941"/>
    <n v="121"/>
    <n v="458"/>
    <n v="14115"/>
    <n v="13838"/>
    <n v="87"/>
    <s v="#MyntraSale"/>
    <s v="EndOfSeasonSale"/>
    <n v="0.10984246278363925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s v="#StyleWithMyntra"/>
    <s v="MyntraFestiveEdit"/>
    <n v="0.14635531902170662"/>
    <n v="0.14316214319138981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s v="#FashionDeals"/>
    <s v="MyntraFestiveEdit"/>
    <n v="0.14635531902170662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s v="#MyntraTrend"/>
    <s v="FashionUpgrade"/>
    <n v="8.7587232582084423E-2"/>
    <n v="8.6537809426924378E-2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s v="#FashionDeals"/>
    <s v="FashionUpgrade"/>
    <n v="8.7587232582084423E-2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s v="#StyleWithMyntra"/>
    <s v="FashionUpgrade"/>
    <n v="8.3840974671369028E-2"/>
    <n v="8.2753164556962022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s v="#MyntraTrend"/>
    <s v="FashionUpgrade"/>
    <n v="8.3840974671369028E-2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s v="#MyntraTrend"/>
    <s v="FashionUpgrade"/>
    <n v="0.58881220486741737"/>
    <n v="0.48518407662376534"/>
  </r>
  <r>
    <s v="P210"/>
    <x v="1"/>
    <d v="2025-02-19T00:00:00"/>
    <x v="4"/>
    <s v="Explore the latest image on Myntra! Trendy styles await."/>
    <n v="257"/>
    <n v="966"/>
    <n v="398"/>
    <n v="3341"/>
    <n v="2753"/>
    <n v="287"/>
    <s v="#MyntraSale"/>
    <s v="FashionUpgrade"/>
    <n v="0.58881220486741737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s v="#MyntraTrend"/>
    <s v="FashionUpgrade"/>
    <n v="0.18863419293218719"/>
    <n v="0.18632075471698112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s v="#MyntraSale"/>
    <s v="FashionUpgrade"/>
    <n v="0.18863419293218719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s v="#StyleWithMyntra"/>
    <s v="StyleRevolution"/>
    <n v="0.12391056235733555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s v="#MyntraSale"/>
    <s v="MyntraFestiveEdit"/>
    <n v="8.2551718092566617E-2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s v="#MyntraSale"/>
    <s v="FashionUpgrade"/>
    <n v="0.46543100912032953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s v="#MyntraSale"/>
    <s v="FashionUpgrade"/>
    <n v="7.2362283900512456E-2"/>
    <n v="7.2116777745580993E-2"/>
  </r>
  <r>
    <s v="P215"/>
    <x v="3"/>
    <d v="2025-05-06T00:00:00"/>
    <x v="4"/>
    <s v="Explore the latest image on Myntra! Trendy styles await."/>
    <n v="4872"/>
    <n v="925"/>
    <n v="176"/>
    <n v="82824"/>
    <n v="82543"/>
    <n v="89"/>
    <s v="#MyntraTrend"/>
    <s v="FashionUpgrade"/>
    <n v="7.2362283900512456E-2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s v="#MyntraTrend"/>
    <s v="FashionUpgrade"/>
    <n v="5.928121526491293E-2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s v="#FashionDeals"/>
    <s v="MyntraFestiveEdit"/>
    <n v="6.3068678915135609E-2"/>
    <n v="6.260312635692574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s v="#MyntraFashion"/>
    <s v="MyntraFestiveEdit"/>
    <n v="6.3068678915135609E-2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s v="#FashionDeals"/>
    <s v="FashionUpgrade"/>
    <n v="0.19651967293311901"/>
    <n v="0.1880684858212948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s v="#StyleWithMyntra"/>
    <s v="FashionUpgrade"/>
    <n v="0.19651967293311901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s v="#StyleWithMyntra"/>
    <s v="EndOfSeasonSale"/>
    <n v="0.29812855980471931"/>
    <n v="0.25701459034792368"/>
  </r>
  <r>
    <s v="P219"/>
    <x v="0"/>
    <d v="2025-01-28T00:00:00"/>
    <x v="0"/>
    <s v="Explore the latest reel on Myntra! Trendy styles await."/>
    <n v="1188"/>
    <n v="470"/>
    <n v="174"/>
    <n v="7128"/>
    <n v="6145"/>
    <n v="270"/>
    <s v="#MyntraFashion"/>
    <s v="EndOfSeasonSale"/>
    <n v="0.29812855980471931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s v="#StyleWithMyntra"/>
    <s v="EndOfSeasonSale"/>
    <n v="133.25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s v="#MyntraTrend"/>
    <s v="StyleRevolution"/>
    <n v="0.1630623261900867"/>
    <n v="0.1598922075005614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s v="#MyntraFashion"/>
    <s v="StyleRevolution"/>
    <n v="0.1630623261900867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s v="#StyleWithMyntra"/>
    <s v="FashionUpgrade"/>
    <n v="0.11191963932610931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s v="#StyleWithMyntra"/>
    <s v="FashionUpgrade"/>
    <n v="6.2380936466027208E-2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s v="#MyntraSale"/>
    <s v="MyntraFestiveEdit"/>
    <n v="0.40202200416294975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s v="#FashionDeals"/>
    <s v="MyntraFestiveEdit"/>
    <n v="5.7256384274703129E-2"/>
    <n v="5.6653298485940883E-2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s v="#MyntraSale"/>
    <s v="MyntraFestiveEdit"/>
    <n v="5.7256384274703129E-2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s v="#MyntraSale"/>
    <s v="EndOfSeasonSale"/>
    <n v="0.26873791102514505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s v="#MyntraTrend"/>
    <s v="EndOfSeasonSale"/>
    <n v="0.11958997722095673"/>
    <n v="0.11232349165596919"/>
  </r>
  <r>
    <s v="P227"/>
    <x v="2"/>
    <d v="2024-06-12T00:00:00"/>
    <x v="1"/>
    <s v="Explore the latest text on Myntra! Trendy styles await."/>
    <n v="246"/>
    <n v="149"/>
    <n v="130"/>
    <n v="4674"/>
    <n v="4390"/>
    <n v="217"/>
    <s v="#FashionDeals"/>
    <s v="EndOfSeasonSale"/>
    <n v="0.11958997722095673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s v="#MyntraTrend"/>
    <s v="StyleRevolution"/>
    <n v="8.2291899129658563E-2"/>
    <n v="8.1808097615085965E-2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s v="#MyntraSale"/>
    <s v="StyleRevolution"/>
    <n v="8.2291899129658563E-2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s v="#MyntraTrend"/>
    <s v="EndOfSeasonSale"/>
    <n v="0.13692336838116889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s v="#MyntraSale"/>
    <s v="FashionUpgrade"/>
    <n v="7.8608578717345307E-2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s v="#FashionDeals"/>
    <s v="MyntraFestiveEdit"/>
    <n v="8.9667950655809639E-2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s v="#MyntraFashion"/>
    <s v="StyleRevolution"/>
    <n v="1.0258620689655173"/>
    <n v="0.7168674698795181"/>
  </r>
  <r>
    <s v="P232"/>
    <x v="0"/>
    <d v="2025-04-29T00:00:00"/>
    <x v="2"/>
    <s v="Explore the latest story on Myntra! Trendy styles await."/>
    <n v="249"/>
    <n v="592"/>
    <n v="230"/>
    <n v="1494"/>
    <n v="1044"/>
    <n v="201"/>
    <s v="#MyntraTrend"/>
    <s v="StyleRevolution"/>
    <n v="1.0258620689655173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s v="#FashionDeals"/>
    <s v="EndOfSeasonSale"/>
    <n v="7.4284798461415183E-2"/>
    <n v="7.2969143576826198E-2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s v="#MyntraTrend"/>
    <s v="EndOfSeasonSale"/>
    <n v="7.4284798461415183E-2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s v="#MyntraFashion"/>
    <s v="EndOfSeasonSale"/>
    <n v="7.7406298747839289E-2"/>
    <n v="7.5968222442899705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s v="#FashionDeals"/>
    <s v="EndOfSeasonSale"/>
    <n v="7.7406298747839289E-2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s v="#StyleWithMyntra"/>
    <s v="StyleRevolution"/>
    <n v="0.13102427128091976"/>
    <n v="0.1283706906360223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s v="#MyntraTrend"/>
    <s v="StyleRevolution"/>
    <n v="0.13102427128091976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s v="#StyleWithMyntra"/>
    <s v="FashionUpgrade"/>
    <n v="0.13953687821612351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s v="#MyntraSale"/>
    <s v="StyleRevolution"/>
    <n v="6.752474692240823E-2"/>
    <n v="6.7234398994834563E-2"/>
  </r>
  <r>
    <s v="P237"/>
    <x v="2"/>
    <d v="2024-10-22T00:00:00"/>
    <x v="2"/>
    <s v="Explore the latest story on Myntra! Trendy styles await."/>
    <n v="3770"/>
    <n v="917"/>
    <n v="129"/>
    <n v="71630"/>
    <n v="71322"/>
    <n v="76"/>
    <s v="#MyntraTrend"/>
    <s v="StyleRevolution"/>
    <n v="6.752474692240823E-2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s v="#MyntraTrend"/>
    <s v="FashionUpgrade"/>
    <n v="7.323127844435251E-2"/>
    <n v="7.2579365079365077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s v="#MyntraFashion"/>
    <s v="FashionUpgrade"/>
    <n v="7.323127844435251E-2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s v="#StyleWithMyntra"/>
    <s v="EndOfSeasonSale"/>
    <n v="0.25636265937179425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s v="#MyntraFashion"/>
    <s v="MyntraFestiveEdit"/>
    <n v="9.0210052513128289E-2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s v="#MyntraSale"/>
    <s v="MyntraFestiveEdit"/>
    <n v="0.18346209065426949"/>
    <n v="0.17743908486792079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s v="#MyntraFashion"/>
    <s v="MyntraFestiveEdit"/>
    <n v="0.18346209065426949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s v="#FashionDeals"/>
    <s v="StyleRevolution"/>
    <n v="0.18888175723862502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s v="#StyleWithMyntra"/>
    <s v="EndOfSeasonSale"/>
    <n v="9.8565366740755708E-2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s v="#StyleWithMyntra"/>
    <s v="FashionUpgrade"/>
    <n v="0.26697073019527962"/>
    <n v="0.2586998498176357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s v="#FashionDeals"/>
    <s v="FashionUpgrade"/>
    <n v="0.26697073019527962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s v="#MyntraFashion"/>
    <s v="EndOfSeasonSale"/>
    <n v="0.12319123020706456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s v="#MyntraSale"/>
    <s v="EndOfSeasonSale"/>
    <n v="0.27668128654970758"/>
    <n v="0.23656250000000001"/>
  </r>
  <r>
    <s v="P246"/>
    <x v="3"/>
    <d v="2024-10-11T00:00:00"/>
    <x v="4"/>
    <s v="Explore the latest image on Myntra! Trendy styles await."/>
    <n v="400"/>
    <n v="680"/>
    <n v="434"/>
    <n v="6400"/>
    <n v="5472"/>
    <n v="160"/>
    <s v="#MyntraTrend"/>
    <s v="EndOfSeasonSale"/>
    <n v="0.27668128654970758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s v="#MyntraTrend"/>
    <s v="StyleRevolution"/>
    <n v="0.12149210903873744"/>
    <n v="0.11879910213243547"/>
  </r>
  <r>
    <s v="P247"/>
    <x v="3"/>
    <d v="2024-08-27T00:00:00"/>
    <x v="0"/>
    <s v="Explore the latest reel on Myntra! Trendy styles await."/>
    <n v="3960"/>
    <n v="266"/>
    <n v="8"/>
    <n v="35640"/>
    <n v="34850"/>
    <n v="208"/>
    <s v="#MyntraFashion"/>
    <s v="StyleRevolution"/>
    <n v="0.12149210903873744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s v="#MyntraSale"/>
    <s v="MyntraFestiveEdit"/>
    <n v="0.2885806291800842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s v="#StyleWithMyntra"/>
    <s v="EndOfSeasonSale"/>
    <n v="9.2434000990869847E-2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s v="#FashionDeals"/>
    <s v="FashionUpgrade"/>
    <n v="7.3326714168905502E-2"/>
    <n v="7.3170731707317069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s v="#MyntraTrend"/>
    <s v="FashionUpgrade"/>
    <n v="7.3326714168905502E-2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s v="#FashionDeals"/>
    <s v="MyntraFestiveEdit"/>
    <n v="0.11706067950066304"/>
    <n v="0.11619462599854757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s v="#MyntraFashion"/>
    <s v="MyntraFestiveEdit"/>
    <n v="0.11706067950066304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s v="#StyleWithMyntra"/>
    <s v="FashionUpgrade"/>
    <n v="0.16150591697835551"/>
    <n v="0.15761129727142173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s v="#MyntraSale"/>
    <s v="FashionUpgrade"/>
    <n v="0.16150591697835551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s v="#StyleWithMyntra"/>
    <s v="FashionUpgrade"/>
    <n v="8.7658943607093309E-2"/>
    <n v="8.6897539284772202E-2"/>
  </r>
  <r>
    <s v="P253"/>
    <x v="0"/>
    <d v="2024-08-03T00:00:00"/>
    <x v="0"/>
    <s v="Explore the latest reel on Myntra! Trendy styles await."/>
    <n v="3791"/>
    <n v="593"/>
    <n v="228"/>
    <n v="53074"/>
    <n v="52613"/>
    <n v="205"/>
    <s v="#FashionDeals"/>
    <s v="FashionUpgrade"/>
    <n v="8.7658943607093309E-2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s v="#FashionDeals"/>
    <s v="StyleRevolution"/>
    <n v="0.13593749999999999"/>
    <n v="0.13331166419019316"/>
  </r>
  <r>
    <s v="P254"/>
    <x v="0"/>
    <d v="2025-01-14T00:00:00"/>
    <x v="4"/>
    <s v="Explore the latest image on Myntra! Trendy styles await."/>
    <n v="2692"/>
    <n v="115"/>
    <n v="64"/>
    <n v="21536"/>
    <n v="21120"/>
    <n v="224"/>
    <s v="#MyntraTrend"/>
    <s v="StyleRevolution"/>
    <n v="0.13593749999999999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s v="#StyleWithMyntra"/>
    <s v="FashionUpgrade"/>
    <n v="0.12277555899692993"/>
    <n v="0.11996283514733209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s v="#FashionDeals"/>
    <s v="FashionUpgrade"/>
    <n v="0.12277555899692993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s v="#FashionDeals"/>
    <s v="StyleRevolution"/>
    <n v="5.8791277258566976E-2"/>
    <n v="5.7936488444630008E-2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s v="#MyntraSale"/>
    <s v="StyleRevolution"/>
    <n v="5.8791277258566976E-2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s v="#FashionDeals"/>
    <s v="StyleRevolution"/>
    <n v="8.1423625422471349E-2"/>
    <n v="7.991504854368931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s v="#StyleWithMyntra"/>
    <s v="StyleRevolution"/>
    <n v="8.1423625422471349E-2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s v="#StyleWithMyntra"/>
    <s v="EndOfSeasonSale"/>
    <n v="0.20373823063298219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s v="#FashionDeals"/>
    <s v="StyleRevolution"/>
    <n v="0.29557823129251698"/>
    <n v="0.25771055753262156"/>
  </r>
  <r>
    <s v="P259"/>
    <x v="3"/>
    <d v="2025-02-10T00:00:00"/>
    <x v="1"/>
    <s v="Explore the latest text on Myntra! Trendy styles await."/>
    <n v="562"/>
    <n v="158"/>
    <n v="149"/>
    <n v="3372"/>
    <n v="2940"/>
    <n v="93"/>
    <s v="#MyntraSale"/>
    <s v="StyleRevolution"/>
    <n v="0.29557823129251698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s v="#MyntraFashion"/>
    <s v="MyntraFestiveEdit"/>
    <n v="8.8116959451628396E-2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s v="#MyntraSale"/>
    <s v="EndOfSeasonSale"/>
    <n v="8.3475227376552177E-2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s v="#MyntraSale"/>
    <s v="MyntraFestiveEdit"/>
    <n v="0.15716257831581182"/>
    <n v="0.15339966832504145"/>
  </r>
  <r>
    <s v="P262"/>
    <x v="1"/>
    <d v="2025-01-18T00:00:00"/>
    <x v="4"/>
    <s v="Explore the latest image on Myntra! Trendy styles await."/>
    <n v="1206"/>
    <n v="238"/>
    <n v="36"/>
    <n v="9648"/>
    <n v="9417"/>
    <n v="237"/>
    <s v="#StyleWithMyntra"/>
    <s v="MyntraFestiveEdit"/>
    <n v="0.15716257831581182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s v="#MyntraTrend"/>
    <s v="FashionUpgrade"/>
    <n v="0.28837592745259688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s v="#MyntraTrend"/>
    <s v="StyleRevolution"/>
    <n v="0.66315789473684206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s v="#StyleWithMyntra"/>
    <s v="FashionUpgrade"/>
    <n v="0.25959697273639099"/>
    <n v="0.25279701651571657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s v="#MyntraSale"/>
    <s v="FashionUpgrade"/>
    <n v="0.25959697273639099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s v="#MyntraSale"/>
    <s v="MyntraFestiveEdit"/>
    <n v="0.10257137646653564"/>
    <n v="0.10086880280567512"/>
  </r>
  <r>
    <s v="P266"/>
    <x v="3"/>
    <d v="2024-11-25T00:00:00"/>
    <x v="2"/>
    <s v="Explore the latest story on Myntra! Trendy styles await."/>
    <n v="4182"/>
    <n v="640"/>
    <n v="240"/>
    <n v="50184"/>
    <n v="49351"/>
    <n v="10"/>
    <s v="#StyleWithMyntra"/>
    <s v="MyntraFestiveEdit"/>
    <n v="0.10257137646653564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s v="#StyleWithMyntra"/>
    <s v="StyleRevolution"/>
    <n v="6.4310805536373736E-2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s v="#StyleWithMyntra"/>
    <s v="FashionUpgrade"/>
    <n v="8.4242424242424244E-2"/>
    <n v="8.4062694239588759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s v="#MyntraFashion"/>
    <s v="FashionUpgrade"/>
    <n v="8.4242424242424244E-2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s v="#StyleWithMyntra"/>
    <s v="EndOfSeasonSale"/>
    <n v="0.23083599817268158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s v="#FashionDeals"/>
    <s v="MyntraFestiveEdit"/>
    <n v="6.8112287779458727E-2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s v="#FashionDeals"/>
    <s v="MyntraFestiveEdit"/>
    <n v="0.21337503006976186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s v="#MyntraSale"/>
    <s v="EndOfSeasonSale"/>
    <n v="0.14356132195944221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s v="#MyntraTrend"/>
    <s v="EndOfSeasonSale"/>
    <n v="9.9519316361046828E-2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s v="#MyntraTrend"/>
    <s v="EndOfSeasonSale"/>
    <n v="7.9199105908204046E-2"/>
    <n v="7.8849599245638849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s v="#StyleWithMyntra"/>
    <s v="EndOfSeasonSale"/>
    <n v="7.9199105908204046E-2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s v="#MyntraFashion"/>
    <s v="StyleRevolution"/>
    <n v="0.17317739254333889"/>
    <n v="0.16754738655944859"/>
  </r>
  <r>
    <s v="P275"/>
    <x v="3"/>
    <d v="2024-08-05T00:00:00"/>
    <x v="0"/>
    <s v="Explore the latest reel on Myntra! Trendy styles await."/>
    <n v="1741"/>
    <n v="831"/>
    <n v="345"/>
    <n v="17410"/>
    <n v="16844"/>
    <n v="58"/>
    <s v="#FashionDeals"/>
    <s v="StyleRevolution"/>
    <n v="0.17317739254333889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s v="#MyntraFashion"/>
    <s v="EndOfSeasonSale"/>
    <n v="0.21205633802816901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s v="#MyntraTrend"/>
    <s v="StyleRevolution"/>
    <n v="0.25565412361084033"/>
    <n v="0.24763928234183191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s v="#MyntraSale"/>
    <s v="StyleRevolution"/>
    <n v="0.25565412361084033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s v="#MyntraTrend"/>
    <s v="FashionUpgrade"/>
    <n v="0.11208559189556815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s v="#MyntraTrend"/>
    <s v="StyleRevolution"/>
    <n v="6.0129689481651191E-2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s v="#StyleWithMyntra"/>
    <s v="StyleRevolution"/>
    <n v="8.3896307934014133E-2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s v="#MyntraFashion"/>
    <s v="EndOfSeasonSale"/>
    <n v="6.4089086859688199E-2"/>
    <n v="6.3118551273952411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s v="#StyleWithMyntra"/>
    <s v="EndOfSeasonSale"/>
    <n v="6.4089086859688199E-2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s v="#MyntraSale"/>
    <s v="FashionUpgrade"/>
    <n v="0.11269366675727099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s v="#MyntraTrend"/>
    <s v="MyntraFestiveEdit"/>
    <n v="5.841132483657057E-2"/>
    <n v="5.8243321401216137E-2"/>
  </r>
  <r>
    <s v="P283"/>
    <x v="0"/>
    <d v="2025-05-09T00:00:00"/>
    <x v="0"/>
    <s v="Explore the latest reel on Myntra! Trendy styles await."/>
    <n v="3367"/>
    <n v="302"/>
    <n v="57"/>
    <n v="63973"/>
    <n v="63789"/>
    <n v="157"/>
    <s v="#MyntraFashion"/>
    <s v="MyntraFestiveEdit"/>
    <n v="5.841132483657057E-2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s v="#FashionDeals"/>
    <s v="EndOfSeasonSale"/>
    <n v="0.11817795710341898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s v="#FashionDeals"/>
    <s v="FashionUpgrade"/>
    <n v="0.13778341078721307"/>
    <n v="0.13517919809886983"/>
  </r>
  <r>
    <s v="P285"/>
    <x v="1"/>
    <d v="2024-07-18T00:00:00"/>
    <x v="1"/>
    <s v="Explore the latest text on Myntra! Trendy styles await."/>
    <n v="4021"/>
    <n v="794"/>
    <n v="77"/>
    <n v="36189"/>
    <n v="35505"/>
    <n v="174"/>
    <s v="#StyleWithMyntra"/>
    <s v="FashionUpgrade"/>
    <n v="0.13778341078721307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s v="#MyntraFashion"/>
    <s v="EndOfSeasonSale"/>
    <n v="0.20377513758164892"/>
    <n v="0.19484607062063539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s v="#MyntraSale"/>
    <s v="EndOfSeasonSale"/>
    <n v="0.20377513758164892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s v="#MyntraFashion"/>
    <s v="MyntraFestiveEdit"/>
    <n v="0.31705846895720313"/>
    <n v="0.30126002290950743"/>
  </r>
  <r>
    <s v="P287"/>
    <x v="2"/>
    <d v="2024-08-15T00:00:00"/>
    <x v="0"/>
    <s v="Explore the latest reel on Myntra! Trendy styles await."/>
    <n v="1164"/>
    <n v="616"/>
    <n v="324"/>
    <n v="6984"/>
    <n v="6636"/>
    <n v="82"/>
    <s v="#MyntraTrend"/>
    <s v="MyntraFestiveEdit"/>
    <n v="0.31705846895720313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s v="#MyntraFashion"/>
    <s v="MyntraFestiveEdit"/>
    <n v="6.8238806666433408E-2"/>
    <n v="6.800325430032543E-2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s v="#FashionDeals"/>
    <s v="MyntraFestiveEdit"/>
    <n v="6.8238806666433408E-2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s v="#MyntraTrend"/>
    <s v="EndOfSeasonSale"/>
    <n v="7.4029713232753661E-2"/>
    <n v="7.301890221737550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s v="#StyleWithMyntra"/>
    <s v="EndOfSeasonSale"/>
    <n v="7.4029713232753661E-2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s v="#MyntraTrend"/>
    <s v="MyntraFestiveEdit"/>
    <n v="8.5059422750424454E-2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s v="#MyntraFashion"/>
    <s v="EndOfSeasonSale"/>
    <n v="7.2317374561756423E-2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s v="#MyntraSale"/>
    <s v="EndOfSeasonSale"/>
    <n v="0.12706628819502422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s v="#StyleWithMyntra"/>
    <s v="MyntraFestiveEdit"/>
    <n v="0.12814034588285531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s v="#MyntraTrend"/>
    <s v="StyleRevolution"/>
    <n v="0.18378570161433386"/>
    <n v="0.18248432325794406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s v="#MyntraFashion"/>
    <s v="StyleRevolution"/>
    <n v="0.18378570161433386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s v="#MyntraSale"/>
    <s v="MyntraFestiveEdit"/>
    <n v="0.16769460494708824"/>
    <n v="0.16540727459016394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s v="#MyntraFashion"/>
    <s v="MyntraFestiveEdit"/>
    <n v="0.16769460494708824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s v="#MyntraFashion"/>
    <s v="FashionUpgrade"/>
    <n v="5.9728958139854849E-2"/>
    <n v="5.9387824897400819E-2"/>
  </r>
  <r>
    <s v="P296"/>
    <x v="0"/>
    <d v="2025-02-11T00:00:00"/>
    <x v="5"/>
    <s v="Explore the latest video on Myntra! Trendy styles await."/>
    <n v="3440"/>
    <n v="13"/>
    <n v="20"/>
    <n v="58480"/>
    <n v="58146"/>
    <n v="210"/>
    <s v="#FashionDeals"/>
    <s v="FashionUpgrade"/>
    <n v="5.9728958139854849E-2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s v="#StyleWithMyntra"/>
    <s v="FashionUpgrade"/>
    <n v="0.257393850658858"/>
    <n v="0.24349030470914126"/>
  </r>
  <r>
    <s v="P297"/>
    <x v="0"/>
    <d v="2024-12-24T00:00:00"/>
    <x v="1"/>
    <s v="Explore the latest text on Myntra! Trendy styles await."/>
    <n v="2166"/>
    <n v="354"/>
    <n v="117"/>
    <n v="10830"/>
    <n v="10245"/>
    <n v="24"/>
    <s v="#MyntraTrend"/>
    <s v="FashionUpgrade"/>
    <n v="0.257393850658858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s v="#MyntraSale"/>
    <s v="EndOfSeasonSale"/>
    <n v="5.8725516469943957E-2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s v="#MyntraSale"/>
    <s v="EndOfSeasonSale"/>
    <n v="0.14397026555013209"/>
    <n v="0.1384045804812949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s v="#StyleWithMyntra"/>
    <s v="EndOfSeasonSale"/>
    <n v="0.14397026555013209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s v="#MyntraFashion"/>
    <s v="FashionUpgrade"/>
    <n v="8.3843797856049007E-2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AF0B4-56B0-4703-B8B6-B682EA0A09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4:Q10" firstHeaderRow="1" firstDataRow="1" firstDataCol="1"/>
  <pivotFields count="13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Frequency of Hashtags" fld="11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E053B-14DD-497C-82AA-E57689F7904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5:Q11" firstHeaderRow="1" firstDataRow="1" firstDataCol="1"/>
  <pivotFields count="14">
    <pivotField showAll="0"/>
    <pivotField showAll="0"/>
    <pivotField numFmtId="14"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numFmtId="2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udience_Resonance" fld="13" subtotal="average" baseField="11" baseItem="0" numFmtId="2"/>
  </dataFields>
  <formats count="2">
    <format dxfId="22">
      <pivotArea collapsedLevelsAreSubtotals="1" fieldPosition="0">
        <references count="1">
          <reference field="11" count="0"/>
        </references>
      </pivotArea>
    </format>
    <format dxfId="21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19A37-27F9-4D16-8120-68DDCAA9DAE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P5:Q9" firstHeaderRow="1" firstDataRow="1" firstDataCol="1"/>
  <pivotFields count="14">
    <pivotField showAll="0"/>
    <pivotField showAll="0"/>
    <pivotField numFmtId="14" showAll="0"/>
    <pivotField axis="axisRow" showAll="0" includeNewItemsInFilter="1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dataField="1" numFmtId="2" showAll="0"/>
  </pivotFields>
  <rowFields count="1">
    <field x="3"/>
  </rowFields>
  <rowItems count="4">
    <i>
      <x/>
    </i>
    <i>
      <x v="1"/>
    </i>
    <i>
      <x v="5"/>
    </i>
    <i t="grand">
      <x/>
    </i>
  </rowItems>
  <colItems count="1">
    <i/>
  </colItems>
  <dataFields count="1">
    <dataField name="content performance" fld="13" subtotal="average" baseField="3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AFB299-EED5-47A7-A6D5-B18B4014DC9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7:Y13" firstHeaderRow="1" firstDataRow="2" firstDataCol="1"/>
  <pivotFields count="15">
    <pivotField showAll="0"/>
    <pivotField axis="axisRow" showAll="0">
      <items count="5">
        <item n="Facebook" x="3"/>
        <item x="2"/>
        <item x="0"/>
        <item x="1"/>
        <item t="default"/>
      </items>
    </pivotField>
    <pivotField numFmtId="14"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numFmtId="2" showAll="0"/>
    <pivotField dataField="1" numFmtId="2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Engagement_rate" fld="14" subtotal="average" baseField="1" baseItem="0" numFmtId="2"/>
  </dataFields>
  <formats count="21">
    <format dxfId="20">
      <pivotArea type="all" dataOnly="0" outline="0" fieldPosition="0"/>
    </format>
    <format dxfId="19">
      <pivotArea collapsedLevelsAreSubtotals="1" fieldPosition="0">
        <references count="2">
          <reference field="1" count="1">
            <x v="0"/>
          </reference>
          <reference field="3" count="0" selected="0"/>
        </references>
      </pivotArea>
    </format>
    <format dxfId="18">
      <pivotArea collapsedLevelsAreSubtotals="1" fieldPosition="0">
        <references count="2">
          <reference field="1" count="1">
            <x v="1"/>
          </reference>
          <reference field="3" count="0" selected="0"/>
        </references>
      </pivotArea>
    </format>
    <format dxfId="17">
      <pivotArea collapsedLevelsAreSubtotals="1" fieldPosition="0">
        <references count="2">
          <reference field="1" count="1">
            <x v="2"/>
          </reference>
          <reference field="3" count="0" selected="0"/>
        </references>
      </pivotArea>
    </format>
    <format dxfId="16">
      <pivotArea collapsedLevelsAreSubtotals="1" fieldPosition="0">
        <references count="2">
          <reference field="1" count="1">
            <x v="3"/>
          </reference>
          <reference field="3" count="0" selected="0"/>
        </references>
      </pivotArea>
    </format>
    <format dxfId="15">
      <pivotArea field="3" grandRow="1" outline="0" collapsedLevelsAreSubtotals="1" axis="axisCol" fieldPosition="0">
        <references count="1">
          <reference field="3" count="0" selected="0"/>
        </references>
      </pivotArea>
    </format>
    <format dxfId="14">
      <pivotArea grandCol="1" outline="0" collapsedLevelsAreSubtotals="1" fieldPosition="0"/>
    </format>
    <format dxfId="13">
      <pivotArea collapsedLevelsAreSubtotals="1" fieldPosition="0">
        <references count="2">
          <reference field="1" count="1">
            <x v="0"/>
          </reference>
          <reference field="3" count="1" selected="0">
            <x v="5"/>
          </reference>
        </references>
      </pivotArea>
    </format>
    <format dxfId="12">
      <pivotArea collapsedLevelsAreSubtotals="1" fieldPosition="0">
        <references count="2">
          <reference field="1" count="1">
            <x v="0"/>
          </reference>
          <reference field="3" count="1" selected="0">
            <x v="5"/>
          </reference>
        </references>
      </pivotArea>
    </format>
    <format dxfId="11">
      <pivotArea collapsedLevelsAreSubtotals="1" fieldPosition="0">
        <references count="2">
          <reference field="1" count="1">
            <x v="1"/>
          </reference>
          <reference field="3" count="1" selected="0">
            <x v="5"/>
          </reference>
        </references>
      </pivotArea>
    </format>
    <format dxfId="10">
      <pivotArea collapsedLevelsAreSubtotals="1" fieldPosition="0">
        <references count="2">
          <reference field="1" count="1">
            <x v="1"/>
          </reference>
          <reference field="3" count="1" selected="0">
            <x v="5"/>
          </reference>
        </references>
      </pivotArea>
    </format>
    <format dxfId="9">
      <pivotArea collapsedLevelsAreSubtotals="1" fieldPosition="0">
        <references count="2">
          <reference field="1" count="1">
            <x v="2"/>
          </reference>
          <reference field="3" count="1" selected="0">
            <x v="3"/>
          </reference>
        </references>
      </pivotArea>
    </format>
    <format dxfId="8">
      <pivotArea collapsedLevelsAreSubtotals="1" fieldPosition="0">
        <references count="2">
          <reference field="1" count="1">
            <x v="2"/>
          </reference>
          <reference field="3" count="1" selected="0">
            <x v="3"/>
          </reference>
        </references>
      </pivotArea>
    </format>
    <format dxfId="7">
      <pivotArea collapsedLevelsAreSubtotals="1" fieldPosition="0">
        <references count="2">
          <reference field="1" count="1">
            <x v="3"/>
          </reference>
          <reference field="3" count="1" selected="0">
            <x v="0"/>
          </reference>
        </references>
      </pivotArea>
    </format>
    <format dxfId="6">
      <pivotArea collapsedLevelsAreSubtotals="1" fieldPosition="0">
        <references count="2">
          <reference field="1" count="1">
            <x v="3"/>
          </reference>
          <reference field="3" count="1" selected="0">
            <x v="0"/>
          </reference>
        </references>
      </pivotArea>
    </format>
    <format dxfId="5">
      <pivotArea collapsedLevelsAreSubtotals="1" fieldPosition="0">
        <references count="2">
          <reference field="1" count="1">
            <x v="0"/>
          </reference>
          <reference field="3" count="1" selected="0">
            <x v="3"/>
          </reference>
        </references>
      </pivotArea>
    </format>
    <format dxfId="4">
      <pivotArea collapsedLevelsAreSubtotals="1" fieldPosition="0">
        <references count="2">
          <reference field="1" count="1">
            <x v="0"/>
          </reference>
          <reference field="3" count="1" selected="0">
            <x v="3"/>
          </reference>
        </references>
      </pivotArea>
    </format>
    <format dxfId="3">
      <pivotArea collapsedLevelsAreSubtotals="1" fieldPosition="0">
        <references count="2">
          <reference field="1" count="1">
            <x v="0"/>
          </reference>
          <reference field="3" count="1" selected="0">
            <x v="5"/>
          </reference>
        </references>
      </pivotArea>
    </format>
    <format dxfId="2">
      <pivotArea collapsedLevelsAreSubtotals="1" fieldPosition="0">
        <references count="2">
          <reference field="1" count="1">
            <x v="1"/>
          </reference>
          <reference field="3" count="2" selected="0">
            <x v="2"/>
            <x v="3"/>
          </reference>
        </references>
      </pivotArea>
    </format>
    <format dxfId="1">
      <pivotArea collapsedLevelsAreSubtotals="1" fieldPosition="0">
        <references count="2">
          <reference field="1" count="1">
            <x v="1"/>
          </reference>
          <reference field="3" count="2" selected="0">
            <x v="2"/>
            <x v="3"/>
          </reference>
        </references>
      </pivotArea>
    </format>
    <format dxfId="0">
      <pivotArea collapsedLevelsAreSubtotals="1" fieldPosition="0">
        <references count="2">
          <reference field="1" count="1">
            <x v="0"/>
          </reference>
          <reference field="3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5F1E-7CCF-4ED6-81D8-ECFD49162FBB}">
  <dimension ref="A1:Q457"/>
  <sheetViews>
    <sheetView topLeftCell="B1" workbookViewId="0">
      <selection activeCell="N22" sqref="N22"/>
    </sheetView>
  </sheetViews>
  <sheetFormatPr defaultRowHeight="14.4" x14ac:dyDescent="0.3"/>
  <cols>
    <col min="3" max="3" width="12.21875" customWidth="1"/>
    <col min="12" max="12" width="16.109375" customWidth="1"/>
    <col min="13" max="13" width="17.33203125" customWidth="1"/>
    <col min="16" max="16" width="15.77734375" bestFit="1" customWidth="1"/>
    <col min="17" max="17" width="20.2187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</row>
    <row r="2" spans="1:17" x14ac:dyDescent="0.3">
      <c r="A2" s="5" t="s">
        <v>13</v>
      </c>
      <c r="B2" s="6" t="s">
        <v>14</v>
      </c>
      <c r="C2" s="7">
        <v>45649</v>
      </c>
      <c r="D2" s="6" t="s">
        <v>15</v>
      </c>
      <c r="E2" s="6" t="s">
        <v>16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9" t="s">
        <v>17</v>
      </c>
      <c r="M2" s="9" t="s">
        <v>18</v>
      </c>
    </row>
    <row r="3" spans="1:17" ht="15.6" x14ac:dyDescent="0.3">
      <c r="A3" s="5" t="s">
        <v>19</v>
      </c>
      <c r="B3" s="6" t="s">
        <v>14</v>
      </c>
      <c r="C3" s="7">
        <v>45750</v>
      </c>
      <c r="D3" s="6" t="s">
        <v>20</v>
      </c>
      <c r="E3" s="6" t="s">
        <v>21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9" t="s">
        <v>22</v>
      </c>
      <c r="M3" s="9" t="s">
        <v>23</v>
      </c>
      <c r="O3" s="29" t="s">
        <v>354</v>
      </c>
      <c r="P3" s="29"/>
      <c r="Q3" s="29"/>
    </row>
    <row r="4" spans="1:17" x14ac:dyDescent="0.3">
      <c r="A4" s="5" t="s">
        <v>24</v>
      </c>
      <c r="B4" s="6" t="s">
        <v>25</v>
      </c>
      <c r="C4" s="7">
        <v>45789</v>
      </c>
      <c r="D4" s="6" t="s">
        <v>15</v>
      </c>
      <c r="E4" s="6" t="s">
        <v>16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9" t="s">
        <v>22</v>
      </c>
      <c r="M4" s="9" t="s">
        <v>18</v>
      </c>
      <c r="P4" s="15" t="s">
        <v>338</v>
      </c>
      <c r="Q4" t="s">
        <v>340</v>
      </c>
    </row>
    <row r="5" spans="1:17" x14ac:dyDescent="0.3">
      <c r="A5" s="5" t="s">
        <v>24</v>
      </c>
      <c r="B5" s="6" t="s">
        <v>25</v>
      </c>
      <c r="C5" s="7">
        <v>45789</v>
      </c>
      <c r="D5" s="6" t="s">
        <v>15</v>
      </c>
      <c r="E5" s="6" t="s">
        <v>16</v>
      </c>
      <c r="F5" s="8">
        <v>2795</v>
      </c>
      <c r="G5" s="8">
        <v>105</v>
      </c>
      <c r="H5" s="8">
        <v>49</v>
      </c>
      <c r="I5" s="8">
        <v>53105</v>
      </c>
      <c r="J5" s="8">
        <v>52307</v>
      </c>
      <c r="K5" s="8">
        <v>204</v>
      </c>
      <c r="L5" s="9" t="s">
        <v>17</v>
      </c>
      <c r="M5" s="9" t="s">
        <v>18</v>
      </c>
      <c r="P5" s="16" t="s">
        <v>52</v>
      </c>
      <c r="Q5">
        <v>80</v>
      </c>
    </row>
    <row r="6" spans="1:17" x14ac:dyDescent="0.3">
      <c r="A6" s="5" t="s">
        <v>26</v>
      </c>
      <c r="B6" s="9" t="s">
        <v>27</v>
      </c>
      <c r="C6" s="7">
        <v>45516</v>
      </c>
      <c r="D6" s="6" t="s">
        <v>28</v>
      </c>
      <c r="E6" s="6" t="s">
        <v>29</v>
      </c>
      <c r="F6" s="8">
        <v>2404</v>
      </c>
      <c r="G6" s="8">
        <v>363</v>
      </c>
      <c r="H6" s="8">
        <v>138</v>
      </c>
      <c r="I6" s="8">
        <v>19232</v>
      </c>
      <c r="J6" s="8">
        <v>18636</v>
      </c>
      <c r="K6" s="8">
        <v>128</v>
      </c>
      <c r="L6" s="9" t="s">
        <v>17</v>
      </c>
      <c r="M6" s="9" t="s">
        <v>18</v>
      </c>
      <c r="P6" s="16" t="s">
        <v>22</v>
      </c>
      <c r="Q6">
        <v>83</v>
      </c>
    </row>
    <row r="7" spans="1:17" x14ac:dyDescent="0.3">
      <c r="A7" s="5" t="s">
        <v>30</v>
      </c>
      <c r="B7" s="6" t="s">
        <v>25</v>
      </c>
      <c r="C7" s="7">
        <v>45469</v>
      </c>
      <c r="D7" s="6" t="s">
        <v>15</v>
      </c>
      <c r="E7" s="6" t="s">
        <v>16</v>
      </c>
      <c r="F7" s="8">
        <v>3557</v>
      </c>
      <c r="G7" s="8">
        <v>687</v>
      </c>
      <c r="H7" s="8">
        <v>424</v>
      </c>
      <c r="I7" s="8">
        <v>71140</v>
      </c>
      <c r="J7" s="8">
        <v>70701</v>
      </c>
      <c r="K7" s="8">
        <v>224</v>
      </c>
      <c r="L7" s="9" t="s">
        <v>31</v>
      </c>
      <c r="M7" s="9" t="s">
        <v>32</v>
      </c>
      <c r="P7" s="16" t="s">
        <v>17</v>
      </c>
      <c r="Q7">
        <v>97</v>
      </c>
    </row>
    <row r="8" spans="1:17" x14ac:dyDescent="0.3">
      <c r="A8" s="5" t="s">
        <v>30</v>
      </c>
      <c r="B8" s="6" t="s">
        <v>25</v>
      </c>
      <c r="C8" s="7">
        <v>45469</v>
      </c>
      <c r="D8" s="6" t="s">
        <v>15</v>
      </c>
      <c r="E8" s="6" t="s">
        <v>16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9" t="s">
        <v>22</v>
      </c>
      <c r="M8" s="9" t="s">
        <v>32</v>
      </c>
      <c r="P8" s="16" t="s">
        <v>37</v>
      </c>
      <c r="Q8">
        <v>92</v>
      </c>
    </row>
    <row r="9" spans="1:17" x14ac:dyDescent="0.3">
      <c r="A9" s="5" t="s">
        <v>33</v>
      </c>
      <c r="B9" s="6" t="s">
        <v>34</v>
      </c>
      <c r="C9" s="7">
        <v>45596</v>
      </c>
      <c r="D9" s="6" t="s">
        <v>35</v>
      </c>
      <c r="E9" s="6" t="s">
        <v>36</v>
      </c>
      <c r="F9" s="8">
        <v>2945</v>
      </c>
      <c r="G9" s="8">
        <v>930</v>
      </c>
      <c r="H9" s="8">
        <v>355</v>
      </c>
      <c r="I9" s="8">
        <v>23560</v>
      </c>
      <c r="J9" s="8">
        <v>23275</v>
      </c>
      <c r="K9" s="8">
        <v>256</v>
      </c>
      <c r="L9" s="9" t="s">
        <v>37</v>
      </c>
      <c r="M9" s="9" t="s">
        <v>23</v>
      </c>
      <c r="P9" s="16" t="s">
        <v>31</v>
      </c>
      <c r="Q9">
        <v>104</v>
      </c>
    </row>
    <row r="10" spans="1:17" x14ac:dyDescent="0.3">
      <c r="A10" s="5" t="s">
        <v>38</v>
      </c>
      <c r="B10" s="6" t="s">
        <v>14</v>
      </c>
      <c r="C10" s="7">
        <v>45467</v>
      </c>
      <c r="D10" s="6" t="s">
        <v>35</v>
      </c>
      <c r="E10" s="6" t="s">
        <v>36</v>
      </c>
      <c r="F10" s="8">
        <v>3860</v>
      </c>
      <c r="G10" s="8">
        <v>201</v>
      </c>
      <c r="H10" s="8">
        <v>279</v>
      </c>
      <c r="I10" s="8">
        <v>61760</v>
      </c>
      <c r="J10" s="8">
        <v>61660</v>
      </c>
      <c r="K10" s="8">
        <v>235</v>
      </c>
      <c r="L10" s="9" t="s">
        <v>37</v>
      </c>
      <c r="M10" s="9" t="s">
        <v>32</v>
      </c>
      <c r="P10" s="16" t="s">
        <v>339</v>
      </c>
      <c r="Q10">
        <v>456</v>
      </c>
    </row>
    <row r="11" spans="1:17" x14ac:dyDescent="0.3">
      <c r="A11" s="5" t="s">
        <v>39</v>
      </c>
      <c r="B11" s="6" t="s">
        <v>25</v>
      </c>
      <c r="C11" s="7">
        <v>45486</v>
      </c>
      <c r="D11" s="6" t="s">
        <v>40</v>
      </c>
      <c r="E11" s="6" t="s">
        <v>41</v>
      </c>
      <c r="F11" s="8">
        <v>3929</v>
      </c>
      <c r="G11" s="8">
        <v>262</v>
      </c>
      <c r="H11" s="8">
        <v>278</v>
      </c>
      <c r="I11" s="8">
        <v>43219</v>
      </c>
      <c r="J11" s="8">
        <v>42841</v>
      </c>
      <c r="K11" s="8">
        <v>39</v>
      </c>
      <c r="L11" s="9" t="s">
        <v>22</v>
      </c>
      <c r="M11" s="9" t="s">
        <v>32</v>
      </c>
    </row>
    <row r="12" spans="1:17" x14ac:dyDescent="0.3">
      <c r="A12" s="5" t="s">
        <v>39</v>
      </c>
      <c r="B12" s="6" t="s">
        <v>25</v>
      </c>
      <c r="C12" s="7">
        <v>45486</v>
      </c>
      <c r="D12" s="6" t="s">
        <v>40</v>
      </c>
      <c r="E12" s="6" t="s">
        <v>41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9" t="s">
        <v>17</v>
      </c>
      <c r="M12" s="9" t="s">
        <v>32</v>
      </c>
      <c r="P12" s="31" t="s">
        <v>355</v>
      </c>
      <c r="Q12" s="32"/>
    </row>
    <row r="13" spans="1:17" x14ac:dyDescent="0.3">
      <c r="A13" s="5" t="s">
        <v>42</v>
      </c>
      <c r="B13" s="6" t="s">
        <v>34</v>
      </c>
      <c r="C13" s="7">
        <v>45534</v>
      </c>
      <c r="D13" s="6" t="s">
        <v>20</v>
      </c>
      <c r="E13" s="6" t="s">
        <v>21</v>
      </c>
      <c r="F13" s="8">
        <v>3784</v>
      </c>
      <c r="G13" s="8">
        <v>808</v>
      </c>
      <c r="H13" s="8">
        <v>404</v>
      </c>
      <c r="I13" s="8">
        <v>56760</v>
      </c>
      <c r="J13" s="8">
        <v>56343</v>
      </c>
      <c r="K13" s="8">
        <v>131</v>
      </c>
      <c r="L13" s="9" t="s">
        <v>22</v>
      </c>
      <c r="M13" s="9" t="s">
        <v>32</v>
      </c>
      <c r="P13" s="32"/>
      <c r="Q13" s="32"/>
    </row>
    <row r="14" spans="1:17" x14ac:dyDescent="0.3">
      <c r="A14" s="5" t="s">
        <v>42</v>
      </c>
      <c r="B14" s="6" t="s">
        <v>34</v>
      </c>
      <c r="C14" s="7">
        <v>45534</v>
      </c>
      <c r="D14" s="6" t="s">
        <v>20</v>
      </c>
      <c r="E14" s="6" t="s">
        <v>21</v>
      </c>
      <c r="F14" s="8">
        <v>3784</v>
      </c>
      <c r="G14" s="8">
        <v>808</v>
      </c>
      <c r="H14" s="8">
        <v>404</v>
      </c>
      <c r="I14" s="8">
        <v>56760</v>
      </c>
      <c r="J14" s="8">
        <v>56343</v>
      </c>
      <c r="K14" s="8">
        <v>131</v>
      </c>
      <c r="L14" s="9" t="s">
        <v>17</v>
      </c>
      <c r="M14" s="9" t="s">
        <v>32</v>
      </c>
      <c r="P14" s="32"/>
      <c r="Q14" s="32"/>
    </row>
    <row r="15" spans="1:17" x14ac:dyDescent="0.3">
      <c r="A15" s="5" t="s">
        <v>43</v>
      </c>
      <c r="B15" s="6" t="s">
        <v>34</v>
      </c>
      <c r="C15" s="7">
        <v>45727</v>
      </c>
      <c r="D15" s="6" t="s">
        <v>40</v>
      </c>
      <c r="E15" s="6" t="s">
        <v>41</v>
      </c>
      <c r="F15" s="8">
        <v>4241</v>
      </c>
      <c r="G15" s="8">
        <v>902</v>
      </c>
      <c r="H15" s="8">
        <v>47</v>
      </c>
      <c r="I15" s="8">
        <v>72097</v>
      </c>
      <c r="J15" s="8">
        <v>71598</v>
      </c>
      <c r="K15" s="8">
        <v>167</v>
      </c>
      <c r="L15" s="9" t="s">
        <v>37</v>
      </c>
      <c r="M15" s="9" t="s">
        <v>44</v>
      </c>
      <c r="P15" s="32"/>
      <c r="Q15" s="32"/>
    </row>
    <row r="16" spans="1:17" x14ac:dyDescent="0.3">
      <c r="A16" s="5" t="s">
        <v>45</v>
      </c>
      <c r="B16" s="6" t="s">
        <v>27</v>
      </c>
      <c r="C16" s="7">
        <v>45690</v>
      </c>
      <c r="D16" s="6" t="s">
        <v>28</v>
      </c>
      <c r="E16" s="6" t="s">
        <v>29</v>
      </c>
      <c r="F16" s="8">
        <v>1792</v>
      </c>
      <c r="G16" s="8">
        <v>614</v>
      </c>
      <c r="H16" s="8">
        <v>497</v>
      </c>
      <c r="I16" s="8">
        <v>25088</v>
      </c>
      <c r="J16" s="8">
        <v>24675</v>
      </c>
      <c r="K16" s="8">
        <v>65</v>
      </c>
      <c r="L16" s="9" t="s">
        <v>31</v>
      </c>
      <c r="M16" s="9" t="s">
        <v>18</v>
      </c>
    </row>
    <row r="17" spans="1:16" x14ac:dyDescent="0.3">
      <c r="A17" s="5" t="s">
        <v>46</v>
      </c>
      <c r="B17" s="6" t="s">
        <v>34</v>
      </c>
      <c r="C17" s="7">
        <v>45494</v>
      </c>
      <c r="D17" s="6" t="s">
        <v>15</v>
      </c>
      <c r="E17" s="6" t="s">
        <v>16</v>
      </c>
      <c r="F17" s="8">
        <v>1946</v>
      </c>
      <c r="G17" s="8">
        <v>686</v>
      </c>
      <c r="H17" s="8">
        <v>377</v>
      </c>
      <c r="I17" s="8">
        <v>23352</v>
      </c>
      <c r="J17" s="8">
        <v>22982</v>
      </c>
      <c r="K17" s="8">
        <v>213</v>
      </c>
      <c r="L17" s="9" t="s">
        <v>31</v>
      </c>
      <c r="M17" s="9" t="s">
        <v>32</v>
      </c>
    </row>
    <row r="18" spans="1:16" x14ac:dyDescent="0.3">
      <c r="A18" s="5" t="s">
        <v>46</v>
      </c>
      <c r="B18" s="6" t="s">
        <v>34</v>
      </c>
      <c r="C18" s="7">
        <v>45494</v>
      </c>
      <c r="D18" s="6" t="s">
        <v>15</v>
      </c>
      <c r="E18" s="6" t="s">
        <v>16</v>
      </c>
      <c r="F18" s="8">
        <v>1946</v>
      </c>
      <c r="G18" s="8">
        <v>686</v>
      </c>
      <c r="H18" s="8">
        <v>377</v>
      </c>
      <c r="I18" s="8">
        <v>23352</v>
      </c>
      <c r="J18" s="8">
        <v>22982</v>
      </c>
      <c r="K18" s="8">
        <v>213</v>
      </c>
      <c r="L18" s="9" t="s">
        <v>17</v>
      </c>
      <c r="M18" s="9" t="s">
        <v>32</v>
      </c>
    </row>
    <row r="19" spans="1:16" x14ac:dyDescent="0.3">
      <c r="A19" s="5" t="s">
        <v>47</v>
      </c>
      <c r="B19" s="6" t="s">
        <v>25</v>
      </c>
      <c r="C19" s="7">
        <v>45614</v>
      </c>
      <c r="D19" s="6" t="s">
        <v>35</v>
      </c>
      <c r="E19" s="6" t="s">
        <v>36</v>
      </c>
      <c r="F19" s="8">
        <v>1171</v>
      </c>
      <c r="G19" s="8">
        <v>286</v>
      </c>
      <c r="H19" s="8">
        <v>231</v>
      </c>
      <c r="I19" s="8">
        <v>22249</v>
      </c>
      <c r="J19" s="8">
        <v>21282</v>
      </c>
      <c r="K19" s="8">
        <v>114</v>
      </c>
      <c r="L19" s="9" t="s">
        <v>22</v>
      </c>
      <c r="M19" s="9" t="s">
        <v>44</v>
      </c>
    </row>
    <row r="20" spans="1:16" x14ac:dyDescent="0.3">
      <c r="A20" s="5" t="s">
        <v>48</v>
      </c>
      <c r="B20" s="6" t="s">
        <v>34</v>
      </c>
      <c r="C20" s="7">
        <v>45704</v>
      </c>
      <c r="D20" s="6" t="s">
        <v>28</v>
      </c>
      <c r="E20" s="6" t="s">
        <v>29</v>
      </c>
      <c r="F20" s="8">
        <v>4242</v>
      </c>
      <c r="G20" s="8">
        <v>555</v>
      </c>
      <c r="H20" s="8">
        <v>131</v>
      </c>
      <c r="I20" s="8">
        <v>33936</v>
      </c>
      <c r="J20" s="8">
        <v>33802</v>
      </c>
      <c r="K20" s="8">
        <v>265</v>
      </c>
      <c r="L20" s="9" t="s">
        <v>17</v>
      </c>
      <c r="M20" s="9" t="s">
        <v>32</v>
      </c>
    </row>
    <row r="21" spans="1:16" x14ac:dyDescent="0.3">
      <c r="A21" s="5" t="s">
        <v>48</v>
      </c>
      <c r="B21" s="6" t="s">
        <v>34</v>
      </c>
      <c r="C21" s="7">
        <v>45704</v>
      </c>
      <c r="D21" s="6" t="s">
        <v>28</v>
      </c>
      <c r="E21" s="6" t="s">
        <v>29</v>
      </c>
      <c r="F21" s="8">
        <v>4242</v>
      </c>
      <c r="G21" s="8">
        <v>555</v>
      </c>
      <c r="H21" s="8">
        <v>131</v>
      </c>
      <c r="I21" s="8">
        <v>33936</v>
      </c>
      <c r="J21" s="8">
        <v>33802</v>
      </c>
      <c r="K21" s="8">
        <v>265</v>
      </c>
      <c r="L21" s="9" t="s">
        <v>22</v>
      </c>
      <c r="M21" s="9" t="s">
        <v>32</v>
      </c>
    </row>
    <row r="22" spans="1:16" x14ac:dyDescent="0.3">
      <c r="A22" s="5" t="s">
        <v>49</v>
      </c>
      <c r="B22" s="6" t="s">
        <v>34</v>
      </c>
      <c r="C22" s="7">
        <v>45589</v>
      </c>
      <c r="D22" s="6" t="s">
        <v>50</v>
      </c>
      <c r="E22" s="6" t="s">
        <v>51</v>
      </c>
      <c r="F22" s="8">
        <v>3888</v>
      </c>
      <c r="G22" s="8">
        <v>604</v>
      </c>
      <c r="H22" s="8">
        <v>128</v>
      </c>
      <c r="I22" s="8">
        <v>77760</v>
      </c>
      <c r="J22" s="8">
        <v>77167</v>
      </c>
      <c r="K22" s="8">
        <v>20</v>
      </c>
      <c r="L22" s="9" t="s">
        <v>22</v>
      </c>
      <c r="M22" s="9" t="s">
        <v>18</v>
      </c>
    </row>
    <row r="23" spans="1:16" x14ac:dyDescent="0.3">
      <c r="A23" s="5" t="s">
        <v>49</v>
      </c>
      <c r="B23" s="6" t="s">
        <v>34</v>
      </c>
      <c r="C23" s="7">
        <v>45589</v>
      </c>
      <c r="D23" s="6" t="s">
        <v>50</v>
      </c>
      <c r="E23" s="6" t="s">
        <v>51</v>
      </c>
      <c r="F23" s="8">
        <v>3888</v>
      </c>
      <c r="G23" s="8">
        <v>604</v>
      </c>
      <c r="H23" s="8">
        <v>128</v>
      </c>
      <c r="I23" s="8">
        <v>77760</v>
      </c>
      <c r="J23" s="8">
        <v>77167</v>
      </c>
      <c r="K23" s="8">
        <v>20</v>
      </c>
      <c r="L23" s="9" t="s">
        <v>52</v>
      </c>
      <c r="M23" s="9" t="s">
        <v>18</v>
      </c>
      <c r="P23" s="30"/>
    </row>
    <row r="24" spans="1:16" x14ac:dyDescent="0.3">
      <c r="A24" s="5" t="s">
        <v>53</v>
      </c>
      <c r="B24" s="6" t="s">
        <v>34</v>
      </c>
      <c r="C24" s="7">
        <v>45530</v>
      </c>
      <c r="D24" s="6" t="s">
        <v>20</v>
      </c>
      <c r="E24" s="6" t="s">
        <v>21</v>
      </c>
      <c r="F24" s="8">
        <v>3452</v>
      </c>
      <c r="G24" s="8">
        <v>377</v>
      </c>
      <c r="H24" s="8">
        <v>360</v>
      </c>
      <c r="I24" s="8">
        <v>55232</v>
      </c>
      <c r="J24" s="8">
        <v>55075</v>
      </c>
      <c r="K24" s="8">
        <v>87</v>
      </c>
      <c r="L24" s="9" t="s">
        <v>17</v>
      </c>
      <c r="M24" s="9" t="s">
        <v>32</v>
      </c>
    </row>
    <row r="25" spans="1:16" x14ac:dyDescent="0.3">
      <c r="A25" s="5" t="s">
        <v>53</v>
      </c>
      <c r="B25" s="6" t="s">
        <v>34</v>
      </c>
      <c r="C25" s="7">
        <v>45530</v>
      </c>
      <c r="D25" s="6" t="s">
        <v>20</v>
      </c>
      <c r="E25" s="6" t="s">
        <v>21</v>
      </c>
      <c r="F25" s="8">
        <v>3452</v>
      </c>
      <c r="G25" s="8">
        <v>377</v>
      </c>
      <c r="H25" s="8">
        <v>360</v>
      </c>
      <c r="I25" s="8">
        <v>55232</v>
      </c>
      <c r="J25" s="8">
        <v>55075</v>
      </c>
      <c r="K25" s="8">
        <v>87</v>
      </c>
      <c r="L25" s="9" t="s">
        <v>52</v>
      </c>
      <c r="M25" s="9" t="s">
        <v>32</v>
      </c>
    </row>
    <row r="26" spans="1:16" x14ac:dyDescent="0.3">
      <c r="A26" s="5" t="s">
        <v>54</v>
      </c>
      <c r="B26" s="6" t="s">
        <v>34</v>
      </c>
      <c r="C26" s="7">
        <v>45782</v>
      </c>
      <c r="D26" s="6" t="s">
        <v>20</v>
      </c>
      <c r="E26" s="6" t="s">
        <v>21</v>
      </c>
      <c r="F26" s="8">
        <v>4441</v>
      </c>
      <c r="G26" s="8">
        <v>511</v>
      </c>
      <c r="H26" s="8">
        <v>70</v>
      </c>
      <c r="I26" s="8">
        <v>53292</v>
      </c>
      <c r="J26" s="8">
        <v>53082</v>
      </c>
      <c r="K26" s="8">
        <v>159</v>
      </c>
      <c r="L26" s="9" t="s">
        <v>52</v>
      </c>
      <c r="M26" s="9" t="s">
        <v>32</v>
      </c>
    </row>
    <row r="27" spans="1:16" x14ac:dyDescent="0.3">
      <c r="A27" s="5" t="s">
        <v>55</v>
      </c>
      <c r="B27" s="6" t="s">
        <v>27</v>
      </c>
      <c r="C27" s="7">
        <v>45523</v>
      </c>
      <c r="D27" s="6" t="s">
        <v>15</v>
      </c>
      <c r="E27" s="6" t="s">
        <v>16</v>
      </c>
      <c r="F27" s="8">
        <v>3000</v>
      </c>
      <c r="G27" s="8">
        <v>382</v>
      </c>
      <c r="H27" s="8">
        <v>325</v>
      </c>
      <c r="I27" s="8">
        <v>36000</v>
      </c>
      <c r="J27" s="8">
        <v>35819</v>
      </c>
      <c r="K27" s="8">
        <v>19</v>
      </c>
      <c r="L27" s="9" t="s">
        <v>31</v>
      </c>
      <c r="M27" s="9" t="s">
        <v>23</v>
      </c>
    </row>
    <row r="28" spans="1:16" x14ac:dyDescent="0.3">
      <c r="A28" s="5" t="s">
        <v>56</v>
      </c>
      <c r="B28" s="6" t="s">
        <v>27</v>
      </c>
      <c r="C28" s="7">
        <v>45466</v>
      </c>
      <c r="D28" s="6" t="s">
        <v>50</v>
      </c>
      <c r="E28" s="6" t="s">
        <v>51</v>
      </c>
      <c r="F28" s="8">
        <v>1071</v>
      </c>
      <c r="G28" s="8">
        <v>519</v>
      </c>
      <c r="H28" s="8">
        <v>22</v>
      </c>
      <c r="I28" s="8">
        <v>16065</v>
      </c>
      <c r="J28" s="8">
        <v>15865</v>
      </c>
      <c r="K28" s="8">
        <v>103</v>
      </c>
      <c r="L28" s="9" t="s">
        <v>17</v>
      </c>
      <c r="M28" s="9" t="s">
        <v>32</v>
      </c>
    </row>
    <row r="29" spans="1:16" x14ac:dyDescent="0.3">
      <c r="A29" s="5" t="s">
        <v>56</v>
      </c>
      <c r="B29" s="6" t="s">
        <v>27</v>
      </c>
      <c r="C29" s="7">
        <v>45466</v>
      </c>
      <c r="D29" s="6" t="s">
        <v>50</v>
      </c>
      <c r="E29" s="6" t="s">
        <v>51</v>
      </c>
      <c r="F29" s="8">
        <v>1071</v>
      </c>
      <c r="G29" s="8">
        <v>519</v>
      </c>
      <c r="H29" s="8">
        <v>22</v>
      </c>
      <c r="I29" s="8">
        <v>16065</v>
      </c>
      <c r="J29" s="8">
        <v>15865</v>
      </c>
      <c r="K29" s="8">
        <v>103</v>
      </c>
      <c r="L29" s="9" t="s">
        <v>31</v>
      </c>
      <c r="M29" s="9" t="s">
        <v>32</v>
      </c>
    </row>
    <row r="30" spans="1:16" x14ac:dyDescent="0.3">
      <c r="A30" s="5" t="s">
        <v>57</v>
      </c>
      <c r="B30" s="6" t="s">
        <v>27</v>
      </c>
      <c r="C30" s="7">
        <v>45544</v>
      </c>
      <c r="D30" s="6" t="s">
        <v>35</v>
      </c>
      <c r="E30" s="6" t="s">
        <v>36</v>
      </c>
      <c r="F30" s="8">
        <v>4054</v>
      </c>
      <c r="G30" s="8">
        <v>488</v>
      </c>
      <c r="H30" s="8">
        <v>373</v>
      </c>
      <c r="I30" s="8">
        <v>77026</v>
      </c>
      <c r="J30" s="8">
        <v>76881</v>
      </c>
      <c r="K30" s="8">
        <v>25</v>
      </c>
      <c r="L30" s="9" t="s">
        <v>22</v>
      </c>
      <c r="M30" s="9" t="s">
        <v>32</v>
      </c>
    </row>
    <row r="31" spans="1:16" x14ac:dyDescent="0.3">
      <c r="A31" s="5" t="s">
        <v>57</v>
      </c>
      <c r="B31" s="6" t="s">
        <v>27</v>
      </c>
      <c r="C31" s="7">
        <v>45544</v>
      </c>
      <c r="D31" s="6" t="s">
        <v>35</v>
      </c>
      <c r="E31" s="6" t="s">
        <v>36</v>
      </c>
      <c r="F31" s="8">
        <v>4054</v>
      </c>
      <c r="G31" s="8">
        <v>488</v>
      </c>
      <c r="H31" s="8">
        <v>373</v>
      </c>
      <c r="I31" s="8">
        <v>77026</v>
      </c>
      <c r="J31" s="8">
        <v>76881</v>
      </c>
      <c r="K31" s="8">
        <v>25</v>
      </c>
      <c r="L31" s="9" t="s">
        <v>17</v>
      </c>
      <c r="M31" s="9" t="s">
        <v>32</v>
      </c>
    </row>
    <row r="32" spans="1:16" x14ac:dyDescent="0.3">
      <c r="A32" s="5" t="s">
        <v>58</v>
      </c>
      <c r="B32" s="6" t="s">
        <v>27</v>
      </c>
      <c r="C32" s="7">
        <v>45661</v>
      </c>
      <c r="D32" s="6" t="s">
        <v>15</v>
      </c>
      <c r="E32" s="6" t="s">
        <v>16</v>
      </c>
      <c r="F32" s="8">
        <v>4838</v>
      </c>
      <c r="G32" s="8">
        <v>640</v>
      </c>
      <c r="H32" s="8">
        <v>128</v>
      </c>
      <c r="I32" s="8">
        <v>72570</v>
      </c>
      <c r="J32" s="8">
        <v>72396</v>
      </c>
      <c r="K32" s="8">
        <v>83</v>
      </c>
      <c r="L32" s="9" t="s">
        <v>31</v>
      </c>
      <c r="M32" s="9" t="s">
        <v>32</v>
      </c>
    </row>
    <row r="33" spans="1:13" x14ac:dyDescent="0.3">
      <c r="A33" s="5" t="s">
        <v>58</v>
      </c>
      <c r="B33" s="6" t="s">
        <v>27</v>
      </c>
      <c r="C33" s="7">
        <v>45661</v>
      </c>
      <c r="D33" s="6" t="s">
        <v>15</v>
      </c>
      <c r="E33" s="6" t="s">
        <v>16</v>
      </c>
      <c r="F33" s="8">
        <v>4838</v>
      </c>
      <c r="G33" s="8">
        <v>640</v>
      </c>
      <c r="H33" s="8">
        <v>128</v>
      </c>
      <c r="I33" s="8">
        <v>72570</v>
      </c>
      <c r="J33" s="8">
        <v>72396</v>
      </c>
      <c r="K33" s="8">
        <v>83</v>
      </c>
      <c r="L33" s="9" t="s">
        <v>37</v>
      </c>
      <c r="M33" s="9" t="s">
        <v>32</v>
      </c>
    </row>
    <row r="34" spans="1:13" x14ac:dyDescent="0.3">
      <c r="A34" s="5" t="s">
        <v>59</v>
      </c>
      <c r="B34" s="6" t="s">
        <v>34</v>
      </c>
      <c r="C34" s="7">
        <v>45715</v>
      </c>
      <c r="D34" s="6" t="s">
        <v>20</v>
      </c>
      <c r="E34" s="6" t="s">
        <v>21</v>
      </c>
      <c r="F34" s="8">
        <v>1570</v>
      </c>
      <c r="G34" s="8">
        <v>187</v>
      </c>
      <c r="H34" s="8">
        <v>260</v>
      </c>
      <c r="I34" s="8">
        <v>25120</v>
      </c>
      <c r="J34" s="8">
        <v>24613</v>
      </c>
      <c r="K34" s="8">
        <v>133</v>
      </c>
      <c r="L34" s="9" t="s">
        <v>17</v>
      </c>
      <c r="M34" s="9" t="s">
        <v>44</v>
      </c>
    </row>
    <row r="35" spans="1:13" x14ac:dyDescent="0.3">
      <c r="A35" s="5" t="s">
        <v>60</v>
      </c>
      <c r="B35" s="6" t="s">
        <v>34</v>
      </c>
      <c r="C35" s="7">
        <v>45602</v>
      </c>
      <c r="D35" s="6" t="s">
        <v>50</v>
      </c>
      <c r="E35" s="6" t="s">
        <v>51</v>
      </c>
      <c r="F35" s="8">
        <v>1606</v>
      </c>
      <c r="G35" s="8">
        <v>547</v>
      </c>
      <c r="H35" s="8">
        <v>316</v>
      </c>
      <c r="I35" s="8">
        <v>32120</v>
      </c>
      <c r="J35" s="8">
        <v>31736</v>
      </c>
      <c r="K35" s="8">
        <v>225</v>
      </c>
      <c r="L35" s="9" t="s">
        <v>17</v>
      </c>
      <c r="M35" s="9" t="s">
        <v>32</v>
      </c>
    </row>
    <row r="36" spans="1:13" x14ac:dyDescent="0.3">
      <c r="A36" s="5" t="s">
        <v>61</v>
      </c>
      <c r="B36" s="6" t="s">
        <v>34</v>
      </c>
      <c r="C36" s="7">
        <v>45680</v>
      </c>
      <c r="D36" s="6" t="s">
        <v>50</v>
      </c>
      <c r="E36" s="6" t="s">
        <v>51</v>
      </c>
      <c r="F36" s="8">
        <v>3961</v>
      </c>
      <c r="G36" s="8">
        <v>761</v>
      </c>
      <c r="H36" s="8">
        <v>131</v>
      </c>
      <c r="I36" s="8">
        <v>67337</v>
      </c>
      <c r="J36" s="8">
        <v>66615</v>
      </c>
      <c r="K36" s="8">
        <v>161</v>
      </c>
      <c r="L36" s="9" t="s">
        <v>37</v>
      </c>
      <c r="M36" s="9" t="s">
        <v>23</v>
      </c>
    </row>
    <row r="37" spans="1:13" x14ac:dyDescent="0.3">
      <c r="A37" s="5" t="s">
        <v>62</v>
      </c>
      <c r="B37" s="6" t="s">
        <v>14</v>
      </c>
      <c r="C37" s="7">
        <v>45757</v>
      </c>
      <c r="D37" s="6" t="s">
        <v>35</v>
      </c>
      <c r="E37" s="6" t="s">
        <v>36</v>
      </c>
      <c r="F37" s="8">
        <v>3128</v>
      </c>
      <c r="G37" s="8">
        <v>211</v>
      </c>
      <c r="H37" s="8">
        <v>197</v>
      </c>
      <c r="I37" s="8">
        <v>59432</v>
      </c>
      <c r="J37" s="8">
        <v>59182</v>
      </c>
      <c r="K37" s="8">
        <v>238</v>
      </c>
      <c r="L37" s="9" t="s">
        <v>31</v>
      </c>
      <c r="M37" s="9" t="s">
        <v>18</v>
      </c>
    </row>
    <row r="38" spans="1:13" x14ac:dyDescent="0.3">
      <c r="A38" s="5" t="s">
        <v>62</v>
      </c>
      <c r="B38" s="6" t="s">
        <v>14</v>
      </c>
      <c r="C38" s="7">
        <v>45757</v>
      </c>
      <c r="D38" s="6" t="s">
        <v>35</v>
      </c>
      <c r="E38" s="6" t="s">
        <v>36</v>
      </c>
      <c r="F38" s="8">
        <v>3128</v>
      </c>
      <c r="G38" s="8">
        <v>211</v>
      </c>
      <c r="H38" s="8">
        <v>197</v>
      </c>
      <c r="I38" s="8">
        <v>59432</v>
      </c>
      <c r="J38" s="8">
        <v>59182</v>
      </c>
      <c r="K38" s="8">
        <v>238</v>
      </c>
      <c r="L38" s="9" t="s">
        <v>17</v>
      </c>
      <c r="M38" s="9" t="s">
        <v>18</v>
      </c>
    </row>
    <row r="39" spans="1:13" x14ac:dyDescent="0.3">
      <c r="A39" s="5" t="s">
        <v>63</v>
      </c>
      <c r="B39" s="6" t="s">
        <v>25</v>
      </c>
      <c r="C39" s="7">
        <v>45752</v>
      </c>
      <c r="D39" s="6" t="s">
        <v>15</v>
      </c>
      <c r="E39" s="6" t="s">
        <v>16</v>
      </c>
      <c r="F39" s="8">
        <v>3009</v>
      </c>
      <c r="G39" s="8">
        <v>413</v>
      </c>
      <c r="H39" s="8">
        <v>358</v>
      </c>
      <c r="I39" s="8">
        <v>42126</v>
      </c>
      <c r="J39" s="8">
        <v>41309</v>
      </c>
      <c r="K39" s="8">
        <v>211</v>
      </c>
      <c r="L39" s="9" t="s">
        <v>17</v>
      </c>
      <c r="M39" s="9" t="s">
        <v>23</v>
      </c>
    </row>
    <row r="40" spans="1:13" x14ac:dyDescent="0.3">
      <c r="A40" s="5" t="s">
        <v>64</v>
      </c>
      <c r="B40" s="6" t="s">
        <v>25</v>
      </c>
      <c r="C40" s="7">
        <v>45552</v>
      </c>
      <c r="D40" s="6" t="s">
        <v>20</v>
      </c>
      <c r="E40" s="6" t="s">
        <v>21</v>
      </c>
      <c r="F40" s="8">
        <v>2076</v>
      </c>
      <c r="G40" s="8">
        <v>195</v>
      </c>
      <c r="H40" s="8">
        <v>104</v>
      </c>
      <c r="I40" s="8">
        <v>33216</v>
      </c>
      <c r="J40" s="8">
        <v>32244</v>
      </c>
      <c r="K40" s="8">
        <v>51</v>
      </c>
      <c r="L40" s="9" t="s">
        <v>37</v>
      </c>
      <c r="M40" s="9" t="s">
        <v>44</v>
      </c>
    </row>
    <row r="41" spans="1:13" x14ac:dyDescent="0.3">
      <c r="A41" s="5" t="s">
        <v>65</v>
      </c>
      <c r="B41" s="6" t="s">
        <v>27</v>
      </c>
      <c r="C41" s="7">
        <v>45720</v>
      </c>
      <c r="D41" s="6" t="s">
        <v>50</v>
      </c>
      <c r="E41" s="6" t="s">
        <v>51</v>
      </c>
      <c r="F41" s="8">
        <v>432</v>
      </c>
      <c r="G41" s="8">
        <v>624</v>
      </c>
      <c r="H41" s="8">
        <v>123</v>
      </c>
      <c r="I41" s="8">
        <v>6912</v>
      </c>
      <c r="J41" s="8">
        <v>6259</v>
      </c>
      <c r="K41" s="8">
        <v>79</v>
      </c>
      <c r="L41" s="9" t="s">
        <v>17</v>
      </c>
      <c r="M41" s="9" t="s">
        <v>23</v>
      </c>
    </row>
    <row r="42" spans="1:13" x14ac:dyDescent="0.3">
      <c r="A42" s="5" t="s">
        <v>65</v>
      </c>
      <c r="B42" s="6" t="s">
        <v>27</v>
      </c>
      <c r="C42" s="7">
        <v>45720</v>
      </c>
      <c r="D42" s="6" t="s">
        <v>50</v>
      </c>
      <c r="E42" s="6" t="s">
        <v>51</v>
      </c>
      <c r="F42" s="8">
        <v>432</v>
      </c>
      <c r="G42" s="8">
        <v>624</v>
      </c>
      <c r="H42" s="8">
        <v>123</v>
      </c>
      <c r="I42" s="8">
        <v>6912</v>
      </c>
      <c r="J42" s="8">
        <v>6259</v>
      </c>
      <c r="K42" s="8">
        <v>79</v>
      </c>
      <c r="L42" s="9" t="s">
        <v>37</v>
      </c>
      <c r="M42" s="9" t="s">
        <v>23</v>
      </c>
    </row>
    <row r="43" spans="1:13" x14ac:dyDescent="0.3">
      <c r="A43" s="5" t="s">
        <v>66</v>
      </c>
      <c r="B43" s="6" t="s">
        <v>27</v>
      </c>
      <c r="C43" s="7">
        <v>45688</v>
      </c>
      <c r="D43" s="6" t="s">
        <v>35</v>
      </c>
      <c r="E43" s="6" t="s">
        <v>36</v>
      </c>
      <c r="F43" s="8">
        <v>2566</v>
      </c>
      <c r="G43" s="8">
        <v>118</v>
      </c>
      <c r="H43" s="8">
        <v>37</v>
      </c>
      <c r="I43" s="8">
        <v>12830</v>
      </c>
      <c r="J43" s="8">
        <v>12264</v>
      </c>
      <c r="K43" s="8">
        <v>221</v>
      </c>
      <c r="L43" s="9" t="s">
        <v>37</v>
      </c>
      <c r="M43" s="9" t="s">
        <v>32</v>
      </c>
    </row>
    <row r="44" spans="1:13" x14ac:dyDescent="0.3">
      <c r="A44" s="5" t="s">
        <v>66</v>
      </c>
      <c r="B44" s="6" t="s">
        <v>27</v>
      </c>
      <c r="C44" s="7">
        <v>45688</v>
      </c>
      <c r="D44" s="6" t="s">
        <v>35</v>
      </c>
      <c r="E44" s="6" t="s">
        <v>36</v>
      </c>
      <c r="F44" s="8">
        <v>2566</v>
      </c>
      <c r="G44" s="8">
        <v>118</v>
      </c>
      <c r="H44" s="8">
        <v>37</v>
      </c>
      <c r="I44" s="8">
        <v>12830</v>
      </c>
      <c r="J44" s="8">
        <v>12264</v>
      </c>
      <c r="K44" s="8">
        <v>221</v>
      </c>
      <c r="L44" s="9" t="s">
        <v>22</v>
      </c>
      <c r="M44" s="9" t="s">
        <v>32</v>
      </c>
    </row>
    <row r="45" spans="1:13" x14ac:dyDescent="0.3">
      <c r="A45" s="5" t="s">
        <v>67</v>
      </c>
      <c r="B45" s="6" t="s">
        <v>27</v>
      </c>
      <c r="C45" s="7">
        <v>45713</v>
      </c>
      <c r="D45" s="6" t="s">
        <v>50</v>
      </c>
      <c r="E45" s="6" t="s">
        <v>51</v>
      </c>
      <c r="F45" s="8">
        <v>3095</v>
      </c>
      <c r="G45" s="8">
        <v>39</v>
      </c>
      <c r="H45" s="8">
        <v>78</v>
      </c>
      <c r="I45" s="8">
        <v>55710</v>
      </c>
      <c r="J45" s="8">
        <v>54808</v>
      </c>
      <c r="K45" s="8">
        <v>93</v>
      </c>
      <c r="L45" s="9" t="s">
        <v>17</v>
      </c>
      <c r="M45" s="9" t="s">
        <v>44</v>
      </c>
    </row>
    <row r="46" spans="1:13" x14ac:dyDescent="0.3">
      <c r="A46" s="5" t="s">
        <v>68</v>
      </c>
      <c r="B46" s="6" t="s">
        <v>27</v>
      </c>
      <c r="C46" s="7">
        <v>45642</v>
      </c>
      <c r="D46" s="6" t="s">
        <v>20</v>
      </c>
      <c r="E46" s="6" t="s">
        <v>21</v>
      </c>
      <c r="F46" s="8">
        <v>438</v>
      </c>
      <c r="G46" s="8">
        <v>153</v>
      </c>
      <c r="H46" s="8">
        <v>275</v>
      </c>
      <c r="I46" s="8">
        <v>3066</v>
      </c>
      <c r="J46" s="8">
        <v>2701</v>
      </c>
      <c r="K46" s="8">
        <v>282</v>
      </c>
      <c r="L46" s="9" t="s">
        <v>37</v>
      </c>
      <c r="M46" s="9" t="s">
        <v>44</v>
      </c>
    </row>
    <row r="47" spans="1:13" x14ac:dyDescent="0.3">
      <c r="A47" s="5" t="s">
        <v>69</v>
      </c>
      <c r="B47" s="6" t="s">
        <v>14</v>
      </c>
      <c r="C47" s="7">
        <v>45504</v>
      </c>
      <c r="D47" s="6" t="s">
        <v>35</v>
      </c>
      <c r="E47" s="6" t="s">
        <v>36</v>
      </c>
      <c r="F47" s="8">
        <v>2278</v>
      </c>
      <c r="G47" s="8">
        <v>10</v>
      </c>
      <c r="H47" s="8">
        <v>321</v>
      </c>
      <c r="I47" s="8">
        <v>13668</v>
      </c>
      <c r="J47" s="8">
        <v>12676</v>
      </c>
      <c r="K47" s="8">
        <v>275</v>
      </c>
      <c r="L47" s="9" t="s">
        <v>37</v>
      </c>
      <c r="M47" s="9" t="s">
        <v>44</v>
      </c>
    </row>
    <row r="48" spans="1:13" x14ac:dyDescent="0.3">
      <c r="A48" s="5" t="s">
        <v>69</v>
      </c>
      <c r="B48" s="6" t="s">
        <v>14</v>
      </c>
      <c r="C48" s="7">
        <v>45504</v>
      </c>
      <c r="D48" s="6" t="s">
        <v>35</v>
      </c>
      <c r="E48" s="6" t="s">
        <v>36</v>
      </c>
      <c r="F48" s="8">
        <v>2278</v>
      </c>
      <c r="G48" s="8">
        <v>10</v>
      </c>
      <c r="H48" s="8">
        <v>321</v>
      </c>
      <c r="I48" s="8">
        <v>13668</v>
      </c>
      <c r="J48" s="8">
        <v>12676</v>
      </c>
      <c r="K48" s="8">
        <v>275</v>
      </c>
      <c r="L48" s="9" t="s">
        <v>22</v>
      </c>
      <c r="M48" s="9" t="s">
        <v>44</v>
      </c>
    </row>
    <row r="49" spans="1:13" x14ac:dyDescent="0.3">
      <c r="A49" s="5" t="s">
        <v>70</v>
      </c>
      <c r="B49" s="6" t="s">
        <v>34</v>
      </c>
      <c r="C49" s="7">
        <v>45525</v>
      </c>
      <c r="D49" s="6" t="s">
        <v>40</v>
      </c>
      <c r="E49" s="6" t="s">
        <v>41</v>
      </c>
      <c r="F49" s="8">
        <v>1407</v>
      </c>
      <c r="G49" s="8">
        <v>400</v>
      </c>
      <c r="H49" s="8">
        <v>351</v>
      </c>
      <c r="I49" s="8">
        <v>16884</v>
      </c>
      <c r="J49" s="8">
        <v>15954</v>
      </c>
      <c r="K49" s="8">
        <v>113</v>
      </c>
      <c r="L49" s="9" t="s">
        <v>22</v>
      </c>
      <c r="M49" s="9" t="s">
        <v>32</v>
      </c>
    </row>
    <row r="50" spans="1:13" x14ac:dyDescent="0.3">
      <c r="A50" s="5" t="s">
        <v>70</v>
      </c>
      <c r="B50" s="6" t="s">
        <v>34</v>
      </c>
      <c r="C50" s="7">
        <v>45525</v>
      </c>
      <c r="D50" s="6" t="s">
        <v>40</v>
      </c>
      <c r="E50" s="6" t="s">
        <v>41</v>
      </c>
      <c r="F50" s="8">
        <v>1407</v>
      </c>
      <c r="G50" s="8">
        <v>400</v>
      </c>
      <c r="H50" s="8">
        <v>351</v>
      </c>
      <c r="I50" s="8">
        <v>16884</v>
      </c>
      <c r="J50" s="8">
        <v>15954</v>
      </c>
      <c r="K50" s="8">
        <v>113</v>
      </c>
      <c r="L50" s="9" t="s">
        <v>52</v>
      </c>
      <c r="M50" s="9" t="s">
        <v>32</v>
      </c>
    </row>
    <row r="51" spans="1:13" x14ac:dyDescent="0.3">
      <c r="A51" s="5" t="s">
        <v>71</v>
      </c>
      <c r="B51" s="6" t="s">
        <v>34</v>
      </c>
      <c r="C51" s="7">
        <v>45742</v>
      </c>
      <c r="D51" s="6" t="s">
        <v>20</v>
      </c>
      <c r="E51" s="6" t="s">
        <v>21</v>
      </c>
      <c r="F51" s="8">
        <v>1652</v>
      </c>
      <c r="G51" s="8">
        <v>89</v>
      </c>
      <c r="H51" s="8">
        <v>357</v>
      </c>
      <c r="I51" s="8">
        <v>29736</v>
      </c>
      <c r="J51" s="8">
        <v>28771</v>
      </c>
      <c r="K51" s="8">
        <v>215</v>
      </c>
      <c r="L51" s="9" t="s">
        <v>37</v>
      </c>
      <c r="M51" s="9" t="s">
        <v>23</v>
      </c>
    </row>
    <row r="52" spans="1:13" x14ac:dyDescent="0.3">
      <c r="A52" s="5" t="s">
        <v>71</v>
      </c>
      <c r="B52" s="6" t="s">
        <v>34</v>
      </c>
      <c r="C52" s="7">
        <v>45742</v>
      </c>
      <c r="D52" s="6" t="s">
        <v>20</v>
      </c>
      <c r="E52" s="6" t="s">
        <v>21</v>
      </c>
      <c r="F52" s="8">
        <v>1652</v>
      </c>
      <c r="G52" s="8">
        <v>89</v>
      </c>
      <c r="H52" s="8">
        <v>357</v>
      </c>
      <c r="I52" s="8">
        <v>29736</v>
      </c>
      <c r="J52" s="8">
        <v>28771</v>
      </c>
      <c r="K52" s="8">
        <v>215</v>
      </c>
      <c r="L52" s="9" t="s">
        <v>52</v>
      </c>
      <c r="M52" s="9" t="s">
        <v>23</v>
      </c>
    </row>
    <row r="53" spans="1:13" x14ac:dyDescent="0.3">
      <c r="A53" s="5" t="s">
        <v>72</v>
      </c>
      <c r="B53" s="6" t="s">
        <v>27</v>
      </c>
      <c r="C53" s="7">
        <v>45626</v>
      </c>
      <c r="D53" s="6" t="s">
        <v>50</v>
      </c>
      <c r="E53" s="6" t="s">
        <v>51</v>
      </c>
      <c r="F53" s="8">
        <v>3775</v>
      </c>
      <c r="G53" s="8">
        <v>16</v>
      </c>
      <c r="H53" s="8">
        <v>239</v>
      </c>
      <c r="I53" s="8">
        <v>33975</v>
      </c>
      <c r="J53" s="8">
        <v>33310</v>
      </c>
      <c r="K53" s="8">
        <v>271</v>
      </c>
      <c r="L53" s="9" t="s">
        <v>31</v>
      </c>
      <c r="M53" s="9" t="s">
        <v>32</v>
      </c>
    </row>
    <row r="54" spans="1:13" x14ac:dyDescent="0.3">
      <c r="A54" s="5" t="s">
        <v>72</v>
      </c>
      <c r="B54" s="6" t="s">
        <v>27</v>
      </c>
      <c r="C54" s="7">
        <v>45626</v>
      </c>
      <c r="D54" s="6" t="s">
        <v>50</v>
      </c>
      <c r="E54" s="6" t="s">
        <v>51</v>
      </c>
      <c r="F54" s="8">
        <v>3775</v>
      </c>
      <c r="G54" s="8">
        <v>16</v>
      </c>
      <c r="H54" s="8">
        <v>239</v>
      </c>
      <c r="I54" s="8">
        <v>33975</v>
      </c>
      <c r="J54" s="8">
        <v>33310</v>
      </c>
      <c r="K54" s="8">
        <v>271</v>
      </c>
      <c r="L54" s="9" t="s">
        <v>17</v>
      </c>
      <c r="M54" s="9" t="s">
        <v>32</v>
      </c>
    </row>
    <row r="55" spans="1:13" x14ac:dyDescent="0.3">
      <c r="A55" s="5" t="s">
        <v>73</v>
      </c>
      <c r="B55" s="6" t="s">
        <v>27</v>
      </c>
      <c r="C55" s="7">
        <v>45766</v>
      </c>
      <c r="D55" s="6" t="s">
        <v>28</v>
      </c>
      <c r="E55" s="6" t="s">
        <v>29</v>
      </c>
      <c r="F55" s="8">
        <v>4518</v>
      </c>
      <c r="G55" s="8">
        <v>285</v>
      </c>
      <c r="H55" s="8">
        <v>383</v>
      </c>
      <c r="I55" s="8">
        <v>67770</v>
      </c>
      <c r="J55" s="8">
        <v>67621</v>
      </c>
      <c r="K55" s="8">
        <v>31</v>
      </c>
      <c r="L55" s="9" t="s">
        <v>52</v>
      </c>
      <c r="M55" s="9" t="s">
        <v>23</v>
      </c>
    </row>
    <row r="56" spans="1:13" x14ac:dyDescent="0.3">
      <c r="A56" s="5" t="s">
        <v>74</v>
      </c>
      <c r="B56" s="6" t="s">
        <v>34</v>
      </c>
      <c r="C56" s="7">
        <v>45663</v>
      </c>
      <c r="D56" s="6" t="s">
        <v>35</v>
      </c>
      <c r="E56" s="6" t="s">
        <v>36</v>
      </c>
      <c r="F56" s="8">
        <v>3024</v>
      </c>
      <c r="G56" s="8">
        <v>925</v>
      </c>
      <c r="H56" s="8">
        <v>350</v>
      </c>
      <c r="I56" s="8">
        <v>24192</v>
      </c>
      <c r="J56" s="8">
        <v>23518</v>
      </c>
      <c r="K56" s="8">
        <v>36</v>
      </c>
      <c r="L56" s="9" t="s">
        <v>17</v>
      </c>
      <c r="M56" s="9" t="s">
        <v>32</v>
      </c>
    </row>
    <row r="57" spans="1:13" x14ac:dyDescent="0.3">
      <c r="A57" s="5" t="s">
        <v>75</v>
      </c>
      <c r="B57" s="6" t="s">
        <v>25</v>
      </c>
      <c r="C57" s="7">
        <v>45705</v>
      </c>
      <c r="D57" s="6" t="s">
        <v>15</v>
      </c>
      <c r="E57" s="6" t="s">
        <v>16</v>
      </c>
      <c r="F57" s="8">
        <v>3138</v>
      </c>
      <c r="G57" s="8">
        <v>123</v>
      </c>
      <c r="H57" s="8">
        <v>291</v>
      </c>
      <c r="I57" s="8">
        <v>28242</v>
      </c>
      <c r="J57" s="8">
        <v>27550</v>
      </c>
      <c r="K57" s="8">
        <v>87</v>
      </c>
      <c r="L57" s="9" t="s">
        <v>52</v>
      </c>
      <c r="M57" s="9" t="s">
        <v>44</v>
      </c>
    </row>
    <row r="58" spans="1:13" x14ac:dyDescent="0.3">
      <c r="A58" s="5" t="s">
        <v>76</v>
      </c>
      <c r="B58" s="6" t="s">
        <v>34</v>
      </c>
      <c r="C58" s="7">
        <v>45621</v>
      </c>
      <c r="D58" s="6" t="s">
        <v>40</v>
      </c>
      <c r="E58" s="6" t="s">
        <v>41</v>
      </c>
      <c r="F58" s="8">
        <v>3564</v>
      </c>
      <c r="G58" s="8">
        <v>629</v>
      </c>
      <c r="H58" s="8">
        <v>177</v>
      </c>
      <c r="I58" s="8">
        <v>60588</v>
      </c>
      <c r="J58" s="8">
        <v>59627</v>
      </c>
      <c r="K58" s="8">
        <v>92</v>
      </c>
      <c r="L58" s="9" t="s">
        <v>52</v>
      </c>
      <c r="M58" s="9" t="s">
        <v>32</v>
      </c>
    </row>
    <row r="59" spans="1:13" x14ac:dyDescent="0.3">
      <c r="A59" s="5" t="s">
        <v>76</v>
      </c>
      <c r="B59" s="6" t="s">
        <v>34</v>
      </c>
      <c r="C59" s="7">
        <v>45621</v>
      </c>
      <c r="D59" s="6" t="s">
        <v>40</v>
      </c>
      <c r="E59" s="6" t="s">
        <v>41</v>
      </c>
      <c r="F59" s="8">
        <v>3564</v>
      </c>
      <c r="G59" s="8">
        <v>629</v>
      </c>
      <c r="H59" s="8">
        <v>177</v>
      </c>
      <c r="I59" s="8">
        <v>60588</v>
      </c>
      <c r="J59" s="8">
        <v>59627</v>
      </c>
      <c r="K59" s="8">
        <v>92</v>
      </c>
      <c r="L59" s="9" t="s">
        <v>17</v>
      </c>
      <c r="M59" s="9" t="s">
        <v>32</v>
      </c>
    </row>
    <row r="60" spans="1:13" x14ac:dyDescent="0.3">
      <c r="A60" s="5" t="s">
        <v>77</v>
      </c>
      <c r="B60" s="6" t="s">
        <v>14</v>
      </c>
      <c r="C60" s="7">
        <v>45723</v>
      </c>
      <c r="D60" s="6" t="s">
        <v>40</v>
      </c>
      <c r="E60" s="6" t="s">
        <v>41</v>
      </c>
      <c r="F60" s="8">
        <v>4750</v>
      </c>
      <c r="G60" s="8">
        <v>151</v>
      </c>
      <c r="H60" s="8">
        <v>415</v>
      </c>
      <c r="I60" s="8">
        <v>38000</v>
      </c>
      <c r="J60" s="8">
        <v>37792</v>
      </c>
      <c r="K60" s="8">
        <v>299</v>
      </c>
      <c r="L60" s="9" t="s">
        <v>31</v>
      </c>
      <c r="M60" s="9" t="s">
        <v>23</v>
      </c>
    </row>
    <row r="61" spans="1:13" x14ac:dyDescent="0.3">
      <c r="A61" s="5" t="s">
        <v>77</v>
      </c>
      <c r="B61" s="6" t="s">
        <v>14</v>
      </c>
      <c r="C61" s="7">
        <v>45723</v>
      </c>
      <c r="D61" s="6" t="s">
        <v>40</v>
      </c>
      <c r="E61" s="6" t="s">
        <v>41</v>
      </c>
      <c r="F61" s="8">
        <v>4750</v>
      </c>
      <c r="G61" s="8">
        <v>151</v>
      </c>
      <c r="H61" s="8">
        <v>415</v>
      </c>
      <c r="I61" s="8">
        <v>38000</v>
      </c>
      <c r="J61" s="8">
        <v>37792</v>
      </c>
      <c r="K61" s="8">
        <v>299</v>
      </c>
      <c r="L61" s="9" t="s">
        <v>17</v>
      </c>
      <c r="M61" s="9" t="s">
        <v>23</v>
      </c>
    </row>
    <row r="62" spans="1:13" x14ac:dyDescent="0.3">
      <c r="A62" s="5" t="s">
        <v>78</v>
      </c>
      <c r="B62" s="6" t="s">
        <v>27</v>
      </c>
      <c r="C62" s="7">
        <v>45724</v>
      </c>
      <c r="D62" s="6" t="s">
        <v>15</v>
      </c>
      <c r="E62" s="6" t="s">
        <v>16</v>
      </c>
      <c r="F62" s="8">
        <v>456</v>
      </c>
      <c r="G62" s="8">
        <v>629</v>
      </c>
      <c r="H62" s="8">
        <v>428</v>
      </c>
      <c r="I62" s="8">
        <v>8208</v>
      </c>
      <c r="J62" s="8">
        <v>7377</v>
      </c>
      <c r="K62" s="8">
        <v>205</v>
      </c>
      <c r="L62" s="9" t="s">
        <v>17</v>
      </c>
      <c r="M62" s="9" t="s">
        <v>32</v>
      </c>
    </row>
    <row r="63" spans="1:13" x14ac:dyDescent="0.3">
      <c r="A63" s="5" t="s">
        <v>78</v>
      </c>
      <c r="B63" s="6" t="s">
        <v>27</v>
      </c>
      <c r="C63" s="7">
        <v>45724</v>
      </c>
      <c r="D63" s="6" t="s">
        <v>15</v>
      </c>
      <c r="E63" s="6" t="s">
        <v>16</v>
      </c>
      <c r="F63" s="8">
        <v>456</v>
      </c>
      <c r="G63" s="8">
        <v>629</v>
      </c>
      <c r="H63" s="8">
        <v>428</v>
      </c>
      <c r="I63" s="8">
        <v>8208</v>
      </c>
      <c r="J63" s="8">
        <v>7377</v>
      </c>
      <c r="K63" s="8">
        <v>205</v>
      </c>
      <c r="L63" s="9" t="s">
        <v>52</v>
      </c>
      <c r="M63" s="9" t="s">
        <v>32</v>
      </c>
    </row>
    <row r="64" spans="1:13" x14ac:dyDescent="0.3">
      <c r="A64" s="5" t="s">
        <v>79</v>
      </c>
      <c r="B64" s="6" t="s">
        <v>25</v>
      </c>
      <c r="C64" s="7">
        <v>45721</v>
      </c>
      <c r="D64" s="6" t="s">
        <v>15</v>
      </c>
      <c r="E64" s="6" t="s">
        <v>16</v>
      </c>
      <c r="F64" s="8">
        <v>1543</v>
      </c>
      <c r="G64" s="8">
        <v>820</v>
      </c>
      <c r="H64" s="8">
        <v>333</v>
      </c>
      <c r="I64" s="8">
        <v>12344</v>
      </c>
      <c r="J64" s="8">
        <v>11496</v>
      </c>
      <c r="K64" s="8">
        <v>241</v>
      </c>
      <c r="L64" s="9" t="s">
        <v>31</v>
      </c>
      <c r="M64" s="9" t="s">
        <v>32</v>
      </c>
    </row>
    <row r="65" spans="1:13" x14ac:dyDescent="0.3">
      <c r="A65" s="5" t="s">
        <v>80</v>
      </c>
      <c r="B65" s="6" t="s">
        <v>27</v>
      </c>
      <c r="C65" s="7">
        <v>45640</v>
      </c>
      <c r="D65" s="6" t="s">
        <v>35</v>
      </c>
      <c r="E65" s="6" t="s">
        <v>36</v>
      </c>
      <c r="F65" s="8">
        <v>2174</v>
      </c>
      <c r="G65" s="8">
        <v>658</v>
      </c>
      <c r="H65" s="8">
        <v>15</v>
      </c>
      <c r="I65" s="8">
        <v>13044</v>
      </c>
      <c r="J65" s="8">
        <v>12206</v>
      </c>
      <c r="K65" s="8">
        <v>137</v>
      </c>
      <c r="L65" s="9" t="s">
        <v>17</v>
      </c>
      <c r="M65" s="9" t="s">
        <v>44</v>
      </c>
    </row>
    <row r="66" spans="1:13" x14ac:dyDescent="0.3">
      <c r="A66" s="5" t="s">
        <v>80</v>
      </c>
      <c r="B66" s="6" t="s">
        <v>27</v>
      </c>
      <c r="C66" s="7">
        <v>45640</v>
      </c>
      <c r="D66" s="6" t="s">
        <v>35</v>
      </c>
      <c r="E66" s="6" t="s">
        <v>36</v>
      </c>
      <c r="F66" s="8">
        <v>2174</v>
      </c>
      <c r="G66" s="8">
        <v>658</v>
      </c>
      <c r="H66" s="8">
        <v>15</v>
      </c>
      <c r="I66" s="8">
        <v>13044</v>
      </c>
      <c r="J66" s="8">
        <v>12206</v>
      </c>
      <c r="K66" s="8">
        <v>137</v>
      </c>
      <c r="L66" s="9" t="s">
        <v>22</v>
      </c>
      <c r="M66" s="9" t="s">
        <v>44</v>
      </c>
    </row>
    <row r="67" spans="1:13" x14ac:dyDescent="0.3">
      <c r="A67" s="5" t="s">
        <v>81</v>
      </c>
      <c r="B67" s="6" t="s">
        <v>14</v>
      </c>
      <c r="C67" s="7">
        <v>45718</v>
      </c>
      <c r="D67" s="6" t="s">
        <v>40</v>
      </c>
      <c r="E67" s="6" t="s">
        <v>41</v>
      </c>
      <c r="F67" s="8">
        <v>2358</v>
      </c>
      <c r="G67" s="8">
        <v>784</v>
      </c>
      <c r="H67" s="8">
        <v>344</v>
      </c>
      <c r="I67" s="8">
        <v>35370</v>
      </c>
      <c r="J67" s="8">
        <v>34475</v>
      </c>
      <c r="K67" s="8">
        <v>216</v>
      </c>
      <c r="L67" s="9" t="s">
        <v>17</v>
      </c>
      <c r="M67" s="9" t="s">
        <v>18</v>
      </c>
    </row>
    <row r="68" spans="1:13" x14ac:dyDescent="0.3">
      <c r="A68" s="5" t="s">
        <v>81</v>
      </c>
      <c r="B68" s="6" t="s">
        <v>14</v>
      </c>
      <c r="C68" s="7">
        <v>45718</v>
      </c>
      <c r="D68" s="6" t="s">
        <v>40</v>
      </c>
      <c r="E68" s="6" t="s">
        <v>41</v>
      </c>
      <c r="F68" s="8">
        <v>2358</v>
      </c>
      <c r="G68" s="8">
        <v>784</v>
      </c>
      <c r="H68" s="8">
        <v>344</v>
      </c>
      <c r="I68" s="8">
        <v>35370</v>
      </c>
      <c r="J68" s="8">
        <v>34475</v>
      </c>
      <c r="K68" s="8">
        <v>216</v>
      </c>
      <c r="L68" s="9" t="s">
        <v>31</v>
      </c>
      <c r="M68" s="9" t="s">
        <v>18</v>
      </c>
    </row>
    <row r="69" spans="1:13" x14ac:dyDescent="0.3">
      <c r="A69" s="5" t="s">
        <v>82</v>
      </c>
      <c r="B69" s="6" t="s">
        <v>34</v>
      </c>
      <c r="C69" s="7">
        <v>45597</v>
      </c>
      <c r="D69" s="6" t="s">
        <v>50</v>
      </c>
      <c r="E69" s="6" t="s">
        <v>51</v>
      </c>
      <c r="F69" s="8">
        <v>3371</v>
      </c>
      <c r="G69" s="8">
        <v>106</v>
      </c>
      <c r="H69" s="8">
        <v>327</v>
      </c>
      <c r="I69" s="8">
        <v>50565</v>
      </c>
      <c r="J69" s="8">
        <v>49816</v>
      </c>
      <c r="K69" s="8">
        <v>176</v>
      </c>
      <c r="L69" s="9" t="s">
        <v>52</v>
      </c>
      <c r="M69" s="9" t="s">
        <v>44</v>
      </c>
    </row>
    <row r="70" spans="1:13" x14ac:dyDescent="0.3">
      <c r="A70" s="5" t="s">
        <v>83</v>
      </c>
      <c r="B70" s="6" t="s">
        <v>14</v>
      </c>
      <c r="C70" s="7">
        <v>45779</v>
      </c>
      <c r="D70" s="6" t="s">
        <v>50</v>
      </c>
      <c r="E70" s="6" t="s">
        <v>51</v>
      </c>
      <c r="F70" s="8">
        <v>1108</v>
      </c>
      <c r="G70" s="8">
        <v>177</v>
      </c>
      <c r="H70" s="8">
        <v>212</v>
      </c>
      <c r="I70" s="8">
        <v>8864</v>
      </c>
      <c r="J70" s="8">
        <v>8710</v>
      </c>
      <c r="K70" s="8">
        <v>97</v>
      </c>
      <c r="L70" s="9" t="s">
        <v>22</v>
      </c>
      <c r="M70" s="9" t="s">
        <v>44</v>
      </c>
    </row>
    <row r="71" spans="1:13" x14ac:dyDescent="0.3">
      <c r="A71" s="5" t="s">
        <v>84</v>
      </c>
      <c r="B71" s="6" t="s">
        <v>14</v>
      </c>
      <c r="C71" s="7">
        <v>45712</v>
      </c>
      <c r="D71" s="6" t="s">
        <v>35</v>
      </c>
      <c r="E71" s="6" t="s">
        <v>36</v>
      </c>
      <c r="F71" s="8">
        <v>2704</v>
      </c>
      <c r="G71" s="8">
        <v>752</v>
      </c>
      <c r="H71" s="8">
        <v>153</v>
      </c>
      <c r="I71" s="8">
        <v>21632</v>
      </c>
      <c r="J71" s="8">
        <v>20792</v>
      </c>
      <c r="K71" s="8">
        <v>127</v>
      </c>
      <c r="L71" s="9" t="s">
        <v>52</v>
      </c>
      <c r="M71" s="9" t="s">
        <v>18</v>
      </c>
    </row>
    <row r="72" spans="1:13" x14ac:dyDescent="0.3">
      <c r="A72" s="5" t="s">
        <v>84</v>
      </c>
      <c r="B72" s="6" t="s">
        <v>14</v>
      </c>
      <c r="C72" s="7">
        <v>45712</v>
      </c>
      <c r="D72" s="6" t="s">
        <v>35</v>
      </c>
      <c r="E72" s="6" t="s">
        <v>36</v>
      </c>
      <c r="F72" s="8">
        <v>2704</v>
      </c>
      <c r="G72" s="8">
        <v>752</v>
      </c>
      <c r="H72" s="8">
        <v>153</v>
      </c>
      <c r="I72" s="8">
        <v>21632</v>
      </c>
      <c r="J72" s="8">
        <v>20792</v>
      </c>
      <c r="K72" s="8">
        <v>127</v>
      </c>
      <c r="L72" s="9" t="s">
        <v>22</v>
      </c>
      <c r="M72" s="9" t="s">
        <v>18</v>
      </c>
    </row>
    <row r="73" spans="1:13" x14ac:dyDescent="0.3">
      <c r="A73" s="5" t="s">
        <v>85</v>
      </c>
      <c r="B73" s="6" t="s">
        <v>14</v>
      </c>
      <c r="C73" s="7">
        <v>45727</v>
      </c>
      <c r="D73" s="6" t="s">
        <v>28</v>
      </c>
      <c r="E73" s="6" t="s">
        <v>29</v>
      </c>
      <c r="F73" s="8">
        <v>1950</v>
      </c>
      <c r="G73" s="8">
        <v>295</v>
      </c>
      <c r="H73" s="8">
        <v>478</v>
      </c>
      <c r="I73" s="8">
        <v>37050</v>
      </c>
      <c r="J73" s="8">
        <v>36272</v>
      </c>
      <c r="K73" s="8">
        <v>119</v>
      </c>
      <c r="L73" s="9" t="s">
        <v>22</v>
      </c>
      <c r="M73" s="9" t="s">
        <v>44</v>
      </c>
    </row>
    <row r="74" spans="1:13" x14ac:dyDescent="0.3">
      <c r="A74" s="5" t="s">
        <v>85</v>
      </c>
      <c r="B74" s="6" t="s">
        <v>14</v>
      </c>
      <c r="C74" s="7">
        <v>45727</v>
      </c>
      <c r="D74" s="6" t="s">
        <v>28</v>
      </c>
      <c r="E74" s="6" t="s">
        <v>29</v>
      </c>
      <c r="F74" s="8">
        <v>1950</v>
      </c>
      <c r="G74" s="8">
        <v>295</v>
      </c>
      <c r="H74" s="8">
        <v>478</v>
      </c>
      <c r="I74" s="8">
        <v>37050</v>
      </c>
      <c r="J74" s="8">
        <v>36272</v>
      </c>
      <c r="K74" s="8">
        <v>119</v>
      </c>
      <c r="L74" s="9" t="s">
        <v>31</v>
      </c>
      <c r="M74" s="9" t="s">
        <v>44</v>
      </c>
    </row>
    <row r="75" spans="1:13" x14ac:dyDescent="0.3">
      <c r="A75" s="5" t="s">
        <v>86</v>
      </c>
      <c r="B75" s="6" t="s">
        <v>14</v>
      </c>
      <c r="C75" s="7">
        <v>45453</v>
      </c>
      <c r="D75" s="6" t="s">
        <v>28</v>
      </c>
      <c r="E75" s="6" t="s">
        <v>29</v>
      </c>
      <c r="F75" s="8">
        <v>2164</v>
      </c>
      <c r="G75" s="8">
        <v>549</v>
      </c>
      <c r="H75" s="8">
        <v>274</v>
      </c>
      <c r="I75" s="8">
        <v>28132</v>
      </c>
      <c r="J75" s="8">
        <v>27361</v>
      </c>
      <c r="K75" s="8">
        <v>177</v>
      </c>
      <c r="L75" s="9" t="s">
        <v>31</v>
      </c>
      <c r="M75" s="9" t="s">
        <v>18</v>
      </c>
    </row>
    <row r="76" spans="1:13" x14ac:dyDescent="0.3">
      <c r="A76" s="5" t="s">
        <v>87</v>
      </c>
      <c r="B76" s="6" t="s">
        <v>25</v>
      </c>
      <c r="C76" s="7">
        <v>45476</v>
      </c>
      <c r="D76" s="6" t="s">
        <v>28</v>
      </c>
      <c r="E76" s="6" t="s">
        <v>29</v>
      </c>
      <c r="F76" s="8">
        <v>2754</v>
      </c>
      <c r="G76" s="8">
        <v>130</v>
      </c>
      <c r="H76" s="8">
        <v>90</v>
      </c>
      <c r="I76" s="8">
        <v>22032</v>
      </c>
      <c r="J76" s="8">
        <v>21288</v>
      </c>
      <c r="K76" s="8">
        <v>112</v>
      </c>
      <c r="L76" s="9" t="s">
        <v>22</v>
      </c>
      <c r="M76" s="9" t="s">
        <v>18</v>
      </c>
    </row>
    <row r="77" spans="1:13" x14ac:dyDescent="0.3">
      <c r="A77" s="5" t="s">
        <v>88</v>
      </c>
      <c r="B77" s="6" t="s">
        <v>34</v>
      </c>
      <c r="C77" s="7">
        <v>45456</v>
      </c>
      <c r="D77" s="6" t="s">
        <v>35</v>
      </c>
      <c r="E77" s="6" t="s">
        <v>36</v>
      </c>
      <c r="F77" s="8">
        <v>2200</v>
      </c>
      <c r="G77" s="8">
        <v>504</v>
      </c>
      <c r="H77" s="8">
        <v>239</v>
      </c>
      <c r="I77" s="8">
        <v>37400</v>
      </c>
      <c r="J77" s="8">
        <v>36938</v>
      </c>
      <c r="K77" s="8">
        <v>225</v>
      </c>
      <c r="L77" s="9" t="s">
        <v>17</v>
      </c>
      <c r="M77" s="9" t="s">
        <v>32</v>
      </c>
    </row>
    <row r="78" spans="1:13" x14ac:dyDescent="0.3">
      <c r="A78" s="5" t="s">
        <v>89</v>
      </c>
      <c r="B78" s="6" t="s">
        <v>34</v>
      </c>
      <c r="C78" s="7">
        <v>45660</v>
      </c>
      <c r="D78" s="6" t="s">
        <v>40</v>
      </c>
      <c r="E78" s="6" t="s">
        <v>41</v>
      </c>
      <c r="F78" s="8">
        <v>947</v>
      </c>
      <c r="G78" s="8">
        <v>338</v>
      </c>
      <c r="H78" s="8">
        <v>350</v>
      </c>
      <c r="I78" s="8">
        <v>10417</v>
      </c>
      <c r="J78" s="8">
        <v>9730</v>
      </c>
      <c r="K78" s="8">
        <v>34</v>
      </c>
      <c r="L78" s="9" t="s">
        <v>22</v>
      </c>
      <c r="M78" s="9" t="s">
        <v>32</v>
      </c>
    </row>
    <row r="79" spans="1:13" x14ac:dyDescent="0.3">
      <c r="A79" s="5" t="s">
        <v>89</v>
      </c>
      <c r="B79" s="6" t="s">
        <v>34</v>
      </c>
      <c r="C79" s="7">
        <v>45660</v>
      </c>
      <c r="D79" s="6" t="s">
        <v>40</v>
      </c>
      <c r="E79" s="6" t="s">
        <v>41</v>
      </c>
      <c r="F79" s="8">
        <v>947</v>
      </c>
      <c r="G79" s="8">
        <v>338</v>
      </c>
      <c r="H79" s="8">
        <v>350</v>
      </c>
      <c r="I79" s="8">
        <v>10417</v>
      </c>
      <c r="J79" s="8">
        <v>9730</v>
      </c>
      <c r="K79" s="8">
        <v>34</v>
      </c>
      <c r="L79" s="9" t="s">
        <v>17</v>
      </c>
      <c r="M79" s="9" t="s">
        <v>32</v>
      </c>
    </row>
    <row r="80" spans="1:13" x14ac:dyDescent="0.3">
      <c r="A80" s="5" t="s">
        <v>90</v>
      </c>
      <c r="B80" s="6" t="s">
        <v>25</v>
      </c>
      <c r="C80" s="7">
        <v>45712</v>
      </c>
      <c r="D80" s="6" t="s">
        <v>35</v>
      </c>
      <c r="E80" s="6" t="s">
        <v>36</v>
      </c>
      <c r="F80" s="8">
        <v>804</v>
      </c>
      <c r="G80" s="8">
        <v>639</v>
      </c>
      <c r="H80" s="8">
        <v>43</v>
      </c>
      <c r="I80" s="8">
        <v>4020</v>
      </c>
      <c r="J80" s="8">
        <v>3144</v>
      </c>
      <c r="K80" s="8">
        <v>11</v>
      </c>
      <c r="L80" s="9" t="s">
        <v>31</v>
      </c>
      <c r="M80" s="9" t="s">
        <v>44</v>
      </c>
    </row>
    <row r="81" spans="1:13" x14ac:dyDescent="0.3">
      <c r="A81" s="5" t="s">
        <v>90</v>
      </c>
      <c r="B81" s="6" t="s">
        <v>25</v>
      </c>
      <c r="C81" s="7">
        <v>45712</v>
      </c>
      <c r="D81" s="6" t="s">
        <v>35</v>
      </c>
      <c r="E81" s="6" t="s">
        <v>36</v>
      </c>
      <c r="F81" s="8">
        <v>804</v>
      </c>
      <c r="G81" s="8">
        <v>639</v>
      </c>
      <c r="H81" s="8">
        <v>43</v>
      </c>
      <c r="I81" s="8">
        <v>4020</v>
      </c>
      <c r="J81" s="8">
        <v>3144</v>
      </c>
      <c r="K81" s="8">
        <v>11</v>
      </c>
      <c r="L81" s="9" t="s">
        <v>37</v>
      </c>
      <c r="M81" s="9" t="s">
        <v>44</v>
      </c>
    </row>
    <row r="82" spans="1:13" x14ac:dyDescent="0.3">
      <c r="A82" s="5" t="s">
        <v>91</v>
      </c>
      <c r="B82" s="6" t="s">
        <v>25</v>
      </c>
      <c r="C82" s="7">
        <v>45729</v>
      </c>
      <c r="D82" s="6" t="s">
        <v>35</v>
      </c>
      <c r="E82" s="6" t="s">
        <v>36</v>
      </c>
      <c r="F82" s="8">
        <v>1686</v>
      </c>
      <c r="G82" s="8">
        <v>904</v>
      </c>
      <c r="H82" s="8">
        <v>472</v>
      </c>
      <c r="I82" s="8">
        <v>18546</v>
      </c>
      <c r="J82" s="8">
        <v>18171</v>
      </c>
      <c r="K82" s="8">
        <v>52</v>
      </c>
      <c r="L82" s="9" t="s">
        <v>22</v>
      </c>
      <c r="M82" s="9" t="s">
        <v>23</v>
      </c>
    </row>
    <row r="83" spans="1:13" x14ac:dyDescent="0.3">
      <c r="A83" s="5" t="s">
        <v>91</v>
      </c>
      <c r="B83" s="6" t="s">
        <v>25</v>
      </c>
      <c r="C83" s="7">
        <v>45729</v>
      </c>
      <c r="D83" s="6" t="s">
        <v>35</v>
      </c>
      <c r="E83" s="6" t="s">
        <v>36</v>
      </c>
      <c r="F83" s="8">
        <v>1686</v>
      </c>
      <c r="G83" s="8">
        <v>904</v>
      </c>
      <c r="H83" s="8">
        <v>472</v>
      </c>
      <c r="I83" s="8">
        <v>18546</v>
      </c>
      <c r="J83" s="8">
        <v>18171</v>
      </c>
      <c r="K83" s="8">
        <v>52</v>
      </c>
      <c r="L83" s="9" t="s">
        <v>52</v>
      </c>
      <c r="M83" s="9" t="s">
        <v>23</v>
      </c>
    </row>
    <row r="84" spans="1:13" x14ac:dyDescent="0.3">
      <c r="A84" s="5" t="s">
        <v>92</v>
      </c>
      <c r="B84" s="6" t="s">
        <v>34</v>
      </c>
      <c r="C84" s="7">
        <v>45460</v>
      </c>
      <c r="D84" s="6" t="s">
        <v>40</v>
      </c>
      <c r="E84" s="6" t="s">
        <v>41</v>
      </c>
      <c r="F84" s="8">
        <v>1226</v>
      </c>
      <c r="G84" s="8">
        <v>119</v>
      </c>
      <c r="H84" s="8">
        <v>7</v>
      </c>
      <c r="I84" s="8">
        <v>14712</v>
      </c>
      <c r="J84" s="8">
        <v>14049</v>
      </c>
      <c r="K84" s="8">
        <v>123</v>
      </c>
      <c r="L84" s="9" t="s">
        <v>17</v>
      </c>
      <c r="M84" s="9" t="s">
        <v>44</v>
      </c>
    </row>
    <row r="85" spans="1:13" x14ac:dyDescent="0.3">
      <c r="A85" s="5" t="s">
        <v>92</v>
      </c>
      <c r="B85" s="6" t="s">
        <v>34</v>
      </c>
      <c r="C85" s="7">
        <v>45460</v>
      </c>
      <c r="D85" s="6" t="s">
        <v>40</v>
      </c>
      <c r="E85" s="6" t="s">
        <v>41</v>
      </c>
      <c r="F85" s="8">
        <v>1226</v>
      </c>
      <c r="G85" s="8">
        <v>119</v>
      </c>
      <c r="H85" s="8">
        <v>7</v>
      </c>
      <c r="I85" s="8">
        <v>14712</v>
      </c>
      <c r="J85" s="8">
        <v>14049</v>
      </c>
      <c r="K85" s="8">
        <v>123</v>
      </c>
      <c r="L85" s="9" t="s">
        <v>37</v>
      </c>
      <c r="M85" s="9" t="s">
        <v>44</v>
      </c>
    </row>
    <row r="86" spans="1:13" x14ac:dyDescent="0.3">
      <c r="A86" s="5" t="s">
        <v>93</v>
      </c>
      <c r="B86" s="6" t="s">
        <v>34</v>
      </c>
      <c r="C86" s="7">
        <v>45644</v>
      </c>
      <c r="D86" s="6" t="s">
        <v>35</v>
      </c>
      <c r="E86" s="6" t="s">
        <v>36</v>
      </c>
      <c r="F86" s="8">
        <v>2946</v>
      </c>
      <c r="G86" s="8">
        <v>498</v>
      </c>
      <c r="H86" s="8">
        <v>367</v>
      </c>
      <c r="I86" s="8">
        <v>29460</v>
      </c>
      <c r="J86" s="8">
        <v>28527</v>
      </c>
      <c r="K86" s="8">
        <v>60</v>
      </c>
      <c r="L86" s="9" t="s">
        <v>31</v>
      </c>
      <c r="M86" s="9" t="s">
        <v>23</v>
      </c>
    </row>
    <row r="87" spans="1:13" x14ac:dyDescent="0.3">
      <c r="A87" s="5" t="s">
        <v>93</v>
      </c>
      <c r="B87" s="6" t="s">
        <v>34</v>
      </c>
      <c r="C87" s="7">
        <v>45644</v>
      </c>
      <c r="D87" s="6" t="s">
        <v>35</v>
      </c>
      <c r="E87" s="6" t="s">
        <v>36</v>
      </c>
      <c r="F87" s="8">
        <v>2946</v>
      </c>
      <c r="G87" s="8">
        <v>498</v>
      </c>
      <c r="H87" s="8">
        <v>367</v>
      </c>
      <c r="I87" s="8">
        <v>29460</v>
      </c>
      <c r="J87" s="8">
        <v>28527</v>
      </c>
      <c r="K87" s="8">
        <v>60</v>
      </c>
      <c r="L87" s="9" t="s">
        <v>52</v>
      </c>
      <c r="M87" s="9" t="s">
        <v>23</v>
      </c>
    </row>
    <row r="88" spans="1:13" x14ac:dyDescent="0.3">
      <c r="A88" s="5" t="s">
        <v>94</v>
      </c>
      <c r="B88" s="6" t="s">
        <v>14</v>
      </c>
      <c r="C88" s="7">
        <v>45586</v>
      </c>
      <c r="D88" s="6" t="s">
        <v>50</v>
      </c>
      <c r="E88" s="6" t="s">
        <v>51</v>
      </c>
      <c r="F88" s="8">
        <v>2825</v>
      </c>
      <c r="G88" s="8">
        <v>535</v>
      </c>
      <c r="H88" s="8">
        <v>295</v>
      </c>
      <c r="I88" s="8">
        <v>45200</v>
      </c>
      <c r="J88" s="8">
        <v>44739</v>
      </c>
      <c r="K88" s="8">
        <v>169</v>
      </c>
      <c r="L88" s="9" t="s">
        <v>31</v>
      </c>
      <c r="M88" s="9" t="s">
        <v>23</v>
      </c>
    </row>
    <row r="89" spans="1:13" x14ac:dyDescent="0.3">
      <c r="A89" s="5" t="s">
        <v>95</v>
      </c>
      <c r="B89" s="6" t="s">
        <v>27</v>
      </c>
      <c r="C89" s="7">
        <v>45762</v>
      </c>
      <c r="D89" s="6" t="s">
        <v>15</v>
      </c>
      <c r="E89" s="6" t="s">
        <v>16</v>
      </c>
      <c r="F89" s="8">
        <v>103</v>
      </c>
      <c r="G89" s="8">
        <v>770</v>
      </c>
      <c r="H89" s="8">
        <v>19</v>
      </c>
      <c r="I89" s="8">
        <v>1030</v>
      </c>
      <c r="J89" s="8">
        <v>410</v>
      </c>
      <c r="K89" s="8">
        <v>262</v>
      </c>
      <c r="L89" s="9" t="s">
        <v>17</v>
      </c>
      <c r="M89" s="9" t="s">
        <v>32</v>
      </c>
    </row>
    <row r="90" spans="1:13" x14ac:dyDescent="0.3">
      <c r="A90" s="5" t="s">
        <v>96</v>
      </c>
      <c r="B90" s="6" t="s">
        <v>27</v>
      </c>
      <c r="C90" s="7">
        <v>45465</v>
      </c>
      <c r="D90" s="6" t="s">
        <v>20</v>
      </c>
      <c r="E90" s="6" t="s">
        <v>21</v>
      </c>
      <c r="F90" s="8">
        <v>2180</v>
      </c>
      <c r="G90" s="8">
        <v>263</v>
      </c>
      <c r="H90" s="8">
        <v>387</v>
      </c>
      <c r="I90" s="8">
        <v>30520</v>
      </c>
      <c r="J90" s="8">
        <v>30059</v>
      </c>
      <c r="K90" s="8">
        <v>174</v>
      </c>
      <c r="L90" s="9" t="s">
        <v>52</v>
      </c>
      <c r="M90" s="9" t="s">
        <v>18</v>
      </c>
    </row>
    <row r="91" spans="1:13" x14ac:dyDescent="0.3">
      <c r="A91" s="5" t="s">
        <v>97</v>
      </c>
      <c r="B91" s="6" t="s">
        <v>27</v>
      </c>
      <c r="C91" s="7">
        <v>45685</v>
      </c>
      <c r="D91" s="6" t="s">
        <v>50</v>
      </c>
      <c r="E91" s="6" t="s">
        <v>51</v>
      </c>
      <c r="F91" s="8">
        <v>904</v>
      </c>
      <c r="G91" s="8">
        <v>973</v>
      </c>
      <c r="H91" s="8">
        <v>63</v>
      </c>
      <c r="I91" s="8">
        <v>11752</v>
      </c>
      <c r="J91" s="8">
        <v>11580</v>
      </c>
      <c r="K91" s="8">
        <v>84</v>
      </c>
      <c r="L91" s="9" t="s">
        <v>31</v>
      </c>
      <c r="M91" s="9" t="s">
        <v>18</v>
      </c>
    </row>
    <row r="92" spans="1:13" x14ac:dyDescent="0.3">
      <c r="A92" s="5" t="s">
        <v>98</v>
      </c>
      <c r="B92" s="6" t="s">
        <v>14</v>
      </c>
      <c r="C92" s="7">
        <v>45540</v>
      </c>
      <c r="D92" s="6" t="s">
        <v>50</v>
      </c>
      <c r="E92" s="6" t="s">
        <v>51</v>
      </c>
      <c r="F92" s="8">
        <v>4886</v>
      </c>
      <c r="G92" s="8">
        <v>983</v>
      </c>
      <c r="H92" s="8">
        <v>409</v>
      </c>
      <c r="I92" s="8">
        <v>43974</v>
      </c>
      <c r="J92" s="8">
        <v>43239</v>
      </c>
      <c r="K92" s="8">
        <v>65</v>
      </c>
      <c r="L92" s="9" t="s">
        <v>22</v>
      </c>
      <c r="M92" s="9" t="s">
        <v>18</v>
      </c>
    </row>
    <row r="93" spans="1:13" x14ac:dyDescent="0.3">
      <c r="A93" s="5" t="s">
        <v>99</v>
      </c>
      <c r="B93" s="6" t="s">
        <v>14</v>
      </c>
      <c r="C93" s="7">
        <v>45618</v>
      </c>
      <c r="D93" s="6" t="s">
        <v>35</v>
      </c>
      <c r="E93" s="6" t="s">
        <v>36</v>
      </c>
      <c r="F93" s="8">
        <v>53</v>
      </c>
      <c r="G93" s="8">
        <v>81</v>
      </c>
      <c r="H93" s="8">
        <v>379</v>
      </c>
      <c r="I93" s="8">
        <v>954</v>
      </c>
      <c r="J93" s="8">
        <v>7</v>
      </c>
      <c r="K93" s="8">
        <v>148</v>
      </c>
      <c r="L93" s="9" t="s">
        <v>52</v>
      </c>
      <c r="M93" s="9" t="s">
        <v>32</v>
      </c>
    </row>
    <row r="94" spans="1:13" x14ac:dyDescent="0.3">
      <c r="A94" s="5" t="s">
        <v>100</v>
      </c>
      <c r="B94" s="6" t="s">
        <v>14</v>
      </c>
      <c r="C94" s="7">
        <v>45504</v>
      </c>
      <c r="D94" s="6" t="s">
        <v>35</v>
      </c>
      <c r="E94" s="6" t="s">
        <v>36</v>
      </c>
      <c r="F94" s="8">
        <v>4507</v>
      </c>
      <c r="G94" s="8">
        <v>217</v>
      </c>
      <c r="H94" s="8">
        <v>13</v>
      </c>
      <c r="I94" s="8">
        <v>90140</v>
      </c>
      <c r="J94" s="8">
        <v>89591</v>
      </c>
      <c r="K94" s="8">
        <v>125</v>
      </c>
      <c r="L94" s="9" t="s">
        <v>17</v>
      </c>
      <c r="M94" s="9" t="s">
        <v>18</v>
      </c>
    </row>
    <row r="95" spans="1:13" x14ac:dyDescent="0.3">
      <c r="A95" s="5" t="s">
        <v>101</v>
      </c>
      <c r="B95" s="6" t="s">
        <v>34</v>
      </c>
      <c r="C95" s="7">
        <v>45521</v>
      </c>
      <c r="D95" s="6" t="s">
        <v>40</v>
      </c>
      <c r="E95" s="6" t="s">
        <v>41</v>
      </c>
      <c r="F95" s="8">
        <v>2878</v>
      </c>
      <c r="G95" s="8">
        <v>248</v>
      </c>
      <c r="H95" s="8">
        <v>416</v>
      </c>
      <c r="I95" s="8">
        <v>43170</v>
      </c>
      <c r="J95" s="8">
        <v>42667</v>
      </c>
      <c r="K95" s="8">
        <v>75</v>
      </c>
      <c r="L95" s="9" t="s">
        <v>52</v>
      </c>
      <c r="M95" s="9" t="s">
        <v>23</v>
      </c>
    </row>
    <row r="96" spans="1:13" x14ac:dyDescent="0.3">
      <c r="A96" s="5" t="s">
        <v>101</v>
      </c>
      <c r="B96" s="6" t="s">
        <v>34</v>
      </c>
      <c r="C96" s="7">
        <v>45521</v>
      </c>
      <c r="D96" s="6" t="s">
        <v>40</v>
      </c>
      <c r="E96" s="6" t="s">
        <v>41</v>
      </c>
      <c r="F96" s="8">
        <v>2878</v>
      </c>
      <c r="G96" s="8">
        <v>248</v>
      </c>
      <c r="H96" s="8">
        <v>416</v>
      </c>
      <c r="I96" s="8">
        <v>43170</v>
      </c>
      <c r="J96" s="8">
        <v>42667</v>
      </c>
      <c r="K96" s="8">
        <v>75</v>
      </c>
      <c r="L96" s="9" t="s">
        <v>37</v>
      </c>
      <c r="M96" s="9" t="s">
        <v>23</v>
      </c>
    </row>
    <row r="97" spans="1:13" x14ac:dyDescent="0.3">
      <c r="A97" s="5" t="s">
        <v>102</v>
      </c>
      <c r="B97" s="6" t="s">
        <v>27</v>
      </c>
      <c r="C97" s="7">
        <v>45744</v>
      </c>
      <c r="D97" s="6" t="s">
        <v>28</v>
      </c>
      <c r="E97" s="6" t="s">
        <v>29</v>
      </c>
      <c r="F97" s="8">
        <v>1881</v>
      </c>
      <c r="G97" s="8">
        <v>501</v>
      </c>
      <c r="H97" s="8">
        <v>99</v>
      </c>
      <c r="I97" s="8">
        <v>20691</v>
      </c>
      <c r="J97" s="8">
        <v>19987</v>
      </c>
      <c r="K97" s="8">
        <v>289</v>
      </c>
      <c r="L97" s="9" t="s">
        <v>52</v>
      </c>
      <c r="M97" s="9" t="s">
        <v>23</v>
      </c>
    </row>
    <row r="98" spans="1:13" x14ac:dyDescent="0.3">
      <c r="A98" s="5" t="s">
        <v>103</v>
      </c>
      <c r="B98" s="6" t="s">
        <v>14</v>
      </c>
      <c r="C98" s="7">
        <v>45499</v>
      </c>
      <c r="D98" s="6" t="s">
        <v>35</v>
      </c>
      <c r="E98" s="6" t="s">
        <v>36</v>
      </c>
      <c r="F98" s="8">
        <v>432</v>
      </c>
      <c r="G98" s="8">
        <v>171</v>
      </c>
      <c r="H98" s="8">
        <v>280</v>
      </c>
      <c r="I98" s="8">
        <v>3024</v>
      </c>
      <c r="J98" s="8">
        <v>2285</v>
      </c>
      <c r="K98" s="8">
        <v>184</v>
      </c>
      <c r="L98" s="9" t="s">
        <v>22</v>
      </c>
      <c r="M98" s="9" t="s">
        <v>32</v>
      </c>
    </row>
    <row r="99" spans="1:13" x14ac:dyDescent="0.3">
      <c r="A99" s="5" t="s">
        <v>104</v>
      </c>
      <c r="B99" s="6" t="s">
        <v>34</v>
      </c>
      <c r="C99" s="7">
        <v>45745</v>
      </c>
      <c r="D99" s="6" t="s">
        <v>35</v>
      </c>
      <c r="E99" s="6" t="s">
        <v>36</v>
      </c>
      <c r="F99" s="8">
        <v>4712</v>
      </c>
      <c r="G99" s="8">
        <v>568</v>
      </c>
      <c r="H99" s="8">
        <v>127</v>
      </c>
      <c r="I99" s="8">
        <v>84816</v>
      </c>
      <c r="J99" s="8">
        <v>84691</v>
      </c>
      <c r="K99" s="8">
        <v>100</v>
      </c>
      <c r="L99" s="9" t="s">
        <v>52</v>
      </c>
      <c r="M99" s="9" t="s">
        <v>18</v>
      </c>
    </row>
    <row r="100" spans="1:13" x14ac:dyDescent="0.3">
      <c r="A100" s="5" t="s">
        <v>105</v>
      </c>
      <c r="B100" s="6" t="s">
        <v>27</v>
      </c>
      <c r="C100" s="7">
        <v>45634</v>
      </c>
      <c r="D100" s="6" t="s">
        <v>28</v>
      </c>
      <c r="E100" s="6" t="s">
        <v>29</v>
      </c>
      <c r="F100" s="8">
        <v>2610</v>
      </c>
      <c r="G100" s="8">
        <v>126</v>
      </c>
      <c r="H100" s="8">
        <v>288</v>
      </c>
      <c r="I100" s="8">
        <v>15660</v>
      </c>
      <c r="J100" s="8">
        <v>15145</v>
      </c>
      <c r="K100" s="8">
        <v>73</v>
      </c>
      <c r="L100" s="9" t="s">
        <v>22</v>
      </c>
      <c r="M100" s="9" t="s">
        <v>18</v>
      </c>
    </row>
    <row r="101" spans="1:13" x14ac:dyDescent="0.3">
      <c r="A101" s="5" t="s">
        <v>106</v>
      </c>
      <c r="B101" s="6" t="s">
        <v>14</v>
      </c>
      <c r="C101" s="7">
        <v>45724</v>
      </c>
      <c r="D101" s="6" t="s">
        <v>20</v>
      </c>
      <c r="E101" s="6" t="s">
        <v>21</v>
      </c>
      <c r="F101" s="8">
        <v>1292</v>
      </c>
      <c r="G101" s="8">
        <v>626</v>
      </c>
      <c r="H101" s="8">
        <v>496</v>
      </c>
      <c r="I101" s="8">
        <v>25840</v>
      </c>
      <c r="J101" s="8">
        <v>24916</v>
      </c>
      <c r="K101" s="8">
        <v>149</v>
      </c>
      <c r="L101" s="9" t="s">
        <v>31</v>
      </c>
      <c r="M101" s="9" t="s">
        <v>44</v>
      </c>
    </row>
    <row r="102" spans="1:13" x14ac:dyDescent="0.3">
      <c r="A102" s="5" t="s">
        <v>106</v>
      </c>
      <c r="B102" s="6" t="s">
        <v>14</v>
      </c>
      <c r="C102" s="7">
        <v>45724</v>
      </c>
      <c r="D102" s="6" t="s">
        <v>20</v>
      </c>
      <c r="E102" s="6" t="s">
        <v>21</v>
      </c>
      <c r="F102" s="8">
        <v>1292</v>
      </c>
      <c r="G102" s="8">
        <v>626</v>
      </c>
      <c r="H102" s="8">
        <v>496</v>
      </c>
      <c r="I102" s="8">
        <v>25840</v>
      </c>
      <c r="J102" s="8">
        <v>24916</v>
      </c>
      <c r="K102" s="8">
        <v>149</v>
      </c>
      <c r="L102" s="9" t="s">
        <v>37</v>
      </c>
      <c r="M102" s="9" t="s">
        <v>44</v>
      </c>
    </row>
    <row r="103" spans="1:13" x14ac:dyDescent="0.3">
      <c r="A103" s="5" t="s">
        <v>107</v>
      </c>
      <c r="B103" s="6" t="s">
        <v>34</v>
      </c>
      <c r="C103" s="7">
        <v>45749</v>
      </c>
      <c r="D103" s="6" t="s">
        <v>50</v>
      </c>
      <c r="E103" s="6" t="s">
        <v>51</v>
      </c>
      <c r="F103" s="8">
        <v>199</v>
      </c>
      <c r="G103" s="8">
        <v>772</v>
      </c>
      <c r="H103" s="8">
        <v>400</v>
      </c>
      <c r="I103" s="8">
        <v>3582</v>
      </c>
      <c r="J103" s="8">
        <v>2988</v>
      </c>
      <c r="K103" s="8">
        <v>43</v>
      </c>
      <c r="L103" s="9" t="s">
        <v>37</v>
      </c>
      <c r="M103" s="9" t="s">
        <v>18</v>
      </c>
    </row>
    <row r="104" spans="1:13" x14ac:dyDescent="0.3">
      <c r="A104" s="5" t="s">
        <v>108</v>
      </c>
      <c r="B104" s="6" t="s">
        <v>25</v>
      </c>
      <c r="C104" s="7">
        <v>45537</v>
      </c>
      <c r="D104" s="6" t="s">
        <v>35</v>
      </c>
      <c r="E104" s="6" t="s">
        <v>36</v>
      </c>
      <c r="F104" s="8">
        <v>2551</v>
      </c>
      <c r="G104" s="8">
        <v>915</v>
      </c>
      <c r="H104" s="8">
        <v>205</v>
      </c>
      <c r="I104" s="8">
        <v>30612</v>
      </c>
      <c r="J104" s="8">
        <v>30360</v>
      </c>
      <c r="K104" s="8">
        <v>227</v>
      </c>
      <c r="L104" s="9" t="s">
        <v>17</v>
      </c>
      <c r="M104" s="9" t="s">
        <v>23</v>
      </c>
    </row>
    <row r="105" spans="1:13" x14ac:dyDescent="0.3">
      <c r="A105" s="5" t="s">
        <v>108</v>
      </c>
      <c r="B105" s="6" t="s">
        <v>25</v>
      </c>
      <c r="C105" s="7">
        <v>45537</v>
      </c>
      <c r="D105" s="6" t="s">
        <v>35</v>
      </c>
      <c r="E105" s="6" t="s">
        <v>36</v>
      </c>
      <c r="F105" s="8">
        <v>2551</v>
      </c>
      <c r="G105" s="8">
        <v>915</v>
      </c>
      <c r="H105" s="8">
        <v>205</v>
      </c>
      <c r="I105" s="8">
        <v>30612</v>
      </c>
      <c r="J105" s="8">
        <v>30360</v>
      </c>
      <c r="K105" s="8">
        <v>227</v>
      </c>
      <c r="L105" s="9" t="s">
        <v>52</v>
      </c>
      <c r="M105" s="9" t="s">
        <v>23</v>
      </c>
    </row>
    <row r="106" spans="1:13" x14ac:dyDescent="0.3">
      <c r="A106" s="5" t="s">
        <v>109</v>
      </c>
      <c r="B106" s="6" t="s">
        <v>25</v>
      </c>
      <c r="C106" s="7">
        <v>45719</v>
      </c>
      <c r="D106" s="6" t="s">
        <v>15</v>
      </c>
      <c r="E106" s="6" t="s">
        <v>16</v>
      </c>
      <c r="F106" s="8">
        <v>296</v>
      </c>
      <c r="G106" s="8">
        <v>60</v>
      </c>
      <c r="H106" s="8">
        <v>141</v>
      </c>
      <c r="I106" s="8">
        <v>5624</v>
      </c>
      <c r="J106" s="8">
        <v>5239</v>
      </c>
      <c r="K106" s="8">
        <v>88</v>
      </c>
      <c r="L106" s="9" t="s">
        <v>37</v>
      </c>
      <c r="M106" s="9" t="s">
        <v>44</v>
      </c>
    </row>
    <row r="107" spans="1:13" x14ac:dyDescent="0.3">
      <c r="A107" s="5" t="s">
        <v>110</v>
      </c>
      <c r="B107" s="6" t="s">
        <v>34</v>
      </c>
      <c r="C107" s="7">
        <v>45583</v>
      </c>
      <c r="D107" s="6" t="s">
        <v>28</v>
      </c>
      <c r="E107" s="6" t="s">
        <v>29</v>
      </c>
      <c r="F107" s="8">
        <v>4126</v>
      </c>
      <c r="G107" s="8">
        <v>426</v>
      </c>
      <c r="H107" s="8">
        <v>486</v>
      </c>
      <c r="I107" s="8">
        <v>78394</v>
      </c>
      <c r="J107" s="8">
        <v>77798</v>
      </c>
      <c r="K107" s="8">
        <v>88</v>
      </c>
      <c r="L107" s="9" t="s">
        <v>22</v>
      </c>
      <c r="M107" s="9" t="s">
        <v>18</v>
      </c>
    </row>
    <row r="108" spans="1:13" x14ac:dyDescent="0.3">
      <c r="A108" s="5" t="s">
        <v>111</v>
      </c>
      <c r="B108" s="6" t="s">
        <v>25</v>
      </c>
      <c r="C108" s="7">
        <v>45593</v>
      </c>
      <c r="D108" s="6" t="s">
        <v>15</v>
      </c>
      <c r="E108" s="6" t="s">
        <v>16</v>
      </c>
      <c r="F108" s="8">
        <v>1855</v>
      </c>
      <c r="G108" s="8">
        <v>200</v>
      </c>
      <c r="H108" s="8">
        <v>174</v>
      </c>
      <c r="I108" s="8">
        <v>16695</v>
      </c>
      <c r="J108" s="8">
        <v>16330</v>
      </c>
      <c r="K108" s="8">
        <v>123</v>
      </c>
      <c r="L108" s="9" t="s">
        <v>22</v>
      </c>
      <c r="M108" s="9" t="s">
        <v>32</v>
      </c>
    </row>
    <row r="109" spans="1:13" x14ac:dyDescent="0.3">
      <c r="A109" s="5" t="s">
        <v>112</v>
      </c>
      <c r="B109" s="6" t="s">
        <v>27</v>
      </c>
      <c r="C109" s="7">
        <v>45505</v>
      </c>
      <c r="D109" s="6" t="s">
        <v>15</v>
      </c>
      <c r="E109" s="6" t="s">
        <v>16</v>
      </c>
      <c r="F109" s="8">
        <v>1674</v>
      </c>
      <c r="G109" s="8">
        <v>929</v>
      </c>
      <c r="H109" s="8">
        <v>37</v>
      </c>
      <c r="I109" s="8">
        <v>21762</v>
      </c>
      <c r="J109" s="8">
        <v>20998</v>
      </c>
      <c r="K109" s="8">
        <v>255</v>
      </c>
      <c r="L109" s="9" t="s">
        <v>31</v>
      </c>
      <c r="M109" s="9" t="s">
        <v>32</v>
      </c>
    </row>
    <row r="110" spans="1:13" x14ac:dyDescent="0.3">
      <c r="A110" s="5" t="s">
        <v>112</v>
      </c>
      <c r="B110" s="6" t="s">
        <v>27</v>
      </c>
      <c r="C110" s="7">
        <v>45505</v>
      </c>
      <c r="D110" s="6" t="s">
        <v>15</v>
      </c>
      <c r="E110" s="6" t="s">
        <v>16</v>
      </c>
      <c r="F110" s="8">
        <v>1674</v>
      </c>
      <c r="G110" s="8">
        <v>929</v>
      </c>
      <c r="H110" s="8">
        <v>37</v>
      </c>
      <c r="I110" s="8">
        <v>21762</v>
      </c>
      <c r="J110" s="8">
        <v>20998</v>
      </c>
      <c r="K110" s="8">
        <v>255</v>
      </c>
      <c r="L110" s="9" t="s">
        <v>52</v>
      </c>
      <c r="M110" s="9" t="s">
        <v>32</v>
      </c>
    </row>
    <row r="111" spans="1:13" x14ac:dyDescent="0.3">
      <c r="A111" s="5" t="s">
        <v>113</v>
      </c>
      <c r="B111" s="6" t="s">
        <v>14</v>
      </c>
      <c r="C111" s="7">
        <v>45603</v>
      </c>
      <c r="D111" s="6" t="s">
        <v>28</v>
      </c>
      <c r="E111" s="6" t="s">
        <v>29</v>
      </c>
      <c r="F111" s="8">
        <v>1121</v>
      </c>
      <c r="G111" s="8">
        <v>135</v>
      </c>
      <c r="H111" s="8">
        <v>18</v>
      </c>
      <c r="I111" s="8">
        <v>15694</v>
      </c>
      <c r="J111" s="8">
        <v>14957</v>
      </c>
      <c r="K111" s="8">
        <v>99</v>
      </c>
      <c r="L111" s="9" t="s">
        <v>17</v>
      </c>
      <c r="M111" s="9" t="s">
        <v>44</v>
      </c>
    </row>
    <row r="112" spans="1:13" x14ac:dyDescent="0.3">
      <c r="A112" s="5" t="s">
        <v>113</v>
      </c>
      <c r="B112" s="6" t="s">
        <v>14</v>
      </c>
      <c r="C112" s="7">
        <v>45603</v>
      </c>
      <c r="D112" s="6" t="s">
        <v>28</v>
      </c>
      <c r="E112" s="6" t="s">
        <v>29</v>
      </c>
      <c r="F112" s="8">
        <v>1121</v>
      </c>
      <c r="G112" s="8">
        <v>135</v>
      </c>
      <c r="H112" s="8">
        <v>18</v>
      </c>
      <c r="I112" s="8">
        <v>15694</v>
      </c>
      <c r="J112" s="8">
        <v>14957</v>
      </c>
      <c r="K112" s="8">
        <v>99</v>
      </c>
      <c r="L112" s="9" t="s">
        <v>22</v>
      </c>
      <c r="M112" s="9" t="s">
        <v>44</v>
      </c>
    </row>
    <row r="113" spans="1:13" x14ac:dyDescent="0.3">
      <c r="A113" s="5" t="s">
        <v>114</v>
      </c>
      <c r="B113" s="6" t="s">
        <v>34</v>
      </c>
      <c r="C113" s="7">
        <v>45720</v>
      </c>
      <c r="D113" s="6" t="s">
        <v>28</v>
      </c>
      <c r="E113" s="6" t="s">
        <v>29</v>
      </c>
      <c r="F113" s="8">
        <v>1249</v>
      </c>
      <c r="G113" s="8">
        <v>116</v>
      </c>
      <c r="H113" s="8">
        <v>420</v>
      </c>
      <c r="I113" s="8">
        <v>8743</v>
      </c>
      <c r="J113" s="8">
        <v>8538</v>
      </c>
      <c r="K113" s="8">
        <v>63</v>
      </c>
      <c r="L113" s="9" t="s">
        <v>22</v>
      </c>
      <c r="M113" s="9" t="s">
        <v>32</v>
      </c>
    </row>
    <row r="114" spans="1:13" x14ac:dyDescent="0.3">
      <c r="A114" s="5" t="s">
        <v>114</v>
      </c>
      <c r="B114" s="6" t="s">
        <v>34</v>
      </c>
      <c r="C114" s="7">
        <v>45720</v>
      </c>
      <c r="D114" s="6" t="s">
        <v>28</v>
      </c>
      <c r="E114" s="6" t="s">
        <v>29</v>
      </c>
      <c r="F114" s="8">
        <v>1249</v>
      </c>
      <c r="G114" s="8">
        <v>116</v>
      </c>
      <c r="H114" s="8">
        <v>420</v>
      </c>
      <c r="I114" s="8">
        <v>8743</v>
      </c>
      <c r="J114" s="8">
        <v>8538</v>
      </c>
      <c r="K114" s="8">
        <v>63</v>
      </c>
      <c r="L114" s="9" t="s">
        <v>52</v>
      </c>
      <c r="M114" s="9" t="s">
        <v>32</v>
      </c>
    </row>
    <row r="115" spans="1:13" x14ac:dyDescent="0.3">
      <c r="A115" s="5" t="s">
        <v>115</v>
      </c>
      <c r="B115" s="6" t="s">
        <v>14</v>
      </c>
      <c r="C115" s="7">
        <v>45460</v>
      </c>
      <c r="D115" s="6" t="s">
        <v>40</v>
      </c>
      <c r="E115" s="6" t="s">
        <v>41</v>
      </c>
      <c r="F115" s="8">
        <v>954</v>
      </c>
      <c r="G115" s="8">
        <v>324</v>
      </c>
      <c r="H115" s="8">
        <v>288</v>
      </c>
      <c r="I115" s="8">
        <v>19080</v>
      </c>
      <c r="J115" s="8">
        <v>18859</v>
      </c>
      <c r="K115" s="8">
        <v>21</v>
      </c>
      <c r="L115" s="9" t="s">
        <v>37</v>
      </c>
      <c r="M115" s="9" t="s">
        <v>32</v>
      </c>
    </row>
    <row r="116" spans="1:13" x14ac:dyDescent="0.3">
      <c r="A116" s="5" t="s">
        <v>116</v>
      </c>
      <c r="B116" s="6" t="s">
        <v>27</v>
      </c>
      <c r="C116" s="7">
        <v>45574</v>
      </c>
      <c r="D116" s="6" t="s">
        <v>35</v>
      </c>
      <c r="E116" s="6" t="s">
        <v>36</v>
      </c>
      <c r="F116" s="8">
        <v>3068</v>
      </c>
      <c r="G116" s="8">
        <v>137</v>
      </c>
      <c r="H116" s="8">
        <v>329</v>
      </c>
      <c r="I116" s="8">
        <v>39884</v>
      </c>
      <c r="J116" s="8">
        <v>39404</v>
      </c>
      <c r="K116" s="8">
        <v>266</v>
      </c>
      <c r="L116" s="9" t="s">
        <v>17</v>
      </c>
      <c r="M116" s="9" t="s">
        <v>32</v>
      </c>
    </row>
    <row r="117" spans="1:13" x14ac:dyDescent="0.3">
      <c r="A117" s="5" t="s">
        <v>116</v>
      </c>
      <c r="B117" s="6" t="s">
        <v>27</v>
      </c>
      <c r="C117" s="7">
        <v>45574</v>
      </c>
      <c r="D117" s="6" t="s">
        <v>35</v>
      </c>
      <c r="E117" s="6" t="s">
        <v>36</v>
      </c>
      <c r="F117" s="8">
        <v>3068</v>
      </c>
      <c r="G117" s="8">
        <v>137</v>
      </c>
      <c r="H117" s="8">
        <v>329</v>
      </c>
      <c r="I117" s="8">
        <v>39884</v>
      </c>
      <c r="J117" s="8">
        <v>39404</v>
      </c>
      <c r="K117" s="8">
        <v>266</v>
      </c>
      <c r="L117" s="9" t="s">
        <v>37</v>
      </c>
      <c r="M117" s="9" t="s">
        <v>32</v>
      </c>
    </row>
    <row r="118" spans="1:13" x14ac:dyDescent="0.3">
      <c r="A118" s="5" t="s">
        <v>117</v>
      </c>
      <c r="B118" s="6" t="s">
        <v>27</v>
      </c>
      <c r="C118" s="7">
        <v>45456</v>
      </c>
      <c r="D118" s="6" t="s">
        <v>28</v>
      </c>
      <c r="E118" s="6" t="s">
        <v>29</v>
      </c>
      <c r="F118" s="8">
        <v>2103</v>
      </c>
      <c r="G118" s="8">
        <v>892</v>
      </c>
      <c r="H118" s="8">
        <v>103</v>
      </c>
      <c r="I118" s="8">
        <v>39957</v>
      </c>
      <c r="J118" s="8">
        <v>39466</v>
      </c>
      <c r="K118" s="8">
        <v>28</v>
      </c>
      <c r="L118" s="9" t="s">
        <v>52</v>
      </c>
      <c r="M118" s="9" t="s">
        <v>23</v>
      </c>
    </row>
    <row r="119" spans="1:13" x14ac:dyDescent="0.3">
      <c r="A119" s="5" t="s">
        <v>117</v>
      </c>
      <c r="B119" s="6" t="s">
        <v>27</v>
      </c>
      <c r="C119" s="7">
        <v>45456</v>
      </c>
      <c r="D119" s="6" t="s">
        <v>28</v>
      </c>
      <c r="E119" s="6" t="s">
        <v>29</v>
      </c>
      <c r="F119" s="8">
        <v>2103</v>
      </c>
      <c r="G119" s="8">
        <v>892</v>
      </c>
      <c r="H119" s="8">
        <v>103</v>
      </c>
      <c r="I119" s="8">
        <v>39957</v>
      </c>
      <c r="J119" s="8">
        <v>39466</v>
      </c>
      <c r="K119" s="8">
        <v>28</v>
      </c>
      <c r="L119" s="9" t="s">
        <v>22</v>
      </c>
      <c r="M119" s="9" t="s">
        <v>23</v>
      </c>
    </row>
    <row r="120" spans="1:13" x14ac:dyDescent="0.3">
      <c r="A120" s="5" t="s">
        <v>118</v>
      </c>
      <c r="B120" s="6" t="s">
        <v>27</v>
      </c>
      <c r="C120" s="7">
        <v>45584</v>
      </c>
      <c r="D120" s="6" t="s">
        <v>28</v>
      </c>
      <c r="E120" s="6" t="s">
        <v>29</v>
      </c>
      <c r="F120" s="8">
        <v>1816</v>
      </c>
      <c r="G120" s="8">
        <v>29</v>
      </c>
      <c r="H120" s="8">
        <v>41</v>
      </c>
      <c r="I120" s="8">
        <v>19976</v>
      </c>
      <c r="J120" s="8">
        <v>19262</v>
      </c>
      <c r="K120" s="8">
        <v>283</v>
      </c>
      <c r="L120" s="9" t="s">
        <v>37</v>
      </c>
      <c r="M120" s="9" t="s">
        <v>32</v>
      </c>
    </row>
    <row r="121" spans="1:13" x14ac:dyDescent="0.3">
      <c r="A121" s="5" t="s">
        <v>118</v>
      </c>
      <c r="B121" s="6" t="s">
        <v>27</v>
      </c>
      <c r="C121" s="7">
        <v>45584</v>
      </c>
      <c r="D121" s="6" t="s">
        <v>28</v>
      </c>
      <c r="E121" s="6" t="s">
        <v>29</v>
      </c>
      <c r="F121" s="8">
        <v>1816</v>
      </c>
      <c r="G121" s="8">
        <v>29</v>
      </c>
      <c r="H121" s="8">
        <v>41</v>
      </c>
      <c r="I121" s="8">
        <v>19976</v>
      </c>
      <c r="J121" s="8">
        <v>19262</v>
      </c>
      <c r="K121" s="8">
        <v>283</v>
      </c>
      <c r="L121" s="9" t="s">
        <v>17</v>
      </c>
      <c r="M121" s="9" t="s">
        <v>32</v>
      </c>
    </row>
    <row r="122" spans="1:13" x14ac:dyDescent="0.3">
      <c r="A122" s="5" t="s">
        <v>119</v>
      </c>
      <c r="B122" s="6" t="s">
        <v>27</v>
      </c>
      <c r="C122" s="7">
        <v>45497</v>
      </c>
      <c r="D122" s="6" t="s">
        <v>40</v>
      </c>
      <c r="E122" s="6" t="s">
        <v>41</v>
      </c>
      <c r="F122" s="8">
        <v>725</v>
      </c>
      <c r="G122" s="8">
        <v>88</v>
      </c>
      <c r="H122" s="8">
        <v>428</v>
      </c>
      <c r="I122" s="8">
        <v>14500</v>
      </c>
      <c r="J122" s="8">
        <v>13637</v>
      </c>
      <c r="K122" s="8">
        <v>200</v>
      </c>
      <c r="L122" s="9" t="s">
        <v>37</v>
      </c>
      <c r="M122" s="9" t="s">
        <v>32</v>
      </c>
    </row>
    <row r="123" spans="1:13" x14ac:dyDescent="0.3">
      <c r="A123" s="5" t="s">
        <v>120</v>
      </c>
      <c r="B123" s="6" t="s">
        <v>25</v>
      </c>
      <c r="C123" s="7">
        <v>45580</v>
      </c>
      <c r="D123" s="6" t="s">
        <v>50</v>
      </c>
      <c r="E123" s="6" t="s">
        <v>51</v>
      </c>
      <c r="F123" s="8">
        <v>1094</v>
      </c>
      <c r="G123" s="8">
        <v>472</v>
      </c>
      <c r="H123" s="8">
        <v>21</v>
      </c>
      <c r="I123" s="8">
        <v>9846</v>
      </c>
      <c r="J123" s="8">
        <v>9609</v>
      </c>
      <c r="K123" s="8">
        <v>112</v>
      </c>
      <c r="L123" s="9" t="s">
        <v>37</v>
      </c>
      <c r="M123" s="9" t="s">
        <v>32</v>
      </c>
    </row>
    <row r="124" spans="1:13" x14ac:dyDescent="0.3">
      <c r="A124" s="5" t="s">
        <v>120</v>
      </c>
      <c r="B124" s="6" t="s">
        <v>25</v>
      </c>
      <c r="C124" s="7">
        <v>45580</v>
      </c>
      <c r="D124" s="6" t="s">
        <v>50</v>
      </c>
      <c r="E124" s="6" t="s">
        <v>51</v>
      </c>
      <c r="F124" s="8">
        <v>1094</v>
      </c>
      <c r="G124" s="8">
        <v>472</v>
      </c>
      <c r="H124" s="8">
        <v>21</v>
      </c>
      <c r="I124" s="8">
        <v>9846</v>
      </c>
      <c r="J124" s="8">
        <v>9609</v>
      </c>
      <c r="K124" s="8">
        <v>112</v>
      </c>
      <c r="L124" s="9" t="s">
        <v>31</v>
      </c>
      <c r="M124" s="9" t="s">
        <v>32</v>
      </c>
    </row>
    <row r="125" spans="1:13" x14ac:dyDescent="0.3">
      <c r="A125" s="5" t="s">
        <v>121</v>
      </c>
      <c r="B125" s="6" t="s">
        <v>34</v>
      </c>
      <c r="C125" s="7">
        <v>45635</v>
      </c>
      <c r="D125" s="6" t="s">
        <v>40</v>
      </c>
      <c r="E125" s="6" t="s">
        <v>41</v>
      </c>
      <c r="F125" s="8">
        <v>1841</v>
      </c>
      <c r="G125" s="8">
        <v>851</v>
      </c>
      <c r="H125" s="8">
        <v>342</v>
      </c>
      <c r="I125" s="8">
        <v>34979</v>
      </c>
      <c r="J125" s="8">
        <v>34154</v>
      </c>
      <c r="K125" s="8">
        <v>255</v>
      </c>
      <c r="L125" s="9" t="s">
        <v>22</v>
      </c>
      <c r="M125" s="9" t="s">
        <v>18</v>
      </c>
    </row>
    <row r="126" spans="1:13" x14ac:dyDescent="0.3">
      <c r="A126" s="5" t="s">
        <v>121</v>
      </c>
      <c r="B126" s="6" t="s">
        <v>34</v>
      </c>
      <c r="C126" s="7">
        <v>45635</v>
      </c>
      <c r="D126" s="6" t="s">
        <v>40</v>
      </c>
      <c r="E126" s="6" t="s">
        <v>41</v>
      </c>
      <c r="F126" s="8">
        <v>1841</v>
      </c>
      <c r="G126" s="8">
        <v>851</v>
      </c>
      <c r="H126" s="8">
        <v>342</v>
      </c>
      <c r="I126" s="8">
        <v>34979</v>
      </c>
      <c r="J126" s="8">
        <v>34154</v>
      </c>
      <c r="K126" s="8">
        <v>255</v>
      </c>
      <c r="L126" s="9" t="s">
        <v>52</v>
      </c>
      <c r="M126" s="9" t="s">
        <v>18</v>
      </c>
    </row>
    <row r="127" spans="1:13" x14ac:dyDescent="0.3">
      <c r="A127" s="5" t="s">
        <v>122</v>
      </c>
      <c r="B127" s="6" t="s">
        <v>27</v>
      </c>
      <c r="C127" s="7">
        <v>45766</v>
      </c>
      <c r="D127" s="6" t="s">
        <v>40</v>
      </c>
      <c r="E127" s="6" t="s">
        <v>41</v>
      </c>
      <c r="F127" s="8">
        <v>4177</v>
      </c>
      <c r="G127" s="8">
        <v>569</v>
      </c>
      <c r="H127" s="8">
        <v>55</v>
      </c>
      <c r="I127" s="8">
        <v>25062</v>
      </c>
      <c r="J127" s="8">
        <v>24847</v>
      </c>
      <c r="K127" s="8">
        <v>230</v>
      </c>
      <c r="L127" s="9" t="s">
        <v>22</v>
      </c>
      <c r="M127" s="9" t="s">
        <v>18</v>
      </c>
    </row>
    <row r="128" spans="1:13" x14ac:dyDescent="0.3">
      <c r="A128" s="5" t="s">
        <v>123</v>
      </c>
      <c r="B128" s="6" t="s">
        <v>25</v>
      </c>
      <c r="C128" s="7">
        <v>45684</v>
      </c>
      <c r="D128" s="6" t="s">
        <v>20</v>
      </c>
      <c r="E128" s="6" t="s">
        <v>21</v>
      </c>
      <c r="F128" s="8">
        <v>3428</v>
      </c>
      <c r="G128" s="8">
        <v>305</v>
      </c>
      <c r="H128" s="8">
        <v>85</v>
      </c>
      <c r="I128" s="8">
        <v>58276</v>
      </c>
      <c r="J128" s="8">
        <v>58052</v>
      </c>
      <c r="K128" s="8">
        <v>242</v>
      </c>
      <c r="L128" s="9" t="s">
        <v>37</v>
      </c>
      <c r="M128" s="9" t="s">
        <v>32</v>
      </c>
    </row>
    <row r="129" spans="1:13" x14ac:dyDescent="0.3">
      <c r="A129" s="5" t="s">
        <v>123</v>
      </c>
      <c r="B129" s="6" t="s">
        <v>25</v>
      </c>
      <c r="C129" s="7">
        <v>45684</v>
      </c>
      <c r="D129" s="6" t="s">
        <v>20</v>
      </c>
      <c r="E129" s="6" t="s">
        <v>21</v>
      </c>
      <c r="F129" s="8">
        <v>3428</v>
      </c>
      <c r="G129" s="8">
        <v>305</v>
      </c>
      <c r="H129" s="8">
        <v>85</v>
      </c>
      <c r="I129" s="8">
        <v>58276</v>
      </c>
      <c r="J129" s="8">
        <v>58052</v>
      </c>
      <c r="K129" s="8">
        <v>242</v>
      </c>
      <c r="L129" s="9" t="s">
        <v>31</v>
      </c>
      <c r="M129" s="9" t="s">
        <v>32</v>
      </c>
    </row>
    <row r="130" spans="1:13" x14ac:dyDescent="0.3">
      <c r="A130" s="5" t="s">
        <v>124</v>
      </c>
      <c r="B130" s="6" t="s">
        <v>14</v>
      </c>
      <c r="C130" s="7">
        <v>45449</v>
      </c>
      <c r="D130" s="6" t="s">
        <v>50</v>
      </c>
      <c r="E130" s="6" t="s">
        <v>51</v>
      </c>
      <c r="F130" s="8">
        <v>1436</v>
      </c>
      <c r="G130" s="8">
        <v>765</v>
      </c>
      <c r="H130" s="8">
        <v>496</v>
      </c>
      <c r="I130" s="8">
        <v>12924</v>
      </c>
      <c r="J130" s="8">
        <v>12701</v>
      </c>
      <c r="K130" s="8">
        <v>197</v>
      </c>
      <c r="L130" s="9" t="s">
        <v>37</v>
      </c>
      <c r="M130" s="9" t="s">
        <v>23</v>
      </c>
    </row>
    <row r="131" spans="1:13" x14ac:dyDescent="0.3">
      <c r="A131" s="5" t="s">
        <v>124</v>
      </c>
      <c r="B131" s="6" t="s">
        <v>14</v>
      </c>
      <c r="C131" s="7">
        <v>45449</v>
      </c>
      <c r="D131" s="6" t="s">
        <v>50</v>
      </c>
      <c r="E131" s="6" t="s">
        <v>51</v>
      </c>
      <c r="F131" s="8">
        <v>1436</v>
      </c>
      <c r="G131" s="8">
        <v>765</v>
      </c>
      <c r="H131" s="8">
        <v>496</v>
      </c>
      <c r="I131" s="8">
        <v>12924</v>
      </c>
      <c r="J131" s="8">
        <v>12701</v>
      </c>
      <c r="K131" s="8">
        <v>197</v>
      </c>
      <c r="L131" s="9" t="s">
        <v>17</v>
      </c>
      <c r="M131" s="9" t="s">
        <v>23</v>
      </c>
    </row>
    <row r="132" spans="1:13" x14ac:dyDescent="0.3">
      <c r="A132" s="5" t="s">
        <v>125</v>
      </c>
      <c r="B132" s="6" t="s">
        <v>34</v>
      </c>
      <c r="C132" s="7">
        <v>45480</v>
      </c>
      <c r="D132" s="6" t="s">
        <v>28</v>
      </c>
      <c r="E132" s="6" t="s">
        <v>29</v>
      </c>
      <c r="F132" s="8">
        <v>302</v>
      </c>
      <c r="G132" s="8">
        <v>47</v>
      </c>
      <c r="H132" s="8">
        <v>430</v>
      </c>
      <c r="I132" s="8">
        <v>5738</v>
      </c>
      <c r="J132" s="8">
        <v>4890</v>
      </c>
      <c r="K132" s="8">
        <v>25</v>
      </c>
      <c r="L132" s="9" t="s">
        <v>22</v>
      </c>
      <c r="M132" s="9" t="s">
        <v>23</v>
      </c>
    </row>
    <row r="133" spans="1:13" x14ac:dyDescent="0.3">
      <c r="A133" s="5" t="s">
        <v>125</v>
      </c>
      <c r="B133" s="6" t="s">
        <v>34</v>
      </c>
      <c r="C133" s="7">
        <v>45480</v>
      </c>
      <c r="D133" s="6" t="s">
        <v>28</v>
      </c>
      <c r="E133" s="6" t="s">
        <v>29</v>
      </c>
      <c r="F133" s="8">
        <v>302</v>
      </c>
      <c r="G133" s="8">
        <v>47</v>
      </c>
      <c r="H133" s="8">
        <v>430</v>
      </c>
      <c r="I133" s="8">
        <v>5738</v>
      </c>
      <c r="J133" s="8">
        <v>4890</v>
      </c>
      <c r="K133" s="8">
        <v>25</v>
      </c>
      <c r="L133" s="9" t="s">
        <v>17</v>
      </c>
      <c r="M133" s="9" t="s">
        <v>23</v>
      </c>
    </row>
    <row r="134" spans="1:13" x14ac:dyDescent="0.3">
      <c r="A134" s="5" t="s">
        <v>126</v>
      </c>
      <c r="B134" s="6" t="s">
        <v>14</v>
      </c>
      <c r="C134" s="7">
        <v>45667</v>
      </c>
      <c r="D134" s="6" t="s">
        <v>40</v>
      </c>
      <c r="E134" s="6" t="s">
        <v>41</v>
      </c>
      <c r="F134" s="8">
        <v>2214</v>
      </c>
      <c r="G134" s="8">
        <v>249</v>
      </c>
      <c r="H134" s="8">
        <v>152</v>
      </c>
      <c r="I134" s="8">
        <v>15498</v>
      </c>
      <c r="J134" s="8">
        <v>14800</v>
      </c>
      <c r="K134" s="8">
        <v>180</v>
      </c>
      <c r="L134" s="9" t="s">
        <v>17</v>
      </c>
      <c r="M134" s="9" t="s">
        <v>23</v>
      </c>
    </row>
    <row r="135" spans="1:13" x14ac:dyDescent="0.3">
      <c r="A135" s="5" t="s">
        <v>127</v>
      </c>
      <c r="B135" s="6" t="s">
        <v>27</v>
      </c>
      <c r="C135" s="7">
        <v>45446</v>
      </c>
      <c r="D135" s="6" t="s">
        <v>40</v>
      </c>
      <c r="E135" s="6" t="s">
        <v>41</v>
      </c>
      <c r="F135" s="8">
        <v>3861</v>
      </c>
      <c r="G135" s="8">
        <v>960</v>
      </c>
      <c r="H135" s="8">
        <v>101</v>
      </c>
      <c r="I135" s="8">
        <v>69498</v>
      </c>
      <c r="J135" s="8">
        <v>68817</v>
      </c>
      <c r="K135" s="8">
        <v>297</v>
      </c>
      <c r="L135" s="9" t="s">
        <v>22</v>
      </c>
      <c r="M135" s="9" t="s">
        <v>23</v>
      </c>
    </row>
    <row r="136" spans="1:13" x14ac:dyDescent="0.3">
      <c r="A136" s="5" t="s">
        <v>128</v>
      </c>
      <c r="B136" s="6" t="s">
        <v>34</v>
      </c>
      <c r="C136" s="7">
        <v>45740</v>
      </c>
      <c r="D136" s="6" t="s">
        <v>40</v>
      </c>
      <c r="E136" s="6" t="s">
        <v>41</v>
      </c>
      <c r="F136" s="8">
        <v>1263</v>
      </c>
      <c r="G136" s="8">
        <v>397</v>
      </c>
      <c r="H136" s="8">
        <v>357</v>
      </c>
      <c r="I136" s="8">
        <v>25260</v>
      </c>
      <c r="J136" s="8">
        <v>24615</v>
      </c>
      <c r="K136" s="8">
        <v>137</v>
      </c>
      <c r="L136" s="9" t="s">
        <v>17</v>
      </c>
      <c r="M136" s="9" t="s">
        <v>23</v>
      </c>
    </row>
    <row r="137" spans="1:13" x14ac:dyDescent="0.3">
      <c r="A137" s="5" t="s">
        <v>129</v>
      </c>
      <c r="B137" s="6" t="s">
        <v>14</v>
      </c>
      <c r="C137" s="7">
        <v>45586</v>
      </c>
      <c r="D137" s="6" t="s">
        <v>28</v>
      </c>
      <c r="E137" s="6" t="s">
        <v>29</v>
      </c>
      <c r="F137" s="8">
        <v>3801</v>
      </c>
      <c r="G137" s="8">
        <v>967</v>
      </c>
      <c r="H137" s="8">
        <v>401</v>
      </c>
      <c r="I137" s="8">
        <v>38010</v>
      </c>
      <c r="J137" s="8">
        <v>37625</v>
      </c>
      <c r="K137" s="8">
        <v>236</v>
      </c>
      <c r="L137" s="9" t="s">
        <v>31</v>
      </c>
      <c r="M137" s="9" t="s">
        <v>44</v>
      </c>
    </row>
    <row r="138" spans="1:13" x14ac:dyDescent="0.3">
      <c r="A138" s="5" t="s">
        <v>130</v>
      </c>
      <c r="B138" s="6" t="s">
        <v>27</v>
      </c>
      <c r="C138" s="7">
        <v>45637</v>
      </c>
      <c r="D138" s="6" t="s">
        <v>50</v>
      </c>
      <c r="E138" s="6" t="s">
        <v>51</v>
      </c>
      <c r="F138" s="8">
        <v>1431</v>
      </c>
      <c r="G138" s="8">
        <v>951</v>
      </c>
      <c r="H138" s="8">
        <v>26</v>
      </c>
      <c r="I138" s="8">
        <v>8586</v>
      </c>
      <c r="J138" s="8">
        <v>8396</v>
      </c>
      <c r="K138" s="8">
        <v>150</v>
      </c>
      <c r="L138" s="9" t="s">
        <v>37</v>
      </c>
      <c r="M138" s="9" t="s">
        <v>18</v>
      </c>
    </row>
    <row r="139" spans="1:13" x14ac:dyDescent="0.3">
      <c r="A139" s="5" t="s">
        <v>130</v>
      </c>
      <c r="B139" s="6" t="s">
        <v>27</v>
      </c>
      <c r="C139" s="7">
        <v>45637</v>
      </c>
      <c r="D139" s="6" t="s">
        <v>50</v>
      </c>
      <c r="E139" s="6" t="s">
        <v>51</v>
      </c>
      <c r="F139" s="8">
        <v>1431</v>
      </c>
      <c r="G139" s="8">
        <v>951</v>
      </c>
      <c r="H139" s="8">
        <v>26</v>
      </c>
      <c r="I139" s="8">
        <v>8586</v>
      </c>
      <c r="J139" s="8">
        <v>8396</v>
      </c>
      <c r="K139" s="8">
        <v>150</v>
      </c>
      <c r="L139" s="9" t="s">
        <v>52</v>
      </c>
      <c r="M139" s="9" t="s">
        <v>18</v>
      </c>
    </row>
    <row r="140" spans="1:13" x14ac:dyDescent="0.3">
      <c r="A140" s="5" t="s">
        <v>131</v>
      </c>
      <c r="B140" s="6" t="s">
        <v>27</v>
      </c>
      <c r="C140" s="7">
        <v>45603</v>
      </c>
      <c r="D140" s="6" t="s">
        <v>40</v>
      </c>
      <c r="E140" s="6" t="s">
        <v>41</v>
      </c>
      <c r="F140" s="8">
        <v>2647</v>
      </c>
      <c r="G140" s="8">
        <v>304</v>
      </c>
      <c r="H140" s="8">
        <v>170</v>
      </c>
      <c r="I140" s="8">
        <v>18529</v>
      </c>
      <c r="J140" s="8">
        <v>17841</v>
      </c>
      <c r="K140" s="8">
        <v>46</v>
      </c>
      <c r="L140" s="9" t="s">
        <v>31</v>
      </c>
      <c r="M140" s="9" t="s">
        <v>23</v>
      </c>
    </row>
    <row r="141" spans="1:13" x14ac:dyDescent="0.3">
      <c r="A141" s="5" t="s">
        <v>132</v>
      </c>
      <c r="B141" s="6" t="s">
        <v>27</v>
      </c>
      <c r="C141" s="7">
        <v>45604</v>
      </c>
      <c r="D141" s="6" t="s">
        <v>20</v>
      </c>
      <c r="E141" s="6" t="s">
        <v>21</v>
      </c>
      <c r="F141" s="8">
        <v>3182</v>
      </c>
      <c r="G141" s="8">
        <v>559</v>
      </c>
      <c r="H141" s="8">
        <v>160</v>
      </c>
      <c r="I141" s="8">
        <v>57276</v>
      </c>
      <c r="J141" s="8">
        <v>56890</v>
      </c>
      <c r="K141" s="8">
        <v>163</v>
      </c>
      <c r="L141" s="9" t="s">
        <v>31</v>
      </c>
      <c r="M141" s="9" t="s">
        <v>23</v>
      </c>
    </row>
    <row r="142" spans="1:13" x14ac:dyDescent="0.3">
      <c r="A142" s="5" t="s">
        <v>132</v>
      </c>
      <c r="B142" s="6" t="s">
        <v>27</v>
      </c>
      <c r="C142" s="7">
        <v>45604</v>
      </c>
      <c r="D142" s="6" t="s">
        <v>20</v>
      </c>
      <c r="E142" s="6" t="s">
        <v>21</v>
      </c>
      <c r="F142" s="8">
        <v>3182</v>
      </c>
      <c r="G142" s="8">
        <v>559</v>
      </c>
      <c r="H142" s="8">
        <v>160</v>
      </c>
      <c r="I142" s="8">
        <v>57276</v>
      </c>
      <c r="J142" s="8">
        <v>56890</v>
      </c>
      <c r="K142" s="8">
        <v>163</v>
      </c>
      <c r="L142" s="9" t="s">
        <v>37</v>
      </c>
      <c r="M142" s="9" t="s">
        <v>23</v>
      </c>
    </row>
    <row r="143" spans="1:13" x14ac:dyDescent="0.3">
      <c r="A143" s="5" t="s">
        <v>133</v>
      </c>
      <c r="B143" s="6" t="s">
        <v>14</v>
      </c>
      <c r="C143" s="7">
        <v>45545</v>
      </c>
      <c r="D143" s="6" t="s">
        <v>40</v>
      </c>
      <c r="E143" s="6" t="s">
        <v>41</v>
      </c>
      <c r="F143" s="8">
        <v>1238</v>
      </c>
      <c r="G143" s="8">
        <v>366</v>
      </c>
      <c r="H143" s="8">
        <v>444</v>
      </c>
      <c r="I143" s="8">
        <v>19808</v>
      </c>
      <c r="J143" s="8">
        <v>19334</v>
      </c>
      <c r="K143" s="8">
        <v>123</v>
      </c>
      <c r="L143" s="9" t="s">
        <v>52</v>
      </c>
      <c r="M143" s="9" t="s">
        <v>32</v>
      </c>
    </row>
    <row r="144" spans="1:13" x14ac:dyDescent="0.3">
      <c r="A144" s="5" t="s">
        <v>134</v>
      </c>
      <c r="B144" s="6" t="s">
        <v>27</v>
      </c>
      <c r="C144" s="7">
        <v>45517</v>
      </c>
      <c r="D144" s="6" t="s">
        <v>40</v>
      </c>
      <c r="E144" s="6" t="s">
        <v>41</v>
      </c>
      <c r="F144" s="8">
        <v>4739</v>
      </c>
      <c r="G144" s="8">
        <v>527</v>
      </c>
      <c r="H144" s="8">
        <v>135</v>
      </c>
      <c r="I144" s="8">
        <v>61607</v>
      </c>
      <c r="J144" s="8">
        <v>61333</v>
      </c>
      <c r="K144" s="8">
        <v>36</v>
      </c>
      <c r="L144" s="9" t="s">
        <v>31</v>
      </c>
      <c r="M144" s="9" t="s">
        <v>23</v>
      </c>
    </row>
    <row r="145" spans="1:13" x14ac:dyDescent="0.3">
      <c r="A145" s="5" t="s">
        <v>134</v>
      </c>
      <c r="B145" s="6" t="s">
        <v>27</v>
      </c>
      <c r="C145" s="7">
        <v>45517</v>
      </c>
      <c r="D145" s="6" t="s">
        <v>40</v>
      </c>
      <c r="E145" s="6" t="s">
        <v>41</v>
      </c>
      <c r="F145" s="8">
        <v>4739</v>
      </c>
      <c r="G145" s="8">
        <v>527</v>
      </c>
      <c r="H145" s="8">
        <v>135</v>
      </c>
      <c r="I145" s="8">
        <v>61607</v>
      </c>
      <c r="J145" s="8">
        <v>61333</v>
      </c>
      <c r="K145" s="8">
        <v>36</v>
      </c>
      <c r="L145" s="9" t="s">
        <v>17</v>
      </c>
      <c r="M145" s="9" t="s">
        <v>23</v>
      </c>
    </row>
    <row r="146" spans="1:13" x14ac:dyDescent="0.3">
      <c r="A146" s="5" t="s">
        <v>135</v>
      </c>
      <c r="B146" s="6" t="s">
        <v>14</v>
      </c>
      <c r="C146" s="7">
        <v>45453</v>
      </c>
      <c r="D146" s="6" t="s">
        <v>28</v>
      </c>
      <c r="E146" s="6" t="s">
        <v>29</v>
      </c>
      <c r="F146" s="8">
        <v>1575</v>
      </c>
      <c r="G146" s="8">
        <v>771</v>
      </c>
      <c r="H146" s="8">
        <v>486</v>
      </c>
      <c r="I146" s="8">
        <v>25200</v>
      </c>
      <c r="J146" s="8">
        <v>24826</v>
      </c>
      <c r="K146" s="8">
        <v>17</v>
      </c>
      <c r="L146" s="9" t="s">
        <v>31</v>
      </c>
      <c r="M146" s="9" t="s">
        <v>32</v>
      </c>
    </row>
    <row r="147" spans="1:13" x14ac:dyDescent="0.3">
      <c r="A147" s="5" t="s">
        <v>136</v>
      </c>
      <c r="B147" s="6" t="s">
        <v>25</v>
      </c>
      <c r="C147" s="7">
        <v>45475</v>
      </c>
      <c r="D147" s="6" t="s">
        <v>35</v>
      </c>
      <c r="E147" s="6" t="s">
        <v>36</v>
      </c>
      <c r="F147" s="8">
        <v>4171</v>
      </c>
      <c r="G147" s="8">
        <v>548</v>
      </c>
      <c r="H147" s="8">
        <v>86</v>
      </c>
      <c r="I147" s="8">
        <v>66736</v>
      </c>
      <c r="J147" s="8">
        <v>66634</v>
      </c>
      <c r="K147" s="8">
        <v>173</v>
      </c>
      <c r="L147" s="9" t="s">
        <v>31</v>
      </c>
      <c r="M147" s="9" t="s">
        <v>32</v>
      </c>
    </row>
    <row r="148" spans="1:13" x14ac:dyDescent="0.3">
      <c r="A148" s="5" t="s">
        <v>137</v>
      </c>
      <c r="B148" s="6" t="s">
        <v>25</v>
      </c>
      <c r="C148" s="7">
        <v>45698</v>
      </c>
      <c r="D148" s="6" t="s">
        <v>50</v>
      </c>
      <c r="E148" s="6" t="s">
        <v>51</v>
      </c>
      <c r="F148" s="8">
        <v>1766</v>
      </c>
      <c r="G148" s="8">
        <v>92</v>
      </c>
      <c r="H148" s="8">
        <v>424</v>
      </c>
      <c r="I148" s="8">
        <v>24724</v>
      </c>
      <c r="J148" s="8">
        <v>24333</v>
      </c>
      <c r="K148" s="8">
        <v>52</v>
      </c>
      <c r="L148" s="9" t="s">
        <v>31</v>
      </c>
      <c r="M148" s="9" t="s">
        <v>18</v>
      </c>
    </row>
    <row r="149" spans="1:13" x14ac:dyDescent="0.3">
      <c r="A149" s="5" t="s">
        <v>138</v>
      </c>
      <c r="B149" s="6" t="s">
        <v>25</v>
      </c>
      <c r="C149" s="7">
        <v>45583</v>
      </c>
      <c r="D149" s="6" t="s">
        <v>50</v>
      </c>
      <c r="E149" s="6" t="s">
        <v>51</v>
      </c>
      <c r="F149" s="8">
        <v>4450</v>
      </c>
      <c r="G149" s="8">
        <v>983</v>
      </c>
      <c r="H149" s="8">
        <v>143</v>
      </c>
      <c r="I149" s="8">
        <v>75650</v>
      </c>
      <c r="J149" s="8">
        <v>75008</v>
      </c>
      <c r="K149" s="8">
        <v>12</v>
      </c>
      <c r="L149" s="9" t="s">
        <v>17</v>
      </c>
      <c r="M149" s="9" t="s">
        <v>23</v>
      </c>
    </row>
    <row r="150" spans="1:13" x14ac:dyDescent="0.3">
      <c r="A150" s="5" t="s">
        <v>138</v>
      </c>
      <c r="B150" s="6" t="s">
        <v>25</v>
      </c>
      <c r="C150" s="7">
        <v>45583</v>
      </c>
      <c r="D150" s="6" t="s">
        <v>50</v>
      </c>
      <c r="E150" s="6" t="s">
        <v>51</v>
      </c>
      <c r="F150" s="8">
        <v>4450</v>
      </c>
      <c r="G150" s="8">
        <v>983</v>
      </c>
      <c r="H150" s="8">
        <v>143</v>
      </c>
      <c r="I150" s="8">
        <v>75650</v>
      </c>
      <c r="J150" s="8">
        <v>75008</v>
      </c>
      <c r="K150" s="8">
        <v>12</v>
      </c>
      <c r="L150" s="9" t="s">
        <v>31</v>
      </c>
      <c r="M150" s="9" t="s">
        <v>23</v>
      </c>
    </row>
    <row r="151" spans="1:13" x14ac:dyDescent="0.3">
      <c r="A151" s="5" t="s">
        <v>139</v>
      </c>
      <c r="B151" s="6" t="s">
        <v>14</v>
      </c>
      <c r="C151" s="7">
        <v>45553</v>
      </c>
      <c r="D151" s="6" t="s">
        <v>15</v>
      </c>
      <c r="E151" s="6" t="s">
        <v>16</v>
      </c>
      <c r="F151" s="8">
        <v>1000</v>
      </c>
      <c r="G151" s="8">
        <v>978</v>
      </c>
      <c r="H151" s="8">
        <v>162</v>
      </c>
      <c r="I151" s="8">
        <v>6000</v>
      </c>
      <c r="J151" s="8">
        <v>5221</v>
      </c>
      <c r="K151" s="8">
        <v>223</v>
      </c>
      <c r="L151" s="9" t="s">
        <v>37</v>
      </c>
      <c r="M151" s="9" t="s">
        <v>32</v>
      </c>
    </row>
    <row r="152" spans="1:13" x14ac:dyDescent="0.3">
      <c r="A152" s="5" t="s">
        <v>139</v>
      </c>
      <c r="B152" s="6" t="s">
        <v>14</v>
      </c>
      <c r="C152" s="7">
        <v>45553</v>
      </c>
      <c r="D152" s="6" t="s">
        <v>15</v>
      </c>
      <c r="E152" s="6" t="s">
        <v>16</v>
      </c>
      <c r="F152" s="8">
        <v>1000</v>
      </c>
      <c r="G152" s="8">
        <v>978</v>
      </c>
      <c r="H152" s="8">
        <v>162</v>
      </c>
      <c r="I152" s="8">
        <v>6000</v>
      </c>
      <c r="J152" s="8">
        <v>5221</v>
      </c>
      <c r="K152" s="8">
        <v>223</v>
      </c>
      <c r="L152" s="9" t="s">
        <v>22</v>
      </c>
      <c r="M152" s="9" t="s">
        <v>32</v>
      </c>
    </row>
    <row r="153" spans="1:13" x14ac:dyDescent="0.3">
      <c r="A153" s="5" t="s">
        <v>140</v>
      </c>
      <c r="B153" s="6" t="s">
        <v>34</v>
      </c>
      <c r="C153" s="7">
        <v>45454</v>
      </c>
      <c r="D153" s="6" t="s">
        <v>40</v>
      </c>
      <c r="E153" s="6" t="s">
        <v>41</v>
      </c>
      <c r="F153" s="8">
        <v>3689</v>
      </c>
      <c r="G153" s="8">
        <v>48</v>
      </c>
      <c r="H153" s="8">
        <v>306</v>
      </c>
      <c r="I153" s="8">
        <v>40579</v>
      </c>
      <c r="J153" s="8">
        <v>39588</v>
      </c>
      <c r="K153" s="8">
        <v>212</v>
      </c>
      <c r="L153" s="9" t="s">
        <v>37</v>
      </c>
      <c r="M153" s="9" t="s">
        <v>18</v>
      </c>
    </row>
    <row r="154" spans="1:13" x14ac:dyDescent="0.3">
      <c r="A154" s="5" t="s">
        <v>141</v>
      </c>
      <c r="B154" s="6" t="s">
        <v>25</v>
      </c>
      <c r="C154" s="7">
        <v>45739</v>
      </c>
      <c r="D154" s="6" t="s">
        <v>28</v>
      </c>
      <c r="E154" s="6" t="s">
        <v>29</v>
      </c>
      <c r="F154" s="8">
        <v>3655</v>
      </c>
      <c r="G154" s="8">
        <v>568</v>
      </c>
      <c r="H154" s="8">
        <v>286</v>
      </c>
      <c r="I154" s="8">
        <v>32895</v>
      </c>
      <c r="J154" s="8">
        <v>32015</v>
      </c>
      <c r="K154" s="8">
        <v>199</v>
      </c>
      <c r="L154" s="9" t="s">
        <v>37</v>
      </c>
      <c r="M154" s="9" t="s">
        <v>44</v>
      </c>
    </row>
    <row r="155" spans="1:13" x14ac:dyDescent="0.3">
      <c r="A155" s="5" t="s">
        <v>142</v>
      </c>
      <c r="B155" s="6" t="s">
        <v>27</v>
      </c>
      <c r="C155" s="7">
        <v>45457</v>
      </c>
      <c r="D155" s="6" t="s">
        <v>35</v>
      </c>
      <c r="E155" s="6" t="s">
        <v>36</v>
      </c>
      <c r="F155" s="8">
        <v>498</v>
      </c>
      <c r="G155" s="8">
        <v>38</v>
      </c>
      <c r="H155" s="8">
        <v>42</v>
      </c>
      <c r="I155" s="8">
        <v>4482</v>
      </c>
      <c r="J155" s="8">
        <v>3647</v>
      </c>
      <c r="K155" s="8">
        <v>32</v>
      </c>
      <c r="L155" s="9" t="s">
        <v>31</v>
      </c>
      <c r="M155" s="9" t="s">
        <v>44</v>
      </c>
    </row>
    <row r="156" spans="1:13" x14ac:dyDescent="0.3">
      <c r="A156" s="5" t="s">
        <v>142</v>
      </c>
      <c r="B156" s="6" t="s">
        <v>27</v>
      </c>
      <c r="C156" s="7">
        <v>45457</v>
      </c>
      <c r="D156" s="6" t="s">
        <v>35</v>
      </c>
      <c r="E156" s="6" t="s">
        <v>36</v>
      </c>
      <c r="F156" s="8">
        <v>498</v>
      </c>
      <c r="G156" s="8">
        <v>38</v>
      </c>
      <c r="H156" s="8">
        <v>42</v>
      </c>
      <c r="I156" s="8">
        <v>4482</v>
      </c>
      <c r="J156" s="8">
        <v>3647</v>
      </c>
      <c r="K156" s="8">
        <v>32</v>
      </c>
      <c r="L156" s="9" t="s">
        <v>52</v>
      </c>
      <c r="M156" s="9" t="s">
        <v>44</v>
      </c>
    </row>
    <row r="157" spans="1:13" x14ac:dyDescent="0.3">
      <c r="A157" s="5" t="s">
        <v>143</v>
      </c>
      <c r="B157" s="6" t="s">
        <v>27</v>
      </c>
      <c r="C157" s="7">
        <v>45692</v>
      </c>
      <c r="D157" s="6" t="s">
        <v>40</v>
      </c>
      <c r="E157" s="6" t="s">
        <v>41</v>
      </c>
      <c r="F157" s="8">
        <v>4619</v>
      </c>
      <c r="G157" s="8">
        <v>821</v>
      </c>
      <c r="H157" s="8">
        <v>499</v>
      </c>
      <c r="I157" s="8">
        <v>69285</v>
      </c>
      <c r="J157" s="8">
        <v>69141</v>
      </c>
      <c r="K157" s="8">
        <v>298</v>
      </c>
      <c r="L157" s="9" t="s">
        <v>22</v>
      </c>
      <c r="M157" s="9" t="s">
        <v>18</v>
      </c>
    </row>
    <row r="158" spans="1:13" x14ac:dyDescent="0.3">
      <c r="A158" s="5" t="s">
        <v>144</v>
      </c>
      <c r="B158" s="6" t="s">
        <v>25</v>
      </c>
      <c r="C158" s="7">
        <v>45464</v>
      </c>
      <c r="D158" s="6" t="s">
        <v>40</v>
      </c>
      <c r="E158" s="6" t="s">
        <v>41</v>
      </c>
      <c r="F158" s="8">
        <v>4832</v>
      </c>
      <c r="G158" s="8">
        <v>893</v>
      </c>
      <c r="H158" s="8">
        <v>10</v>
      </c>
      <c r="I158" s="8">
        <v>91808</v>
      </c>
      <c r="J158" s="8">
        <v>91296</v>
      </c>
      <c r="K158" s="8">
        <v>182</v>
      </c>
      <c r="L158" s="9" t="s">
        <v>17</v>
      </c>
      <c r="M158" s="9" t="s">
        <v>32</v>
      </c>
    </row>
    <row r="159" spans="1:13" x14ac:dyDescent="0.3">
      <c r="A159" s="5" t="s">
        <v>144</v>
      </c>
      <c r="B159" s="6" t="s">
        <v>25</v>
      </c>
      <c r="C159" s="7">
        <v>45464</v>
      </c>
      <c r="D159" s="6" t="s">
        <v>40</v>
      </c>
      <c r="E159" s="6" t="s">
        <v>41</v>
      </c>
      <c r="F159" s="8">
        <v>4832</v>
      </c>
      <c r="G159" s="8">
        <v>893</v>
      </c>
      <c r="H159" s="8">
        <v>10</v>
      </c>
      <c r="I159" s="8">
        <v>91808</v>
      </c>
      <c r="J159" s="8">
        <v>91296</v>
      </c>
      <c r="K159" s="8">
        <v>182</v>
      </c>
      <c r="L159" s="9" t="s">
        <v>31</v>
      </c>
      <c r="M159" s="9" t="s">
        <v>32</v>
      </c>
    </row>
    <row r="160" spans="1:13" x14ac:dyDescent="0.3">
      <c r="A160" s="5" t="s">
        <v>145</v>
      </c>
      <c r="B160" s="6" t="s">
        <v>14</v>
      </c>
      <c r="C160" s="7">
        <v>45741</v>
      </c>
      <c r="D160" s="6" t="s">
        <v>50</v>
      </c>
      <c r="E160" s="6" t="s">
        <v>51</v>
      </c>
      <c r="F160" s="8">
        <v>4050</v>
      </c>
      <c r="G160" s="8">
        <v>871</v>
      </c>
      <c r="H160" s="8">
        <v>347</v>
      </c>
      <c r="I160" s="8">
        <v>52650</v>
      </c>
      <c r="J160" s="8">
        <v>51755</v>
      </c>
      <c r="K160" s="8">
        <v>209</v>
      </c>
      <c r="L160" s="9" t="s">
        <v>31</v>
      </c>
      <c r="M160" s="9" t="s">
        <v>18</v>
      </c>
    </row>
    <row r="161" spans="1:13" x14ac:dyDescent="0.3">
      <c r="A161" s="5" t="s">
        <v>145</v>
      </c>
      <c r="B161" s="6" t="s">
        <v>14</v>
      </c>
      <c r="C161" s="7">
        <v>45741</v>
      </c>
      <c r="D161" s="6" t="s">
        <v>50</v>
      </c>
      <c r="E161" s="6" t="s">
        <v>51</v>
      </c>
      <c r="F161" s="8">
        <v>4050</v>
      </c>
      <c r="G161" s="8">
        <v>871</v>
      </c>
      <c r="H161" s="8">
        <v>347</v>
      </c>
      <c r="I161" s="8">
        <v>52650</v>
      </c>
      <c r="J161" s="8">
        <v>51755</v>
      </c>
      <c r="K161" s="8">
        <v>209</v>
      </c>
      <c r="L161" s="9" t="s">
        <v>52</v>
      </c>
      <c r="M161" s="9" t="s">
        <v>18</v>
      </c>
    </row>
    <row r="162" spans="1:13" x14ac:dyDescent="0.3">
      <c r="A162" s="5" t="s">
        <v>146</v>
      </c>
      <c r="B162" s="6" t="s">
        <v>14</v>
      </c>
      <c r="C162" s="7">
        <v>45512</v>
      </c>
      <c r="D162" s="6" t="s">
        <v>28</v>
      </c>
      <c r="E162" s="6" t="s">
        <v>29</v>
      </c>
      <c r="F162" s="8">
        <v>3649</v>
      </c>
      <c r="G162" s="8">
        <v>215</v>
      </c>
      <c r="H162" s="8">
        <v>413</v>
      </c>
      <c r="I162" s="8">
        <v>25543</v>
      </c>
      <c r="J162" s="8">
        <v>24963</v>
      </c>
      <c r="K162" s="8">
        <v>167</v>
      </c>
      <c r="L162" s="9" t="s">
        <v>22</v>
      </c>
      <c r="M162" s="9" t="s">
        <v>18</v>
      </c>
    </row>
    <row r="163" spans="1:13" x14ac:dyDescent="0.3">
      <c r="A163" s="5" t="s">
        <v>146</v>
      </c>
      <c r="B163" s="6" t="s">
        <v>14</v>
      </c>
      <c r="C163" s="7">
        <v>45512</v>
      </c>
      <c r="D163" s="6" t="s">
        <v>28</v>
      </c>
      <c r="E163" s="6" t="s">
        <v>29</v>
      </c>
      <c r="F163" s="8">
        <v>3649</v>
      </c>
      <c r="G163" s="8">
        <v>215</v>
      </c>
      <c r="H163" s="8">
        <v>413</v>
      </c>
      <c r="I163" s="8">
        <v>25543</v>
      </c>
      <c r="J163" s="8">
        <v>24963</v>
      </c>
      <c r="K163" s="8">
        <v>167</v>
      </c>
      <c r="L163" s="9" t="s">
        <v>31</v>
      </c>
      <c r="M163" s="9" t="s">
        <v>18</v>
      </c>
    </row>
    <row r="164" spans="1:13" x14ac:dyDescent="0.3">
      <c r="A164" s="5" t="s">
        <v>147</v>
      </c>
      <c r="B164" s="6" t="s">
        <v>27</v>
      </c>
      <c r="C164" s="7">
        <v>45502</v>
      </c>
      <c r="D164" s="6" t="s">
        <v>15</v>
      </c>
      <c r="E164" s="6" t="s">
        <v>16</v>
      </c>
      <c r="F164" s="8">
        <v>3523</v>
      </c>
      <c r="G164" s="8">
        <v>753</v>
      </c>
      <c r="H164" s="8">
        <v>482</v>
      </c>
      <c r="I164" s="8">
        <v>38753</v>
      </c>
      <c r="J164" s="8">
        <v>38579</v>
      </c>
      <c r="K164" s="8">
        <v>270</v>
      </c>
      <c r="L164" s="9" t="s">
        <v>52</v>
      </c>
      <c r="M164" s="9" t="s">
        <v>23</v>
      </c>
    </row>
    <row r="165" spans="1:13" x14ac:dyDescent="0.3">
      <c r="A165" s="5" t="s">
        <v>147</v>
      </c>
      <c r="B165" s="6" t="s">
        <v>27</v>
      </c>
      <c r="C165" s="7">
        <v>45502</v>
      </c>
      <c r="D165" s="6" t="s">
        <v>15</v>
      </c>
      <c r="E165" s="6" t="s">
        <v>16</v>
      </c>
      <c r="F165" s="8">
        <v>3523</v>
      </c>
      <c r="G165" s="8">
        <v>753</v>
      </c>
      <c r="H165" s="8">
        <v>482</v>
      </c>
      <c r="I165" s="8">
        <v>38753</v>
      </c>
      <c r="J165" s="8">
        <v>38579</v>
      </c>
      <c r="K165" s="8">
        <v>270</v>
      </c>
      <c r="L165" s="9" t="s">
        <v>31</v>
      </c>
      <c r="M165" s="9" t="s">
        <v>23</v>
      </c>
    </row>
    <row r="166" spans="1:13" x14ac:dyDescent="0.3">
      <c r="A166" s="5" t="s">
        <v>148</v>
      </c>
      <c r="B166" s="6" t="s">
        <v>25</v>
      </c>
      <c r="C166" s="7">
        <v>45619</v>
      </c>
      <c r="D166" s="6" t="s">
        <v>40</v>
      </c>
      <c r="E166" s="6" t="s">
        <v>41</v>
      </c>
      <c r="F166" s="8">
        <v>2719</v>
      </c>
      <c r="G166" s="8">
        <v>17</v>
      </c>
      <c r="H166" s="8">
        <v>285</v>
      </c>
      <c r="I166" s="8">
        <v>40785</v>
      </c>
      <c r="J166" s="8">
        <v>40281</v>
      </c>
      <c r="K166" s="8">
        <v>40</v>
      </c>
      <c r="L166" s="9" t="s">
        <v>22</v>
      </c>
      <c r="M166" s="9" t="s">
        <v>32</v>
      </c>
    </row>
    <row r="167" spans="1:13" x14ac:dyDescent="0.3">
      <c r="A167" s="5" t="s">
        <v>148</v>
      </c>
      <c r="B167" s="6" t="s">
        <v>25</v>
      </c>
      <c r="C167" s="7">
        <v>45619</v>
      </c>
      <c r="D167" s="6" t="s">
        <v>40</v>
      </c>
      <c r="E167" s="6" t="s">
        <v>41</v>
      </c>
      <c r="F167" s="8">
        <v>2719</v>
      </c>
      <c r="G167" s="8">
        <v>17</v>
      </c>
      <c r="H167" s="8">
        <v>285</v>
      </c>
      <c r="I167" s="8">
        <v>40785</v>
      </c>
      <c r="J167" s="8">
        <v>40281</v>
      </c>
      <c r="K167" s="8">
        <v>40</v>
      </c>
      <c r="L167" s="9" t="s">
        <v>31</v>
      </c>
      <c r="M167" s="9" t="s">
        <v>32</v>
      </c>
    </row>
    <row r="168" spans="1:13" x14ac:dyDescent="0.3">
      <c r="A168" s="5" t="s">
        <v>149</v>
      </c>
      <c r="B168" s="6" t="s">
        <v>14</v>
      </c>
      <c r="C168" s="7">
        <v>45570</v>
      </c>
      <c r="D168" s="6" t="s">
        <v>28</v>
      </c>
      <c r="E168" s="6" t="s">
        <v>29</v>
      </c>
      <c r="F168" s="8">
        <v>1957</v>
      </c>
      <c r="G168" s="8">
        <v>877</v>
      </c>
      <c r="H168" s="8">
        <v>238</v>
      </c>
      <c r="I168" s="8">
        <v>17613</v>
      </c>
      <c r="J168" s="8">
        <v>16865</v>
      </c>
      <c r="K168" s="8">
        <v>297</v>
      </c>
      <c r="L168" s="9" t="s">
        <v>22</v>
      </c>
      <c r="M168" s="9" t="s">
        <v>32</v>
      </c>
    </row>
    <row r="169" spans="1:13" x14ac:dyDescent="0.3">
      <c r="A169" s="5" t="s">
        <v>149</v>
      </c>
      <c r="B169" s="6" t="s">
        <v>14</v>
      </c>
      <c r="C169" s="7">
        <v>45570</v>
      </c>
      <c r="D169" s="6" t="s">
        <v>28</v>
      </c>
      <c r="E169" s="6" t="s">
        <v>29</v>
      </c>
      <c r="F169" s="8">
        <v>1957</v>
      </c>
      <c r="G169" s="8">
        <v>877</v>
      </c>
      <c r="H169" s="8">
        <v>238</v>
      </c>
      <c r="I169" s="8">
        <v>17613</v>
      </c>
      <c r="J169" s="8">
        <v>16865</v>
      </c>
      <c r="K169" s="8">
        <v>297</v>
      </c>
      <c r="L169" s="9" t="s">
        <v>17</v>
      </c>
      <c r="M169" s="9" t="s">
        <v>32</v>
      </c>
    </row>
    <row r="170" spans="1:13" x14ac:dyDescent="0.3">
      <c r="A170" s="5" t="s">
        <v>150</v>
      </c>
      <c r="B170" s="6" t="s">
        <v>14</v>
      </c>
      <c r="C170" s="7">
        <v>45567</v>
      </c>
      <c r="D170" s="6" t="s">
        <v>35</v>
      </c>
      <c r="E170" s="6" t="s">
        <v>36</v>
      </c>
      <c r="F170" s="8">
        <v>4419</v>
      </c>
      <c r="G170" s="8">
        <v>236</v>
      </c>
      <c r="H170" s="8">
        <v>369</v>
      </c>
      <c r="I170" s="8">
        <v>44190</v>
      </c>
      <c r="J170" s="8">
        <v>43582</v>
      </c>
      <c r="K170" s="8">
        <v>10</v>
      </c>
      <c r="L170" s="9" t="s">
        <v>37</v>
      </c>
      <c r="M170" s="9" t="s">
        <v>44</v>
      </c>
    </row>
    <row r="171" spans="1:13" x14ac:dyDescent="0.3">
      <c r="A171" s="5" t="s">
        <v>151</v>
      </c>
      <c r="B171" s="6" t="s">
        <v>14</v>
      </c>
      <c r="C171" s="7">
        <v>45610</v>
      </c>
      <c r="D171" s="6" t="s">
        <v>28</v>
      </c>
      <c r="E171" s="6" t="s">
        <v>29</v>
      </c>
      <c r="F171" s="8">
        <v>4000</v>
      </c>
      <c r="G171" s="8">
        <v>689</v>
      </c>
      <c r="H171" s="8">
        <v>488</v>
      </c>
      <c r="I171" s="8">
        <v>40000</v>
      </c>
      <c r="J171" s="8">
        <v>39569</v>
      </c>
      <c r="K171" s="8">
        <v>44</v>
      </c>
      <c r="L171" s="9" t="s">
        <v>52</v>
      </c>
      <c r="M171" s="9" t="s">
        <v>32</v>
      </c>
    </row>
    <row r="172" spans="1:13" x14ac:dyDescent="0.3">
      <c r="A172" s="5" t="s">
        <v>151</v>
      </c>
      <c r="B172" s="6" t="s">
        <v>14</v>
      </c>
      <c r="C172" s="7">
        <v>45610</v>
      </c>
      <c r="D172" s="6" t="s">
        <v>28</v>
      </c>
      <c r="E172" s="6" t="s">
        <v>29</v>
      </c>
      <c r="F172" s="8">
        <v>4000</v>
      </c>
      <c r="G172" s="8">
        <v>689</v>
      </c>
      <c r="H172" s="8">
        <v>488</v>
      </c>
      <c r="I172" s="8">
        <v>40000</v>
      </c>
      <c r="J172" s="8">
        <v>39569</v>
      </c>
      <c r="K172" s="8">
        <v>44</v>
      </c>
      <c r="L172" s="9" t="s">
        <v>22</v>
      </c>
      <c r="M172" s="9" t="s">
        <v>32</v>
      </c>
    </row>
    <row r="173" spans="1:13" x14ac:dyDescent="0.3">
      <c r="A173" s="5" t="s">
        <v>152</v>
      </c>
      <c r="B173" s="6" t="s">
        <v>14</v>
      </c>
      <c r="C173" s="7">
        <v>45788</v>
      </c>
      <c r="D173" s="6" t="s">
        <v>40</v>
      </c>
      <c r="E173" s="6" t="s">
        <v>41</v>
      </c>
      <c r="F173" s="8">
        <v>2493</v>
      </c>
      <c r="G173" s="8">
        <v>97</v>
      </c>
      <c r="H173" s="8">
        <v>44</v>
      </c>
      <c r="I173" s="8">
        <v>42381</v>
      </c>
      <c r="J173" s="8">
        <v>41991</v>
      </c>
      <c r="K173" s="8">
        <v>242</v>
      </c>
      <c r="L173" s="9" t="s">
        <v>17</v>
      </c>
      <c r="M173" s="9" t="s">
        <v>18</v>
      </c>
    </row>
    <row r="174" spans="1:13" x14ac:dyDescent="0.3">
      <c r="A174" s="5" t="s">
        <v>152</v>
      </c>
      <c r="B174" s="6" t="s">
        <v>14</v>
      </c>
      <c r="C174" s="7">
        <v>45788</v>
      </c>
      <c r="D174" s="6" t="s">
        <v>40</v>
      </c>
      <c r="E174" s="6" t="s">
        <v>41</v>
      </c>
      <c r="F174" s="8">
        <v>2493</v>
      </c>
      <c r="G174" s="8">
        <v>97</v>
      </c>
      <c r="H174" s="8">
        <v>44</v>
      </c>
      <c r="I174" s="8">
        <v>42381</v>
      </c>
      <c r="J174" s="8">
        <v>41991</v>
      </c>
      <c r="K174" s="8">
        <v>242</v>
      </c>
      <c r="L174" s="9" t="s">
        <v>31</v>
      </c>
      <c r="M174" s="9" t="s">
        <v>18</v>
      </c>
    </row>
    <row r="175" spans="1:13" x14ac:dyDescent="0.3">
      <c r="A175" s="5" t="s">
        <v>153</v>
      </c>
      <c r="B175" s="6" t="s">
        <v>25</v>
      </c>
      <c r="C175" s="7">
        <v>45734</v>
      </c>
      <c r="D175" s="6" t="s">
        <v>15</v>
      </c>
      <c r="E175" s="6" t="s">
        <v>16</v>
      </c>
      <c r="F175" s="8">
        <v>3704</v>
      </c>
      <c r="G175" s="8">
        <v>186</v>
      </c>
      <c r="H175" s="8">
        <v>458</v>
      </c>
      <c r="I175" s="8">
        <v>25928</v>
      </c>
      <c r="J175" s="8">
        <v>25081</v>
      </c>
      <c r="K175" s="8">
        <v>131</v>
      </c>
      <c r="L175" s="9" t="s">
        <v>31</v>
      </c>
      <c r="M175" s="9" t="s">
        <v>18</v>
      </c>
    </row>
    <row r="176" spans="1:13" x14ac:dyDescent="0.3">
      <c r="A176" s="5" t="s">
        <v>154</v>
      </c>
      <c r="B176" s="6" t="s">
        <v>14</v>
      </c>
      <c r="C176" s="7">
        <v>45600</v>
      </c>
      <c r="D176" s="6" t="s">
        <v>40</v>
      </c>
      <c r="E176" s="6" t="s">
        <v>41</v>
      </c>
      <c r="F176" s="8">
        <v>1606</v>
      </c>
      <c r="G176" s="8">
        <v>451</v>
      </c>
      <c r="H176" s="8">
        <v>405</v>
      </c>
      <c r="I176" s="8">
        <v>20878</v>
      </c>
      <c r="J176" s="8">
        <v>20190</v>
      </c>
      <c r="K176" s="8">
        <v>219</v>
      </c>
      <c r="L176" s="9" t="s">
        <v>17</v>
      </c>
      <c r="M176" s="9" t="s">
        <v>23</v>
      </c>
    </row>
    <row r="177" spans="1:13" x14ac:dyDescent="0.3">
      <c r="A177" s="5" t="s">
        <v>154</v>
      </c>
      <c r="B177" s="6" t="s">
        <v>14</v>
      </c>
      <c r="C177" s="7">
        <v>45600</v>
      </c>
      <c r="D177" s="6" t="s">
        <v>40</v>
      </c>
      <c r="E177" s="6" t="s">
        <v>41</v>
      </c>
      <c r="F177" s="8">
        <v>1606</v>
      </c>
      <c r="G177" s="8">
        <v>451</v>
      </c>
      <c r="H177" s="8">
        <v>405</v>
      </c>
      <c r="I177" s="8">
        <v>20878</v>
      </c>
      <c r="J177" s="8">
        <v>20190</v>
      </c>
      <c r="K177" s="8">
        <v>219</v>
      </c>
      <c r="L177" s="9" t="s">
        <v>31</v>
      </c>
      <c r="M177" s="9" t="s">
        <v>23</v>
      </c>
    </row>
    <row r="178" spans="1:13" x14ac:dyDescent="0.3">
      <c r="A178" s="5" t="s">
        <v>155</v>
      </c>
      <c r="B178" s="6" t="s">
        <v>34</v>
      </c>
      <c r="C178" s="7">
        <v>45600</v>
      </c>
      <c r="D178" s="6" t="s">
        <v>40</v>
      </c>
      <c r="E178" s="6" t="s">
        <v>41</v>
      </c>
      <c r="F178" s="8">
        <v>4551</v>
      </c>
      <c r="G178" s="8">
        <v>714</v>
      </c>
      <c r="H178" s="8">
        <v>207</v>
      </c>
      <c r="I178" s="8">
        <v>68265</v>
      </c>
      <c r="J178" s="8">
        <v>67754</v>
      </c>
      <c r="K178" s="8">
        <v>57</v>
      </c>
      <c r="L178" s="9" t="s">
        <v>37</v>
      </c>
      <c r="M178" s="9" t="s">
        <v>23</v>
      </c>
    </row>
    <row r="179" spans="1:13" x14ac:dyDescent="0.3">
      <c r="A179" s="5" t="s">
        <v>156</v>
      </c>
      <c r="B179" s="6" t="s">
        <v>27</v>
      </c>
      <c r="C179" s="7">
        <v>45695</v>
      </c>
      <c r="D179" s="6" t="s">
        <v>15</v>
      </c>
      <c r="E179" s="6" t="s">
        <v>16</v>
      </c>
      <c r="F179" s="8">
        <v>1970</v>
      </c>
      <c r="G179" s="8">
        <v>675</v>
      </c>
      <c r="H179" s="8">
        <v>478</v>
      </c>
      <c r="I179" s="8">
        <v>9850</v>
      </c>
      <c r="J179" s="8">
        <v>8924</v>
      </c>
      <c r="K179" s="8">
        <v>117</v>
      </c>
      <c r="L179" s="9" t="s">
        <v>37</v>
      </c>
      <c r="M179" s="9" t="s">
        <v>44</v>
      </c>
    </row>
    <row r="180" spans="1:13" x14ac:dyDescent="0.3">
      <c r="A180" s="5" t="s">
        <v>157</v>
      </c>
      <c r="B180" s="6" t="s">
        <v>34</v>
      </c>
      <c r="C180" s="7">
        <v>45586</v>
      </c>
      <c r="D180" s="6" t="s">
        <v>28</v>
      </c>
      <c r="E180" s="6" t="s">
        <v>29</v>
      </c>
      <c r="F180" s="8">
        <v>780</v>
      </c>
      <c r="G180" s="8">
        <v>928</v>
      </c>
      <c r="H180" s="8">
        <v>301</v>
      </c>
      <c r="I180" s="8">
        <v>8580</v>
      </c>
      <c r="J180" s="8">
        <v>8081</v>
      </c>
      <c r="K180" s="8">
        <v>91</v>
      </c>
      <c r="L180" s="9" t="s">
        <v>17</v>
      </c>
      <c r="M180" s="9" t="s">
        <v>44</v>
      </c>
    </row>
    <row r="181" spans="1:13" x14ac:dyDescent="0.3">
      <c r="A181" s="5" t="s">
        <v>157</v>
      </c>
      <c r="B181" s="6" t="s">
        <v>34</v>
      </c>
      <c r="C181" s="7">
        <v>45586</v>
      </c>
      <c r="D181" s="6" t="s">
        <v>28</v>
      </c>
      <c r="E181" s="6" t="s">
        <v>29</v>
      </c>
      <c r="F181" s="8">
        <v>780</v>
      </c>
      <c r="G181" s="8">
        <v>928</v>
      </c>
      <c r="H181" s="8">
        <v>301</v>
      </c>
      <c r="I181" s="8">
        <v>8580</v>
      </c>
      <c r="J181" s="8">
        <v>8081</v>
      </c>
      <c r="K181" s="8">
        <v>91</v>
      </c>
      <c r="L181" s="9" t="s">
        <v>22</v>
      </c>
      <c r="M181" s="9" t="s">
        <v>44</v>
      </c>
    </row>
    <row r="182" spans="1:13" x14ac:dyDescent="0.3">
      <c r="A182" s="5" t="s">
        <v>158</v>
      </c>
      <c r="B182" s="6" t="s">
        <v>27</v>
      </c>
      <c r="C182" s="7">
        <v>45502</v>
      </c>
      <c r="D182" s="6" t="s">
        <v>28</v>
      </c>
      <c r="E182" s="6" t="s">
        <v>29</v>
      </c>
      <c r="F182" s="8">
        <v>498</v>
      </c>
      <c r="G182" s="8">
        <v>701</v>
      </c>
      <c r="H182" s="8">
        <v>412</v>
      </c>
      <c r="I182" s="8">
        <v>4980</v>
      </c>
      <c r="J182" s="8">
        <v>4185</v>
      </c>
      <c r="K182" s="8">
        <v>185</v>
      </c>
      <c r="L182" s="9" t="s">
        <v>52</v>
      </c>
      <c r="M182" s="9" t="s">
        <v>44</v>
      </c>
    </row>
    <row r="183" spans="1:13" x14ac:dyDescent="0.3">
      <c r="A183" s="5" t="s">
        <v>158</v>
      </c>
      <c r="B183" s="6" t="s">
        <v>27</v>
      </c>
      <c r="C183" s="7">
        <v>45502</v>
      </c>
      <c r="D183" s="6" t="s">
        <v>28</v>
      </c>
      <c r="E183" s="6" t="s">
        <v>29</v>
      </c>
      <c r="F183" s="8">
        <v>498</v>
      </c>
      <c r="G183" s="8">
        <v>701</v>
      </c>
      <c r="H183" s="8">
        <v>412</v>
      </c>
      <c r="I183" s="8">
        <v>4980</v>
      </c>
      <c r="J183" s="8">
        <v>4185</v>
      </c>
      <c r="K183" s="8">
        <v>185</v>
      </c>
      <c r="L183" s="9" t="s">
        <v>31</v>
      </c>
      <c r="M183" s="9" t="s">
        <v>44</v>
      </c>
    </row>
    <row r="184" spans="1:13" x14ac:dyDescent="0.3">
      <c r="A184" s="5" t="s">
        <v>159</v>
      </c>
      <c r="B184" s="6" t="s">
        <v>27</v>
      </c>
      <c r="C184" s="7">
        <v>45567</v>
      </c>
      <c r="D184" s="6" t="s">
        <v>20</v>
      </c>
      <c r="E184" s="6" t="s">
        <v>21</v>
      </c>
      <c r="F184" s="8">
        <v>3432</v>
      </c>
      <c r="G184" s="8">
        <v>869</v>
      </c>
      <c r="H184" s="8">
        <v>123</v>
      </c>
      <c r="I184" s="8">
        <v>54912</v>
      </c>
      <c r="J184" s="8">
        <v>53916</v>
      </c>
      <c r="K184" s="8">
        <v>264</v>
      </c>
      <c r="L184" s="9" t="s">
        <v>22</v>
      </c>
      <c r="M184" s="9" t="s">
        <v>23</v>
      </c>
    </row>
    <row r="185" spans="1:13" x14ac:dyDescent="0.3">
      <c r="A185" s="5" t="s">
        <v>159</v>
      </c>
      <c r="B185" s="6" t="s">
        <v>27</v>
      </c>
      <c r="C185" s="7">
        <v>45567</v>
      </c>
      <c r="D185" s="6" t="s">
        <v>20</v>
      </c>
      <c r="E185" s="6" t="s">
        <v>21</v>
      </c>
      <c r="F185" s="8">
        <v>3432</v>
      </c>
      <c r="G185" s="8">
        <v>869</v>
      </c>
      <c r="H185" s="8">
        <v>123</v>
      </c>
      <c r="I185" s="8">
        <v>54912</v>
      </c>
      <c r="J185" s="8">
        <v>53916</v>
      </c>
      <c r="K185" s="8">
        <v>264</v>
      </c>
      <c r="L185" s="9" t="s">
        <v>37</v>
      </c>
      <c r="M185" s="9" t="s">
        <v>23</v>
      </c>
    </row>
    <row r="186" spans="1:13" x14ac:dyDescent="0.3">
      <c r="A186" s="5" t="s">
        <v>160</v>
      </c>
      <c r="B186" s="6" t="s">
        <v>27</v>
      </c>
      <c r="C186" s="7">
        <v>45457</v>
      </c>
      <c r="D186" s="6" t="s">
        <v>28</v>
      </c>
      <c r="E186" s="6" t="s">
        <v>29</v>
      </c>
      <c r="F186" s="8">
        <v>4363</v>
      </c>
      <c r="G186" s="8">
        <v>649</v>
      </c>
      <c r="H186" s="8">
        <v>140</v>
      </c>
      <c r="I186" s="8">
        <v>21815</v>
      </c>
      <c r="J186" s="8">
        <v>21481</v>
      </c>
      <c r="K186" s="8">
        <v>157</v>
      </c>
      <c r="L186" s="9" t="s">
        <v>17</v>
      </c>
      <c r="M186" s="9" t="s">
        <v>23</v>
      </c>
    </row>
    <row r="187" spans="1:13" x14ac:dyDescent="0.3">
      <c r="A187" s="5" t="s">
        <v>160</v>
      </c>
      <c r="B187" s="6" t="s">
        <v>27</v>
      </c>
      <c r="C187" s="7">
        <v>45457</v>
      </c>
      <c r="D187" s="6" t="s">
        <v>28</v>
      </c>
      <c r="E187" s="6" t="s">
        <v>29</v>
      </c>
      <c r="F187" s="8">
        <v>4363</v>
      </c>
      <c r="G187" s="8">
        <v>649</v>
      </c>
      <c r="H187" s="8">
        <v>140</v>
      </c>
      <c r="I187" s="8">
        <v>21815</v>
      </c>
      <c r="J187" s="8">
        <v>21481</v>
      </c>
      <c r="K187" s="8">
        <v>157</v>
      </c>
      <c r="L187" s="9" t="s">
        <v>22</v>
      </c>
      <c r="M187" s="9" t="s">
        <v>23</v>
      </c>
    </row>
    <row r="188" spans="1:13" x14ac:dyDescent="0.3">
      <c r="A188" s="5" t="s">
        <v>161</v>
      </c>
      <c r="B188" s="6" t="s">
        <v>25</v>
      </c>
      <c r="C188" s="7">
        <v>45753</v>
      </c>
      <c r="D188" s="6" t="s">
        <v>35</v>
      </c>
      <c r="E188" s="6" t="s">
        <v>36</v>
      </c>
      <c r="F188" s="8">
        <v>736</v>
      </c>
      <c r="G188" s="8">
        <v>771</v>
      </c>
      <c r="H188" s="8">
        <v>225</v>
      </c>
      <c r="I188" s="8">
        <v>5152</v>
      </c>
      <c r="J188" s="8">
        <v>4706</v>
      </c>
      <c r="K188" s="8">
        <v>19</v>
      </c>
      <c r="L188" s="9" t="s">
        <v>31</v>
      </c>
      <c r="M188" s="9" t="s">
        <v>32</v>
      </c>
    </row>
    <row r="189" spans="1:13" x14ac:dyDescent="0.3">
      <c r="A189" s="5" t="s">
        <v>162</v>
      </c>
      <c r="B189" s="6" t="s">
        <v>14</v>
      </c>
      <c r="C189" s="7">
        <v>45543</v>
      </c>
      <c r="D189" s="6" t="s">
        <v>35</v>
      </c>
      <c r="E189" s="6" t="s">
        <v>36</v>
      </c>
      <c r="F189" s="8">
        <v>3811</v>
      </c>
      <c r="G189" s="8">
        <v>866</v>
      </c>
      <c r="H189" s="8">
        <v>216</v>
      </c>
      <c r="I189" s="8">
        <v>34299</v>
      </c>
      <c r="J189" s="8">
        <v>34088</v>
      </c>
      <c r="K189" s="8">
        <v>233</v>
      </c>
      <c r="L189" s="9" t="s">
        <v>31</v>
      </c>
      <c r="M189" s="9" t="s">
        <v>32</v>
      </c>
    </row>
    <row r="190" spans="1:13" x14ac:dyDescent="0.3">
      <c r="A190" s="5" t="s">
        <v>163</v>
      </c>
      <c r="B190" s="6" t="s">
        <v>27</v>
      </c>
      <c r="C190" s="7">
        <v>45744</v>
      </c>
      <c r="D190" s="6" t="s">
        <v>35</v>
      </c>
      <c r="E190" s="6" t="s">
        <v>36</v>
      </c>
      <c r="F190" s="8">
        <v>4158</v>
      </c>
      <c r="G190" s="8">
        <v>167</v>
      </c>
      <c r="H190" s="8">
        <v>241</v>
      </c>
      <c r="I190" s="8">
        <v>45738</v>
      </c>
      <c r="J190" s="8">
        <v>45183</v>
      </c>
      <c r="K190" s="8">
        <v>142</v>
      </c>
      <c r="L190" s="9" t="s">
        <v>22</v>
      </c>
      <c r="M190" s="9" t="s">
        <v>23</v>
      </c>
    </row>
    <row r="191" spans="1:13" x14ac:dyDescent="0.3">
      <c r="A191" s="5" t="s">
        <v>164</v>
      </c>
      <c r="B191" s="6" t="s">
        <v>34</v>
      </c>
      <c r="C191" s="7">
        <v>45684</v>
      </c>
      <c r="D191" s="6" t="s">
        <v>15</v>
      </c>
      <c r="E191" s="6" t="s">
        <v>16</v>
      </c>
      <c r="F191" s="8">
        <v>3452</v>
      </c>
      <c r="G191" s="8">
        <v>652</v>
      </c>
      <c r="H191" s="8">
        <v>442</v>
      </c>
      <c r="I191" s="8">
        <v>65588</v>
      </c>
      <c r="J191" s="8">
        <v>65049</v>
      </c>
      <c r="K191" s="8">
        <v>158</v>
      </c>
      <c r="L191" s="9" t="s">
        <v>17</v>
      </c>
      <c r="M191" s="9" t="s">
        <v>18</v>
      </c>
    </row>
    <row r="192" spans="1:13" x14ac:dyDescent="0.3">
      <c r="A192" s="5" t="s">
        <v>164</v>
      </c>
      <c r="B192" s="6" t="s">
        <v>34</v>
      </c>
      <c r="C192" s="7">
        <v>45684</v>
      </c>
      <c r="D192" s="6" t="s">
        <v>15</v>
      </c>
      <c r="E192" s="6" t="s">
        <v>16</v>
      </c>
      <c r="F192" s="8">
        <v>3452</v>
      </c>
      <c r="G192" s="8">
        <v>652</v>
      </c>
      <c r="H192" s="8">
        <v>442</v>
      </c>
      <c r="I192" s="8">
        <v>65588</v>
      </c>
      <c r="J192" s="8">
        <v>65049</v>
      </c>
      <c r="K192" s="8">
        <v>158</v>
      </c>
      <c r="L192" s="9" t="s">
        <v>31</v>
      </c>
      <c r="M192" s="9" t="s">
        <v>18</v>
      </c>
    </row>
    <row r="193" spans="1:13" x14ac:dyDescent="0.3">
      <c r="A193" s="5" t="s">
        <v>165</v>
      </c>
      <c r="B193" s="6" t="s">
        <v>14</v>
      </c>
      <c r="C193" s="7">
        <v>45667</v>
      </c>
      <c r="D193" s="6" t="s">
        <v>40</v>
      </c>
      <c r="E193" s="6" t="s">
        <v>41</v>
      </c>
      <c r="F193" s="8">
        <v>3092</v>
      </c>
      <c r="G193" s="8">
        <v>106</v>
      </c>
      <c r="H193" s="8">
        <v>291</v>
      </c>
      <c r="I193" s="8">
        <v>27828</v>
      </c>
      <c r="J193" s="8">
        <v>27217</v>
      </c>
      <c r="K193" s="8">
        <v>102</v>
      </c>
      <c r="L193" s="9" t="s">
        <v>31</v>
      </c>
      <c r="M193" s="9" t="s">
        <v>44</v>
      </c>
    </row>
    <row r="194" spans="1:13" x14ac:dyDescent="0.3">
      <c r="A194" s="5" t="s">
        <v>166</v>
      </c>
      <c r="B194" s="6" t="s">
        <v>14</v>
      </c>
      <c r="C194" s="7">
        <v>45494</v>
      </c>
      <c r="D194" s="6" t="s">
        <v>20</v>
      </c>
      <c r="E194" s="6" t="s">
        <v>21</v>
      </c>
      <c r="F194" s="8">
        <v>2147</v>
      </c>
      <c r="G194" s="8">
        <v>430</v>
      </c>
      <c r="H194" s="8">
        <v>393</v>
      </c>
      <c r="I194" s="8">
        <v>17176</v>
      </c>
      <c r="J194" s="8">
        <v>16483</v>
      </c>
      <c r="K194" s="8">
        <v>170</v>
      </c>
      <c r="L194" s="9" t="s">
        <v>52</v>
      </c>
      <c r="M194" s="9" t="s">
        <v>44</v>
      </c>
    </row>
    <row r="195" spans="1:13" x14ac:dyDescent="0.3">
      <c r="A195" s="5" t="s">
        <v>167</v>
      </c>
      <c r="B195" s="6" t="s">
        <v>25</v>
      </c>
      <c r="C195" s="7">
        <v>45564</v>
      </c>
      <c r="D195" s="6" t="s">
        <v>15</v>
      </c>
      <c r="E195" s="6" t="s">
        <v>16</v>
      </c>
      <c r="F195" s="8">
        <v>2936</v>
      </c>
      <c r="G195" s="8">
        <v>439</v>
      </c>
      <c r="H195" s="8">
        <v>44</v>
      </c>
      <c r="I195" s="8">
        <v>38168</v>
      </c>
      <c r="J195" s="8">
        <v>37571</v>
      </c>
      <c r="K195" s="8">
        <v>22</v>
      </c>
      <c r="L195" s="9" t="s">
        <v>17</v>
      </c>
      <c r="M195" s="9" t="s">
        <v>32</v>
      </c>
    </row>
    <row r="196" spans="1:13" x14ac:dyDescent="0.3">
      <c r="A196" s="5" t="s">
        <v>168</v>
      </c>
      <c r="B196" s="6" t="s">
        <v>27</v>
      </c>
      <c r="C196" s="7">
        <v>45586</v>
      </c>
      <c r="D196" s="6" t="s">
        <v>15</v>
      </c>
      <c r="E196" s="6" t="s">
        <v>16</v>
      </c>
      <c r="F196" s="8">
        <v>4840</v>
      </c>
      <c r="G196" s="8">
        <v>658</v>
      </c>
      <c r="H196" s="8">
        <v>211</v>
      </c>
      <c r="I196" s="8">
        <v>43560</v>
      </c>
      <c r="J196" s="8">
        <v>43225</v>
      </c>
      <c r="K196" s="8">
        <v>57</v>
      </c>
      <c r="L196" s="9" t="s">
        <v>17</v>
      </c>
      <c r="M196" s="9" t="s">
        <v>23</v>
      </c>
    </row>
    <row r="197" spans="1:13" x14ac:dyDescent="0.3">
      <c r="A197" s="5" t="s">
        <v>168</v>
      </c>
      <c r="B197" s="6" t="s">
        <v>27</v>
      </c>
      <c r="C197" s="7">
        <v>45586</v>
      </c>
      <c r="D197" s="6" t="s">
        <v>15</v>
      </c>
      <c r="E197" s="6" t="s">
        <v>16</v>
      </c>
      <c r="F197" s="8">
        <v>4840</v>
      </c>
      <c r="G197" s="8">
        <v>658</v>
      </c>
      <c r="H197" s="8">
        <v>211</v>
      </c>
      <c r="I197" s="8">
        <v>43560</v>
      </c>
      <c r="J197" s="8">
        <v>43225</v>
      </c>
      <c r="K197" s="8">
        <v>57</v>
      </c>
      <c r="L197" s="9" t="s">
        <v>22</v>
      </c>
      <c r="M197" s="9" t="s">
        <v>23</v>
      </c>
    </row>
    <row r="198" spans="1:13" x14ac:dyDescent="0.3">
      <c r="A198" s="5" t="s">
        <v>169</v>
      </c>
      <c r="B198" s="6" t="s">
        <v>27</v>
      </c>
      <c r="C198" s="7">
        <v>45720</v>
      </c>
      <c r="D198" s="6" t="s">
        <v>28</v>
      </c>
      <c r="E198" s="6" t="s">
        <v>29</v>
      </c>
      <c r="F198" s="8">
        <v>1947</v>
      </c>
      <c r="G198" s="8">
        <v>842</v>
      </c>
      <c r="H198" s="8">
        <v>101</v>
      </c>
      <c r="I198" s="8">
        <v>21417</v>
      </c>
      <c r="J198" s="8">
        <v>20967</v>
      </c>
      <c r="K198" s="8">
        <v>186</v>
      </c>
      <c r="L198" s="9" t="s">
        <v>22</v>
      </c>
      <c r="M198" s="9" t="s">
        <v>23</v>
      </c>
    </row>
    <row r="199" spans="1:13" x14ac:dyDescent="0.3">
      <c r="A199" s="5" t="s">
        <v>170</v>
      </c>
      <c r="B199" s="6" t="s">
        <v>34</v>
      </c>
      <c r="C199" s="7">
        <v>45694</v>
      </c>
      <c r="D199" s="6" t="s">
        <v>40</v>
      </c>
      <c r="E199" s="6" t="s">
        <v>41</v>
      </c>
      <c r="F199" s="8">
        <v>2072</v>
      </c>
      <c r="G199" s="8">
        <v>532</v>
      </c>
      <c r="H199" s="8">
        <v>71</v>
      </c>
      <c r="I199" s="8">
        <v>37296</v>
      </c>
      <c r="J199" s="8">
        <v>36467</v>
      </c>
      <c r="K199" s="8">
        <v>25</v>
      </c>
      <c r="L199" s="9" t="s">
        <v>17</v>
      </c>
      <c r="M199" s="9" t="s">
        <v>32</v>
      </c>
    </row>
    <row r="200" spans="1:13" x14ac:dyDescent="0.3">
      <c r="A200" s="5" t="s">
        <v>171</v>
      </c>
      <c r="B200" s="6" t="s">
        <v>14</v>
      </c>
      <c r="C200" s="7">
        <v>45771</v>
      </c>
      <c r="D200" s="6" t="s">
        <v>15</v>
      </c>
      <c r="E200" s="6" t="s">
        <v>16</v>
      </c>
      <c r="F200" s="8">
        <v>3731</v>
      </c>
      <c r="G200" s="8">
        <v>115</v>
      </c>
      <c r="H200" s="8">
        <v>135</v>
      </c>
      <c r="I200" s="8">
        <v>55965</v>
      </c>
      <c r="J200" s="8">
        <v>55436</v>
      </c>
      <c r="K200" s="8">
        <v>103</v>
      </c>
      <c r="L200" s="9" t="s">
        <v>52</v>
      </c>
      <c r="M200" s="9" t="s">
        <v>44</v>
      </c>
    </row>
    <row r="201" spans="1:13" x14ac:dyDescent="0.3">
      <c r="A201" s="5" t="s">
        <v>172</v>
      </c>
      <c r="B201" s="6" t="s">
        <v>34</v>
      </c>
      <c r="C201" s="7">
        <v>45624</v>
      </c>
      <c r="D201" s="6" t="s">
        <v>20</v>
      </c>
      <c r="E201" s="6" t="s">
        <v>21</v>
      </c>
      <c r="F201" s="8">
        <v>4213</v>
      </c>
      <c r="G201" s="8">
        <v>253</v>
      </c>
      <c r="H201" s="8">
        <v>434</v>
      </c>
      <c r="I201" s="8">
        <v>75834</v>
      </c>
      <c r="J201" s="8">
        <v>75437</v>
      </c>
      <c r="K201" s="8">
        <v>272</v>
      </c>
      <c r="L201" s="9" t="s">
        <v>37</v>
      </c>
      <c r="M201" s="9" t="s">
        <v>32</v>
      </c>
    </row>
    <row r="202" spans="1:13" x14ac:dyDescent="0.3">
      <c r="A202" s="5" t="s">
        <v>173</v>
      </c>
      <c r="B202" s="6" t="s">
        <v>27</v>
      </c>
      <c r="C202" s="7">
        <v>45484</v>
      </c>
      <c r="D202" s="6" t="s">
        <v>20</v>
      </c>
      <c r="E202" s="6" t="s">
        <v>21</v>
      </c>
      <c r="F202" s="8">
        <v>3134</v>
      </c>
      <c r="G202" s="8">
        <v>888</v>
      </c>
      <c r="H202" s="8">
        <v>444</v>
      </c>
      <c r="I202" s="8">
        <v>21938</v>
      </c>
      <c r="J202" s="8">
        <v>21337</v>
      </c>
      <c r="K202" s="8">
        <v>130</v>
      </c>
      <c r="L202" s="9" t="s">
        <v>17</v>
      </c>
      <c r="M202" s="9" t="s">
        <v>44</v>
      </c>
    </row>
    <row r="203" spans="1:13" x14ac:dyDescent="0.3">
      <c r="A203" s="5" t="s">
        <v>173</v>
      </c>
      <c r="B203" s="6" t="s">
        <v>27</v>
      </c>
      <c r="C203" s="7">
        <v>45484</v>
      </c>
      <c r="D203" s="6" t="s">
        <v>20</v>
      </c>
      <c r="E203" s="6" t="s">
        <v>21</v>
      </c>
      <c r="F203" s="8">
        <v>3134</v>
      </c>
      <c r="G203" s="8">
        <v>888</v>
      </c>
      <c r="H203" s="8">
        <v>444</v>
      </c>
      <c r="I203" s="8">
        <v>21938</v>
      </c>
      <c r="J203" s="8">
        <v>21337</v>
      </c>
      <c r="K203" s="8">
        <v>130</v>
      </c>
      <c r="L203" s="9" t="s">
        <v>22</v>
      </c>
      <c r="M203" s="9" t="s">
        <v>44</v>
      </c>
    </row>
    <row r="204" spans="1:13" x14ac:dyDescent="0.3">
      <c r="A204" s="5" t="s">
        <v>174</v>
      </c>
      <c r="B204" s="6" t="s">
        <v>34</v>
      </c>
      <c r="C204" s="7">
        <v>45504</v>
      </c>
      <c r="D204" s="6" t="s">
        <v>50</v>
      </c>
      <c r="E204" s="6" t="s">
        <v>51</v>
      </c>
      <c r="F204" s="8">
        <v>3008</v>
      </c>
      <c r="G204" s="8">
        <v>94</v>
      </c>
      <c r="H204" s="8">
        <v>37</v>
      </c>
      <c r="I204" s="8">
        <v>15040</v>
      </c>
      <c r="J204" s="8">
        <v>14639</v>
      </c>
      <c r="K204" s="8">
        <v>277</v>
      </c>
      <c r="L204" s="9" t="s">
        <v>52</v>
      </c>
      <c r="M204" s="9" t="s">
        <v>18</v>
      </c>
    </row>
    <row r="205" spans="1:13" x14ac:dyDescent="0.3">
      <c r="A205" s="5" t="s">
        <v>175</v>
      </c>
      <c r="B205" s="6" t="s">
        <v>14</v>
      </c>
      <c r="C205" s="7">
        <v>45745</v>
      </c>
      <c r="D205" s="6" t="s">
        <v>40</v>
      </c>
      <c r="E205" s="6" t="s">
        <v>41</v>
      </c>
      <c r="F205" s="8">
        <v>305</v>
      </c>
      <c r="G205" s="8">
        <v>187</v>
      </c>
      <c r="H205" s="8">
        <v>243</v>
      </c>
      <c r="I205" s="8">
        <v>4575</v>
      </c>
      <c r="J205" s="8">
        <v>3704</v>
      </c>
      <c r="K205" s="8">
        <v>234</v>
      </c>
      <c r="L205" s="9" t="s">
        <v>22</v>
      </c>
      <c r="M205" s="9" t="s">
        <v>44</v>
      </c>
    </row>
    <row r="206" spans="1:13" x14ac:dyDescent="0.3">
      <c r="A206" s="5" t="s">
        <v>175</v>
      </c>
      <c r="B206" s="6" t="s">
        <v>14</v>
      </c>
      <c r="C206" s="7">
        <v>45745</v>
      </c>
      <c r="D206" s="6" t="s">
        <v>40</v>
      </c>
      <c r="E206" s="6" t="s">
        <v>41</v>
      </c>
      <c r="F206" s="8">
        <v>305</v>
      </c>
      <c r="G206" s="8">
        <v>187</v>
      </c>
      <c r="H206" s="8">
        <v>243</v>
      </c>
      <c r="I206" s="8">
        <v>4575</v>
      </c>
      <c r="J206" s="8">
        <v>3704</v>
      </c>
      <c r="K206" s="8">
        <v>234</v>
      </c>
      <c r="L206" s="9" t="s">
        <v>37</v>
      </c>
      <c r="M206" s="9" t="s">
        <v>44</v>
      </c>
    </row>
    <row r="207" spans="1:13" x14ac:dyDescent="0.3">
      <c r="A207" s="5" t="s">
        <v>176</v>
      </c>
      <c r="B207" s="6" t="s">
        <v>25</v>
      </c>
      <c r="C207" s="7">
        <v>45594</v>
      </c>
      <c r="D207" s="6" t="s">
        <v>20</v>
      </c>
      <c r="E207" s="6" t="s">
        <v>21</v>
      </c>
      <c r="F207" s="8">
        <v>2746</v>
      </c>
      <c r="G207" s="8">
        <v>156</v>
      </c>
      <c r="H207" s="8">
        <v>203</v>
      </c>
      <c r="I207" s="8">
        <v>32952</v>
      </c>
      <c r="J207" s="8">
        <v>32147</v>
      </c>
      <c r="K207" s="8">
        <v>147</v>
      </c>
      <c r="L207" s="9" t="s">
        <v>22</v>
      </c>
      <c r="M207" s="9" t="s">
        <v>23</v>
      </c>
    </row>
    <row r="208" spans="1:13" x14ac:dyDescent="0.3">
      <c r="A208" s="5" t="s">
        <v>176</v>
      </c>
      <c r="B208" s="6" t="s">
        <v>25</v>
      </c>
      <c r="C208" s="7">
        <v>45594</v>
      </c>
      <c r="D208" s="6" t="s">
        <v>20</v>
      </c>
      <c r="E208" s="6" t="s">
        <v>21</v>
      </c>
      <c r="F208" s="8">
        <v>2746</v>
      </c>
      <c r="G208" s="8">
        <v>156</v>
      </c>
      <c r="H208" s="8">
        <v>203</v>
      </c>
      <c r="I208" s="8">
        <v>32952</v>
      </c>
      <c r="J208" s="8">
        <v>32147</v>
      </c>
      <c r="K208" s="8">
        <v>147</v>
      </c>
      <c r="L208" s="9" t="s">
        <v>31</v>
      </c>
      <c r="M208" s="9" t="s">
        <v>23</v>
      </c>
    </row>
    <row r="209" spans="1:13" x14ac:dyDescent="0.3">
      <c r="A209" s="5" t="s">
        <v>177</v>
      </c>
      <c r="B209" s="6" t="s">
        <v>34</v>
      </c>
      <c r="C209" s="7">
        <v>45488</v>
      </c>
      <c r="D209" s="6" t="s">
        <v>40</v>
      </c>
      <c r="E209" s="6" t="s">
        <v>41</v>
      </c>
      <c r="F209" s="8">
        <v>2291</v>
      </c>
      <c r="G209" s="8">
        <v>78</v>
      </c>
      <c r="H209" s="8">
        <v>485</v>
      </c>
      <c r="I209" s="8">
        <v>18328</v>
      </c>
      <c r="J209" s="8">
        <v>18101</v>
      </c>
      <c r="K209" s="8">
        <v>10</v>
      </c>
      <c r="L209" s="9" t="s">
        <v>52</v>
      </c>
      <c r="M209" s="9" t="s">
        <v>18</v>
      </c>
    </row>
    <row r="210" spans="1:13" x14ac:dyDescent="0.3">
      <c r="A210" s="5" t="s">
        <v>178</v>
      </c>
      <c r="B210" s="6" t="s">
        <v>14</v>
      </c>
      <c r="C210" s="7">
        <v>45535</v>
      </c>
      <c r="D210" s="6" t="s">
        <v>40</v>
      </c>
      <c r="E210" s="6" t="s">
        <v>41</v>
      </c>
      <c r="F210" s="8">
        <v>3170</v>
      </c>
      <c r="G210" s="8">
        <v>857</v>
      </c>
      <c r="H210" s="8">
        <v>379</v>
      </c>
      <c r="I210" s="8">
        <v>19020</v>
      </c>
      <c r="J210" s="8">
        <v>18559</v>
      </c>
      <c r="K210" s="8">
        <v>240</v>
      </c>
      <c r="L210" s="9" t="s">
        <v>17</v>
      </c>
      <c r="M210" s="9" t="s">
        <v>32</v>
      </c>
    </row>
    <row r="211" spans="1:13" x14ac:dyDescent="0.3">
      <c r="A211" s="5" t="s">
        <v>179</v>
      </c>
      <c r="B211" s="6" t="s">
        <v>25</v>
      </c>
      <c r="C211" s="7">
        <v>45741</v>
      </c>
      <c r="D211" s="6" t="s">
        <v>28</v>
      </c>
      <c r="E211" s="6" t="s">
        <v>29</v>
      </c>
      <c r="F211" s="8">
        <v>2070</v>
      </c>
      <c r="G211" s="8">
        <v>275</v>
      </c>
      <c r="H211" s="8">
        <v>386</v>
      </c>
      <c r="I211" s="8">
        <v>39330</v>
      </c>
      <c r="J211" s="8">
        <v>38627</v>
      </c>
      <c r="K211" s="8">
        <v>114</v>
      </c>
      <c r="L211" s="9" t="s">
        <v>17</v>
      </c>
      <c r="M211" s="9" t="s">
        <v>44</v>
      </c>
    </row>
    <row r="212" spans="1:13" x14ac:dyDescent="0.3">
      <c r="A212" s="5" t="s">
        <v>180</v>
      </c>
      <c r="B212" s="6" t="s">
        <v>25</v>
      </c>
      <c r="C212" s="7">
        <v>45567</v>
      </c>
      <c r="D212" s="6" t="s">
        <v>35</v>
      </c>
      <c r="E212" s="6" t="s">
        <v>36</v>
      </c>
      <c r="F212" s="8">
        <v>80</v>
      </c>
      <c r="G212" s="8">
        <v>362</v>
      </c>
      <c r="H212" s="8">
        <v>80</v>
      </c>
      <c r="I212" s="8">
        <v>1040</v>
      </c>
      <c r="J212" s="8">
        <v>349</v>
      </c>
      <c r="K212" s="8">
        <v>117</v>
      </c>
      <c r="L212" s="9" t="s">
        <v>22</v>
      </c>
      <c r="M212" s="9" t="s">
        <v>23</v>
      </c>
    </row>
    <row r="213" spans="1:13" x14ac:dyDescent="0.3">
      <c r="A213" s="5" t="s">
        <v>180</v>
      </c>
      <c r="B213" s="6" t="s">
        <v>25</v>
      </c>
      <c r="C213" s="7">
        <v>45567</v>
      </c>
      <c r="D213" s="6" t="s">
        <v>35</v>
      </c>
      <c r="E213" s="6" t="s">
        <v>36</v>
      </c>
      <c r="F213" s="8">
        <v>80</v>
      </c>
      <c r="G213" s="8">
        <v>362</v>
      </c>
      <c r="H213" s="8">
        <v>80</v>
      </c>
      <c r="I213" s="8">
        <v>1040</v>
      </c>
      <c r="J213" s="8">
        <v>349</v>
      </c>
      <c r="K213" s="8">
        <v>117</v>
      </c>
      <c r="L213" s="9" t="s">
        <v>31</v>
      </c>
      <c r="M213" s="9" t="s">
        <v>23</v>
      </c>
    </row>
    <row r="214" spans="1:13" x14ac:dyDescent="0.3">
      <c r="A214" s="5" t="s">
        <v>181</v>
      </c>
      <c r="B214" s="6" t="s">
        <v>25</v>
      </c>
      <c r="C214" s="7">
        <v>45593</v>
      </c>
      <c r="D214" s="6" t="s">
        <v>28</v>
      </c>
      <c r="E214" s="6" t="s">
        <v>29</v>
      </c>
      <c r="F214" s="8">
        <v>4929</v>
      </c>
      <c r="G214" s="8">
        <v>749</v>
      </c>
      <c r="H214" s="8">
        <v>452</v>
      </c>
      <c r="I214" s="8">
        <v>93651</v>
      </c>
      <c r="J214" s="8">
        <v>92810</v>
      </c>
      <c r="K214" s="8">
        <v>66</v>
      </c>
      <c r="L214" s="9" t="s">
        <v>37</v>
      </c>
      <c r="M214" s="9" t="s">
        <v>18</v>
      </c>
    </row>
    <row r="215" spans="1:13" x14ac:dyDescent="0.3">
      <c r="A215" s="5" t="s">
        <v>181</v>
      </c>
      <c r="B215" s="6" t="s">
        <v>25</v>
      </c>
      <c r="C215" s="7">
        <v>45593</v>
      </c>
      <c r="D215" s="6" t="s">
        <v>28</v>
      </c>
      <c r="E215" s="6" t="s">
        <v>29</v>
      </c>
      <c r="F215" s="8">
        <v>4929</v>
      </c>
      <c r="G215" s="8">
        <v>749</v>
      </c>
      <c r="H215" s="8">
        <v>452</v>
      </c>
      <c r="I215" s="8">
        <v>93651</v>
      </c>
      <c r="J215" s="8">
        <v>92810</v>
      </c>
      <c r="K215" s="8">
        <v>66</v>
      </c>
      <c r="L215" s="9" t="s">
        <v>31</v>
      </c>
      <c r="M215" s="9" t="s">
        <v>18</v>
      </c>
    </row>
    <row r="216" spans="1:13" x14ac:dyDescent="0.3">
      <c r="A216" s="5" t="s">
        <v>182</v>
      </c>
      <c r="B216" s="6" t="s">
        <v>27</v>
      </c>
      <c r="C216" s="7">
        <v>45516</v>
      </c>
      <c r="D216" s="6" t="s">
        <v>35</v>
      </c>
      <c r="E216" s="6" t="s">
        <v>36</v>
      </c>
      <c r="F216" s="8">
        <v>1878</v>
      </c>
      <c r="G216" s="8">
        <v>62</v>
      </c>
      <c r="H216" s="8">
        <v>179</v>
      </c>
      <c r="I216" s="8">
        <v>37560</v>
      </c>
      <c r="J216" s="8">
        <v>36874</v>
      </c>
      <c r="K216" s="8">
        <v>142</v>
      </c>
      <c r="L216" s="9" t="s">
        <v>52</v>
      </c>
      <c r="M216" s="9" t="s">
        <v>18</v>
      </c>
    </row>
    <row r="217" spans="1:13" x14ac:dyDescent="0.3">
      <c r="A217" s="5" t="s">
        <v>182</v>
      </c>
      <c r="B217" s="6" t="s">
        <v>27</v>
      </c>
      <c r="C217" s="7">
        <v>45516</v>
      </c>
      <c r="D217" s="6" t="s">
        <v>35</v>
      </c>
      <c r="E217" s="6" t="s">
        <v>36</v>
      </c>
      <c r="F217" s="8">
        <v>1878</v>
      </c>
      <c r="G217" s="8">
        <v>62</v>
      </c>
      <c r="H217" s="8">
        <v>179</v>
      </c>
      <c r="I217" s="8">
        <v>37560</v>
      </c>
      <c r="J217" s="8">
        <v>36874</v>
      </c>
      <c r="K217" s="8">
        <v>142</v>
      </c>
      <c r="L217" s="9" t="s">
        <v>37</v>
      </c>
      <c r="M217" s="9" t="s">
        <v>18</v>
      </c>
    </row>
    <row r="218" spans="1:13" x14ac:dyDescent="0.3">
      <c r="A218" s="5" t="s">
        <v>183</v>
      </c>
      <c r="B218" s="6" t="s">
        <v>25</v>
      </c>
      <c r="C218" s="7">
        <v>45448</v>
      </c>
      <c r="D218" s="6" t="s">
        <v>15</v>
      </c>
      <c r="E218" s="6" t="s">
        <v>16</v>
      </c>
      <c r="F218" s="8">
        <v>3065</v>
      </c>
      <c r="G218" s="8">
        <v>772</v>
      </c>
      <c r="H218" s="8">
        <v>142</v>
      </c>
      <c r="I218" s="8">
        <v>18390</v>
      </c>
      <c r="J218" s="8">
        <v>17875</v>
      </c>
      <c r="K218" s="8">
        <v>200</v>
      </c>
      <c r="L218" s="9" t="s">
        <v>31</v>
      </c>
      <c r="M218" s="9" t="s">
        <v>18</v>
      </c>
    </row>
    <row r="219" spans="1:13" x14ac:dyDescent="0.3">
      <c r="A219" s="5" t="s">
        <v>184</v>
      </c>
      <c r="B219" s="6" t="s">
        <v>27</v>
      </c>
      <c r="C219" s="7">
        <v>45586</v>
      </c>
      <c r="D219" s="6" t="s">
        <v>15</v>
      </c>
      <c r="E219" s="6" t="s">
        <v>16</v>
      </c>
      <c r="F219" s="8">
        <v>3256</v>
      </c>
      <c r="G219" s="8">
        <v>459</v>
      </c>
      <c r="H219" s="8">
        <v>266</v>
      </c>
      <c r="I219" s="8">
        <v>26048</v>
      </c>
      <c r="J219" s="8">
        <v>25529</v>
      </c>
      <c r="K219" s="8">
        <v>143</v>
      </c>
      <c r="L219" s="9" t="s">
        <v>17</v>
      </c>
      <c r="M219" s="9" t="s">
        <v>32</v>
      </c>
    </row>
    <row r="220" spans="1:13" x14ac:dyDescent="0.3">
      <c r="A220" s="5" t="s">
        <v>184</v>
      </c>
      <c r="B220" s="6" t="s">
        <v>27</v>
      </c>
      <c r="C220" s="7">
        <v>45586</v>
      </c>
      <c r="D220" s="6" t="s">
        <v>15</v>
      </c>
      <c r="E220" s="6" t="s">
        <v>16</v>
      </c>
      <c r="F220" s="8">
        <v>3256</v>
      </c>
      <c r="G220" s="8">
        <v>459</v>
      </c>
      <c r="H220" s="8">
        <v>266</v>
      </c>
      <c r="I220" s="8">
        <v>26048</v>
      </c>
      <c r="J220" s="8">
        <v>25529</v>
      </c>
      <c r="K220" s="8">
        <v>143</v>
      </c>
      <c r="L220" s="9" t="s">
        <v>31</v>
      </c>
      <c r="M220" s="9" t="s">
        <v>32</v>
      </c>
    </row>
    <row r="221" spans="1:13" x14ac:dyDescent="0.3">
      <c r="A221" s="5" t="s">
        <v>185</v>
      </c>
      <c r="B221" s="6" t="s">
        <v>27</v>
      </c>
      <c r="C221" s="7">
        <v>45762</v>
      </c>
      <c r="D221" s="6" t="s">
        <v>50</v>
      </c>
      <c r="E221" s="6" t="s">
        <v>51</v>
      </c>
      <c r="F221" s="8">
        <v>4133</v>
      </c>
      <c r="G221" s="8">
        <v>466</v>
      </c>
      <c r="H221" s="8">
        <v>327</v>
      </c>
      <c r="I221" s="8">
        <v>24798</v>
      </c>
      <c r="J221" s="8">
        <v>24620</v>
      </c>
      <c r="K221" s="8">
        <v>176</v>
      </c>
      <c r="L221" s="9" t="s">
        <v>31</v>
      </c>
      <c r="M221" s="9" t="s">
        <v>23</v>
      </c>
    </row>
    <row r="222" spans="1:13" x14ac:dyDescent="0.3">
      <c r="A222" s="5" t="s">
        <v>186</v>
      </c>
      <c r="B222" s="6" t="s">
        <v>14</v>
      </c>
      <c r="C222" s="7">
        <v>45459</v>
      </c>
      <c r="D222" s="6" t="s">
        <v>50</v>
      </c>
      <c r="E222" s="6" t="s">
        <v>51</v>
      </c>
      <c r="F222" s="8">
        <v>1702</v>
      </c>
      <c r="G222" s="8">
        <v>750</v>
      </c>
      <c r="H222" s="8">
        <v>179</v>
      </c>
      <c r="I222" s="8">
        <v>34040</v>
      </c>
      <c r="J222" s="8">
        <v>33174</v>
      </c>
      <c r="K222" s="8">
        <v>76</v>
      </c>
      <c r="L222" s="9" t="s">
        <v>37</v>
      </c>
      <c r="M222" s="9" t="s">
        <v>32</v>
      </c>
    </row>
    <row r="223" spans="1:13" x14ac:dyDescent="0.3">
      <c r="A223" s="5" t="s">
        <v>187</v>
      </c>
      <c r="B223" s="6" t="s">
        <v>25</v>
      </c>
      <c r="C223" s="7">
        <v>45526</v>
      </c>
      <c r="D223" s="6" t="s">
        <v>35</v>
      </c>
      <c r="E223" s="6" t="s">
        <v>36</v>
      </c>
      <c r="F223" s="8">
        <v>4295</v>
      </c>
      <c r="G223" s="8">
        <v>853</v>
      </c>
      <c r="H223" s="8">
        <v>325</v>
      </c>
      <c r="I223" s="8">
        <v>85900</v>
      </c>
      <c r="J223" s="8">
        <v>85788</v>
      </c>
      <c r="K223" s="8">
        <v>290</v>
      </c>
      <c r="L223" s="9" t="s">
        <v>37</v>
      </c>
      <c r="M223" s="9" t="s">
        <v>23</v>
      </c>
    </row>
    <row r="224" spans="1:13" x14ac:dyDescent="0.3">
      <c r="A224" s="5" t="s">
        <v>187</v>
      </c>
      <c r="B224" s="6" t="s">
        <v>25</v>
      </c>
      <c r="C224" s="7">
        <v>45526</v>
      </c>
      <c r="D224" s="6" t="s">
        <v>35</v>
      </c>
      <c r="E224" s="6" t="s">
        <v>36</v>
      </c>
      <c r="F224" s="8">
        <v>4295</v>
      </c>
      <c r="G224" s="8">
        <v>853</v>
      </c>
      <c r="H224" s="8">
        <v>325</v>
      </c>
      <c r="I224" s="8">
        <v>85900</v>
      </c>
      <c r="J224" s="8">
        <v>85788</v>
      </c>
      <c r="K224" s="8">
        <v>290</v>
      </c>
      <c r="L224" s="9" t="s">
        <v>17</v>
      </c>
      <c r="M224" s="9" t="s">
        <v>23</v>
      </c>
    </row>
    <row r="225" spans="1:13" x14ac:dyDescent="0.3">
      <c r="A225" s="5" t="s">
        <v>188</v>
      </c>
      <c r="B225" s="6" t="s">
        <v>27</v>
      </c>
      <c r="C225" s="7">
        <v>45499</v>
      </c>
      <c r="D225" s="6" t="s">
        <v>40</v>
      </c>
      <c r="E225" s="6" t="s">
        <v>41</v>
      </c>
      <c r="F225" s="8">
        <v>3559</v>
      </c>
      <c r="G225" s="8">
        <v>59</v>
      </c>
      <c r="H225" s="8">
        <v>289</v>
      </c>
      <c r="I225" s="8">
        <v>35590</v>
      </c>
      <c r="J225" s="8">
        <v>35105</v>
      </c>
      <c r="K225" s="8">
        <v>122</v>
      </c>
      <c r="L225" s="9" t="s">
        <v>37</v>
      </c>
      <c r="M225" s="9" t="s">
        <v>32</v>
      </c>
    </row>
    <row r="226" spans="1:13" x14ac:dyDescent="0.3">
      <c r="A226" s="5" t="s">
        <v>188</v>
      </c>
      <c r="B226" s="6" t="s">
        <v>27</v>
      </c>
      <c r="C226" s="7">
        <v>45499</v>
      </c>
      <c r="D226" s="6" t="s">
        <v>40</v>
      </c>
      <c r="E226" s="6" t="s">
        <v>41</v>
      </c>
      <c r="F226" s="8">
        <v>3559</v>
      </c>
      <c r="G226" s="8">
        <v>59</v>
      </c>
      <c r="H226" s="8">
        <v>289</v>
      </c>
      <c r="I226" s="8">
        <v>35590</v>
      </c>
      <c r="J226" s="8">
        <v>35105</v>
      </c>
      <c r="K226" s="8">
        <v>122</v>
      </c>
      <c r="L226" s="9" t="s">
        <v>31</v>
      </c>
      <c r="M226" s="9" t="s">
        <v>32</v>
      </c>
    </row>
    <row r="227" spans="1:13" x14ac:dyDescent="0.3">
      <c r="A227" s="5" t="s">
        <v>189</v>
      </c>
      <c r="B227" s="6" t="s">
        <v>34</v>
      </c>
      <c r="C227" s="7">
        <v>45769</v>
      </c>
      <c r="D227" s="6" t="s">
        <v>40</v>
      </c>
      <c r="E227" s="6" t="s">
        <v>41</v>
      </c>
      <c r="F227" s="8">
        <v>4804</v>
      </c>
      <c r="G227" s="8">
        <v>550</v>
      </c>
      <c r="H227" s="8">
        <v>270</v>
      </c>
      <c r="I227" s="8">
        <v>28824</v>
      </c>
      <c r="J227" s="8">
        <v>28370</v>
      </c>
      <c r="K227" s="8">
        <v>47</v>
      </c>
      <c r="L227" s="9" t="s">
        <v>17</v>
      </c>
      <c r="M227" s="9" t="s">
        <v>44</v>
      </c>
    </row>
    <row r="228" spans="1:13" x14ac:dyDescent="0.3">
      <c r="A228" s="5" t="s">
        <v>189</v>
      </c>
      <c r="B228" s="6" t="s">
        <v>34</v>
      </c>
      <c r="C228" s="7">
        <v>45769</v>
      </c>
      <c r="D228" s="6" t="s">
        <v>40</v>
      </c>
      <c r="E228" s="6" t="s">
        <v>41</v>
      </c>
      <c r="F228" s="8">
        <v>4804</v>
      </c>
      <c r="G228" s="8">
        <v>550</v>
      </c>
      <c r="H228" s="8">
        <v>270</v>
      </c>
      <c r="I228" s="8">
        <v>28824</v>
      </c>
      <c r="J228" s="8">
        <v>28370</v>
      </c>
      <c r="K228" s="8">
        <v>47</v>
      </c>
      <c r="L228" s="9" t="s">
        <v>31</v>
      </c>
      <c r="M228" s="9" t="s">
        <v>44</v>
      </c>
    </row>
    <row r="229" spans="1:13" x14ac:dyDescent="0.3">
      <c r="A229" s="5" t="s">
        <v>190</v>
      </c>
      <c r="B229" s="6" t="s">
        <v>14</v>
      </c>
      <c r="C229" s="7">
        <v>45658</v>
      </c>
      <c r="D229" s="6" t="s">
        <v>50</v>
      </c>
      <c r="E229" s="6" t="s">
        <v>51</v>
      </c>
      <c r="F229" s="8">
        <v>754</v>
      </c>
      <c r="G229" s="8">
        <v>197</v>
      </c>
      <c r="H229" s="8">
        <v>257</v>
      </c>
      <c r="I229" s="8">
        <v>6786</v>
      </c>
      <c r="J229" s="8">
        <v>6221</v>
      </c>
      <c r="K229" s="8">
        <v>212</v>
      </c>
      <c r="L229" s="9" t="s">
        <v>52</v>
      </c>
      <c r="M229" s="9" t="s">
        <v>32</v>
      </c>
    </row>
    <row r="230" spans="1:13" x14ac:dyDescent="0.3">
      <c r="A230" s="5" t="s">
        <v>190</v>
      </c>
      <c r="B230" s="6" t="s">
        <v>14</v>
      </c>
      <c r="C230" s="7">
        <v>45658</v>
      </c>
      <c r="D230" s="6" t="s">
        <v>50</v>
      </c>
      <c r="E230" s="6" t="s">
        <v>51</v>
      </c>
      <c r="F230" s="8">
        <v>754</v>
      </c>
      <c r="G230" s="8">
        <v>197</v>
      </c>
      <c r="H230" s="8">
        <v>257</v>
      </c>
      <c r="I230" s="8">
        <v>6786</v>
      </c>
      <c r="J230" s="8">
        <v>6221</v>
      </c>
      <c r="K230" s="8">
        <v>212</v>
      </c>
      <c r="L230" s="9" t="s">
        <v>37</v>
      </c>
      <c r="M230" s="9" t="s">
        <v>32</v>
      </c>
    </row>
    <row r="231" spans="1:13" x14ac:dyDescent="0.3">
      <c r="A231" s="5" t="s">
        <v>191</v>
      </c>
      <c r="B231" s="6" t="s">
        <v>27</v>
      </c>
      <c r="C231" s="7">
        <v>45574</v>
      </c>
      <c r="D231" s="6" t="s">
        <v>35</v>
      </c>
      <c r="E231" s="6" t="s">
        <v>36</v>
      </c>
      <c r="F231" s="8">
        <v>985</v>
      </c>
      <c r="G231" s="8">
        <v>932</v>
      </c>
      <c r="H231" s="8">
        <v>287</v>
      </c>
      <c r="I231" s="8">
        <v>6895</v>
      </c>
      <c r="J231" s="8">
        <v>6757</v>
      </c>
      <c r="K231" s="8">
        <v>64</v>
      </c>
      <c r="L231" s="9" t="s">
        <v>17</v>
      </c>
      <c r="M231" s="9" t="s">
        <v>23</v>
      </c>
    </row>
    <row r="232" spans="1:13" x14ac:dyDescent="0.3">
      <c r="A232" s="5" t="s">
        <v>191</v>
      </c>
      <c r="B232" s="6" t="s">
        <v>27</v>
      </c>
      <c r="C232" s="7">
        <v>45574</v>
      </c>
      <c r="D232" s="6" t="s">
        <v>35</v>
      </c>
      <c r="E232" s="6" t="s">
        <v>36</v>
      </c>
      <c r="F232" s="8">
        <v>985</v>
      </c>
      <c r="G232" s="8">
        <v>932</v>
      </c>
      <c r="H232" s="8">
        <v>287</v>
      </c>
      <c r="I232" s="8">
        <v>6895</v>
      </c>
      <c r="J232" s="8">
        <v>6757</v>
      </c>
      <c r="K232" s="8">
        <v>64</v>
      </c>
      <c r="L232" s="9" t="s">
        <v>22</v>
      </c>
      <c r="M232" s="9" t="s">
        <v>23</v>
      </c>
    </row>
    <row r="233" spans="1:13" x14ac:dyDescent="0.3">
      <c r="A233" s="5" t="s">
        <v>192</v>
      </c>
      <c r="B233" s="6" t="s">
        <v>25</v>
      </c>
      <c r="C233" s="7">
        <v>45647</v>
      </c>
      <c r="D233" s="6" t="s">
        <v>40</v>
      </c>
      <c r="E233" s="6" t="s">
        <v>41</v>
      </c>
      <c r="F233" s="8">
        <v>2283</v>
      </c>
      <c r="G233" s="8">
        <v>210</v>
      </c>
      <c r="H233" s="8">
        <v>130</v>
      </c>
      <c r="I233" s="8">
        <v>22830</v>
      </c>
      <c r="J233" s="8">
        <v>22617</v>
      </c>
      <c r="K233" s="8">
        <v>143</v>
      </c>
      <c r="L233" s="9" t="s">
        <v>22</v>
      </c>
      <c r="M233" s="9" t="s">
        <v>32</v>
      </c>
    </row>
    <row r="234" spans="1:13" x14ac:dyDescent="0.3">
      <c r="A234" s="5" t="s">
        <v>192</v>
      </c>
      <c r="B234" s="6" t="s">
        <v>25</v>
      </c>
      <c r="C234" s="7">
        <v>45647</v>
      </c>
      <c r="D234" s="6" t="s">
        <v>40</v>
      </c>
      <c r="E234" s="6" t="s">
        <v>41</v>
      </c>
      <c r="F234" s="8">
        <v>2283</v>
      </c>
      <c r="G234" s="8">
        <v>210</v>
      </c>
      <c r="H234" s="8">
        <v>130</v>
      </c>
      <c r="I234" s="8">
        <v>22830</v>
      </c>
      <c r="J234" s="8">
        <v>22617</v>
      </c>
      <c r="K234" s="8">
        <v>143</v>
      </c>
      <c r="L234" s="9" t="s">
        <v>31</v>
      </c>
      <c r="M234" s="9" t="s">
        <v>32</v>
      </c>
    </row>
    <row r="235" spans="1:13" x14ac:dyDescent="0.3">
      <c r="A235" s="5" t="s">
        <v>193</v>
      </c>
      <c r="B235" s="6" t="s">
        <v>34</v>
      </c>
      <c r="C235" s="7">
        <v>45587</v>
      </c>
      <c r="D235" s="6" t="s">
        <v>35</v>
      </c>
      <c r="E235" s="6" t="s">
        <v>36</v>
      </c>
      <c r="F235" s="8">
        <v>3352</v>
      </c>
      <c r="G235" s="8">
        <v>941</v>
      </c>
      <c r="H235" s="8">
        <v>482</v>
      </c>
      <c r="I235" s="8">
        <v>43576</v>
      </c>
      <c r="J235" s="8">
        <v>43338</v>
      </c>
      <c r="K235" s="8">
        <v>240</v>
      </c>
      <c r="L235" s="9" t="s">
        <v>37</v>
      </c>
      <c r="M235" s="9" t="s">
        <v>32</v>
      </c>
    </row>
    <row r="236" spans="1:13" x14ac:dyDescent="0.3">
      <c r="A236" s="5" t="s">
        <v>194</v>
      </c>
      <c r="B236" s="6" t="s">
        <v>25</v>
      </c>
      <c r="C236" s="7">
        <v>45496</v>
      </c>
      <c r="D236" s="6" t="s">
        <v>28</v>
      </c>
      <c r="E236" s="6" t="s">
        <v>29</v>
      </c>
      <c r="F236" s="8">
        <v>4775</v>
      </c>
      <c r="G236" s="8">
        <v>173</v>
      </c>
      <c r="H236" s="8">
        <v>206</v>
      </c>
      <c r="I236" s="8">
        <v>47750</v>
      </c>
      <c r="J236" s="8">
        <v>47544</v>
      </c>
      <c r="K236" s="8">
        <v>187</v>
      </c>
      <c r="L236" s="9" t="s">
        <v>31</v>
      </c>
      <c r="M236" s="9" t="s">
        <v>44</v>
      </c>
    </row>
    <row r="237" spans="1:13" x14ac:dyDescent="0.3">
      <c r="A237" s="5" t="s">
        <v>194</v>
      </c>
      <c r="B237" s="6" t="s">
        <v>25</v>
      </c>
      <c r="C237" s="7">
        <v>45496</v>
      </c>
      <c r="D237" s="6" t="s">
        <v>28</v>
      </c>
      <c r="E237" s="6" t="s">
        <v>29</v>
      </c>
      <c r="F237" s="8">
        <v>4775</v>
      </c>
      <c r="G237" s="8">
        <v>173</v>
      </c>
      <c r="H237" s="8">
        <v>206</v>
      </c>
      <c r="I237" s="8">
        <v>47750</v>
      </c>
      <c r="J237" s="8">
        <v>47544</v>
      </c>
      <c r="K237" s="8">
        <v>187</v>
      </c>
      <c r="L237" s="9" t="s">
        <v>37</v>
      </c>
      <c r="M237" s="9" t="s">
        <v>44</v>
      </c>
    </row>
    <row r="238" spans="1:13" x14ac:dyDescent="0.3">
      <c r="A238" s="5" t="s">
        <v>195</v>
      </c>
      <c r="B238" s="6" t="s">
        <v>27</v>
      </c>
      <c r="C238" s="7">
        <v>45515</v>
      </c>
      <c r="D238" s="6" t="s">
        <v>28</v>
      </c>
      <c r="E238" s="6" t="s">
        <v>29</v>
      </c>
      <c r="F238" s="8">
        <v>1762</v>
      </c>
      <c r="G238" s="8">
        <v>405</v>
      </c>
      <c r="H238" s="8">
        <v>423</v>
      </c>
      <c r="I238" s="8">
        <v>22906</v>
      </c>
      <c r="J238" s="8">
        <v>21925</v>
      </c>
      <c r="K238" s="8">
        <v>25</v>
      </c>
      <c r="L238" s="9" t="s">
        <v>52</v>
      </c>
      <c r="M238" s="9" t="s">
        <v>23</v>
      </c>
    </row>
    <row r="239" spans="1:13" x14ac:dyDescent="0.3">
      <c r="A239" s="5" t="s">
        <v>196</v>
      </c>
      <c r="B239" s="6" t="s">
        <v>34</v>
      </c>
      <c r="C239" s="7">
        <v>45621</v>
      </c>
      <c r="D239" s="6" t="s">
        <v>28</v>
      </c>
      <c r="E239" s="6" t="s">
        <v>29</v>
      </c>
      <c r="F239" s="8">
        <v>2120</v>
      </c>
      <c r="G239" s="8">
        <v>158</v>
      </c>
      <c r="H239" s="8">
        <v>488</v>
      </c>
      <c r="I239" s="8">
        <v>12720</v>
      </c>
      <c r="J239" s="8">
        <v>12085</v>
      </c>
      <c r="K239" s="8">
        <v>17</v>
      </c>
      <c r="L239" s="9" t="s">
        <v>31</v>
      </c>
      <c r="M239" s="9" t="s">
        <v>23</v>
      </c>
    </row>
    <row r="240" spans="1:13" x14ac:dyDescent="0.3">
      <c r="A240" s="5" t="s">
        <v>196</v>
      </c>
      <c r="B240" s="6" t="s">
        <v>34</v>
      </c>
      <c r="C240" s="7">
        <v>45621</v>
      </c>
      <c r="D240" s="6" t="s">
        <v>28</v>
      </c>
      <c r="E240" s="6" t="s">
        <v>29</v>
      </c>
      <c r="F240" s="8">
        <v>2120</v>
      </c>
      <c r="G240" s="8">
        <v>158</v>
      </c>
      <c r="H240" s="8">
        <v>488</v>
      </c>
      <c r="I240" s="8">
        <v>12720</v>
      </c>
      <c r="J240" s="8">
        <v>12085</v>
      </c>
      <c r="K240" s="8">
        <v>17</v>
      </c>
      <c r="L240" s="9" t="s">
        <v>37</v>
      </c>
      <c r="M240" s="9" t="s">
        <v>23</v>
      </c>
    </row>
    <row r="241" spans="1:13" x14ac:dyDescent="0.3">
      <c r="A241" s="5" t="s">
        <v>197</v>
      </c>
      <c r="B241" s="6" t="s">
        <v>14</v>
      </c>
      <c r="C241" s="7">
        <v>45528</v>
      </c>
      <c r="D241" s="6" t="s">
        <v>50</v>
      </c>
      <c r="E241" s="6" t="s">
        <v>51</v>
      </c>
      <c r="F241" s="8">
        <v>1082</v>
      </c>
      <c r="G241" s="8">
        <v>209</v>
      </c>
      <c r="H241" s="8">
        <v>484</v>
      </c>
      <c r="I241" s="8">
        <v>19476</v>
      </c>
      <c r="J241" s="8">
        <v>18654</v>
      </c>
      <c r="K241" s="8">
        <v>20</v>
      </c>
      <c r="L241" s="9" t="s">
        <v>31</v>
      </c>
      <c r="M241" s="9" t="s">
        <v>44</v>
      </c>
    </row>
    <row r="242" spans="1:13" x14ac:dyDescent="0.3">
      <c r="A242" s="5" t="s">
        <v>198</v>
      </c>
      <c r="B242" s="6" t="s">
        <v>14</v>
      </c>
      <c r="C242" s="7">
        <v>45707</v>
      </c>
      <c r="D242" s="6" t="s">
        <v>20</v>
      </c>
      <c r="E242" s="6" t="s">
        <v>21</v>
      </c>
      <c r="F242" s="8">
        <v>4671</v>
      </c>
      <c r="G242" s="8">
        <v>876</v>
      </c>
      <c r="H242" s="8">
        <v>366</v>
      </c>
      <c r="I242" s="8">
        <v>51381</v>
      </c>
      <c r="J242" s="8">
        <v>50565</v>
      </c>
      <c r="K242" s="8">
        <v>245</v>
      </c>
      <c r="L242" s="9" t="s">
        <v>17</v>
      </c>
      <c r="M242" s="9" t="s">
        <v>23</v>
      </c>
    </row>
    <row r="243" spans="1:13" x14ac:dyDescent="0.3">
      <c r="A243" s="5" t="s">
        <v>199</v>
      </c>
      <c r="B243" s="6" t="s">
        <v>34</v>
      </c>
      <c r="C243" s="7">
        <v>45748</v>
      </c>
      <c r="D243" s="6" t="s">
        <v>28</v>
      </c>
      <c r="E243" s="6" t="s">
        <v>29</v>
      </c>
      <c r="F243" s="8">
        <v>3430</v>
      </c>
      <c r="G243" s="8">
        <v>566</v>
      </c>
      <c r="H243" s="8">
        <v>164</v>
      </c>
      <c r="I243" s="8">
        <v>48020</v>
      </c>
      <c r="J243" s="8">
        <v>47305</v>
      </c>
      <c r="K243" s="8">
        <v>120</v>
      </c>
      <c r="L243" s="9" t="s">
        <v>37</v>
      </c>
      <c r="M243" s="9" t="s">
        <v>23</v>
      </c>
    </row>
    <row r="244" spans="1:13" x14ac:dyDescent="0.3">
      <c r="A244" s="5" t="s">
        <v>200</v>
      </c>
      <c r="B244" s="6" t="s">
        <v>27</v>
      </c>
      <c r="C244" s="7">
        <v>45755</v>
      </c>
      <c r="D244" s="6" t="s">
        <v>40</v>
      </c>
      <c r="E244" s="6" t="s">
        <v>41</v>
      </c>
      <c r="F244" s="8">
        <v>4501</v>
      </c>
      <c r="G244" s="8">
        <v>375</v>
      </c>
      <c r="H244" s="8">
        <v>323</v>
      </c>
      <c r="I244" s="8">
        <v>22505</v>
      </c>
      <c r="J244" s="8">
        <v>21836</v>
      </c>
      <c r="K244" s="8">
        <v>132</v>
      </c>
      <c r="L244" s="9" t="s">
        <v>22</v>
      </c>
      <c r="M244" s="9" t="s">
        <v>44</v>
      </c>
    </row>
    <row r="245" spans="1:13" x14ac:dyDescent="0.3">
      <c r="A245" s="5" t="s">
        <v>201</v>
      </c>
      <c r="B245" s="6" t="s">
        <v>25</v>
      </c>
      <c r="C245" s="7">
        <v>45715</v>
      </c>
      <c r="D245" s="6" t="s">
        <v>20</v>
      </c>
      <c r="E245" s="6" t="s">
        <v>21</v>
      </c>
      <c r="F245" s="8">
        <v>4934</v>
      </c>
      <c r="G245" s="8">
        <v>971</v>
      </c>
      <c r="H245" s="8">
        <v>156</v>
      </c>
      <c r="I245" s="8">
        <v>39472</v>
      </c>
      <c r="J245" s="8">
        <v>39025</v>
      </c>
      <c r="K245" s="8">
        <v>169</v>
      </c>
      <c r="L245" s="9" t="s">
        <v>52</v>
      </c>
      <c r="M245" s="9" t="s">
        <v>23</v>
      </c>
    </row>
    <row r="246" spans="1:13" x14ac:dyDescent="0.3">
      <c r="A246" s="5" t="s">
        <v>201</v>
      </c>
      <c r="B246" s="6" t="s">
        <v>25</v>
      </c>
      <c r="C246" s="7">
        <v>45715</v>
      </c>
      <c r="D246" s="6" t="s">
        <v>20</v>
      </c>
      <c r="E246" s="6" t="s">
        <v>21</v>
      </c>
      <c r="F246" s="8">
        <v>4934</v>
      </c>
      <c r="G246" s="8">
        <v>971</v>
      </c>
      <c r="H246" s="8">
        <v>156</v>
      </c>
      <c r="I246" s="8">
        <v>39472</v>
      </c>
      <c r="J246" s="8">
        <v>39025</v>
      </c>
      <c r="K246" s="8">
        <v>169</v>
      </c>
      <c r="L246" s="9" t="s">
        <v>31</v>
      </c>
      <c r="M246" s="9" t="s">
        <v>23</v>
      </c>
    </row>
    <row r="247" spans="1:13" x14ac:dyDescent="0.3">
      <c r="A247" s="5" t="s">
        <v>202</v>
      </c>
      <c r="B247" s="6" t="s">
        <v>14</v>
      </c>
      <c r="C247" s="7">
        <v>45637</v>
      </c>
      <c r="D247" s="6" t="s">
        <v>20</v>
      </c>
      <c r="E247" s="6" t="s">
        <v>21</v>
      </c>
      <c r="F247" s="8">
        <v>3239</v>
      </c>
      <c r="G247" s="8">
        <v>43</v>
      </c>
      <c r="H247" s="8">
        <v>211</v>
      </c>
      <c r="I247" s="8">
        <v>22673</v>
      </c>
      <c r="J247" s="8">
        <v>22171</v>
      </c>
      <c r="K247" s="8">
        <v>230</v>
      </c>
      <c r="L247" s="9" t="s">
        <v>37</v>
      </c>
      <c r="M247" s="9" t="s">
        <v>23</v>
      </c>
    </row>
    <row r="248" spans="1:13" x14ac:dyDescent="0.3">
      <c r="A248" s="5" t="s">
        <v>202</v>
      </c>
      <c r="B248" s="6" t="s">
        <v>14</v>
      </c>
      <c r="C248" s="7">
        <v>45637</v>
      </c>
      <c r="D248" s="6" t="s">
        <v>20</v>
      </c>
      <c r="E248" s="6" t="s">
        <v>21</v>
      </c>
      <c r="F248" s="8">
        <v>3239</v>
      </c>
      <c r="G248" s="8">
        <v>43</v>
      </c>
      <c r="H248" s="8">
        <v>211</v>
      </c>
      <c r="I248" s="8">
        <v>22673</v>
      </c>
      <c r="J248" s="8">
        <v>22171</v>
      </c>
      <c r="K248" s="8">
        <v>230</v>
      </c>
      <c r="L248" s="9" t="s">
        <v>31</v>
      </c>
      <c r="M248" s="9" t="s">
        <v>23</v>
      </c>
    </row>
    <row r="249" spans="1:13" x14ac:dyDescent="0.3">
      <c r="A249" s="5" t="s">
        <v>203</v>
      </c>
      <c r="B249" s="6" t="s">
        <v>14</v>
      </c>
      <c r="C249" s="7">
        <v>45704</v>
      </c>
      <c r="D249" s="6" t="s">
        <v>15</v>
      </c>
      <c r="E249" s="6" t="s">
        <v>16</v>
      </c>
      <c r="F249" s="8">
        <v>1076</v>
      </c>
      <c r="G249" s="8">
        <v>313</v>
      </c>
      <c r="H249" s="8">
        <v>306</v>
      </c>
      <c r="I249" s="8">
        <v>11836</v>
      </c>
      <c r="J249" s="8">
        <v>11596</v>
      </c>
      <c r="K249" s="8">
        <v>104</v>
      </c>
      <c r="L249" s="9" t="s">
        <v>52</v>
      </c>
      <c r="M249" s="9" t="s">
        <v>23</v>
      </c>
    </row>
    <row r="250" spans="1:13" x14ac:dyDescent="0.3">
      <c r="A250" s="5" t="s">
        <v>204</v>
      </c>
      <c r="B250" s="6" t="s">
        <v>27</v>
      </c>
      <c r="C250" s="7">
        <v>45624</v>
      </c>
      <c r="D250" s="6" t="s">
        <v>20</v>
      </c>
      <c r="E250" s="6" t="s">
        <v>21</v>
      </c>
      <c r="F250" s="8">
        <v>4771</v>
      </c>
      <c r="G250" s="8">
        <v>818</v>
      </c>
      <c r="H250" s="8">
        <v>56</v>
      </c>
      <c r="I250" s="8">
        <v>57252</v>
      </c>
      <c r="J250" s="8">
        <v>56378</v>
      </c>
      <c r="K250" s="8">
        <v>150</v>
      </c>
      <c r="L250" s="9" t="s">
        <v>17</v>
      </c>
      <c r="M250" s="9" t="s">
        <v>23</v>
      </c>
    </row>
    <row r="251" spans="1:13" x14ac:dyDescent="0.3">
      <c r="A251" s="5" t="s">
        <v>205</v>
      </c>
      <c r="B251" s="6" t="s">
        <v>34</v>
      </c>
      <c r="C251" s="7">
        <v>45608</v>
      </c>
      <c r="D251" s="6" t="s">
        <v>20</v>
      </c>
      <c r="E251" s="6" t="s">
        <v>21</v>
      </c>
      <c r="F251" s="8">
        <v>2418</v>
      </c>
      <c r="G251" s="8">
        <v>754</v>
      </c>
      <c r="H251" s="8">
        <v>54</v>
      </c>
      <c r="I251" s="8">
        <v>43524</v>
      </c>
      <c r="J251" s="8">
        <v>42743</v>
      </c>
      <c r="K251" s="8">
        <v>182</v>
      </c>
      <c r="L251" s="9" t="s">
        <v>22</v>
      </c>
      <c r="M251" s="9" t="s">
        <v>44</v>
      </c>
    </row>
    <row r="252" spans="1:13" x14ac:dyDescent="0.3">
      <c r="A252" s="5" t="s">
        <v>205</v>
      </c>
      <c r="B252" s="6" t="s">
        <v>34</v>
      </c>
      <c r="C252" s="7">
        <v>45608</v>
      </c>
      <c r="D252" s="6" t="s">
        <v>20</v>
      </c>
      <c r="E252" s="6" t="s">
        <v>21</v>
      </c>
      <c r="F252" s="8">
        <v>2418</v>
      </c>
      <c r="G252" s="8">
        <v>754</v>
      </c>
      <c r="H252" s="8">
        <v>54</v>
      </c>
      <c r="I252" s="8">
        <v>43524</v>
      </c>
      <c r="J252" s="8">
        <v>42743</v>
      </c>
      <c r="K252" s="8">
        <v>182</v>
      </c>
      <c r="L252" s="9" t="s">
        <v>37</v>
      </c>
      <c r="M252" s="9" t="s">
        <v>44</v>
      </c>
    </row>
    <row r="253" spans="1:13" x14ac:dyDescent="0.3">
      <c r="A253" s="5" t="s">
        <v>206</v>
      </c>
      <c r="B253" s="6" t="s">
        <v>25</v>
      </c>
      <c r="C253" s="7">
        <v>45629</v>
      </c>
      <c r="D253" s="6" t="s">
        <v>50</v>
      </c>
      <c r="E253" s="6" t="s">
        <v>51</v>
      </c>
      <c r="F253" s="8">
        <v>3809</v>
      </c>
      <c r="G253" s="8">
        <v>273</v>
      </c>
      <c r="H253" s="8">
        <v>200</v>
      </c>
      <c r="I253" s="8">
        <v>34281</v>
      </c>
      <c r="J253" s="8">
        <v>33534</v>
      </c>
      <c r="K253" s="8">
        <v>83</v>
      </c>
      <c r="L253" s="9" t="s">
        <v>37</v>
      </c>
      <c r="M253" s="9" t="s">
        <v>32</v>
      </c>
    </row>
    <row r="254" spans="1:13" x14ac:dyDescent="0.3">
      <c r="A254" s="5" t="s">
        <v>207</v>
      </c>
      <c r="B254" s="6" t="s">
        <v>14</v>
      </c>
      <c r="C254" s="7">
        <v>45775</v>
      </c>
      <c r="D254" s="6" t="s">
        <v>20</v>
      </c>
      <c r="E254" s="6" t="s">
        <v>21</v>
      </c>
      <c r="F254" s="8">
        <v>3577</v>
      </c>
      <c r="G254" s="8">
        <v>596</v>
      </c>
      <c r="H254" s="8">
        <v>493</v>
      </c>
      <c r="I254" s="8">
        <v>67963</v>
      </c>
      <c r="J254" s="8">
        <v>67839</v>
      </c>
      <c r="K254" s="8">
        <v>53</v>
      </c>
      <c r="L254" s="9" t="s">
        <v>31</v>
      </c>
      <c r="M254" s="9" t="s">
        <v>44</v>
      </c>
    </row>
    <row r="255" spans="1:13" x14ac:dyDescent="0.3">
      <c r="A255" s="5" t="s">
        <v>207</v>
      </c>
      <c r="B255" s="6" t="s">
        <v>14</v>
      </c>
      <c r="C255" s="7">
        <v>45775</v>
      </c>
      <c r="D255" s="6" t="s">
        <v>20</v>
      </c>
      <c r="E255" s="6" t="s">
        <v>21</v>
      </c>
      <c r="F255" s="8">
        <v>3577</v>
      </c>
      <c r="G255" s="8">
        <v>596</v>
      </c>
      <c r="H255" s="8">
        <v>493</v>
      </c>
      <c r="I255" s="8">
        <v>67963</v>
      </c>
      <c r="J255" s="8">
        <v>67839</v>
      </c>
      <c r="K255" s="8">
        <v>53</v>
      </c>
      <c r="L255" s="9" t="s">
        <v>37</v>
      </c>
      <c r="M255" s="9" t="s">
        <v>44</v>
      </c>
    </row>
    <row r="256" spans="1:13" x14ac:dyDescent="0.3">
      <c r="A256" s="5" t="s">
        <v>208</v>
      </c>
      <c r="B256" s="6" t="s">
        <v>25</v>
      </c>
      <c r="C256" s="7">
        <v>45657</v>
      </c>
      <c r="D256" s="6" t="s">
        <v>50</v>
      </c>
      <c r="E256" s="6" t="s">
        <v>51</v>
      </c>
      <c r="F256" s="8">
        <v>1018</v>
      </c>
      <c r="G256" s="8">
        <v>447</v>
      </c>
      <c r="H256" s="8">
        <v>332</v>
      </c>
      <c r="I256" s="8">
        <v>18324</v>
      </c>
      <c r="J256" s="8">
        <v>18164</v>
      </c>
      <c r="K256" s="8">
        <v>38</v>
      </c>
      <c r="L256" s="9" t="s">
        <v>17</v>
      </c>
      <c r="M256" s="9" t="s">
        <v>44</v>
      </c>
    </row>
    <row r="257" spans="1:13" x14ac:dyDescent="0.3">
      <c r="A257" s="5" t="s">
        <v>208</v>
      </c>
      <c r="B257" s="6" t="s">
        <v>25</v>
      </c>
      <c r="C257" s="7">
        <v>45657</v>
      </c>
      <c r="D257" s="6" t="s">
        <v>50</v>
      </c>
      <c r="E257" s="6" t="s">
        <v>51</v>
      </c>
      <c r="F257" s="8">
        <v>1018</v>
      </c>
      <c r="G257" s="8">
        <v>447</v>
      </c>
      <c r="H257" s="8">
        <v>332</v>
      </c>
      <c r="I257" s="8">
        <v>18324</v>
      </c>
      <c r="J257" s="8">
        <v>18164</v>
      </c>
      <c r="K257" s="8">
        <v>38</v>
      </c>
      <c r="L257" s="9" t="s">
        <v>22</v>
      </c>
      <c r="M257" s="9" t="s">
        <v>44</v>
      </c>
    </row>
    <row r="258" spans="1:13" x14ac:dyDescent="0.3">
      <c r="A258" s="5" t="s">
        <v>209</v>
      </c>
      <c r="B258" s="6" t="s">
        <v>34</v>
      </c>
      <c r="C258" s="7">
        <v>45518</v>
      </c>
      <c r="D258" s="6" t="s">
        <v>35</v>
      </c>
      <c r="E258" s="6" t="s">
        <v>36</v>
      </c>
      <c r="F258" s="8">
        <v>3073</v>
      </c>
      <c r="G258" s="8">
        <v>553</v>
      </c>
      <c r="H258" s="8">
        <v>174</v>
      </c>
      <c r="I258" s="8">
        <v>52241</v>
      </c>
      <c r="J258" s="8">
        <v>51605</v>
      </c>
      <c r="K258" s="8">
        <v>246</v>
      </c>
      <c r="L258" s="9" t="s">
        <v>22</v>
      </c>
      <c r="M258" s="9" t="s">
        <v>44</v>
      </c>
    </row>
    <row r="259" spans="1:13" x14ac:dyDescent="0.3">
      <c r="A259" s="5" t="s">
        <v>209</v>
      </c>
      <c r="B259" s="6" t="s">
        <v>34</v>
      </c>
      <c r="C259" s="7">
        <v>45518</v>
      </c>
      <c r="D259" s="6" t="s">
        <v>35</v>
      </c>
      <c r="E259" s="6" t="s">
        <v>36</v>
      </c>
      <c r="F259" s="8">
        <v>3073</v>
      </c>
      <c r="G259" s="8">
        <v>553</v>
      </c>
      <c r="H259" s="8">
        <v>174</v>
      </c>
      <c r="I259" s="8">
        <v>52241</v>
      </c>
      <c r="J259" s="8">
        <v>51605</v>
      </c>
      <c r="K259" s="8">
        <v>246</v>
      </c>
      <c r="L259" s="9" t="s">
        <v>31</v>
      </c>
      <c r="M259" s="9" t="s">
        <v>44</v>
      </c>
    </row>
    <row r="260" spans="1:13" x14ac:dyDescent="0.3">
      <c r="A260" s="5" t="s">
        <v>210</v>
      </c>
      <c r="B260" s="6" t="s">
        <v>14</v>
      </c>
      <c r="C260" s="7">
        <v>45631</v>
      </c>
      <c r="D260" s="6" t="s">
        <v>50</v>
      </c>
      <c r="E260" s="6" t="s">
        <v>51</v>
      </c>
      <c r="F260" s="8">
        <v>1330</v>
      </c>
      <c r="G260" s="8">
        <v>925</v>
      </c>
      <c r="H260" s="8">
        <v>35</v>
      </c>
      <c r="I260" s="8">
        <v>15960</v>
      </c>
      <c r="J260" s="8">
        <v>15379</v>
      </c>
      <c r="K260" s="8">
        <v>229</v>
      </c>
      <c r="L260" s="9" t="s">
        <v>52</v>
      </c>
      <c r="M260" s="9" t="s">
        <v>44</v>
      </c>
    </row>
    <row r="261" spans="1:13" x14ac:dyDescent="0.3">
      <c r="A261" s="5" t="s">
        <v>210</v>
      </c>
      <c r="B261" s="6" t="s">
        <v>14</v>
      </c>
      <c r="C261" s="7">
        <v>45631</v>
      </c>
      <c r="D261" s="6" t="s">
        <v>50</v>
      </c>
      <c r="E261" s="6" t="s">
        <v>51</v>
      </c>
      <c r="F261" s="8">
        <v>1330</v>
      </c>
      <c r="G261" s="8">
        <v>925</v>
      </c>
      <c r="H261" s="8">
        <v>35</v>
      </c>
      <c r="I261" s="8">
        <v>15960</v>
      </c>
      <c r="J261" s="8">
        <v>15379</v>
      </c>
      <c r="K261" s="8">
        <v>229</v>
      </c>
      <c r="L261" s="9" t="s">
        <v>37</v>
      </c>
      <c r="M261" s="9" t="s">
        <v>44</v>
      </c>
    </row>
    <row r="262" spans="1:13" x14ac:dyDescent="0.3">
      <c r="A262" s="5" t="s">
        <v>211</v>
      </c>
      <c r="B262" s="6" t="s">
        <v>34</v>
      </c>
      <c r="C262" s="7">
        <v>45465</v>
      </c>
      <c r="D262" s="6" t="s">
        <v>20</v>
      </c>
      <c r="E262" s="6" t="s">
        <v>21</v>
      </c>
      <c r="F262" s="8">
        <v>3828</v>
      </c>
      <c r="G262" s="8">
        <v>148</v>
      </c>
      <c r="H262" s="8">
        <v>253</v>
      </c>
      <c r="I262" s="8">
        <v>30624</v>
      </c>
      <c r="J262" s="8">
        <v>30229</v>
      </c>
      <c r="K262" s="8">
        <v>235</v>
      </c>
      <c r="L262" s="9" t="s">
        <v>17</v>
      </c>
      <c r="M262" s="9" t="s">
        <v>44</v>
      </c>
    </row>
    <row r="263" spans="1:13" x14ac:dyDescent="0.3">
      <c r="A263" s="5" t="s">
        <v>211</v>
      </c>
      <c r="B263" s="6" t="s">
        <v>34</v>
      </c>
      <c r="C263" s="7">
        <v>45465</v>
      </c>
      <c r="D263" s="6" t="s">
        <v>20</v>
      </c>
      <c r="E263" s="6" t="s">
        <v>21</v>
      </c>
      <c r="F263" s="8">
        <v>3828</v>
      </c>
      <c r="G263" s="8">
        <v>148</v>
      </c>
      <c r="H263" s="8">
        <v>253</v>
      </c>
      <c r="I263" s="8">
        <v>30624</v>
      </c>
      <c r="J263" s="8">
        <v>30229</v>
      </c>
      <c r="K263" s="8">
        <v>235</v>
      </c>
      <c r="L263" s="9" t="s">
        <v>31</v>
      </c>
      <c r="M263" s="9" t="s">
        <v>44</v>
      </c>
    </row>
    <row r="264" spans="1:13" x14ac:dyDescent="0.3">
      <c r="A264" s="5" t="s">
        <v>212</v>
      </c>
      <c r="B264" s="6" t="s">
        <v>27</v>
      </c>
      <c r="C264" s="7">
        <v>45674</v>
      </c>
      <c r="D264" s="6" t="s">
        <v>15</v>
      </c>
      <c r="E264" s="6" t="s">
        <v>16</v>
      </c>
      <c r="F264" s="8">
        <v>142</v>
      </c>
      <c r="G264" s="8">
        <v>784</v>
      </c>
      <c r="H264" s="8">
        <v>183</v>
      </c>
      <c r="I264" s="8">
        <v>1704</v>
      </c>
      <c r="J264" s="8">
        <v>995</v>
      </c>
      <c r="K264" s="8">
        <v>154</v>
      </c>
      <c r="L264" s="9" t="s">
        <v>17</v>
      </c>
      <c r="M264" s="9" t="s">
        <v>18</v>
      </c>
    </row>
    <row r="265" spans="1:13" x14ac:dyDescent="0.3">
      <c r="A265" s="5" t="s">
        <v>213</v>
      </c>
      <c r="B265" s="6" t="s">
        <v>34</v>
      </c>
      <c r="C265" s="7">
        <v>45463</v>
      </c>
      <c r="D265" s="6" t="s">
        <v>50</v>
      </c>
      <c r="E265" s="6" t="s">
        <v>51</v>
      </c>
      <c r="F265" s="8">
        <v>3798</v>
      </c>
      <c r="G265" s="8">
        <v>31</v>
      </c>
      <c r="H265" s="8">
        <v>279</v>
      </c>
      <c r="I265" s="8">
        <v>75960</v>
      </c>
      <c r="J265" s="8">
        <v>75813</v>
      </c>
      <c r="K265" s="8">
        <v>266</v>
      </c>
      <c r="L265" s="9" t="s">
        <v>22</v>
      </c>
      <c r="M265" s="9" t="s">
        <v>23</v>
      </c>
    </row>
    <row r="266" spans="1:13" x14ac:dyDescent="0.3">
      <c r="A266" s="5" t="s">
        <v>214</v>
      </c>
      <c r="B266" s="6" t="s">
        <v>27</v>
      </c>
      <c r="C266" s="7">
        <v>45483</v>
      </c>
      <c r="D266" s="6" t="s">
        <v>35</v>
      </c>
      <c r="E266" s="6" t="s">
        <v>36</v>
      </c>
      <c r="F266" s="8">
        <v>3099</v>
      </c>
      <c r="G266" s="8">
        <v>694</v>
      </c>
      <c r="H266" s="8">
        <v>171</v>
      </c>
      <c r="I266" s="8">
        <v>43386</v>
      </c>
      <c r="J266" s="8">
        <v>42921</v>
      </c>
      <c r="K266" s="8">
        <v>52</v>
      </c>
      <c r="L266" s="9" t="s">
        <v>52</v>
      </c>
      <c r="M266" s="9" t="s">
        <v>44</v>
      </c>
    </row>
    <row r="267" spans="1:13" x14ac:dyDescent="0.3">
      <c r="A267" s="5" t="s">
        <v>215</v>
      </c>
      <c r="B267" s="6" t="s">
        <v>27</v>
      </c>
      <c r="C267" s="7">
        <v>45603</v>
      </c>
      <c r="D267" s="6" t="s">
        <v>50</v>
      </c>
      <c r="E267" s="6" t="s">
        <v>51</v>
      </c>
      <c r="F267" s="8">
        <v>129</v>
      </c>
      <c r="G267" s="8">
        <v>643</v>
      </c>
      <c r="H267" s="8">
        <v>136</v>
      </c>
      <c r="I267" s="8">
        <v>1290</v>
      </c>
      <c r="J267" s="8">
        <v>839</v>
      </c>
      <c r="K267" s="8">
        <v>238</v>
      </c>
      <c r="L267" s="9" t="s">
        <v>31</v>
      </c>
      <c r="M267" s="9" t="s">
        <v>44</v>
      </c>
    </row>
    <row r="268" spans="1:13" x14ac:dyDescent="0.3">
      <c r="A268" s="5" t="s">
        <v>215</v>
      </c>
      <c r="B268" s="6" t="s">
        <v>27</v>
      </c>
      <c r="C268" s="7">
        <v>45603</v>
      </c>
      <c r="D268" s="6" t="s">
        <v>50</v>
      </c>
      <c r="E268" s="6" t="s">
        <v>51</v>
      </c>
      <c r="F268" s="8">
        <v>129</v>
      </c>
      <c r="G268" s="8">
        <v>643</v>
      </c>
      <c r="H268" s="8">
        <v>136</v>
      </c>
      <c r="I268" s="8">
        <v>1290</v>
      </c>
      <c r="J268" s="8">
        <v>839</v>
      </c>
      <c r="K268" s="8">
        <v>238</v>
      </c>
      <c r="L268" s="9" t="s">
        <v>52</v>
      </c>
      <c r="M268" s="9" t="s">
        <v>44</v>
      </c>
    </row>
    <row r="269" spans="1:13" x14ac:dyDescent="0.3">
      <c r="A269" s="5" t="s">
        <v>216</v>
      </c>
      <c r="B269" s="6" t="s">
        <v>34</v>
      </c>
      <c r="C269" s="7">
        <v>45488</v>
      </c>
      <c r="D269" s="6" t="s">
        <v>35</v>
      </c>
      <c r="E269" s="6" t="s">
        <v>36</v>
      </c>
      <c r="F269" s="8">
        <v>3796</v>
      </c>
      <c r="G269" s="8">
        <v>667</v>
      </c>
      <c r="H269" s="8">
        <v>395</v>
      </c>
      <c r="I269" s="8">
        <v>64532</v>
      </c>
      <c r="J269" s="8">
        <v>63550</v>
      </c>
      <c r="K269" s="8">
        <v>292</v>
      </c>
      <c r="L269" s="9" t="s">
        <v>31</v>
      </c>
      <c r="M269" s="9" t="s">
        <v>18</v>
      </c>
    </row>
    <row r="270" spans="1:13" x14ac:dyDescent="0.3">
      <c r="A270" s="5" t="s">
        <v>217</v>
      </c>
      <c r="B270" s="6" t="s">
        <v>25</v>
      </c>
      <c r="C270" s="7">
        <v>45629</v>
      </c>
      <c r="D270" s="6" t="s">
        <v>20</v>
      </c>
      <c r="E270" s="6" t="s">
        <v>21</v>
      </c>
      <c r="F270" s="8">
        <v>3711</v>
      </c>
      <c r="G270" s="8">
        <v>352</v>
      </c>
      <c r="H270" s="8">
        <v>290</v>
      </c>
      <c r="I270" s="8">
        <v>48243</v>
      </c>
      <c r="J270" s="8">
        <v>47579</v>
      </c>
      <c r="K270" s="8">
        <v>11</v>
      </c>
      <c r="L270" s="9" t="s">
        <v>31</v>
      </c>
      <c r="M270" s="9" t="s">
        <v>44</v>
      </c>
    </row>
    <row r="271" spans="1:13" x14ac:dyDescent="0.3">
      <c r="A271" s="5" t="s">
        <v>217</v>
      </c>
      <c r="B271" s="6" t="s">
        <v>25</v>
      </c>
      <c r="C271" s="7">
        <v>45629</v>
      </c>
      <c r="D271" s="6" t="s">
        <v>20</v>
      </c>
      <c r="E271" s="6" t="s">
        <v>21</v>
      </c>
      <c r="F271" s="8">
        <v>3711</v>
      </c>
      <c r="G271" s="8">
        <v>352</v>
      </c>
      <c r="H271" s="8">
        <v>290</v>
      </c>
      <c r="I271" s="8">
        <v>48243</v>
      </c>
      <c r="J271" s="8">
        <v>47579</v>
      </c>
      <c r="K271" s="8">
        <v>11</v>
      </c>
      <c r="L271" s="9" t="s">
        <v>52</v>
      </c>
      <c r="M271" s="9" t="s">
        <v>44</v>
      </c>
    </row>
    <row r="272" spans="1:13" x14ac:dyDescent="0.3">
      <c r="A272" s="5" t="s">
        <v>218</v>
      </c>
      <c r="B272" s="6" t="s">
        <v>25</v>
      </c>
      <c r="C272" s="7">
        <v>45737</v>
      </c>
      <c r="D272" s="6" t="s">
        <v>40</v>
      </c>
      <c r="E272" s="6" t="s">
        <v>41</v>
      </c>
      <c r="F272" s="8">
        <v>606</v>
      </c>
      <c r="G272" s="8">
        <v>789</v>
      </c>
      <c r="H272" s="8">
        <v>470</v>
      </c>
      <c r="I272" s="8">
        <v>7878</v>
      </c>
      <c r="J272" s="8">
        <v>7389</v>
      </c>
      <c r="K272" s="8">
        <v>239</v>
      </c>
      <c r="L272" s="9" t="s">
        <v>17</v>
      </c>
      <c r="M272" s="9" t="s">
        <v>23</v>
      </c>
    </row>
    <row r="273" spans="1:13" x14ac:dyDescent="0.3">
      <c r="A273" s="5" t="s">
        <v>219</v>
      </c>
      <c r="B273" s="6" t="s">
        <v>34</v>
      </c>
      <c r="C273" s="7">
        <v>45504</v>
      </c>
      <c r="D273" s="6" t="s">
        <v>40</v>
      </c>
      <c r="E273" s="6" t="s">
        <v>41</v>
      </c>
      <c r="F273" s="8">
        <v>4689</v>
      </c>
      <c r="G273" s="8">
        <v>134</v>
      </c>
      <c r="H273" s="8">
        <v>403</v>
      </c>
      <c r="I273" s="8">
        <v>51579</v>
      </c>
      <c r="J273" s="8">
        <v>50924</v>
      </c>
      <c r="K273" s="8">
        <v>173</v>
      </c>
      <c r="L273" s="9" t="s">
        <v>52</v>
      </c>
      <c r="M273" s="9" t="s">
        <v>18</v>
      </c>
    </row>
    <row r="274" spans="1:13" x14ac:dyDescent="0.3">
      <c r="A274" s="5" t="s">
        <v>220</v>
      </c>
      <c r="B274" s="6" t="s">
        <v>27</v>
      </c>
      <c r="C274" s="7">
        <v>45643</v>
      </c>
      <c r="D274" s="6" t="s">
        <v>28</v>
      </c>
      <c r="E274" s="6" t="s">
        <v>29</v>
      </c>
      <c r="F274" s="8">
        <v>360</v>
      </c>
      <c r="G274" s="8">
        <v>590</v>
      </c>
      <c r="H274" s="8">
        <v>393</v>
      </c>
      <c r="I274" s="8">
        <v>4680</v>
      </c>
      <c r="J274" s="8">
        <v>4322</v>
      </c>
      <c r="K274" s="8">
        <v>208</v>
      </c>
      <c r="L274" s="9" t="s">
        <v>31</v>
      </c>
      <c r="M274" s="9" t="s">
        <v>23</v>
      </c>
    </row>
    <row r="275" spans="1:13" x14ac:dyDescent="0.3">
      <c r="A275" s="5" t="s">
        <v>220</v>
      </c>
      <c r="B275" s="6" t="s">
        <v>27</v>
      </c>
      <c r="C275" s="7">
        <v>45643</v>
      </c>
      <c r="D275" s="6" t="s">
        <v>28</v>
      </c>
      <c r="E275" s="6" t="s">
        <v>29</v>
      </c>
      <c r="F275" s="8">
        <v>360</v>
      </c>
      <c r="G275" s="8">
        <v>590</v>
      </c>
      <c r="H275" s="8">
        <v>393</v>
      </c>
      <c r="I275" s="8">
        <v>4680</v>
      </c>
      <c r="J275" s="8">
        <v>4322</v>
      </c>
      <c r="K275" s="8">
        <v>208</v>
      </c>
      <c r="L275" s="9" t="s">
        <v>52</v>
      </c>
      <c r="M275" s="9" t="s">
        <v>23</v>
      </c>
    </row>
    <row r="276" spans="1:13" x14ac:dyDescent="0.3">
      <c r="A276" s="5" t="s">
        <v>221</v>
      </c>
      <c r="B276" s="6" t="s">
        <v>14</v>
      </c>
      <c r="C276" s="7">
        <v>45501</v>
      </c>
      <c r="D276" s="6" t="s">
        <v>40</v>
      </c>
      <c r="E276" s="6" t="s">
        <v>41</v>
      </c>
      <c r="F276" s="8">
        <v>3215</v>
      </c>
      <c r="G276" s="8">
        <v>960</v>
      </c>
      <c r="H276" s="8">
        <v>202</v>
      </c>
      <c r="I276" s="8">
        <v>32150</v>
      </c>
      <c r="J276" s="8">
        <v>31404</v>
      </c>
      <c r="K276" s="8">
        <v>251</v>
      </c>
      <c r="L276" s="9" t="s">
        <v>31</v>
      </c>
      <c r="M276" s="9" t="s">
        <v>32</v>
      </c>
    </row>
    <row r="277" spans="1:13" x14ac:dyDescent="0.3">
      <c r="A277" s="5" t="s">
        <v>222</v>
      </c>
      <c r="B277" s="6" t="s">
        <v>27</v>
      </c>
      <c r="C277" s="7">
        <v>45668</v>
      </c>
      <c r="D277" s="6" t="s">
        <v>35</v>
      </c>
      <c r="E277" s="6" t="s">
        <v>36</v>
      </c>
      <c r="F277" s="8">
        <v>4523</v>
      </c>
      <c r="G277" s="8">
        <v>61</v>
      </c>
      <c r="H277" s="8">
        <v>157</v>
      </c>
      <c r="I277" s="8">
        <v>49753</v>
      </c>
      <c r="J277" s="8">
        <v>49329</v>
      </c>
      <c r="K277" s="8">
        <v>71</v>
      </c>
      <c r="L277" s="9" t="s">
        <v>17</v>
      </c>
      <c r="M277" s="9" t="s">
        <v>44</v>
      </c>
    </row>
    <row r="278" spans="1:13" x14ac:dyDescent="0.3">
      <c r="A278" s="5" t="s">
        <v>222</v>
      </c>
      <c r="B278" s="6" t="s">
        <v>27</v>
      </c>
      <c r="C278" s="7">
        <v>45668</v>
      </c>
      <c r="D278" s="6" t="s">
        <v>35</v>
      </c>
      <c r="E278" s="6" t="s">
        <v>36</v>
      </c>
      <c r="F278" s="8">
        <v>4523</v>
      </c>
      <c r="G278" s="8">
        <v>61</v>
      </c>
      <c r="H278" s="8">
        <v>157</v>
      </c>
      <c r="I278" s="8">
        <v>49753</v>
      </c>
      <c r="J278" s="8">
        <v>49329</v>
      </c>
      <c r="K278" s="8">
        <v>71</v>
      </c>
      <c r="L278" s="9" t="s">
        <v>37</v>
      </c>
      <c r="M278" s="9" t="s">
        <v>44</v>
      </c>
    </row>
    <row r="279" spans="1:13" x14ac:dyDescent="0.3">
      <c r="A279" s="5" t="s">
        <v>223</v>
      </c>
      <c r="B279" s="6" t="s">
        <v>34</v>
      </c>
      <c r="C279" s="7">
        <v>45528</v>
      </c>
      <c r="D279" s="6" t="s">
        <v>35</v>
      </c>
      <c r="E279" s="6" t="s">
        <v>36</v>
      </c>
      <c r="F279" s="8">
        <v>4292</v>
      </c>
      <c r="G279" s="8">
        <v>51</v>
      </c>
      <c r="H279" s="8">
        <v>392</v>
      </c>
      <c r="I279" s="8">
        <v>55796</v>
      </c>
      <c r="J279" s="8">
        <v>54826</v>
      </c>
      <c r="K279" s="8">
        <v>264</v>
      </c>
      <c r="L279" s="9" t="s">
        <v>37</v>
      </c>
      <c r="M279" s="9" t="s">
        <v>18</v>
      </c>
    </row>
    <row r="280" spans="1:13" x14ac:dyDescent="0.3">
      <c r="A280" s="5" t="s">
        <v>223</v>
      </c>
      <c r="B280" s="6" t="s">
        <v>34</v>
      </c>
      <c r="C280" s="7">
        <v>45528</v>
      </c>
      <c r="D280" s="6" t="s">
        <v>35</v>
      </c>
      <c r="E280" s="6" t="s">
        <v>36</v>
      </c>
      <c r="F280" s="8">
        <v>4292</v>
      </c>
      <c r="G280" s="8">
        <v>51</v>
      </c>
      <c r="H280" s="8">
        <v>392</v>
      </c>
      <c r="I280" s="8">
        <v>55796</v>
      </c>
      <c r="J280" s="8">
        <v>54826</v>
      </c>
      <c r="K280" s="8">
        <v>264</v>
      </c>
      <c r="L280" s="9" t="s">
        <v>31</v>
      </c>
      <c r="M280" s="9" t="s">
        <v>18</v>
      </c>
    </row>
    <row r="281" spans="1:13" x14ac:dyDescent="0.3">
      <c r="A281" s="5" t="s">
        <v>224</v>
      </c>
      <c r="B281" s="6" t="s">
        <v>14</v>
      </c>
      <c r="C281" s="7">
        <v>45648</v>
      </c>
      <c r="D281" s="6" t="s">
        <v>15</v>
      </c>
      <c r="E281" s="6" t="s">
        <v>16</v>
      </c>
      <c r="F281" s="8">
        <v>1644</v>
      </c>
      <c r="G281" s="8">
        <v>546</v>
      </c>
      <c r="H281" s="8">
        <v>150</v>
      </c>
      <c r="I281" s="8">
        <v>27948</v>
      </c>
      <c r="J281" s="8">
        <v>27184</v>
      </c>
      <c r="K281" s="8">
        <v>300</v>
      </c>
      <c r="L281" s="9" t="s">
        <v>17</v>
      </c>
      <c r="M281" s="9" t="s">
        <v>18</v>
      </c>
    </row>
    <row r="282" spans="1:13" x14ac:dyDescent="0.3">
      <c r="A282" s="5" t="s">
        <v>224</v>
      </c>
      <c r="B282" s="6" t="s">
        <v>14</v>
      </c>
      <c r="C282" s="7">
        <v>45648</v>
      </c>
      <c r="D282" s="6" t="s">
        <v>15</v>
      </c>
      <c r="E282" s="6" t="s">
        <v>16</v>
      </c>
      <c r="F282" s="8">
        <v>1644</v>
      </c>
      <c r="G282" s="8">
        <v>546</v>
      </c>
      <c r="H282" s="8">
        <v>150</v>
      </c>
      <c r="I282" s="8">
        <v>27948</v>
      </c>
      <c r="J282" s="8">
        <v>27184</v>
      </c>
      <c r="K282" s="8">
        <v>300</v>
      </c>
      <c r="L282" s="9" t="s">
        <v>37</v>
      </c>
      <c r="M282" s="9" t="s">
        <v>18</v>
      </c>
    </row>
    <row r="283" spans="1:13" x14ac:dyDescent="0.3">
      <c r="A283" s="5" t="s">
        <v>225</v>
      </c>
      <c r="B283" s="6" t="s">
        <v>25</v>
      </c>
      <c r="C283" s="7">
        <v>45449</v>
      </c>
      <c r="D283" s="6" t="s">
        <v>15</v>
      </c>
      <c r="E283" s="6" t="s">
        <v>16</v>
      </c>
      <c r="F283" s="8">
        <v>2728</v>
      </c>
      <c r="G283" s="8">
        <v>533</v>
      </c>
      <c r="H283" s="8">
        <v>215</v>
      </c>
      <c r="I283" s="8">
        <v>40920</v>
      </c>
      <c r="J283" s="8">
        <v>40816</v>
      </c>
      <c r="K283" s="8">
        <v>137</v>
      </c>
      <c r="L283" s="9" t="s">
        <v>17</v>
      </c>
      <c r="M283" s="9" t="s">
        <v>23</v>
      </c>
    </row>
    <row r="284" spans="1:13" x14ac:dyDescent="0.3">
      <c r="A284" s="5" t="s">
        <v>226</v>
      </c>
      <c r="B284" s="6" t="s">
        <v>34</v>
      </c>
      <c r="C284" s="7">
        <v>45740</v>
      </c>
      <c r="D284" s="6" t="s">
        <v>15</v>
      </c>
      <c r="E284" s="6" t="s">
        <v>16</v>
      </c>
      <c r="F284" s="8">
        <v>3360</v>
      </c>
      <c r="G284" s="8">
        <v>525</v>
      </c>
      <c r="H284" s="8">
        <v>500</v>
      </c>
      <c r="I284" s="8">
        <v>60480</v>
      </c>
      <c r="J284" s="8">
        <v>59610</v>
      </c>
      <c r="K284" s="8">
        <v>192</v>
      </c>
      <c r="L284" s="9" t="s">
        <v>17</v>
      </c>
      <c r="M284" s="9" t="s">
        <v>18</v>
      </c>
    </row>
    <row r="285" spans="1:13" x14ac:dyDescent="0.3">
      <c r="A285" s="5" t="s">
        <v>226</v>
      </c>
      <c r="B285" s="6" t="s">
        <v>34</v>
      </c>
      <c r="C285" s="7">
        <v>45740</v>
      </c>
      <c r="D285" s="6" t="s">
        <v>15</v>
      </c>
      <c r="E285" s="6" t="s">
        <v>16</v>
      </c>
      <c r="F285" s="8">
        <v>3360</v>
      </c>
      <c r="G285" s="8">
        <v>525</v>
      </c>
      <c r="H285" s="8">
        <v>500</v>
      </c>
      <c r="I285" s="8">
        <v>60480</v>
      </c>
      <c r="J285" s="8">
        <v>59610</v>
      </c>
      <c r="K285" s="8">
        <v>192</v>
      </c>
      <c r="L285" s="9" t="s">
        <v>31</v>
      </c>
      <c r="M285" s="9" t="s">
        <v>18</v>
      </c>
    </row>
    <row r="286" spans="1:13" x14ac:dyDescent="0.3">
      <c r="A286" s="5" t="s">
        <v>227</v>
      </c>
      <c r="B286" s="6" t="s">
        <v>25</v>
      </c>
      <c r="C286" s="7">
        <v>45569</v>
      </c>
      <c r="D286" s="6" t="s">
        <v>20</v>
      </c>
      <c r="E286" s="6" t="s">
        <v>21</v>
      </c>
      <c r="F286" s="8">
        <v>1963</v>
      </c>
      <c r="G286" s="8">
        <v>213</v>
      </c>
      <c r="H286" s="8">
        <v>19</v>
      </c>
      <c r="I286" s="8">
        <v>39260</v>
      </c>
      <c r="J286" s="8">
        <v>38771</v>
      </c>
      <c r="K286" s="8">
        <v>145</v>
      </c>
      <c r="L286" s="9" t="s">
        <v>31</v>
      </c>
      <c r="M286" s="9" t="s">
        <v>18</v>
      </c>
    </row>
    <row r="287" spans="1:13" x14ac:dyDescent="0.3">
      <c r="A287" s="5" t="s">
        <v>228</v>
      </c>
      <c r="B287" s="6" t="s">
        <v>25</v>
      </c>
      <c r="C287" s="7">
        <v>45629</v>
      </c>
      <c r="D287" s="6" t="s">
        <v>28</v>
      </c>
      <c r="E287" s="6" t="s">
        <v>29</v>
      </c>
      <c r="F287" s="8">
        <v>4285</v>
      </c>
      <c r="G287" s="8">
        <v>886</v>
      </c>
      <c r="H287" s="8">
        <v>376</v>
      </c>
      <c r="I287" s="8">
        <v>55705</v>
      </c>
      <c r="J287" s="8">
        <v>55556</v>
      </c>
      <c r="K287" s="8">
        <v>51</v>
      </c>
      <c r="L287" s="9" t="s">
        <v>22</v>
      </c>
      <c r="M287" s="9" t="s">
        <v>44</v>
      </c>
    </row>
    <row r="288" spans="1:13" x14ac:dyDescent="0.3">
      <c r="A288" s="5" t="s">
        <v>228</v>
      </c>
      <c r="B288" s="6" t="s">
        <v>25</v>
      </c>
      <c r="C288" s="7">
        <v>45629</v>
      </c>
      <c r="D288" s="6" t="s">
        <v>28</v>
      </c>
      <c r="E288" s="6" t="s">
        <v>29</v>
      </c>
      <c r="F288" s="8">
        <v>4285</v>
      </c>
      <c r="G288" s="8">
        <v>886</v>
      </c>
      <c r="H288" s="8">
        <v>376</v>
      </c>
      <c r="I288" s="8">
        <v>55705</v>
      </c>
      <c r="J288" s="8">
        <v>55556</v>
      </c>
      <c r="K288" s="8">
        <v>51</v>
      </c>
      <c r="L288" s="9" t="s">
        <v>52</v>
      </c>
      <c r="M288" s="9" t="s">
        <v>44</v>
      </c>
    </row>
    <row r="289" spans="1:13" x14ac:dyDescent="0.3">
      <c r="A289" s="5" t="s">
        <v>229</v>
      </c>
      <c r="B289" s="6" t="s">
        <v>27</v>
      </c>
      <c r="C289" s="7">
        <v>45625</v>
      </c>
      <c r="D289" s="6" t="s">
        <v>50</v>
      </c>
      <c r="E289" s="6" t="s">
        <v>51</v>
      </c>
      <c r="F289" s="8">
        <v>1176</v>
      </c>
      <c r="G289" s="8">
        <v>464</v>
      </c>
      <c r="H289" s="8">
        <v>394</v>
      </c>
      <c r="I289" s="8">
        <v>14112</v>
      </c>
      <c r="J289" s="8">
        <v>13588</v>
      </c>
      <c r="K289" s="8">
        <v>272</v>
      </c>
      <c r="L289" s="9" t="s">
        <v>52</v>
      </c>
      <c r="M289" s="9" t="s">
        <v>18</v>
      </c>
    </row>
    <row r="290" spans="1:13" x14ac:dyDescent="0.3">
      <c r="A290" s="5" t="s">
        <v>230</v>
      </c>
      <c r="B290" s="6" t="s">
        <v>14</v>
      </c>
      <c r="C290" s="7">
        <v>45546</v>
      </c>
      <c r="D290" s="6" t="s">
        <v>40</v>
      </c>
      <c r="E290" s="6" t="s">
        <v>41</v>
      </c>
      <c r="F290" s="8">
        <v>4858</v>
      </c>
      <c r="G290" s="8">
        <v>317</v>
      </c>
      <c r="H290" s="8">
        <v>129</v>
      </c>
      <c r="I290" s="8">
        <v>53438</v>
      </c>
      <c r="J290" s="8">
        <v>52687</v>
      </c>
      <c r="K290" s="8">
        <v>223</v>
      </c>
      <c r="L290" s="9" t="s">
        <v>52</v>
      </c>
      <c r="M290" s="9" t="s">
        <v>18</v>
      </c>
    </row>
    <row r="291" spans="1:13" x14ac:dyDescent="0.3">
      <c r="A291" s="5" t="s">
        <v>230</v>
      </c>
      <c r="B291" s="6" t="s">
        <v>14</v>
      </c>
      <c r="C291" s="7">
        <v>45546</v>
      </c>
      <c r="D291" s="6" t="s">
        <v>40</v>
      </c>
      <c r="E291" s="6" t="s">
        <v>41</v>
      </c>
      <c r="F291" s="8">
        <v>4858</v>
      </c>
      <c r="G291" s="8">
        <v>317</v>
      </c>
      <c r="H291" s="8">
        <v>129</v>
      </c>
      <c r="I291" s="8">
        <v>53438</v>
      </c>
      <c r="J291" s="8">
        <v>52687</v>
      </c>
      <c r="K291" s="8">
        <v>223</v>
      </c>
      <c r="L291" s="9" t="s">
        <v>37</v>
      </c>
      <c r="M291" s="9" t="s">
        <v>18</v>
      </c>
    </row>
    <row r="292" spans="1:13" x14ac:dyDescent="0.3">
      <c r="A292" s="5" t="s">
        <v>231</v>
      </c>
      <c r="B292" s="6" t="s">
        <v>25</v>
      </c>
      <c r="C292" s="7">
        <v>45567</v>
      </c>
      <c r="D292" s="6" t="s">
        <v>28</v>
      </c>
      <c r="E292" s="6" t="s">
        <v>29</v>
      </c>
      <c r="F292" s="8">
        <v>4350</v>
      </c>
      <c r="G292" s="8">
        <v>771</v>
      </c>
      <c r="H292" s="8">
        <v>7</v>
      </c>
      <c r="I292" s="8">
        <v>60900</v>
      </c>
      <c r="J292" s="8">
        <v>60592</v>
      </c>
      <c r="K292" s="8">
        <v>195</v>
      </c>
      <c r="L292" s="9" t="s">
        <v>52</v>
      </c>
      <c r="M292" s="9" t="s">
        <v>23</v>
      </c>
    </row>
    <row r="293" spans="1:13" x14ac:dyDescent="0.3">
      <c r="A293" s="5" t="s">
        <v>231</v>
      </c>
      <c r="B293" s="6" t="s">
        <v>25</v>
      </c>
      <c r="C293" s="7">
        <v>45567</v>
      </c>
      <c r="D293" s="6" t="s">
        <v>28</v>
      </c>
      <c r="E293" s="6" t="s">
        <v>29</v>
      </c>
      <c r="F293" s="8">
        <v>4350</v>
      </c>
      <c r="G293" s="8">
        <v>771</v>
      </c>
      <c r="H293" s="8">
        <v>7</v>
      </c>
      <c r="I293" s="8">
        <v>60900</v>
      </c>
      <c r="J293" s="8">
        <v>60592</v>
      </c>
      <c r="K293" s="8">
        <v>195</v>
      </c>
      <c r="L293" s="9" t="s">
        <v>31</v>
      </c>
      <c r="M293" s="9" t="s">
        <v>23</v>
      </c>
    </row>
    <row r="294" spans="1:13" x14ac:dyDescent="0.3">
      <c r="A294" s="5" t="s">
        <v>232</v>
      </c>
      <c r="B294" s="6" t="s">
        <v>27</v>
      </c>
      <c r="C294" s="7">
        <v>45519</v>
      </c>
      <c r="D294" s="6" t="s">
        <v>35</v>
      </c>
      <c r="E294" s="6" t="s">
        <v>36</v>
      </c>
      <c r="F294" s="8">
        <v>914</v>
      </c>
      <c r="G294" s="8">
        <v>464</v>
      </c>
      <c r="H294" s="8">
        <v>246</v>
      </c>
      <c r="I294" s="8">
        <v>11882</v>
      </c>
      <c r="J294" s="8">
        <v>11500</v>
      </c>
      <c r="K294" s="8">
        <v>282</v>
      </c>
      <c r="L294" s="9" t="s">
        <v>22</v>
      </c>
      <c r="M294" s="9" t="s">
        <v>32</v>
      </c>
    </row>
    <row r="295" spans="1:13" x14ac:dyDescent="0.3">
      <c r="A295" s="5" t="s">
        <v>232</v>
      </c>
      <c r="B295" s="6" t="s">
        <v>27</v>
      </c>
      <c r="C295" s="7">
        <v>45519</v>
      </c>
      <c r="D295" s="6" t="s">
        <v>35</v>
      </c>
      <c r="E295" s="6" t="s">
        <v>36</v>
      </c>
      <c r="F295" s="8">
        <v>914</v>
      </c>
      <c r="G295" s="8">
        <v>464</v>
      </c>
      <c r="H295" s="8">
        <v>246</v>
      </c>
      <c r="I295" s="8">
        <v>11882</v>
      </c>
      <c r="J295" s="8">
        <v>11500</v>
      </c>
      <c r="K295" s="8">
        <v>282</v>
      </c>
      <c r="L295" s="9" t="s">
        <v>37</v>
      </c>
      <c r="M295" s="9" t="s">
        <v>32</v>
      </c>
    </row>
    <row r="296" spans="1:13" x14ac:dyDescent="0.3">
      <c r="A296" s="5" t="s">
        <v>233</v>
      </c>
      <c r="B296" s="6" t="s">
        <v>27</v>
      </c>
      <c r="C296" s="7">
        <v>45645</v>
      </c>
      <c r="D296" s="6" t="s">
        <v>20</v>
      </c>
      <c r="E296" s="6" t="s">
        <v>21</v>
      </c>
      <c r="F296" s="8">
        <v>1813</v>
      </c>
      <c r="G296" s="8">
        <v>623</v>
      </c>
      <c r="H296" s="8">
        <v>72</v>
      </c>
      <c r="I296" s="8">
        <v>19943</v>
      </c>
      <c r="J296" s="8">
        <v>18959</v>
      </c>
      <c r="K296" s="8">
        <v>85</v>
      </c>
      <c r="L296" s="9" t="s">
        <v>37</v>
      </c>
      <c r="M296" s="9" t="s">
        <v>32</v>
      </c>
    </row>
    <row r="297" spans="1:13" x14ac:dyDescent="0.3">
      <c r="A297" s="5" t="s">
        <v>233</v>
      </c>
      <c r="B297" s="6" t="s">
        <v>27</v>
      </c>
      <c r="C297" s="7">
        <v>45645</v>
      </c>
      <c r="D297" s="6" t="s">
        <v>20</v>
      </c>
      <c r="E297" s="6" t="s">
        <v>21</v>
      </c>
      <c r="F297" s="8">
        <v>1813</v>
      </c>
      <c r="G297" s="8">
        <v>623</v>
      </c>
      <c r="H297" s="8">
        <v>72</v>
      </c>
      <c r="I297" s="8">
        <v>19943</v>
      </c>
      <c r="J297" s="8">
        <v>18959</v>
      </c>
      <c r="K297" s="8">
        <v>85</v>
      </c>
      <c r="L297" s="9" t="s">
        <v>22</v>
      </c>
      <c r="M297" s="9" t="s">
        <v>32</v>
      </c>
    </row>
    <row r="298" spans="1:13" x14ac:dyDescent="0.3">
      <c r="A298" s="5" t="s">
        <v>234</v>
      </c>
      <c r="B298" s="6" t="s">
        <v>14</v>
      </c>
      <c r="C298" s="7">
        <v>45587</v>
      </c>
      <c r="D298" s="6" t="s">
        <v>15</v>
      </c>
      <c r="E298" s="6" t="s">
        <v>16</v>
      </c>
      <c r="F298" s="8">
        <v>4782</v>
      </c>
      <c r="G298" s="8">
        <v>721</v>
      </c>
      <c r="H298" s="8">
        <v>82</v>
      </c>
      <c r="I298" s="8">
        <v>86076</v>
      </c>
      <c r="J298" s="8">
        <v>85339</v>
      </c>
      <c r="K298" s="8">
        <v>19</v>
      </c>
      <c r="L298" s="9" t="s">
        <v>52</v>
      </c>
      <c r="M298" s="9" t="s">
        <v>23</v>
      </c>
    </row>
    <row r="299" spans="1:13" x14ac:dyDescent="0.3">
      <c r="A299" s="5" t="s">
        <v>235</v>
      </c>
      <c r="B299" s="6" t="s">
        <v>14</v>
      </c>
      <c r="C299" s="7">
        <v>45549</v>
      </c>
      <c r="D299" s="6" t="s">
        <v>40</v>
      </c>
      <c r="E299" s="6" t="s">
        <v>41</v>
      </c>
      <c r="F299" s="8">
        <v>1048</v>
      </c>
      <c r="G299" s="8">
        <v>374</v>
      </c>
      <c r="H299" s="8">
        <v>450</v>
      </c>
      <c r="I299" s="8">
        <v>9432</v>
      </c>
      <c r="J299" s="8">
        <v>8882</v>
      </c>
      <c r="K299" s="8">
        <v>158</v>
      </c>
      <c r="L299" s="9" t="s">
        <v>37</v>
      </c>
      <c r="M299" s="9" t="s">
        <v>23</v>
      </c>
    </row>
    <row r="300" spans="1:13" x14ac:dyDescent="0.3">
      <c r="A300" s="5" t="s">
        <v>235</v>
      </c>
      <c r="B300" s="6" t="s">
        <v>14</v>
      </c>
      <c r="C300" s="7">
        <v>45549</v>
      </c>
      <c r="D300" s="6" t="s">
        <v>40</v>
      </c>
      <c r="E300" s="6" t="s">
        <v>41</v>
      </c>
      <c r="F300" s="8">
        <v>1048</v>
      </c>
      <c r="G300" s="8">
        <v>374</v>
      </c>
      <c r="H300" s="8">
        <v>450</v>
      </c>
      <c r="I300" s="8">
        <v>9432</v>
      </c>
      <c r="J300" s="8">
        <v>8882</v>
      </c>
      <c r="K300" s="8">
        <v>158</v>
      </c>
      <c r="L300" s="9" t="s">
        <v>17</v>
      </c>
      <c r="M300" s="9" t="s">
        <v>23</v>
      </c>
    </row>
    <row r="301" spans="1:13" x14ac:dyDescent="0.3">
      <c r="A301" s="5" t="s">
        <v>236</v>
      </c>
      <c r="B301" s="6" t="s">
        <v>25</v>
      </c>
      <c r="C301" s="7">
        <v>45626</v>
      </c>
      <c r="D301" s="6" t="s">
        <v>35</v>
      </c>
      <c r="E301" s="6" t="s">
        <v>36</v>
      </c>
      <c r="F301" s="8">
        <v>2509</v>
      </c>
      <c r="G301" s="8">
        <v>324</v>
      </c>
      <c r="H301" s="8">
        <v>171</v>
      </c>
      <c r="I301" s="8">
        <v>35126</v>
      </c>
      <c r="J301" s="8">
        <v>34685</v>
      </c>
      <c r="K301" s="8">
        <v>277</v>
      </c>
      <c r="L301" s="9" t="s">
        <v>52</v>
      </c>
      <c r="M301" s="9" t="s">
        <v>23</v>
      </c>
    </row>
    <row r="302" spans="1:13" x14ac:dyDescent="0.3">
      <c r="A302" s="5" t="s">
        <v>237</v>
      </c>
      <c r="B302" s="6" t="s">
        <v>34</v>
      </c>
      <c r="C302" s="7">
        <v>45754</v>
      </c>
      <c r="D302" s="6" t="s">
        <v>15</v>
      </c>
      <c r="E302" s="6" t="s">
        <v>16</v>
      </c>
      <c r="F302" s="8">
        <v>3718</v>
      </c>
      <c r="G302" s="8">
        <v>385</v>
      </c>
      <c r="H302" s="8">
        <v>310</v>
      </c>
      <c r="I302" s="8">
        <v>70642</v>
      </c>
      <c r="J302" s="8">
        <v>69749</v>
      </c>
      <c r="K302" s="8">
        <v>233</v>
      </c>
      <c r="L302" s="9" t="s">
        <v>37</v>
      </c>
      <c r="M302" s="9" t="s">
        <v>18</v>
      </c>
    </row>
    <row r="303" spans="1:13" x14ac:dyDescent="0.3">
      <c r="A303" s="5" t="s">
        <v>238</v>
      </c>
      <c r="B303" s="6" t="s">
        <v>14</v>
      </c>
      <c r="C303" s="7">
        <v>45672</v>
      </c>
      <c r="D303" s="6" t="s">
        <v>15</v>
      </c>
      <c r="E303" s="6" t="s">
        <v>16</v>
      </c>
      <c r="F303" s="8">
        <v>802</v>
      </c>
      <c r="G303" s="8">
        <v>262</v>
      </c>
      <c r="H303" s="8">
        <v>244</v>
      </c>
      <c r="I303" s="8">
        <v>14436</v>
      </c>
      <c r="J303" s="8">
        <v>14280</v>
      </c>
      <c r="K303" s="8">
        <v>49</v>
      </c>
      <c r="L303" s="9" t="s">
        <v>17</v>
      </c>
      <c r="M303" s="9" t="s">
        <v>44</v>
      </c>
    </row>
    <row r="304" spans="1:13" x14ac:dyDescent="0.3">
      <c r="A304" s="5" t="s">
        <v>238</v>
      </c>
      <c r="B304" s="6" t="s">
        <v>14</v>
      </c>
      <c r="C304" s="7">
        <v>45672</v>
      </c>
      <c r="D304" s="6" t="s">
        <v>15</v>
      </c>
      <c r="E304" s="6" t="s">
        <v>16</v>
      </c>
      <c r="F304" s="8">
        <v>802</v>
      </c>
      <c r="G304" s="8">
        <v>262</v>
      </c>
      <c r="H304" s="8">
        <v>244</v>
      </c>
      <c r="I304" s="8">
        <v>14436</v>
      </c>
      <c r="J304" s="8">
        <v>14280</v>
      </c>
      <c r="K304" s="8">
        <v>49</v>
      </c>
      <c r="L304" s="9" t="s">
        <v>52</v>
      </c>
      <c r="M304" s="9" t="s">
        <v>44</v>
      </c>
    </row>
    <row r="305" spans="1:13" x14ac:dyDescent="0.3">
      <c r="A305" s="5" t="s">
        <v>239</v>
      </c>
      <c r="B305" s="6" t="s">
        <v>34</v>
      </c>
      <c r="C305" s="7">
        <v>45445</v>
      </c>
      <c r="D305" s="6" t="s">
        <v>40</v>
      </c>
      <c r="E305" s="6" t="s">
        <v>41</v>
      </c>
      <c r="F305" s="8">
        <v>1871</v>
      </c>
      <c r="G305" s="8">
        <v>252</v>
      </c>
      <c r="H305" s="8">
        <v>335</v>
      </c>
      <c r="I305" s="8">
        <v>29936</v>
      </c>
      <c r="J305" s="8">
        <v>29576</v>
      </c>
      <c r="K305" s="8">
        <v>288</v>
      </c>
      <c r="L305" s="9" t="s">
        <v>37</v>
      </c>
      <c r="M305" s="9" t="s">
        <v>23</v>
      </c>
    </row>
    <row r="306" spans="1:13" x14ac:dyDescent="0.3">
      <c r="A306" s="5" t="s">
        <v>240</v>
      </c>
      <c r="B306" s="6" t="s">
        <v>27</v>
      </c>
      <c r="C306" s="7">
        <v>45617</v>
      </c>
      <c r="D306" s="6" t="s">
        <v>35</v>
      </c>
      <c r="E306" s="6" t="s">
        <v>36</v>
      </c>
      <c r="F306" s="8">
        <v>3773</v>
      </c>
      <c r="G306" s="8">
        <v>299</v>
      </c>
      <c r="H306" s="8">
        <v>38</v>
      </c>
      <c r="I306" s="8">
        <v>71687</v>
      </c>
      <c r="J306" s="8">
        <v>71447</v>
      </c>
      <c r="K306" s="8">
        <v>286</v>
      </c>
      <c r="L306" s="9" t="s">
        <v>37</v>
      </c>
      <c r="M306" s="9" t="s">
        <v>44</v>
      </c>
    </row>
    <row r="307" spans="1:13" x14ac:dyDescent="0.3">
      <c r="A307" s="5" t="s">
        <v>241</v>
      </c>
      <c r="B307" s="6" t="s">
        <v>27</v>
      </c>
      <c r="C307" s="7">
        <v>45658</v>
      </c>
      <c r="D307" s="6" t="s">
        <v>35</v>
      </c>
      <c r="E307" s="6" t="s">
        <v>36</v>
      </c>
      <c r="F307" s="8">
        <v>2234</v>
      </c>
      <c r="G307" s="8">
        <v>653</v>
      </c>
      <c r="H307" s="8">
        <v>432</v>
      </c>
      <c r="I307" s="8">
        <v>11170</v>
      </c>
      <c r="J307" s="8">
        <v>10569</v>
      </c>
      <c r="K307" s="8">
        <v>198</v>
      </c>
      <c r="L307" s="9" t="s">
        <v>52</v>
      </c>
      <c r="M307" s="9" t="s">
        <v>44</v>
      </c>
    </row>
    <row r="308" spans="1:13" x14ac:dyDescent="0.3">
      <c r="A308" s="5" t="s">
        <v>241</v>
      </c>
      <c r="B308" s="6" t="s">
        <v>27</v>
      </c>
      <c r="C308" s="7">
        <v>45658</v>
      </c>
      <c r="D308" s="6" t="s">
        <v>35</v>
      </c>
      <c r="E308" s="6" t="s">
        <v>36</v>
      </c>
      <c r="F308" s="8">
        <v>2234</v>
      </c>
      <c r="G308" s="8">
        <v>653</v>
      </c>
      <c r="H308" s="8">
        <v>432</v>
      </c>
      <c r="I308" s="8">
        <v>11170</v>
      </c>
      <c r="J308" s="8">
        <v>10569</v>
      </c>
      <c r="K308" s="8">
        <v>198</v>
      </c>
      <c r="L308" s="9" t="s">
        <v>31</v>
      </c>
      <c r="M308" s="9" t="s">
        <v>44</v>
      </c>
    </row>
    <row r="309" spans="1:13" x14ac:dyDescent="0.3">
      <c r="A309" s="5" t="s">
        <v>242</v>
      </c>
      <c r="B309" s="6" t="s">
        <v>14</v>
      </c>
      <c r="C309" s="7">
        <v>45771</v>
      </c>
      <c r="D309" s="6" t="s">
        <v>50</v>
      </c>
      <c r="E309" s="6" t="s">
        <v>51</v>
      </c>
      <c r="F309" s="8">
        <v>3820</v>
      </c>
      <c r="G309" s="8">
        <v>697</v>
      </c>
      <c r="H309" s="8">
        <v>268</v>
      </c>
      <c r="I309" s="8">
        <v>45840</v>
      </c>
      <c r="J309" s="8">
        <v>45631</v>
      </c>
      <c r="K309" s="8">
        <v>171</v>
      </c>
      <c r="L309" s="9" t="s">
        <v>31</v>
      </c>
      <c r="M309" s="9" t="s">
        <v>18</v>
      </c>
    </row>
    <row r="310" spans="1:13" x14ac:dyDescent="0.3">
      <c r="A310" s="5" t="s">
        <v>242</v>
      </c>
      <c r="B310" s="6" t="s">
        <v>14</v>
      </c>
      <c r="C310" s="7">
        <v>45771</v>
      </c>
      <c r="D310" s="6" t="s">
        <v>50</v>
      </c>
      <c r="E310" s="6" t="s">
        <v>51</v>
      </c>
      <c r="F310" s="8">
        <v>3820</v>
      </c>
      <c r="G310" s="8">
        <v>697</v>
      </c>
      <c r="H310" s="8">
        <v>268</v>
      </c>
      <c r="I310" s="8">
        <v>45840</v>
      </c>
      <c r="J310" s="8">
        <v>45631</v>
      </c>
      <c r="K310" s="8">
        <v>171</v>
      </c>
      <c r="L310" s="9" t="s">
        <v>52</v>
      </c>
      <c r="M310" s="9" t="s">
        <v>18</v>
      </c>
    </row>
    <row r="311" spans="1:13" x14ac:dyDescent="0.3">
      <c r="A311" s="5" t="s">
        <v>243</v>
      </c>
      <c r="B311" s="6" t="s">
        <v>14</v>
      </c>
      <c r="C311" s="7">
        <v>45467</v>
      </c>
      <c r="D311" s="6" t="s">
        <v>20</v>
      </c>
      <c r="E311" s="6" t="s">
        <v>21</v>
      </c>
      <c r="F311" s="8">
        <v>941</v>
      </c>
      <c r="G311" s="8">
        <v>121</v>
      </c>
      <c r="H311" s="8">
        <v>458</v>
      </c>
      <c r="I311" s="8">
        <v>14115</v>
      </c>
      <c r="J311" s="8">
        <v>13838</v>
      </c>
      <c r="K311" s="8">
        <v>87</v>
      </c>
      <c r="L311" s="9" t="s">
        <v>22</v>
      </c>
      <c r="M311" s="9" t="s">
        <v>23</v>
      </c>
    </row>
    <row r="312" spans="1:13" x14ac:dyDescent="0.3">
      <c r="A312" s="5" t="s">
        <v>243</v>
      </c>
      <c r="B312" s="6" t="s">
        <v>14</v>
      </c>
      <c r="C312" s="7">
        <v>45467</v>
      </c>
      <c r="D312" s="6" t="s">
        <v>20</v>
      </c>
      <c r="E312" s="6" t="s">
        <v>21</v>
      </c>
      <c r="F312" s="8">
        <v>941</v>
      </c>
      <c r="G312" s="8">
        <v>121</v>
      </c>
      <c r="H312" s="8">
        <v>458</v>
      </c>
      <c r="I312" s="8">
        <v>14115</v>
      </c>
      <c r="J312" s="8">
        <v>13838</v>
      </c>
      <c r="K312" s="8">
        <v>87</v>
      </c>
      <c r="L312" s="9" t="s">
        <v>17</v>
      </c>
      <c r="M312" s="9" t="s">
        <v>23</v>
      </c>
    </row>
    <row r="313" spans="1:13" x14ac:dyDescent="0.3">
      <c r="A313" s="5" t="s">
        <v>244</v>
      </c>
      <c r="B313" s="6" t="s">
        <v>14</v>
      </c>
      <c r="C313" s="7">
        <v>45655</v>
      </c>
      <c r="D313" s="6" t="s">
        <v>35</v>
      </c>
      <c r="E313" s="6" t="s">
        <v>36</v>
      </c>
      <c r="F313" s="8">
        <v>4274</v>
      </c>
      <c r="G313" s="8">
        <v>340</v>
      </c>
      <c r="H313" s="8">
        <v>281</v>
      </c>
      <c r="I313" s="8">
        <v>34192</v>
      </c>
      <c r="J313" s="8">
        <v>33446</v>
      </c>
      <c r="K313" s="8">
        <v>129</v>
      </c>
      <c r="L313" s="9" t="s">
        <v>31</v>
      </c>
      <c r="M313" s="9" t="s">
        <v>32</v>
      </c>
    </row>
    <row r="314" spans="1:13" x14ac:dyDescent="0.3">
      <c r="A314" s="5" t="s">
        <v>244</v>
      </c>
      <c r="B314" s="6" t="s">
        <v>14</v>
      </c>
      <c r="C314" s="7">
        <v>45655</v>
      </c>
      <c r="D314" s="6" t="s">
        <v>35</v>
      </c>
      <c r="E314" s="6" t="s">
        <v>36</v>
      </c>
      <c r="F314" s="8">
        <v>4274</v>
      </c>
      <c r="G314" s="8">
        <v>340</v>
      </c>
      <c r="H314" s="8">
        <v>281</v>
      </c>
      <c r="I314" s="8">
        <v>34192</v>
      </c>
      <c r="J314" s="8">
        <v>33446</v>
      </c>
      <c r="K314" s="8">
        <v>129</v>
      </c>
      <c r="L314" s="9" t="s">
        <v>52</v>
      </c>
      <c r="M314" s="9" t="s">
        <v>32</v>
      </c>
    </row>
    <row r="315" spans="1:13" x14ac:dyDescent="0.3">
      <c r="A315" s="5" t="s">
        <v>245</v>
      </c>
      <c r="B315" s="6" t="s">
        <v>25</v>
      </c>
      <c r="C315" s="7">
        <v>45467</v>
      </c>
      <c r="D315" s="6" t="s">
        <v>50</v>
      </c>
      <c r="E315" s="6" t="s">
        <v>51</v>
      </c>
      <c r="F315" s="8">
        <v>2949</v>
      </c>
      <c r="G315" s="8">
        <v>476</v>
      </c>
      <c r="H315" s="8">
        <v>403</v>
      </c>
      <c r="I315" s="8">
        <v>44235</v>
      </c>
      <c r="J315" s="8">
        <v>43705</v>
      </c>
      <c r="K315" s="8">
        <v>135</v>
      </c>
      <c r="L315" s="9" t="s">
        <v>37</v>
      </c>
      <c r="M315" s="9" t="s">
        <v>18</v>
      </c>
    </row>
    <row r="316" spans="1:13" x14ac:dyDescent="0.3">
      <c r="A316" s="5" t="s">
        <v>245</v>
      </c>
      <c r="B316" s="6" t="s">
        <v>25</v>
      </c>
      <c r="C316" s="7">
        <v>45467</v>
      </c>
      <c r="D316" s="6" t="s">
        <v>50</v>
      </c>
      <c r="E316" s="6" t="s">
        <v>51</v>
      </c>
      <c r="F316" s="8">
        <v>2949</v>
      </c>
      <c r="G316" s="8">
        <v>476</v>
      </c>
      <c r="H316" s="8">
        <v>403</v>
      </c>
      <c r="I316" s="8">
        <v>44235</v>
      </c>
      <c r="J316" s="8">
        <v>43705</v>
      </c>
      <c r="K316" s="8">
        <v>135</v>
      </c>
      <c r="L316" s="9" t="s">
        <v>52</v>
      </c>
      <c r="M316" s="9" t="s">
        <v>18</v>
      </c>
    </row>
    <row r="317" spans="1:13" x14ac:dyDescent="0.3">
      <c r="A317" s="5" t="s">
        <v>246</v>
      </c>
      <c r="B317" s="6" t="s">
        <v>14</v>
      </c>
      <c r="C317" s="7">
        <v>45735</v>
      </c>
      <c r="D317" s="6" t="s">
        <v>50</v>
      </c>
      <c r="E317" s="6" t="s">
        <v>51</v>
      </c>
      <c r="F317" s="8">
        <v>3160</v>
      </c>
      <c r="G317" s="8">
        <v>204</v>
      </c>
      <c r="H317" s="8">
        <v>297</v>
      </c>
      <c r="I317" s="8">
        <v>44240</v>
      </c>
      <c r="J317" s="8">
        <v>43666</v>
      </c>
      <c r="K317" s="8">
        <v>49</v>
      </c>
      <c r="L317" s="9" t="s">
        <v>31</v>
      </c>
      <c r="M317" s="9" t="s">
        <v>18</v>
      </c>
    </row>
    <row r="318" spans="1:13" x14ac:dyDescent="0.3">
      <c r="A318" s="5" t="s">
        <v>246</v>
      </c>
      <c r="B318" s="6" t="s">
        <v>14</v>
      </c>
      <c r="C318" s="7">
        <v>45735</v>
      </c>
      <c r="D318" s="6" t="s">
        <v>50</v>
      </c>
      <c r="E318" s="6" t="s">
        <v>51</v>
      </c>
      <c r="F318" s="8">
        <v>3160</v>
      </c>
      <c r="G318" s="8">
        <v>204</v>
      </c>
      <c r="H318" s="8">
        <v>297</v>
      </c>
      <c r="I318" s="8">
        <v>44240</v>
      </c>
      <c r="J318" s="8">
        <v>43666</v>
      </c>
      <c r="K318" s="8">
        <v>49</v>
      </c>
      <c r="L318" s="9" t="s">
        <v>37</v>
      </c>
      <c r="M318" s="9" t="s">
        <v>18</v>
      </c>
    </row>
    <row r="319" spans="1:13" x14ac:dyDescent="0.3">
      <c r="A319" s="5" t="s">
        <v>247</v>
      </c>
      <c r="B319" s="6" t="s">
        <v>25</v>
      </c>
      <c r="C319" s="7">
        <v>45707</v>
      </c>
      <c r="D319" s="6" t="s">
        <v>40</v>
      </c>
      <c r="E319" s="6" t="s">
        <v>41</v>
      </c>
      <c r="F319" s="8">
        <v>257</v>
      </c>
      <c r="G319" s="8">
        <v>966</v>
      </c>
      <c r="H319" s="8">
        <v>398</v>
      </c>
      <c r="I319" s="8">
        <v>3341</v>
      </c>
      <c r="J319" s="8">
        <v>2753</v>
      </c>
      <c r="K319" s="8">
        <v>287</v>
      </c>
      <c r="L319" s="9" t="s">
        <v>37</v>
      </c>
      <c r="M319" s="9" t="s">
        <v>18</v>
      </c>
    </row>
    <row r="320" spans="1:13" x14ac:dyDescent="0.3">
      <c r="A320" s="5" t="s">
        <v>247</v>
      </c>
      <c r="B320" s="6" t="s">
        <v>25</v>
      </c>
      <c r="C320" s="7">
        <v>45707</v>
      </c>
      <c r="D320" s="6" t="s">
        <v>40</v>
      </c>
      <c r="E320" s="6" t="s">
        <v>41</v>
      </c>
      <c r="F320" s="8">
        <v>257</v>
      </c>
      <c r="G320" s="8">
        <v>966</v>
      </c>
      <c r="H320" s="8">
        <v>398</v>
      </c>
      <c r="I320" s="8">
        <v>3341</v>
      </c>
      <c r="J320" s="8">
        <v>2753</v>
      </c>
      <c r="K320" s="8">
        <v>287</v>
      </c>
      <c r="L320" s="9" t="s">
        <v>17</v>
      </c>
      <c r="M320" s="9" t="s">
        <v>18</v>
      </c>
    </row>
    <row r="321" spans="1:13" x14ac:dyDescent="0.3">
      <c r="A321" s="5" t="s">
        <v>248</v>
      </c>
      <c r="B321" s="6" t="s">
        <v>14</v>
      </c>
      <c r="C321" s="7">
        <v>45491</v>
      </c>
      <c r="D321" s="6" t="s">
        <v>35</v>
      </c>
      <c r="E321" s="6" t="s">
        <v>36</v>
      </c>
      <c r="F321" s="8">
        <v>2120</v>
      </c>
      <c r="G321" s="8">
        <v>38</v>
      </c>
      <c r="H321" s="8">
        <v>212</v>
      </c>
      <c r="I321" s="8">
        <v>12720</v>
      </c>
      <c r="J321" s="8">
        <v>12564</v>
      </c>
      <c r="K321" s="8">
        <v>21</v>
      </c>
      <c r="L321" s="9" t="s">
        <v>37</v>
      </c>
      <c r="M321" s="9" t="s">
        <v>18</v>
      </c>
    </row>
    <row r="322" spans="1:13" x14ac:dyDescent="0.3">
      <c r="A322" s="5" t="s">
        <v>248</v>
      </c>
      <c r="B322" s="6" t="s">
        <v>14</v>
      </c>
      <c r="C322" s="7">
        <v>45491</v>
      </c>
      <c r="D322" s="6" t="s">
        <v>35</v>
      </c>
      <c r="E322" s="6" t="s">
        <v>36</v>
      </c>
      <c r="F322" s="8">
        <v>2120</v>
      </c>
      <c r="G322" s="8">
        <v>38</v>
      </c>
      <c r="H322" s="8">
        <v>212</v>
      </c>
      <c r="I322" s="8">
        <v>12720</v>
      </c>
      <c r="J322" s="8">
        <v>12564</v>
      </c>
      <c r="K322" s="8">
        <v>21</v>
      </c>
      <c r="L322" s="9" t="s">
        <v>17</v>
      </c>
      <c r="M322" s="9" t="s">
        <v>18</v>
      </c>
    </row>
    <row r="323" spans="1:13" x14ac:dyDescent="0.3">
      <c r="A323" s="5" t="s">
        <v>249</v>
      </c>
      <c r="B323" s="6" t="s">
        <v>25</v>
      </c>
      <c r="C323" s="7">
        <v>45719</v>
      </c>
      <c r="D323" s="6" t="s">
        <v>50</v>
      </c>
      <c r="E323" s="6" t="s">
        <v>51</v>
      </c>
      <c r="F323" s="8">
        <v>3874</v>
      </c>
      <c r="G323" s="8">
        <v>884</v>
      </c>
      <c r="H323" s="8">
        <v>19</v>
      </c>
      <c r="I323" s="8">
        <v>38740</v>
      </c>
      <c r="J323" s="8">
        <v>38552</v>
      </c>
      <c r="K323" s="8">
        <v>219</v>
      </c>
      <c r="L323" s="9" t="s">
        <v>31</v>
      </c>
      <c r="M323" s="9" t="s">
        <v>44</v>
      </c>
    </row>
    <row r="324" spans="1:13" x14ac:dyDescent="0.3">
      <c r="A324" s="5" t="s">
        <v>250</v>
      </c>
      <c r="B324" s="6" t="s">
        <v>34</v>
      </c>
      <c r="C324" s="7">
        <v>45778</v>
      </c>
      <c r="D324" s="6" t="s">
        <v>35</v>
      </c>
      <c r="E324" s="6" t="s">
        <v>36</v>
      </c>
      <c r="F324" s="8">
        <v>2696</v>
      </c>
      <c r="G324" s="8">
        <v>628</v>
      </c>
      <c r="H324" s="8">
        <v>443</v>
      </c>
      <c r="I324" s="8">
        <v>45832</v>
      </c>
      <c r="J324" s="8">
        <v>45632</v>
      </c>
      <c r="K324" s="8">
        <v>248</v>
      </c>
      <c r="L324" s="9" t="s">
        <v>17</v>
      </c>
      <c r="M324" s="9" t="s">
        <v>32</v>
      </c>
    </row>
    <row r="325" spans="1:13" x14ac:dyDescent="0.3">
      <c r="A325" s="5" t="s">
        <v>251</v>
      </c>
      <c r="B325" s="6" t="s">
        <v>27</v>
      </c>
      <c r="C325" s="7">
        <v>45649</v>
      </c>
      <c r="D325" s="6" t="s">
        <v>40</v>
      </c>
      <c r="E325" s="6" t="s">
        <v>41</v>
      </c>
      <c r="F325" s="8">
        <v>521</v>
      </c>
      <c r="G325" s="8">
        <v>746</v>
      </c>
      <c r="H325" s="8">
        <v>315</v>
      </c>
      <c r="I325" s="8">
        <v>4168</v>
      </c>
      <c r="J325" s="8">
        <v>3399</v>
      </c>
      <c r="K325" s="8">
        <v>282</v>
      </c>
      <c r="L325" s="9" t="s">
        <v>17</v>
      </c>
      <c r="M325" s="9" t="s">
        <v>18</v>
      </c>
    </row>
    <row r="326" spans="1:13" x14ac:dyDescent="0.3">
      <c r="A326" s="5" t="s">
        <v>252</v>
      </c>
      <c r="B326" s="6" t="s">
        <v>34</v>
      </c>
      <c r="C326" s="7">
        <v>45783</v>
      </c>
      <c r="D326" s="6" t="s">
        <v>40</v>
      </c>
      <c r="E326" s="6" t="s">
        <v>41</v>
      </c>
      <c r="F326" s="8">
        <v>4872</v>
      </c>
      <c r="G326" s="8">
        <v>925</v>
      </c>
      <c r="H326" s="8">
        <v>176</v>
      </c>
      <c r="I326" s="8">
        <v>82824</v>
      </c>
      <c r="J326" s="8">
        <v>82543</v>
      </c>
      <c r="K326" s="8">
        <v>89</v>
      </c>
      <c r="L326" s="9" t="s">
        <v>17</v>
      </c>
      <c r="M326" s="9" t="s">
        <v>18</v>
      </c>
    </row>
    <row r="327" spans="1:13" x14ac:dyDescent="0.3">
      <c r="A327" s="5" t="s">
        <v>252</v>
      </c>
      <c r="B327" s="6" t="s">
        <v>34</v>
      </c>
      <c r="C327" s="7">
        <v>45783</v>
      </c>
      <c r="D327" s="6" t="s">
        <v>40</v>
      </c>
      <c r="E327" s="6" t="s">
        <v>41</v>
      </c>
      <c r="F327" s="8">
        <v>4872</v>
      </c>
      <c r="G327" s="8">
        <v>925</v>
      </c>
      <c r="H327" s="8">
        <v>176</v>
      </c>
      <c r="I327" s="8">
        <v>82824</v>
      </c>
      <c r="J327" s="8">
        <v>82543</v>
      </c>
      <c r="K327" s="8">
        <v>89</v>
      </c>
      <c r="L327" s="9" t="s">
        <v>37</v>
      </c>
      <c r="M327" s="9" t="s">
        <v>18</v>
      </c>
    </row>
    <row r="328" spans="1:13" x14ac:dyDescent="0.3">
      <c r="A328" s="5" t="s">
        <v>253</v>
      </c>
      <c r="B328" s="6" t="s">
        <v>25</v>
      </c>
      <c r="C328" s="7">
        <v>45502</v>
      </c>
      <c r="D328" s="6" t="s">
        <v>28</v>
      </c>
      <c r="E328" s="6" t="s">
        <v>29</v>
      </c>
      <c r="F328" s="8">
        <v>1509</v>
      </c>
      <c r="G328" s="8">
        <v>88</v>
      </c>
      <c r="H328" s="8">
        <v>163</v>
      </c>
      <c r="I328" s="8">
        <v>30180</v>
      </c>
      <c r="J328" s="8">
        <v>29689</v>
      </c>
      <c r="K328" s="8">
        <v>119</v>
      </c>
      <c r="L328" s="9" t="s">
        <v>37</v>
      </c>
      <c r="M328" s="9" t="s">
        <v>18</v>
      </c>
    </row>
    <row r="329" spans="1:13" x14ac:dyDescent="0.3">
      <c r="A329" s="5" t="s">
        <v>254</v>
      </c>
      <c r="B329" s="6" t="s">
        <v>34</v>
      </c>
      <c r="C329" s="7">
        <v>45629</v>
      </c>
      <c r="D329" s="6" t="s">
        <v>40</v>
      </c>
      <c r="E329" s="6" t="s">
        <v>41</v>
      </c>
      <c r="F329" s="8">
        <v>4606</v>
      </c>
      <c r="G329" s="8">
        <v>931</v>
      </c>
      <c r="H329" s="8">
        <v>230</v>
      </c>
      <c r="I329" s="8">
        <v>92120</v>
      </c>
      <c r="J329" s="8">
        <v>91440</v>
      </c>
      <c r="K329" s="8">
        <v>56</v>
      </c>
      <c r="L329" s="9" t="s">
        <v>52</v>
      </c>
      <c r="M329" s="9" t="s">
        <v>32</v>
      </c>
    </row>
    <row r="330" spans="1:13" x14ac:dyDescent="0.3">
      <c r="A330" s="5" t="s">
        <v>254</v>
      </c>
      <c r="B330" s="6" t="s">
        <v>34</v>
      </c>
      <c r="C330" s="7">
        <v>45629</v>
      </c>
      <c r="D330" s="6" t="s">
        <v>40</v>
      </c>
      <c r="E330" s="6" t="s">
        <v>41</v>
      </c>
      <c r="F330" s="8">
        <v>4606</v>
      </c>
      <c r="G330" s="8">
        <v>931</v>
      </c>
      <c r="H330" s="8">
        <v>230</v>
      </c>
      <c r="I330" s="8">
        <v>92120</v>
      </c>
      <c r="J330" s="8">
        <v>91440</v>
      </c>
      <c r="K330" s="8">
        <v>56</v>
      </c>
      <c r="L330" s="9" t="s">
        <v>22</v>
      </c>
      <c r="M330" s="9" t="s">
        <v>32</v>
      </c>
    </row>
    <row r="331" spans="1:13" x14ac:dyDescent="0.3">
      <c r="A331" s="5" t="s">
        <v>255</v>
      </c>
      <c r="B331" s="6" t="s">
        <v>34</v>
      </c>
      <c r="C331" s="7">
        <v>45454</v>
      </c>
      <c r="D331" s="6" t="s">
        <v>35</v>
      </c>
      <c r="E331" s="6" t="s">
        <v>36</v>
      </c>
      <c r="F331" s="8">
        <v>1869</v>
      </c>
      <c r="G331" s="8">
        <v>453</v>
      </c>
      <c r="H331" s="8">
        <v>490</v>
      </c>
      <c r="I331" s="8">
        <v>14952</v>
      </c>
      <c r="J331" s="8">
        <v>14309</v>
      </c>
      <c r="K331" s="8">
        <v>275</v>
      </c>
      <c r="L331" s="9" t="s">
        <v>52</v>
      </c>
      <c r="M331" s="9" t="s">
        <v>18</v>
      </c>
    </row>
    <row r="332" spans="1:13" x14ac:dyDescent="0.3">
      <c r="A332" s="5" t="s">
        <v>255</v>
      </c>
      <c r="B332" s="6" t="s">
        <v>34</v>
      </c>
      <c r="C332" s="7">
        <v>45454</v>
      </c>
      <c r="D332" s="6" t="s">
        <v>35</v>
      </c>
      <c r="E332" s="6" t="s">
        <v>36</v>
      </c>
      <c r="F332" s="8">
        <v>1869</v>
      </c>
      <c r="G332" s="8">
        <v>453</v>
      </c>
      <c r="H332" s="8">
        <v>490</v>
      </c>
      <c r="I332" s="8">
        <v>14952</v>
      </c>
      <c r="J332" s="8">
        <v>14309</v>
      </c>
      <c r="K332" s="8">
        <v>275</v>
      </c>
      <c r="L332" s="9" t="s">
        <v>31</v>
      </c>
      <c r="M332" s="9" t="s">
        <v>18</v>
      </c>
    </row>
    <row r="333" spans="1:13" x14ac:dyDescent="0.3">
      <c r="A333" s="5" t="s">
        <v>256</v>
      </c>
      <c r="B333" s="6" t="s">
        <v>14</v>
      </c>
      <c r="C333" s="7">
        <v>45685</v>
      </c>
      <c r="D333" s="6" t="s">
        <v>15</v>
      </c>
      <c r="E333" s="6" t="s">
        <v>16</v>
      </c>
      <c r="F333" s="8">
        <v>1188</v>
      </c>
      <c r="G333" s="8">
        <v>470</v>
      </c>
      <c r="H333" s="8">
        <v>174</v>
      </c>
      <c r="I333" s="8">
        <v>7128</v>
      </c>
      <c r="J333" s="8">
        <v>6145</v>
      </c>
      <c r="K333" s="8">
        <v>270</v>
      </c>
      <c r="L333" s="9" t="s">
        <v>31</v>
      </c>
      <c r="M333" s="9" t="s">
        <v>23</v>
      </c>
    </row>
    <row r="334" spans="1:13" x14ac:dyDescent="0.3">
      <c r="A334" s="5" t="s">
        <v>256</v>
      </c>
      <c r="B334" s="6" t="s">
        <v>14</v>
      </c>
      <c r="C334" s="7">
        <v>45685</v>
      </c>
      <c r="D334" s="6" t="s">
        <v>15</v>
      </c>
      <c r="E334" s="6" t="s">
        <v>16</v>
      </c>
      <c r="F334" s="8">
        <v>1188</v>
      </c>
      <c r="G334" s="8">
        <v>470</v>
      </c>
      <c r="H334" s="8">
        <v>174</v>
      </c>
      <c r="I334" s="8">
        <v>7128</v>
      </c>
      <c r="J334" s="8">
        <v>6145</v>
      </c>
      <c r="K334" s="8">
        <v>270</v>
      </c>
      <c r="L334" s="9" t="s">
        <v>22</v>
      </c>
      <c r="M334" s="9" t="s">
        <v>23</v>
      </c>
    </row>
    <row r="335" spans="1:13" x14ac:dyDescent="0.3">
      <c r="A335" s="5" t="s">
        <v>257</v>
      </c>
      <c r="B335" s="6" t="s">
        <v>27</v>
      </c>
      <c r="C335" s="7">
        <v>45445</v>
      </c>
      <c r="D335" s="6" t="s">
        <v>28</v>
      </c>
      <c r="E335" s="6" t="s">
        <v>29</v>
      </c>
      <c r="F335" s="8">
        <v>84</v>
      </c>
      <c r="G335" s="8">
        <v>897</v>
      </c>
      <c r="H335" s="8">
        <v>85</v>
      </c>
      <c r="I335" s="8">
        <v>588</v>
      </c>
      <c r="J335" s="8">
        <v>8</v>
      </c>
      <c r="K335" s="8">
        <v>12</v>
      </c>
      <c r="L335" s="9" t="s">
        <v>31</v>
      </c>
      <c r="M335" s="9" t="s">
        <v>23</v>
      </c>
    </row>
    <row r="336" spans="1:13" x14ac:dyDescent="0.3">
      <c r="A336" s="5" t="s">
        <v>258</v>
      </c>
      <c r="B336" s="6" t="s">
        <v>34</v>
      </c>
      <c r="C336" s="7">
        <v>45739</v>
      </c>
      <c r="D336" s="6" t="s">
        <v>50</v>
      </c>
      <c r="E336" s="6" t="s">
        <v>51</v>
      </c>
      <c r="F336" s="8">
        <v>4453</v>
      </c>
      <c r="G336" s="8">
        <v>111</v>
      </c>
      <c r="H336" s="8">
        <v>420</v>
      </c>
      <c r="I336" s="8">
        <v>31171</v>
      </c>
      <c r="J336" s="8">
        <v>30565</v>
      </c>
      <c r="K336" s="8">
        <v>23</v>
      </c>
      <c r="L336" s="9" t="s">
        <v>37</v>
      </c>
      <c r="M336" s="9" t="s">
        <v>44</v>
      </c>
    </row>
    <row r="337" spans="1:13" x14ac:dyDescent="0.3">
      <c r="A337" s="5" t="s">
        <v>258</v>
      </c>
      <c r="B337" s="6" t="s">
        <v>34</v>
      </c>
      <c r="C337" s="7">
        <v>45739</v>
      </c>
      <c r="D337" s="6" t="s">
        <v>50</v>
      </c>
      <c r="E337" s="6" t="s">
        <v>51</v>
      </c>
      <c r="F337" s="8">
        <v>4453</v>
      </c>
      <c r="G337" s="8">
        <v>111</v>
      </c>
      <c r="H337" s="8">
        <v>420</v>
      </c>
      <c r="I337" s="8">
        <v>31171</v>
      </c>
      <c r="J337" s="8">
        <v>30565</v>
      </c>
      <c r="K337" s="8">
        <v>23</v>
      </c>
      <c r="L337" s="9" t="s">
        <v>22</v>
      </c>
      <c r="M337" s="9" t="s">
        <v>44</v>
      </c>
    </row>
    <row r="338" spans="1:13" x14ac:dyDescent="0.3">
      <c r="A338" s="5" t="s">
        <v>259</v>
      </c>
      <c r="B338" s="6" t="s">
        <v>34</v>
      </c>
      <c r="C338" s="7">
        <v>45573</v>
      </c>
      <c r="D338" s="6" t="s">
        <v>15</v>
      </c>
      <c r="E338" s="6" t="s">
        <v>16</v>
      </c>
      <c r="F338" s="8">
        <v>1814</v>
      </c>
      <c r="G338" s="8">
        <v>653</v>
      </c>
      <c r="H338" s="8">
        <v>363</v>
      </c>
      <c r="I338" s="8">
        <v>25396</v>
      </c>
      <c r="J338" s="8">
        <v>25286</v>
      </c>
      <c r="K338" s="8">
        <v>39</v>
      </c>
      <c r="L338" s="9" t="s">
        <v>31</v>
      </c>
      <c r="M338" s="9" t="s">
        <v>18</v>
      </c>
    </row>
    <row r="339" spans="1:13" x14ac:dyDescent="0.3">
      <c r="A339" s="5" t="s">
        <v>260</v>
      </c>
      <c r="B339" s="6" t="s">
        <v>14</v>
      </c>
      <c r="C339" s="7">
        <v>45608</v>
      </c>
      <c r="D339" s="6" t="s">
        <v>40</v>
      </c>
      <c r="E339" s="6" t="s">
        <v>41</v>
      </c>
      <c r="F339" s="8">
        <v>3338</v>
      </c>
      <c r="G339" s="8">
        <v>277</v>
      </c>
      <c r="H339" s="8">
        <v>118</v>
      </c>
      <c r="I339" s="8">
        <v>60084</v>
      </c>
      <c r="J339" s="8">
        <v>59842</v>
      </c>
      <c r="K339" s="8">
        <v>252</v>
      </c>
      <c r="L339" s="9" t="s">
        <v>31</v>
      </c>
      <c r="M339" s="9" t="s">
        <v>18</v>
      </c>
    </row>
    <row r="340" spans="1:13" x14ac:dyDescent="0.3">
      <c r="A340" s="5" t="s">
        <v>261</v>
      </c>
      <c r="B340" s="6" t="s">
        <v>34</v>
      </c>
      <c r="C340" s="7">
        <v>45790</v>
      </c>
      <c r="D340" s="6" t="s">
        <v>40</v>
      </c>
      <c r="E340" s="6" t="s">
        <v>41</v>
      </c>
      <c r="F340" s="8">
        <v>602</v>
      </c>
      <c r="G340" s="8">
        <v>594</v>
      </c>
      <c r="H340" s="8">
        <v>156</v>
      </c>
      <c r="I340" s="8">
        <v>4214</v>
      </c>
      <c r="J340" s="8">
        <v>3363</v>
      </c>
      <c r="K340" s="8">
        <v>164</v>
      </c>
      <c r="L340" s="9" t="s">
        <v>17</v>
      </c>
      <c r="M340" s="9" t="s">
        <v>32</v>
      </c>
    </row>
    <row r="341" spans="1:13" x14ac:dyDescent="0.3">
      <c r="A341" s="5" t="s">
        <v>262</v>
      </c>
      <c r="B341" s="6" t="s">
        <v>14</v>
      </c>
      <c r="C341" s="7">
        <v>45463</v>
      </c>
      <c r="D341" s="6" t="s">
        <v>35</v>
      </c>
      <c r="E341" s="6" t="s">
        <v>36</v>
      </c>
      <c r="F341" s="8">
        <v>4672</v>
      </c>
      <c r="G341" s="8">
        <v>325</v>
      </c>
      <c r="H341" s="8">
        <v>32</v>
      </c>
      <c r="I341" s="8">
        <v>88768</v>
      </c>
      <c r="J341" s="8">
        <v>87833</v>
      </c>
      <c r="K341" s="8">
        <v>118</v>
      </c>
      <c r="L341" s="9" t="s">
        <v>52</v>
      </c>
      <c r="M341" s="9" t="s">
        <v>32</v>
      </c>
    </row>
    <row r="342" spans="1:13" x14ac:dyDescent="0.3">
      <c r="A342" s="5" t="s">
        <v>262</v>
      </c>
      <c r="B342" s="6" t="s">
        <v>14</v>
      </c>
      <c r="C342" s="7">
        <v>45463</v>
      </c>
      <c r="D342" s="6" t="s">
        <v>35</v>
      </c>
      <c r="E342" s="6" t="s">
        <v>36</v>
      </c>
      <c r="F342" s="8">
        <v>4672</v>
      </c>
      <c r="G342" s="8">
        <v>325</v>
      </c>
      <c r="H342" s="8">
        <v>32</v>
      </c>
      <c r="I342" s="8">
        <v>88768</v>
      </c>
      <c r="J342" s="8">
        <v>87833</v>
      </c>
      <c r="K342" s="8">
        <v>118</v>
      </c>
      <c r="L342" s="9" t="s">
        <v>17</v>
      </c>
      <c r="M342" s="9" t="s">
        <v>32</v>
      </c>
    </row>
    <row r="343" spans="1:13" x14ac:dyDescent="0.3">
      <c r="A343" s="5" t="s">
        <v>263</v>
      </c>
      <c r="B343" s="6" t="s">
        <v>27</v>
      </c>
      <c r="C343" s="7">
        <v>45511</v>
      </c>
      <c r="D343" s="6" t="s">
        <v>35</v>
      </c>
      <c r="E343" s="6" t="s">
        <v>36</v>
      </c>
      <c r="F343" s="8">
        <v>1741</v>
      </c>
      <c r="G343" s="8">
        <v>164</v>
      </c>
      <c r="H343" s="8">
        <v>318</v>
      </c>
      <c r="I343" s="8">
        <v>8705</v>
      </c>
      <c r="J343" s="8">
        <v>8272</v>
      </c>
      <c r="K343" s="8">
        <v>121</v>
      </c>
      <c r="L343" s="9" t="s">
        <v>17</v>
      </c>
      <c r="M343" s="9" t="s">
        <v>23</v>
      </c>
    </row>
    <row r="344" spans="1:13" x14ac:dyDescent="0.3">
      <c r="A344" s="5" t="s">
        <v>264</v>
      </c>
      <c r="B344" s="6" t="s">
        <v>27</v>
      </c>
      <c r="C344" s="7">
        <v>45455</v>
      </c>
      <c r="D344" s="6" t="s">
        <v>20</v>
      </c>
      <c r="E344" s="6" t="s">
        <v>21</v>
      </c>
      <c r="F344" s="8">
        <v>246</v>
      </c>
      <c r="G344" s="8">
        <v>149</v>
      </c>
      <c r="H344" s="8">
        <v>130</v>
      </c>
      <c r="I344" s="8">
        <v>4674</v>
      </c>
      <c r="J344" s="8">
        <v>4390</v>
      </c>
      <c r="K344" s="8">
        <v>217</v>
      </c>
      <c r="L344" s="9" t="s">
        <v>37</v>
      </c>
      <c r="M344" s="9" t="s">
        <v>23</v>
      </c>
    </row>
    <row r="345" spans="1:13" x14ac:dyDescent="0.3">
      <c r="A345" s="5" t="s">
        <v>264</v>
      </c>
      <c r="B345" s="6" t="s">
        <v>27</v>
      </c>
      <c r="C345" s="7">
        <v>45455</v>
      </c>
      <c r="D345" s="6" t="s">
        <v>20</v>
      </c>
      <c r="E345" s="6" t="s">
        <v>21</v>
      </c>
      <c r="F345" s="8">
        <v>246</v>
      </c>
      <c r="G345" s="8">
        <v>149</v>
      </c>
      <c r="H345" s="8">
        <v>130</v>
      </c>
      <c r="I345" s="8">
        <v>4674</v>
      </c>
      <c r="J345" s="8">
        <v>4390</v>
      </c>
      <c r="K345" s="8">
        <v>217</v>
      </c>
      <c r="L345" s="9" t="s">
        <v>52</v>
      </c>
      <c r="M345" s="9" t="s">
        <v>23</v>
      </c>
    </row>
    <row r="346" spans="1:13" x14ac:dyDescent="0.3">
      <c r="A346" s="5" t="s">
        <v>265</v>
      </c>
      <c r="B346" s="6" t="s">
        <v>27</v>
      </c>
      <c r="C346" s="7">
        <v>45474</v>
      </c>
      <c r="D346" s="6" t="s">
        <v>28</v>
      </c>
      <c r="E346" s="6" t="s">
        <v>29</v>
      </c>
      <c r="F346" s="8">
        <v>4808</v>
      </c>
      <c r="G346" s="8">
        <v>772</v>
      </c>
      <c r="H346" s="8">
        <v>320</v>
      </c>
      <c r="I346" s="8">
        <v>72120</v>
      </c>
      <c r="J346" s="8">
        <v>71696</v>
      </c>
      <c r="K346" s="8">
        <v>195</v>
      </c>
      <c r="L346" s="9" t="s">
        <v>37</v>
      </c>
      <c r="M346" s="9" t="s">
        <v>44</v>
      </c>
    </row>
    <row r="347" spans="1:13" x14ac:dyDescent="0.3">
      <c r="A347" s="5" t="s">
        <v>265</v>
      </c>
      <c r="B347" s="6" t="s">
        <v>27</v>
      </c>
      <c r="C347" s="7">
        <v>45474</v>
      </c>
      <c r="D347" s="6" t="s">
        <v>28</v>
      </c>
      <c r="E347" s="6" t="s">
        <v>29</v>
      </c>
      <c r="F347" s="8">
        <v>4808</v>
      </c>
      <c r="G347" s="8">
        <v>772</v>
      </c>
      <c r="H347" s="8">
        <v>320</v>
      </c>
      <c r="I347" s="8">
        <v>72120</v>
      </c>
      <c r="J347" s="8">
        <v>71696</v>
      </c>
      <c r="K347" s="8">
        <v>195</v>
      </c>
      <c r="L347" s="9" t="s">
        <v>17</v>
      </c>
      <c r="M347" s="9" t="s">
        <v>44</v>
      </c>
    </row>
    <row r="348" spans="1:13" x14ac:dyDescent="0.3">
      <c r="A348" s="5" t="s">
        <v>266</v>
      </c>
      <c r="B348" s="6" t="s">
        <v>27</v>
      </c>
      <c r="C348" s="7">
        <v>45476</v>
      </c>
      <c r="D348" s="6" t="s">
        <v>35</v>
      </c>
      <c r="E348" s="6" t="s">
        <v>36</v>
      </c>
      <c r="F348" s="8">
        <v>4799</v>
      </c>
      <c r="G348" s="8">
        <v>694</v>
      </c>
      <c r="H348" s="8">
        <v>289</v>
      </c>
      <c r="I348" s="8">
        <v>43191</v>
      </c>
      <c r="J348" s="8">
        <v>42228</v>
      </c>
      <c r="K348" s="8">
        <v>118</v>
      </c>
      <c r="L348" s="9" t="s">
        <v>37</v>
      </c>
      <c r="M348" s="9" t="s">
        <v>23</v>
      </c>
    </row>
    <row r="349" spans="1:13" x14ac:dyDescent="0.3">
      <c r="A349" s="5" t="s">
        <v>267</v>
      </c>
      <c r="B349" s="6" t="s">
        <v>34</v>
      </c>
      <c r="C349" s="7">
        <v>45488</v>
      </c>
      <c r="D349" s="6" t="s">
        <v>15</v>
      </c>
      <c r="E349" s="6" t="s">
        <v>16</v>
      </c>
      <c r="F349" s="8">
        <v>3663</v>
      </c>
      <c r="G349" s="8">
        <v>17</v>
      </c>
      <c r="H349" s="8">
        <v>295</v>
      </c>
      <c r="I349" s="8">
        <v>51282</v>
      </c>
      <c r="J349" s="8">
        <v>50567</v>
      </c>
      <c r="K349" s="8">
        <v>84</v>
      </c>
      <c r="L349" s="9" t="s">
        <v>17</v>
      </c>
      <c r="M349" s="9" t="s">
        <v>18</v>
      </c>
    </row>
    <row r="350" spans="1:13" x14ac:dyDescent="0.3">
      <c r="A350" s="5" t="s">
        <v>268</v>
      </c>
      <c r="B350" s="6" t="s">
        <v>27</v>
      </c>
      <c r="C350" s="7">
        <v>45778</v>
      </c>
      <c r="D350" s="6" t="s">
        <v>20</v>
      </c>
      <c r="E350" s="6" t="s">
        <v>21</v>
      </c>
      <c r="F350" s="8">
        <v>1430</v>
      </c>
      <c r="G350" s="8">
        <v>376</v>
      </c>
      <c r="H350" s="8">
        <v>33</v>
      </c>
      <c r="I350" s="8">
        <v>21450</v>
      </c>
      <c r="J350" s="8">
        <v>20509</v>
      </c>
      <c r="K350" s="8">
        <v>251</v>
      </c>
      <c r="L350" s="9" t="s">
        <v>52</v>
      </c>
      <c r="M350" s="9" t="s">
        <v>32</v>
      </c>
    </row>
    <row r="351" spans="1:13" x14ac:dyDescent="0.3">
      <c r="A351" s="5" t="s">
        <v>269</v>
      </c>
      <c r="B351" s="6" t="s">
        <v>14</v>
      </c>
      <c r="C351" s="7">
        <v>45776</v>
      </c>
      <c r="D351" s="6" t="s">
        <v>28</v>
      </c>
      <c r="E351" s="6" t="s">
        <v>29</v>
      </c>
      <c r="F351" s="8">
        <v>249</v>
      </c>
      <c r="G351" s="8">
        <v>592</v>
      </c>
      <c r="H351" s="8">
        <v>230</v>
      </c>
      <c r="I351" s="8">
        <v>1494</v>
      </c>
      <c r="J351" s="8">
        <v>1044</v>
      </c>
      <c r="K351" s="8">
        <v>201</v>
      </c>
      <c r="L351" s="9" t="s">
        <v>22</v>
      </c>
      <c r="M351" s="9" t="s">
        <v>44</v>
      </c>
    </row>
    <row r="352" spans="1:13" x14ac:dyDescent="0.3">
      <c r="A352" s="5" t="s">
        <v>269</v>
      </c>
      <c r="B352" s="6" t="s">
        <v>14</v>
      </c>
      <c r="C352" s="7">
        <v>45776</v>
      </c>
      <c r="D352" s="6" t="s">
        <v>28</v>
      </c>
      <c r="E352" s="6" t="s">
        <v>29</v>
      </c>
      <c r="F352" s="8">
        <v>249</v>
      </c>
      <c r="G352" s="8">
        <v>592</v>
      </c>
      <c r="H352" s="8">
        <v>230</v>
      </c>
      <c r="I352" s="8">
        <v>1494</v>
      </c>
      <c r="J352" s="8">
        <v>1044</v>
      </c>
      <c r="K352" s="8">
        <v>201</v>
      </c>
      <c r="L352" s="9" t="s">
        <v>37</v>
      </c>
      <c r="M352" s="9" t="s">
        <v>44</v>
      </c>
    </row>
    <row r="353" spans="1:13" x14ac:dyDescent="0.3">
      <c r="A353" s="5" t="s">
        <v>270</v>
      </c>
      <c r="B353" s="6" t="s">
        <v>34</v>
      </c>
      <c r="C353" s="7">
        <v>45724</v>
      </c>
      <c r="D353" s="6" t="s">
        <v>40</v>
      </c>
      <c r="E353" s="6" t="s">
        <v>41</v>
      </c>
      <c r="F353" s="8">
        <v>2382</v>
      </c>
      <c r="G353" s="8">
        <v>265</v>
      </c>
      <c r="H353" s="8">
        <v>134</v>
      </c>
      <c r="I353" s="8">
        <v>38112</v>
      </c>
      <c r="J353" s="8">
        <v>37437</v>
      </c>
      <c r="K353" s="8">
        <v>249</v>
      </c>
      <c r="L353" s="9" t="s">
        <v>52</v>
      </c>
      <c r="M353" s="9" t="s">
        <v>23</v>
      </c>
    </row>
    <row r="354" spans="1:13" x14ac:dyDescent="0.3">
      <c r="A354" s="5" t="s">
        <v>270</v>
      </c>
      <c r="B354" s="6" t="s">
        <v>34</v>
      </c>
      <c r="C354" s="7">
        <v>45724</v>
      </c>
      <c r="D354" s="6" t="s">
        <v>40</v>
      </c>
      <c r="E354" s="6" t="s">
        <v>41</v>
      </c>
      <c r="F354" s="8">
        <v>2382</v>
      </c>
      <c r="G354" s="8">
        <v>265</v>
      </c>
      <c r="H354" s="8">
        <v>134</v>
      </c>
      <c r="I354" s="8">
        <v>38112</v>
      </c>
      <c r="J354" s="8">
        <v>37437</v>
      </c>
      <c r="K354" s="8">
        <v>249</v>
      </c>
      <c r="L354" s="9" t="s">
        <v>37</v>
      </c>
      <c r="M354" s="9" t="s">
        <v>23</v>
      </c>
    </row>
    <row r="355" spans="1:13" x14ac:dyDescent="0.3">
      <c r="A355" s="5" t="s">
        <v>271</v>
      </c>
      <c r="B355" s="6" t="s">
        <v>34</v>
      </c>
      <c r="C355" s="7">
        <v>45444</v>
      </c>
      <c r="D355" s="6" t="s">
        <v>20</v>
      </c>
      <c r="E355" s="6" t="s">
        <v>21</v>
      </c>
      <c r="F355" s="8">
        <v>1272</v>
      </c>
      <c r="G355" s="8">
        <v>465</v>
      </c>
      <c r="H355" s="8">
        <v>99</v>
      </c>
      <c r="I355" s="8">
        <v>24168</v>
      </c>
      <c r="J355" s="8">
        <v>23719</v>
      </c>
      <c r="K355" s="8">
        <v>42</v>
      </c>
      <c r="L355" s="9" t="s">
        <v>22</v>
      </c>
      <c r="M355" s="9" t="s">
        <v>23</v>
      </c>
    </row>
    <row r="356" spans="1:13" x14ac:dyDescent="0.3">
      <c r="A356" s="5" t="s">
        <v>271</v>
      </c>
      <c r="B356" s="6" t="s">
        <v>34</v>
      </c>
      <c r="C356" s="7">
        <v>45444</v>
      </c>
      <c r="D356" s="6" t="s">
        <v>20</v>
      </c>
      <c r="E356" s="6" t="s">
        <v>21</v>
      </c>
      <c r="F356" s="8">
        <v>1272</v>
      </c>
      <c r="G356" s="8">
        <v>465</v>
      </c>
      <c r="H356" s="8">
        <v>99</v>
      </c>
      <c r="I356" s="8">
        <v>24168</v>
      </c>
      <c r="J356" s="8">
        <v>23719</v>
      </c>
      <c r="K356" s="8">
        <v>42</v>
      </c>
      <c r="L356" s="9" t="s">
        <v>52</v>
      </c>
      <c r="M356" s="9" t="s">
        <v>23</v>
      </c>
    </row>
    <row r="357" spans="1:13" x14ac:dyDescent="0.3">
      <c r="A357" s="5" t="s">
        <v>272</v>
      </c>
      <c r="B357" s="6" t="s">
        <v>34</v>
      </c>
      <c r="C357" s="7">
        <v>45648</v>
      </c>
      <c r="D357" s="6" t="s">
        <v>40</v>
      </c>
      <c r="E357" s="6" t="s">
        <v>41</v>
      </c>
      <c r="F357" s="8">
        <v>3196</v>
      </c>
      <c r="G357" s="8">
        <v>941</v>
      </c>
      <c r="H357" s="8">
        <v>376</v>
      </c>
      <c r="I357" s="8">
        <v>35156</v>
      </c>
      <c r="J357" s="8">
        <v>34444</v>
      </c>
      <c r="K357" s="8">
        <v>241</v>
      </c>
      <c r="L357" s="9" t="s">
        <v>31</v>
      </c>
      <c r="M357" s="9" t="s">
        <v>44</v>
      </c>
    </row>
    <row r="358" spans="1:13" x14ac:dyDescent="0.3">
      <c r="A358" s="5" t="s">
        <v>272</v>
      </c>
      <c r="B358" s="6" t="s">
        <v>34</v>
      </c>
      <c r="C358" s="7">
        <v>45648</v>
      </c>
      <c r="D358" s="6" t="s">
        <v>40</v>
      </c>
      <c r="E358" s="6" t="s">
        <v>41</v>
      </c>
      <c r="F358" s="8">
        <v>3196</v>
      </c>
      <c r="G358" s="8">
        <v>941</v>
      </c>
      <c r="H358" s="8">
        <v>376</v>
      </c>
      <c r="I358" s="8">
        <v>35156</v>
      </c>
      <c r="J358" s="8">
        <v>34444</v>
      </c>
      <c r="K358" s="8">
        <v>241</v>
      </c>
      <c r="L358" s="9" t="s">
        <v>37</v>
      </c>
      <c r="M358" s="9" t="s">
        <v>44</v>
      </c>
    </row>
    <row r="359" spans="1:13" x14ac:dyDescent="0.3">
      <c r="A359" s="5" t="s">
        <v>273</v>
      </c>
      <c r="B359" s="6" t="s">
        <v>34</v>
      </c>
      <c r="C359" s="7">
        <v>45523</v>
      </c>
      <c r="D359" s="6" t="s">
        <v>20</v>
      </c>
      <c r="E359" s="6" t="s">
        <v>21</v>
      </c>
      <c r="F359" s="8">
        <v>1257</v>
      </c>
      <c r="G359" s="8">
        <v>19</v>
      </c>
      <c r="H359" s="8">
        <v>351</v>
      </c>
      <c r="I359" s="8">
        <v>12570</v>
      </c>
      <c r="J359" s="8">
        <v>11660</v>
      </c>
      <c r="K359" s="8">
        <v>194</v>
      </c>
      <c r="L359" s="9" t="s">
        <v>31</v>
      </c>
      <c r="M359" s="9" t="s">
        <v>18</v>
      </c>
    </row>
    <row r="360" spans="1:13" x14ac:dyDescent="0.3">
      <c r="A360" s="5" t="s">
        <v>274</v>
      </c>
      <c r="B360" s="6" t="s">
        <v>27</v>
      </c>
      <c r="C360" s="7">
        <v>45587</v>
      </c>
      <c r="D360" s="6" t="s">
        <v>28</v>
      </c>
      <c r="E360" s="6" t="s">
        <v>29</v>
      </c>
      <c r="F360" s="8">
        <v>3770</v>
      </c>
      <c r="G360" s="8">
        <v>917</v>
      </c>
      <c r="H360" s="8">
        <v>129</v>
      </c>
      <c r="I360" s="8">
        <v>71630</v>
      </c>
      <c r="J360" s="8">
        <v>71322</v>
      </c>
      <c r="K360" s="8">
        <v>76</v>
      </c>
      <c r="L360" s="9" t="s">
        <v>17</v>
      </c>
      <c r="M360" s="9" t="s">
        <v>44</v>
      </c>
    </row>
    <row r="361" spans="1:13" x14ac:dyDescent="0.3">
      <c r="A361" s="5" t="s">
        <v>274</v>
      </c>
      <c r="B361" s="6" t="s">
        <v>27</v>
      </c>
      <c r="C361" s="7">
        <v>45587</v>
      </c>
      <c r="D361" s="6" t="s">
        <v>28</v>
      </c>
      <c r="E361" s="6" t="s">
        <v>29</v>
      </c>
      <c r="F361" s="8">
        <v>3770</v>
      </c>
      <c r="G361" s="8">
        <v>917</v>
      </c>
      <c r="H361" s="8">
        <v>129</v>
      </c>
      <c r="I361" s="8">
        <v>71630</v>
      </c>
      <c r="J361" s="8">
        <v>71322</v>
      </c>
      <c r="K361" s="8">
        <v>76</v>
      </c>
      <c r="L361" s="9" t="s">
        <v>37</v>
      </c>
      <c r="M361" s="9" t="s">
        <v>44</v>
      </c>
    </row>
    <row r="362" spans="1:13" x14ac:dyDescent="0.3">
      <c r="A362" s="5" t="s">
        <v>275</v>
      </c>
      <c r="B362" s="6" t="s">
        <v>14</v>
      </c>
      <c r="C362" s="7">
        <v>45489</v>
      </c>
      <c r="D362" s="6" t="s">
        <v>20</v>
      </c>
      <c r="E362" s="6" t="s">
        <v>21</v>
      </c>
      <c r="F362" s="8">
        <v>4725</v>
      </c>
      <c r="G362" s="8">
        <v>400</v>
      </c>
      <c r="H362" s="8">
        <v>362</v>
      </c>
      <c r="I362" s="8">
        <v>75600</v>
      </c>
      <c r="J362" s="8">
        <v>74927</v>
      </c>
      <c r="K362" s="8">
        <v>43</v>
      </c>
      <c r="L362" s="9" t="s">
        <v>37</v>
      </c>
      <c r="M362" s="9" t="s">
        <v>18</v>
      </c>
    </row>
    <row r="363" spans="1:13" x14ac:dyDescent="0.3">
      <c r="A363" s="5" t="s">
        <v>275</v>
      </c>
      <c r="B363" s="6" t="s">
        <v>14</v>
      </c>
      <c r="C363" s="7">
        <v>45489</v>
      </c>
      <c r="D363" s="6" t="s">
        <v>20</v>
      </c>
      <c r="E363" s="6" t="s">
        <v>21</v>
      </c>
      <c r="F363" s="8">
        <v>4725</v>
      </c>
      <c r="G363" s="8">
        <v>400</v>
      </c>
      <c r="H363" s="8">
        <v>362</v>
      </c>
      <c r="I363" s="8">
        <v>75600</v>
      </c>
      <c r="J363" s="8">
        <v>74927</v>
      </c>
      <c r="K363" s="8">
        <v>43</v>
      </c>
      <c r="L363" s="9" t="s">
        <v>22</v>
      </c>
      <c r="M363" s="9" t="s">
        <v>18</v>
      </c>
    </row>
    <row r="364" spans="1:13" x14ac:dyDescent="0.3">
      <c r="A364" s="5" t="s">
        <v>276</v>
      </c>
      <c r="B364" s="6" t="s">
        <v>25</v>
      </c>
      <c r="C364" s="7">
        <v>45712</v>
      </c>
      <c r="D364" s="6" t="s">
        <v>20</v>
      </c>
      <c r="E364" s="6" t="s">
        <v>21</v>
      </c>
      <c r="F364" s="8">
        <v>4188</v>
      </c>
      <c r="G364" s="8">
        <v>942</v>
      </c>
      <c r="H364" s="8">
        <v>118</v>
      </c>
      <c r="I364" s="8">
        <v>20940</v>
      </c>
      <c r="J364" s="8">
        <v>20471</v>
      </c>
      <c r="K364" s="8">
        <v>102</v>
      </c>
      <c r="L364" s="9" t="s">
        <v>31</v>
      </c>
      <c r="M364" s="9" t="s">
        <v>23</v>
      </c>
    </row>
    <row r="365" spans="1:13" x14ac:dyDescent="0.3">
      <c r="A365" s="5" t="s">
        <v>277</v>
      </c>
      <c r="B365" s="6" t="s">
        <v>14</v>
      </c>
      <c r="C365" s="7">
        <v>45530</v>
      </c>
      <c r="D365" s="6" t="s">
        <v>35</v>
      </c>
      <c r="E365" s="6" t="s">
        <v>36</v>
      </c>
      <c r="F365" s="8">
        <v>929</v>
      </c>
      <c r="G365" s="8">
        <v>192</v>
      </c>
      <c r="H365" s="8">
        <v>322</v>
      </c>
      <c r="I365" s="8">
        <v>16722</v>
      </c>
      <c r="J365" s="8">
        <v>15996</v>
      </c>
      <c r="K365" s="8">
        <v>145</v>
      </c>
      <c r="L365" s="9" t="s">
        <v>22</v>
      </c>
      <c r="M365" s="9" t="s">
        <v>32</v>
      </c>
    </row>
    <row r="366" spans="1:13" x14ac:dyDescent="0.3">
      <c r="A366" s="5" t="s">
        <v>278</v>
      </c>
      <c r="B366" s="6" t="s">
        <v>34</v>
      </c>
      <c r="C366" s="7">
        <v>45675</v>
      </c>
      <c r="D366" s="6" t="s">
        <v>28</v>
      </c>
      <c r="E366" s="6" t="s">
        <v>29</v>
      </c>
      <c r="F366" s="8">
        <v>4321</v>
      </c>
      <c r="G366" s="8">
        <v>874</v>
      </c>
      <c r="H366" s="8">
        <v>172</v>
      </c>
      <c r="I366" s="8">
        <v>30247</v>
      </c>
      <c r="J366" s="8">
        <v>29254</v>
      </c>
      <c r="K366" s="8">
        <v>122</v>
      </c>
      <c r="L366" s="9" t="s">
        <v>17</v>
      </c>
      <c r="M366" s="9" t="s">
        <v>32</v>
      </c>
    </row>
    <row r="367" spans="1:13" x14ac:dyDescent="0.3">
      <c r="A367" s="5" t="s">
        <v>278</v>
      </c>
      <c r="B367" s="6" t="s">
        <v>34</v>
      </c>
      <c r="C367" s="7">
        <v>45675</v>
      </c>
      <c r="D367" s="6" t="s">
        <v>28</v>
      </c>
      <c r="E367" s="6" t="s">
        <v>29</v>
      </c>
      <c r="F367" s="8">
        <v>4321</v>
      </c>
      <c r="G367" s="8">
        <v>874</v>
      </c>
      <c r="H367" s="8">
        <v>172</v>
      </c>
      <c r="I367" s="8">
        <v>30247</v>
      </c>
      <c r="J367" s="8">
        <v>29254</v>
      </c>
      <c r="K367" s="8">
        <v>122</v>
      </c>
      <c r="L367" s="9" t="s">
        <v>22</v>
      </c>
      <c r="M367" s="9" t="s">
        <v>32</v>
      </c>
    </row>
    <row r="368" spans="1:13" x14ac:dyDescent="0.3">
      <c r="A368" s="5" t="s">
        <v>279</v>
      </c>
      <c r="B368" s="6" t="s">
        <v>34</v>
      </c>
      <c r="C368" s="7">
        <v>45480</v>
      </c>
      <c r="D368" s="6" t="s">
        <v>15</v>
      </c>
      <c r="E368" s="6" t="s">
        <v>16</v>
      </c>
      <c r="F368" s="8">
        <v>4767</v>
      </c>
      <c r="G368" s="8">
        <v>190</v>
      </c>
      <c r="H368" s="8">
        <v>340</v>
      </c>
      <c r="I368" s="8">
        <v>28602</v>
      </c>
      <c r="J368" s="8">
        <v>28044</v>
      </c>
      <c r="K368" s="8">
        <v>210</v>
      </c>
      <c r="L368" s="9" t="s">
        <v>52</v>
      </c>
      <c r="M368" s="9" t="s">
        <v>44</v>
      </c>
    </row>
    <row r="369" spans="1:13" x14ac:dyDescent="0.3">
      <c r="A369" s="5" t="s">
        <v>280</v>
      </c>
      <c r="B369" s="6" t="s">
        <v>14</v>
      </c>
      <c r="C369" s="7">
        <v>45722</v>
      </c>
      <c r="D369" s="6" t="s">
        <v>40</v>
      </c>
      <c r="E369" s="6" t="s">
        <v>41</v>
      </c>
      <c r="F369" s="8">
        <v>3592</v>
      </c>
      <c r="G369" s="8">
        <v>911</v>
      </c>
      <c r="H369" s="8">
        <v>375</v>
      </c>
      <c r="I369" s="8">
        <v>50288</v>
      </c>
      <c r="J369" s="8">
        <v>49490</v>
      </c>
      <c r="K369" s="8">
        <v>32</v>
      </c>
      <c r="L369" s="9" t="s">
        <v>31</v>
      </c>
      <c r="M369" s="9" t="s">
        <v>23</v>
      </c>
    </row>
    <row r="370" spans="1:13" x14ac:dyDescent="0.3">
      <c r="A370" s="5" t="s">
        <v>281</v>
      </c>
      <c r="B370" s="6" t="s">
        <v>25</v>
      </c>
      <c r="C370" s="7">
        <v>45590</v>
      </c>
      <c r="D370" s="6" t="s">
        <v>50</v>
      </c>
      <c r="E370" s="6" t="s">
        <v>51</v>
      </c>
      <c r="F370" s="8">
        <v>4661</v>
      </c>
      <c r="G370" s="8">
        <v>935</v>
      </c>
      <c r="H370" s="8">
        <v>433</v>
      </c>
      <c r="I370" s="8">
        <v>23305</v>
      </c>
      <c r="J370" s="8">
        <v>22583</v>
      </c>
      <c r="K370" s="8">
        <v>63</v>
      </c>
      <c r="L370" s="9" t="s">
        <v>31</v>
      </c>
      <c r="M370" s="9" t="s">
        <v>18</v>
      </c>
    </row>
    <row r="371" spans="1:13" x14ac:dyDescent="0.3">
      <c r="A371" s="5" t="s">
        <v>281</v>
      </c>
      <c r="B371" s="6" t="s">
        <v>25</v>
      </c>
      <c r="C371" s="7">
        <v>45590</v>
      </c>
      <c r="D371" s="6" t="s">
        <v>50</v>
      </c>
      <c r="E371" s="6" t="s">
        <v>51</v>
      </c>
      <c r="F371" s="8">
        <v>4661</v>
      </c>
      <c r="G371" s="8">
        <v>935</v>
      </c>
      <c r="H371" s="8">
        <v>433</v>
      </c>
      <c r="I371" s="8">
        <v>23305</v>
      </c>
      <c r="J371" s="8">
        <v>22583</v>
      </c>
      <c r="K371" s="8">
        <v>63</v>
      </c>
      <c r="L371" s="9" t="s">
        <v>52</v>
      </c>
      <c r="M371" s="9" t="s">
        <v>18</v>
      </c>
    </row>
    <row r="372" spans="1:13" x14ac:dyDescent="0.3">
      <c r="A372" s="5" t="s">
        <v>282</v>
      </c>
      <c r="B372" s="6" t="s">
        <v>34</v>
      </c>
      <c r="C372" s="7">
        <v>45669</v>
      </c>
      <c r="D372" s="6" t="s">
        <v>15</v>
      </c>
      <c r="E372" s="6" t="s">
        <v>16</v>
      </c>
      <c r="F372" s="8">
        <v>4134</v>
      </c>
      <c r="G372" s="8">
        <v>824</v>
      </c>
      <c r="H372" s="8">
        <v>99</v>
      </c>
      <c r="I372" s="8">
        <v>41340</v>
      </c>
      <c r="J372" s="8">
        <v>41050</v>
      </c>
      <c r="K372" s="8">
        <v>177</v>
      </c>
      <c r="L372" s="9" t="s">
        <v>22</v>
      </c>
      <c r="M372" s="9" t="s">
        <v>23</v>
      </c>
    </row>
    <row r="373" spans="1:13" x14ac:dyDescent="0.3">
      <c r="A373" s="5" t="s">
        <v>283</v>
      </c>
      <c r="B373" s="6" t="s">
        <v>34</v>
      </c>
      <c r="C373" s="7">
        <v>45576</v>
      </c>
      <c r="D373" s="6" t="s">
        <v>40</v>
      </c>
      <c r="E373" s="6" t="s">
        <v>41</v>
      </c>
      <c r="F373" s="8">
        <v>400</v>
      </c>
      <c r="G373" s="8">
        <v>680</v>
      </c>
      <c r="H373" s="8">
        <v>434</v>
      </c>
      <c r="I373" s="8">
        <v>6400</v>
      </c>
      <c r="J373" s="8">
        <v>5472</v>
      </c>
      <c r="K373" s="8">
        <v>160</v>
      </c>
      <c r="L373" s="9" t="s">
        <v>17</v>
      </c>
      <c r="M373" s="9" t="s">
        <v>23</v>
      </c>
    </row>
    <row r="374" spans="1:13" x14ac:dyDescent="0.3">
      <c r="A374" s="5" t="s">
        <v>283</v>
      </c>
      <c r="B374" s="6" t="s">
        <v>34</v>
      </c>
      <c r="C374" s="7">
        <v>45576</v>
      </c>
      <c r="D374" s="6" t="s">
        <v>40</v>
      </c>
      <c r="E374" s="6" t="s">
        <v>41</v>
      </c>
      <c r="F374" s="8">
        <v>400</v>
      </c>
      <c r="G374" s="8">
        <v>680</v>
      </c>
      <c r="H374" s="8">
        <v>434</v>
      </c>
      <c r="I374" s="8">
        <v>6400</v>
      </c>
      <c r="J374" s="8">
        <v>5472</v>
      </c>
      <c r="K374" s="8">
        <v>160</v>
      </c>
      <c r="L374" s="9" t="s">
        <v>37</v>
      </c>
      <c r="M374" s="9" t="s">
        <v>23</v>
      </c>
    </row>
    <row r="375" spans="1:13" x14ac:dyDescent="0.3">
      <c r="A375" s="5" t="s">
        <v>284</v>
      </c>
      <c r="B375" s="6" t="s">
        <v>34</v>
      </c>
      <c r="C375" s="7">
        <v>45531</v>
      </c>
      <c r="D375" s="6" t="s">
        <v>15</v>
      </c>
      <c r="E375" s="6" t="s">
        <v>16</v>
      </c>
      <c r="F375" s="8">
        <v>3960</v>
      </c>
      <c r="G375" s="8">
        <v>266</v>
      </c>
      <c r="H375" s="8">
        <v>8</v>
      </c>
      <c r="I375" s="8">
        <v>35640</v>
      </c>
      <c r="J375" s="8">
        <v>34850</v>
      </c>
      <c r="K375" s="8">
        <v>208</v>
      </c>
      <c r="L375" s="9" t="s">
        <v>37</v>
      </c>
      <c r="M375" s="9" t="s">
        <v>44</v>
      </c>
    </row>
    <row r="376" spans="1:13" x14ac:dyDescent="0.3">
      <c r="A376" s="5" t="s">
        <v>284</v>
      </c>
      <c r="B376" s="6" t="s">
        <v>34</v>
      </c>
      <c r="C376" s="7">
        <v>45531</v>
      </c>
      <c r="D376" s="6" t="s">
        <v>15</v>
      </c>
      <c r="E376" s="6" t="s">
        <v>16</v>
      </c>
      <c r="F376" s="8">
        <v>3960</v>
      </c>
      <c r="G376" s="8">
        <v>266</v>
      </c>
      <c r="H376" s="8">
        <v>8</v>
      </c>
      <c r="I376" s="8">
        <v>35640</v>
      </c>
      <c r="J376" s="8">
        <v>34850</v>
      </c>
      <c r="K376" s="8">
        <v>208</v>
      </c>
      <c r="L376" s="9" t="s">
        <v>22</v>
      </c>
      <c r="M376" s="9" t="s">
        <v>44</v>
      </c>
    </row>
    <row r="377" spans="1:13" x14ac:dyDescent="0.3">
      <c r="A377" s="5" t="s">
        <v>285</v>
      </c>
      <c r="B377" s="6" t="s">
        <v>34</v>
      </c>
      <c r="C377" s="7">
        <v>45690</v>
      </c>
      <c r="D377" s="6" t="s">
        <v>28</v>
      </c>
      <c r="E377" s="6" t="s">
        <v>29</v>
      </c>
      <c r="F377" s="8">
        <v>886</v>
      </c>
      <c r="G377" s="8">
        <v>126</v>
      </c>
      <c r="H377" s="8">
        <v>153</v>
      </c>
      <c r="I377" s="8">
        <v>4430</v>
      </c>
      <c r="J377" s="8">
        <v>4037</v>
      </c>
      <c r="K377" s="8">
        <v>212</v>
      </c>
      <c r="L377" s="9" t="s">
        <v>17</v>
      </c>
      <c r="M377" s="9" t="s">
        <v>32</v>
      </c>
    </row>
    <row r="378" spans="1:13" x14ac:dyDescent="0.3">
      <c r="A378" s="5" t="s">
        <v>286</v>
      </c>
      <c r="B378" s="6" t="s">
        <v>14</v>
      </c>
      <c r="C378" s="7">
        <v>45491</v>
      </c>
      <c r="D378" s="6" t="s">
        <v>40</v>
      </c>
      <c r="E378" s="6" t="s">
        <v>41</v>
      </c>
      <c r="F378" s="8">
        <v>827</v>
      </c>
      <c r="G378" s="8">
        <v>77</v>
      </c>
      <c r="H378" s="8">
        <v>402</v>
      </c>
      <c r="I378" s="8">
        <v>14886</v>
      </c>
      <c r="J378" s="8">
        <v>14129</v>
      </c>
      <c r="K378" s="8">
        <v>254</v>
      </c>
      <c r="L378" s="9" t="s">
        <v>31</v>
      </c>
      <c r="M378" s="9" t="s">
        <v>23</v>
      </c>
    </row>
    <row r="379" spans="1:13" x14ac:dyDescent="0.3">
      <c r="A379" s="5" t="s">
        <v>287</v>
      </c>
      <c r="B379" s="6" t="s">
        <v>34</v>
      </c>
      <c r="C379" s="7">
        <v>45465</v>
      </c>
      <c r="D379" s="6" t="s">
        <v>15</v>
      </c>
      <c r="E379" s="6" t="s">
        <v>16</v>
      </c>
      <c r="F379" s="8">
        <v>3813</v>
      </c>
      <c r="G379" s="8">
        <v>935</v>
      </c>
      <c r="H379" s="8">
        <v>274</v>
      </c>
      <c r="I379" s="8">
        <v>68634</v>
      </c>
      <c r="J379" s="8">
        <v>68488</v>
      </c>
      <c r="K379" s="8">
        <v>251</v>
      </c>
      <c r="L379" s="9" t="s">
        <v>52</v>
      </c>
      <c r="M379" s="9" t="s">
        <v>18</v>
      </c>
    </row>
    <row r="380" spans="1:13" x14ac:dyDescent="0.3">
      <c r="A380" s="5" t="s">
        <v>287</v>
      </c>
      <c r="B380" s="6" t="s">
        <v>34</v>
      </c>
      <c r="C380" s="7">
        <v>45465</v>
      </c>
      <c r="D380" s="6" t="s">
        <v>15</v>
      </c>
      <c r="E380" s="6" t="s">
        <v>16</v>
      </c>
      <c r="F380" s="8">
        <v>3813</v>
      </c>
      <c r="G380" s="8">
        <v>935</v>
      </c>
      <c r="H380" s="8">
        <v>274</v>
      </c>
      <c r="I380" s="8">
        <v>68634</v>
      </c>
      <c r="J380" s="8">
        <v>68488</v>
      </c>
      <c r="K380" s="8">
        <v>251</v>
      </c>
      <c r="L380" s="9" t="s">
        <v>37</v>
      </c>
      <c r="M380" s="9" t="s">
        <v>18</v>
      </c>
    </row>
    <row r="381" spans="1:13" x14ac:dyDescent="0.3">
      <c r="A381" s="5" t="s">
        <v>288</v>
      </c>
      <c r="B381" s="6" t="s">
        <v>27</v>
      </c>
      <c r="C381" s="7">
        <v>45743</v>
      </c>
      <c r="D381" s="6" t="s">
        <v>35</v>
      </c>
      <c r="E381" s="6" t="s">
        <v>36</v>
      </c>
      <c r="F381" s="8">
        <v>1377</v>
      </c>
      <c r="G381" s="8">
        <v>796</v>
      </c>
      <c r="H381" s="8">
        <v>387</v>
      </c>
      <c r="I381" s="8">
        <v>22032</v>
      </c>
      <c r="J381" s="8">
        <v>21869</v>
      </c>
      <c r="K381" s="8">
        <v>189</v>
      </c>
      <c r="L381" s="9" t="s">
        <v>52</v>
      </c>
      <c r="M381" s="9" t="s">
        <v>32</v>
      </c>
    </row>
    <row r="382" spans="1:13" x14ac:dyDescent="0.3">
      <c r="A382" s="5" t="s">
        <v>288</v>
      </c>
      <c r="B382" s="6" t="s">
        <v>27</v>
      </c>
      <c r="C382" s="7">
        <v>45743</v>
      </c>
      <c r="D382" s="6" t="s">
        <v>35</v>
      </c>
      <c r="E382" s="6" t="s">
        <v>36</v>
      </c>
      <c r="F382" s="8">
        <v>1377</v>
      </c>
      <c r="G382" s="8">
        <v>796</v>
      </c>
      <c r="H382" s="8">
        <v>387</v>
      </c>
      <c r="I382" s="8">
        <v>22032</v>
      </c>
      <c r="J382" s="8">
        <v>21869</v>
      </c>
      <c r="K382" s="8">
        <v>189</v>
      </c>
      <c r="L382" s="9" t="s">
        <v>22</v>
      </c>
      <c r="M382" s="9" t="s">
        <v>32</v>
      </c>
    </row>
    <row r="383" spans="1:13" x14ac:dyDescent="0.3">
      <c r="A383" s="5" t="s">
        <v>289</v>
      </c>
      <c r="B383" s="6" t="s">
        <v>34</v>
      </c>
      <c r="C383" s="7">
        <v>45775</v>
      </c>
      <c r="D383" s="6" t="s">
        <v>35</v>
      </c>
      <c r="E383" s="6" t="s">
        <v>36</v>
      </c>
      <c r="F383" s="8">
        <v>2089</v>
      </c>
      <c r="G383" s="8">
        <v>476</v>
      </c>
      <c r="H383" s="8">
        <v>69</v>
      </c>
      <c r="I383" s="8">
        <v>16712</v>
      </c>
      <c r="J383" s="8">
        <v>16309</v>
      </c>
      <c r="K383" s="8">
        <v>64</v>
      </c>
      <c r="L383" s="9" t="s">
        <v>31</v>
      </c>
      <c r="M383" s="9" t="s">
        <v>18</v>
      </c>
    </row>
    <row r="384" spans="1:13" x14ac:dyDescent="0.3">
      <c r="A384" s="5" t="s">
        <v>289</v>
      </c>
      <c r="B384" s="6" t="s">
        <v>34</v>
      </c>
      <c r="C384" s="7">
        <v>45775</v>
      </c>
      <c r="D384" s="6" t="s">
        <v>35</v>
      </c>
      <c r="E384" s="6" t="s">
        <v>36</v>
      </c>
      <c r="F384" s="8">
        <v>2089</v>
      </c>
      <c r="G384" s="8">
        <v>476</v>
      </c>
      <c r="H384" s="8">
        <v>69</v>
      </c>
      <c r="I384" s="8">
        <v>16712</v>
      </c>
      <c r="J384" s="8">
        <v>16309</v>
      </c>
      <c r="K384" s="8">
        <v>64</v>
      </c>
      <c r="L384" s="9" t="s">
        <v>17</v>
      </c>
      <c r="M384" s="9" t="s">
        <v>18</v>
      </c>
    </row>
    <row r="385" spans="1:13" x14ac:dyDescent="0.3">
      <c r="A385" s="5" t="s">
        <v>290</v>
      </c>
      <c r="B385" s="6" t="s">
        <v>14</v>
      </c>
      <c r="C385" s="7">
        <v>45507</v>
      </c>
      <c r="D385" s="6" t="s">
        <v>15</v>
      </c>
      <c r="E385" s="6" t="s">
        <v>16</v>
      </c>
      <c r="F385" s="8">
        <v>3791</v>
      </c>
      <c r="G385" s="8">
        <v>593</v>
      </c>
      <c r="H385" s="8">
        <v>228</v>
      </c>
      <c r="I385" s="8">
        <v>53074</v>
      </c>
      <c r="J385" s="8">
        <v>52613</v>
      </c>
      <c r="K385" s="8">
        <v>205</v>
      </c>
      <c r="L385" s="9" t="s">
        <v>31</v>
      </c>
      <c r="M385" s="9" t="s">
        <v>18</v>
      </c>
    </row>
    <row r="386" spans="1:13" x14ac:dyDescent="0.3">
      <c r="A386" s="5" t="s">
        <v>290</v>
      </c>
      <c r="B386" s="6" t="s">
        <v>14</v>
      </c>
      <c r="C386" s="7">
        <v>45507</v>
      </c>
      <c r="D386" s="6" t="s">
        <v>15</v>
      </c>
      <c r="E386" s="6" t="s">
        <v>16</v>
      </c>
      <c r="F386" s="8">
        <v>3791</v>
      </c>
      <c r="G386" s="8">
        <v>593</v>
      </c>
      <c r="H386" s="8">
        <v>228</v>
      </c>
      <c r="I386" s="8">
        <v>53074</v>
      </c>
      <c r="J386" s="8">
        <v>52613</v>
      </c>
      <c r="K386" s="8">
        <v>205</v>
      </c>
      <c r="L386" s="9" t="s">
        <v>52</v>
      </c>
      <c r="M386" s="9" t="s">
        <v>18</v>
      </c>
    </row>
    <row r="387" spans="1:13" x14ac:dyDescent="0.3">
      <c r="A387" s="5" t="s">
        <v>291</v>
      </c>
      <c r="B387" s="6" t="s">
        <v>14</v>
      </c>
      <c r="C387" s="7">
        <v>45671</v>
      </c>
      <c r="D387" s="6" t="s">
        <v>40</v>
      </c>
      <c r="E387" s="6" t="s">
        <v>41</v>
      </c>
      <c r="F387" s="8">
        <v>2692</v>
      </c>
      <c r="G387" s="8">
        <v>115</v>
      </c>
      <c r="H387" s="8">
        <v>64</v>
      </c>
      <c r="I387" s="8">
        <v>21536</v>
      </c>
      <c r="J387" s="8">
        <v>21120</v>
      </c>
      <c r="K387" s="8">
        <v>224</v>
      </c>
      <c r="L387" s="9" t="s">
        <v>52</v>
      </c>
      <c r="M387" s="9" t="s">
        <v>44</v>
      </c>
    </row>
    <row r="388" spans="1:13" x14ac:dyDescent="0.3">
      <c r="A388" s="5" t="s">
        <v>291</v>
      </c>
      <c r="B388" s="6" t="s">
        <v>14</v>
      </c>
      <c r="C388" s="7">
        <v>45671</v>
      </c>
      <c r="D388" s="6" t="s">
        <v>40</v>
      </c>
      <c r="E388" s="6" t="s">
        <v>41</v>
      </c>
      <c r="F388" s="8">
        <v>2692</v>
      </c>
      <c r="G388" s="8">
        <v>115</v>
      </c>
      <c r="H388" s="8">
        <v>64</v>
      </c>
      <c r="I388" s="8">
        <v>21536</v>
      </c>
      <c r="J388" s="8">
        <v>21120</v>
      </c>
      <c r="K388" s="8">
        <v>224</v>
      </c>
      <c r="L388" s="9" t="s">
        <v>37</v>
      </c>
      <c r="M388" s="9" t="s">
        <v>44</v>
      </c>
    </row>
    <row r="389" spans="1:13" x14ac:dyDescent="0.3">
      <c r="A389" s="5" t="s">
        <v>292</v>
      </c>
      <c r="B389" s="6" t="s">
        <v>34</v>
      </c>
      <c r="C389" s="7">
        <v>45750</v>
      </c>
      <c r="D389" s="6" t="s">
        <v>28</v>
      </c>
      <c r="E389" s="6" t="s">
        <v>29</v>
      </c>
      <c r="F389" s="8">
        <v>3767</v>
      </c>
      <c r="G389" s="8">
        <v>514</v>
      </c>
      <c r="H389" s="8">
        <v>238</v>
      </c>
      <c r="I389" s="8">
        <v>37670</v>
      </c>
      <c r="J389" s="8">
        <v>36807</v>
      </c>
      <c r="K389" s="8">
        <v>226</v>
      </c>
      <c r="L389" s="9" t="s">
        <v>31</v>
      </c>
      <c r="M389" s="9" t="s">
        <v>18</v>
      </c>
    </row>
    <row r="390" spans="1:13" x14ac:dyDescent="0.3">
      <c r="A390" s="5" t="s">
        <v>292</v>
      </c>
      <c r="B390" s="6" t="s">
        <v>34</v>
      </c>
      <c r="C390" s="7">
        <v>45750</v>
      </c>
      <c r="D390" s="6" t="s">
        <v>28</v>
      </c>
      <c r="E390" s="6" t="s">
        <v>29</v>
      </c>
      <c r="F390" s="8">
        <v>3767</v>
      </c>
      <c r="G390" s="8">
        <v>514</v>
      </c>
      <c r="H390" s="8">
        <v>238</v>
      </c>
      <c r="I390" s="8">
        <v>37670</v>
      </c>
      <c r="J390" s="8">
        <v>36807</v>
      </c>
      <c r="K390" s="8">
        <v>226</v>
      </c>
      <c r="L390" s="9" t="s">
        <v>52</v>
      </c>
      <c r="M390" s="9" t="s">
        <v>18</v>
      </c>
    </row>
    <row r="391" spans="1:13" x14ac:dyDescent="0.3">
      <c r="A391" s="5" t="s">
        <v>293</v>
      </c>
      <c r="B391" s="6" t="s">
        <v>25</v>
      </c>
      <c r="C391" s="7">
        <v>45553</v>
      </c>
      <c r="D391" s="6" t="s">
        <v>35</v>
      </c>
      <c r="E391" s="6" t="s">
        <v>36</v>
      </c>
      <c r="F391" s="8">
        <v>2143</v>
      </c>
      <c r="G391" s="8">
        <v>12</v>
      </c>
      <c r="H391" s="8">
        <v>204</v>
      </c>
      <c r="I391" s="8">
        <v>40717</v>
      </c>
      <c r="J391" s="8">
        <v>40125</v>
      </c>
      <c r="K391" s="8">
        <v>248</v>
      </c>
      <c r="L391" s="9" t="s">
        <v>52</v>
      </c>
      <c r="M391" s="9" t="s">
        <v>44</v>
      </c>
    </row>
    <row r="392" spans="1:13" x14ac:dyDescent="0.3">
      <c r="A392" s="5" t="s">
        <v>293</v>
      </c>
      <c r="B392" s="6" t="s">
        <v>25</v>
      </c>
      <c r="C392" s="7">
        <v>45553</v>
      </c>
      <c r="D392" s="6" t="s">
        <v>35</v>
      </c>
      <c r="E392" s="6" t="s">
        <v>36</v>
      </c>
      <c r="F392" s="8">
        <v>2143</v>
      </c>
      <c r="G392" s="8">
        <v>12</v>
      </c>
      <c r="H392" s="8">
        <v>204</v>
      </c>
      <c r="I392" s="8">
        <v>40717</v>
      </c>
      <c r="J392" s="8">
        <v>40125</v>
      </c>
      <c r="K392" s="8">
        <v>248</v>
      </c>
      <c r="L392" s="9" t="s">
        <v>17</v>
      </c>
      <c r="M392" s="9" t="s">
        <v>44</v>
      </c>
    </row>
    <row r="393" spans="1:13" x14ac:dyDescent="0.3">
      <c r="A393" s="5" t="s">
        <v>294</v>
      </c>
      <c r="B393" s="6" t="s">
        <v>34</v>
      </c>
      <c r="C393" s="7">
        <v>45753</v>
      </c>
      <c r="D393" s="6" t="s">
        <v>40</v>
      </c>
      <c r="E393" s="6" t="s">
        <v>41</v>
      </c>
      <c r="F393" s="8">
        <v>3090</v>
      </c>
      <c r="G393" s="8">
        <v>697</v>
      </c>
      <c r="H393" s="8">
        <v>164</v>
      </c>
      <c r="I393" s="8">
        <v>49440</v>
      </c>
      <c r="J393" s="8">
        <v>48524</v>
      </c>
      <c r="K393" s="8">
        <v>25</v>
      </c>
      <c r="L393" s="9" t="s">
        <v>52</v>
      </c>
      <c r="M393" s="9" t="s">
        <v>44</v>
      </c>
    </row>
    <row r="394" spans="1:13" x14ac:dyDescent="0.3">
      <c r="A394" s="5" t="s">
        <v>294</v>
      </c>
      <c r="B394" s="6" t="s">
        <v>34</v>
      </c>
      <c r="C394" s="7">
        <v>45753</v>
      </c>
      <c r="D394" s="6" t="s">
        <v>40</v>
      </c>
      <c r="E394" s="6" t="s">
        <v>41</v>
      </c>
      <c r="F394" s="8">
        <v>3090</v>
      </c>
      <c r="G394" s="8">
        <v>697</v>
      </c>
      <c r="H394" s="8">
        <v>164</v>
      </c>
      <c r="I394" s="8">
        <v>49440</v>
      </c>
      <c r="J394" s="8">
        <v>48524</v>
      </c>
      <c r="K394" s="8">
        <v>25</v>
      </c>
      <c r="L394" s="9" t="s">
        <v>31</v>
      </c>
      <c r="M394" s="9" t="s">
        <v>44</v>
      </c>
    </row>
    <row r="395" spans="1:13" x14ac:dyDescent="0.3">
      <c r="A395" s="5" t="s">
        <v>295</v>
      </c>
      <c r="B395" s="6" t="s">
        <v>27</v>
      </c>
      <c r="C395" s="7">
        <v>45509</v>
      </c>
      <c r="D395" s="6" t="s">
        <v>28</v>
      </c>
      <c r="E395" s="6" t="s">
        <v>29</v>
      </c>
      <c r="F395" s="8">
        <v>3601</v>
      </c>
      <c r="G395" s="8">
        <v>695</v>
      </c>
      <c r="H395" s="8">
        <v>75</v>
      </c>
      <c r="I395" s="8">
        <v>21606</v>
      </c>
      <c r="J395" s="8">
        <v>21454</v>
      </c>
      <c r="K395" s="8">
        <v>172</v>
      </c>
      <c r="L395" s="9" t="s">
        <v>31</v>
      </c>
      <c r="M395" s="9" t="s">
        <v>23</v>
      </c>
    </row>
    <row r="396" spans="1:13" x14ac:dyDescent="0.3">
      <c r="A396" s="5" t="s">
        <v>296</v>
      </c>
      <c r="B396" s="6" t="s">
        <v>34</v>
      </c>
      <c r="C396" s="7">
        <v>45698</v>
      </c>
      <c r="D396" s="6" t="s">
        <v>20</v>
      </c>
      <c r="E396" s="6" t="s">
        <v>21</v>
      </c>
      <c r="F396" s="8">
        <v>562</v>
      </c>
      <c r="G396" s="8">
        <v>158</v>
      </c>
      <c r="H396" s="8">
        <v>149</v>
      </c>
      <c r="I396" s="8">
        <v>3372</v>
      </c>
      <c r="J396" s="8">
        <v>2940</v>
      </c>
      <c r="K396" s="8">
        <v>93</v>
      </c>
      <c r="L396" s="9" t="s">
        <v>52</v>
      </c>
      <c r="M396" s="9" t="s">
        <v>44</v>
      </c>
    </row>
    <row r="397" spans="1:13" x14ac:dyDescent="0.3">
      <c r="A397" s="5" t="s">
        <v>296</v>
      </c>
      <c r="B397" s="6" t="s">
        <v>34</v>
      </c>
      <c r="C397" s="7">
        <v>45698</v>
      </c>
      <c r="D397" s="6" t="s">
        <v>20</v>
      </c>
      <c r="E397" s="6" t="s">
        <v>21</v>
      </c>
      <c r="F397" s="8">
        <v>562</v>
      </c>
      <c r="G397" s="8">
        <v>158</v>
      </c>
      <c r="H397" s="8">
        <v>149</v>
      </c>
      <c r="I397" s="8">
        <v>3372</v>
      </c>
      <c r="J397" s="8">
        <v>2940</v>
      </c>
      <c r="K397" s="8">
        <v>93</v>
      </c>
      <c r="L397" s="9" t="s">
        <v>17</v>
      </c>
      <c r="M397" s="9" t="s">
        <v>44</v>
      </c>
    </row>
    <row r="398" spans="1:13" x14ac:dyDescent="0.3">
      <c r="A398" s="5" t="s">
        <v>297</v>
      </c>
      <c r="B398" s="6" t="s">
        <v>27</v>
      </c>
      <c r="C398" s="7">
        <v>45700</v>
      </c>
      <c r="D398" s="6" t="s">
        <v>28</v>
      </c>
      <c r="E398" s="6" t="s">
        <v>29</v>
      </c>
      <c r="F398" s="8">
        <v>4332</v>
      </c>
      <c r="G398" s="8">
        <v>771</v>
      </c>
      <c r="H398" s="8">
        <v>219</v>
      </c>
      <c r="I398" s="8">
        <v>60648</v>
      </c>
      <c r="J398" s="8">
        <v>60397</v>
      </c>
      <c r="K398" s="8">
        <v>10</v>
      </c>
      <c r="L398" s="9" t="s">
        <v>22</v>
      </c>
      <c r="M398" s="9" t="s">
        <v>32</v>
      </c>
    </row>
    <row r="399" spans="1:13" x14ac:dyDescent="0.3">
      <c r="A399" s="5" t="s">
        <v>298</v>
      </c>
      <c r="B399" s="6" t="s">
        <v>27</v>
      </c>
      <c r="C399" s="7">
        <v>45592</v>
      </c>
      <c r="D399" s="6" t="s">
        <v>40</v>
      </c>
      <c r="E399" s="6" t="s">
        <v>41</v>
      </c>
      <c r="F399" s="8">
        <v>4853</v>
      </c>
      <c r="G399" s="8">
        <v>837</v>
      </c>
      <c r="H399" s="8">
        <v>340</v>
      </c>
      <c r="I399" s="8">
        <v>72795</v>
      </c>
      <c r="J399" s="8">
        <v>72237</v>
      </c>
      <c r="K399" s="8">
        <v>170</v>
      </c>
      <c r="L399" s="9" t="s">
        <v>17</v>
      </c>
      <c r="M399" s="9" t="s">
        <v>23</v>
      </c>
    </row>
    <row r="400" spans="1:13" x14ac:dyDescent="0.3">
      <c r="A400" s="5" t="s">
        <v>299</v>
      </c>
      <c r="B400" s="6" t="s">
        <v>25</v>
      </c>
      <c r="C400" s="7">
        <v>45675</v>
      </c>
      <c r="D400" s="6" t="s">
        <v>40</v>
      </c>
      <c r="E400" s="6" t="s">
        <v>41</v>
      </c>
      <c r="F400" s="8">
        <v>1206</v>
      </c>
      <c r="G400" s="8">
        <v>238</v>
      </c>
      <c r="H400" s="8">
        <v>36</v>
      </c>
      <c r="I400" s="8">
        <v>9648</v>
      </c>
      <c r="J400" s="8">
        <v>9417</v>
      </c>
      <c r="K400" s="8">
        <v>237</v>
      </c>
      <c r="L400" s="9" t="s">
        <v>17</v>
      </c>
      <c r="M400" s="9" t="s">
        <v>32</v>
      </c>
    </row>
    <row r="401" spans="1:13" x14ac:dyDescent="0.3">
      <c r="A401" s="5" t="s">
        <v>299</v>
      </c>
      <c r="B401" s="6" t="s">
        <v>25</v>
      </c>
      <c r="C401" s="7">
        <v>45675</v>
      </c>
      <c r="D401" s="6" t="s">
        <v>40</v>
      </c>
      <c r="E401" s="6" t="s">
        <v>41</v>
      </c>
      <c r="F401" s="8">
        <v>1206</v>
      </c>
      <c r="G401" s="8">
        <v>238</v>
      </c>
      <c r="H401" s="8">
        <v>36</v>
      </c>
      <c r="I401" s="8">
        <v>9648</v>
      </c>
      <c r="J401" s="8">
        <v>9417</v>
      </c>
      <c r="K401" s="8">
        <v>237</v>
      </c>
      <c r="L401" s="9" t="s">
        <v>31</v>
      </c>
      <c r="M401" s="9" t="s">
        <v>32</v>
      </c>
    </row>
    <row r="402" spans="1:13" x14ac:dyDescent="0.3">
      <c r="A402" s="5" t="s">
        <v>300</v>
      </c>
      <c r="B402" s="6" t="s">
        <v>27</v>
      </c>
      <c r="C402" s="7">
        <v>45524</v>
      </c>
      <c r="D402" s="6" t="s">
        <v>15</v>
      </c>
      <c r="E402" s="6" t="s">
        <v>16</v>
      </c>
      <c r="F402" s="8">
        <v>2603</v>
      </c>
      <c r="G402" s="8">
        <v>690</v>
      </c>
      <c r="H402" s="8">
        <v>205</v>
      </c>
      <c r="I402" s="8">
        <v>13015</v>
      </c>
      <c r="J402" s="8">
        <v>12130</v>
      </c>
      <c r="K402" s="8">
        <v>20</v>
      </c>
      <c r="L402" s="9" t="s">
        <v>37</v>
      </c>
      <c r="M402" s="9" t="s">
        <v>18</v>
      </c>
    </row>
    <row r="403" spans="1:13" x14ac:dyDescent="0.3">
      <c r="A403" s="5" t="s">
        <v>301</v>
      </c>
      <c r="B403" s="6" t="s">
        <v>14</v>
      </c>
      <c r="C403" s="7">
        <v>45687</v>
      </c>
      <c r="D403" s="6" t="s">
        <v>40</v>
      </c>
      <c r="E403" s="6" t="s">
        <v>41</v>
      </c>
      <c r="F403" s="8">
        <v>59</v>
      </c>
      <c r="G403" s="8">
        <v>163</v>
      </c>
      <c r="H403" s="8">
        <v>93</v>
      </c>
      <c r="I403" s="8">
        <v>590</v>
      </c>
      <c r="J403" s="8">
        <v>475</v>
      </c>
      <c r="K403" s="8">
        <v>293</v>
      </c>
      <c r="L403" s="9" t="s">
        <v>37</v>
      </c>
      <c r="M403" s="9" t="s">
        <v>44</v>
      </c>
    </row>
    <row r="404" spans="1:13" x14ac:dyDescent="0.3">
      <c r="A404" s="5" t="s">
        <v>302</v>
      </c>
      <c r="B404" s="6" t="s">
        <v>14</v>
      </c>
      <c r="C404" s="7">
        <v>45708</v>
      </c>
      <c r="D404" s="6" t="s">
        <v>35</v>
      </c>
      <c r="E404" s="6" t="s">
        <v>36</v>
      </c>
      <c r="F404" s="8">
        <v>1877</v>
      </c>
      <c r="G404" s="8">
        <v>745</v>
      </c>
      <c r="H404" s="8">
        <v>225</v>
      </c>
      <c r="I404" s="8">
        <v>11262</v>
      </c>
      <c r="J404" s="8">
        <v>10967</v>
      </c>
      <c r="K404" s="8">
        <v>41</v>
      </c>
      <c r="L404" s="9" t="s">
        <v>31</v>
      </c>
      <c r="M404" s="9" t="s">
        <v>18</v>
      </c>
    </row>
    <row r="405" spans="1:13" x14ac:dyDescent="0.3">
      <c r="A405" s="5" t="s">
        <v>302</v>
      </c>
      <c r="B405" s="6" t="s">
        <v>14</v>
      </c>
      <c r="C405" s="7">
        <v>45708</v>
      </c>
      <c r="D405" s="6" t="s">
        <v>35</v>
      </c>
      <c r="E405" s="6" t="s">
        <v>36</v>
      </c>
      <c r="F405" s="8">
        <v>1877</v>
      </c>
      <c r="G405" s="8">
        <v>745</v>
      </c>
      <c r="H405" s="8">
        <v>225</v>
      </c>
      <c r="I405" s="8">
        <v>11262</v>
      </c>
      <c r="J405" s="8">
        <v>10967</v>
      </c>
      <c r="K405" s="8">
        <v>41</v>
      </c>
      <c r="L405" s="9" t="s">
        <v>17</v>
      </c>
      <c r="M405" s="9" t="s">
        <v>18</v>
      </c>
    </row>
    <row r="406" spans="1:13" x14ac:dyDescent="0.3">
      <c r="A406" s="5" t="s">
        <v>303</v>
      </c>
      <c r="B406" s="6" t="s">
        <v>34</v>
      </c>
      <c r="C406" s="7">
        <v>45621</v>
      </c>
      <c r="D406" s="6" t="s">
        <v>28</v>
      </c>
      <c r="E406" s="6" t="s">
        <v>29</v>
      </c>
      <c r="F406" s="8">
        <v>4182</v>
      </c>
      <c r="G406" s="8">
        <v>640</v>
      </c>
      <c r="H406" s="8">
        <v>240</v>
      </c>
      <c r="I406" s="8">
        <v>50184</v>
      </c>
      <c r="J406" s="8">
        <v>49351</v>
      </c>
      <c r="K406" s="8">
        <v>10</v>
      </c>
      <c r="L406" s="9" t="s">
        <v>17</v>
      </c>
      <c r="M406" s="9" t="s">
        <v>32</v>
      </c>
    </row>
    <row r="407" spans="1:13" x14ac:dyDescent="0.3">
      <c r="A407" s="5" t="s">
        <v>303</v>
      </c>
      <c r="B407" s="6" t="s">
        <v>34</v>
      </c>
      <c r="C407" s="7">
        <v>45621</v>
      </c>
      <c r="D407" s="6" t="s">
        <v>28</v>
      </c>
      <c r="E407" s="6" t="s">
        <v>29</v>
      </c>
      <c r="F407" s="8">
        <v>4182</v>
      </c>
      <c r="G407" s="8">
        <v>640</v>
      </c>
      <c r="H407" s="8">
        <v>240</v>
      </c>
      <c r="I407" s="8">
        <v>50184</v>
      </c>
      <c r="J407" s="8">
        <v>49351</v>
      </c>
      <c r="K407" s="8">
        <v>10</v>
      </c>
      <c r="L407" s="9" t="s">
        <v>31</v>
      </c>
      <c r="M407" s="9" t="s">
        <v>32</v>
      </c>
    </row>
    <row r="408" spans="1:13" x14ac:dyDescent="0.3">
      <c r="A408" s="5" t="s">
        <v>304</v>
      </c>
      <c r="B408" s="6" t="s">
        <v>14</v>
      </c>
      <c r="C408" s="7">
        <v>45569</v>
      </c>
      <c r="D408" s="6" t="s">
        <v>15</v>
      </c>
      <c r="E408" s="6" t="s">
        <v>16</v>
      </c>
      <c r="F408" s="8">
        <v>4187</v>
      </c>
      <c r="G408" s="8">
        <v>66</v>
      </c>
      <c r="H408" s="8">
        <v>31</v>
      </c>
      <c r="I408" s="8">
        <v>66992</v>
      </c>
      <c r="J408" s="8">
        <v>66614</v>
      </c>
      <c r="K408" s="8">
        <v>62</v>
      </c>
      <c r="L408" s="9" t="s">
        <v>31</v>
      </c>
      <c r="M408" s="9" t="s">
        <v>44</v>
      </c>
    </row>
    <row r="409" spans="1:13" x14ac:dyDescent="0.3">
      <c r="A409" s="5" t="s">
        <v>305</v>
      </c>
      <c r="B409" s="6" t="s">
        <v>27</v>
      </c>
      <c r="C409" s="7">
        <v>45760</v>
      </c>
      <c r="D409" s="6" t="s">
        <v>15</v>
      </c>
      <c r="E409" s="6" t="s">
        <v>16</v>
      </c>
      <c r="F409" s="8">
        <v>4579</v>
      </c>
      <c r="G409" s="8">
        <v>125</v>
      </c>
      <c r="H409" s="8">
        <v>300</v>
      </c>
      <c r="I409" s="8">
        <v>59527</v>
      </c>
      <c r="J409" s="8">
        <v>59400</v>
      </c>
      <c r="K409" s="8">
        <v>269</v>
      </c>
      <c r="L409" s="9" t="s">
        <v>31</v>
      </c>
      <c r="M409" s="9" t="s">
        <v>18</v>
      </c>
    </row>
    <row r="410" spans="1:13" x14ac:dyDescent="0.3">
      <c r="A410" s="5" t="s">
        <v>305</v>
      </c>
      <c r="B410" s="6" t="s">
        <v>27</v>
      </c>
      <c r="C410" s="7">
        <v>45760</v>
      </c>
      <c r="D410" s="6" t="s">
        <v>15</v>
      </c>
      <c r="E410" s="6" t="s">
        <v>16</v>
      </c>
      <c r="F410" s="8">
        <v>4579</v>
      </c>
      <c r="G410" s="8">
        <v>125</v>
      </c>
      <c r="H410" s="8">
        <v>300</v>
      </c>
      <c r="I410" s="8">
        <v>59527</v>
      </c>
      <c r="J410" s="8">
        <v>59400</v>
      </c>
      <c r="K410" s="8">
        <v>269</v>
      </c>
      <c r="L410" s="9" t="s">
        <v>22</v>
      </c>
      <c r="M410" s="9" t="s">
        <v>18</v>
      </c>
    </row>
    <row r="411" spans="1:13" x14ac:dyDescent="0.3">
      <c r="A411" s="5" t="s">
        <v>306</v>
      </c>
      <c r="B411" s="6" t="s">
        <v>27</v>
      </c>
      <c r="C411" s="7">
        <v>45601</v>
      </c>
      <c r="D411" s="6" t="s">
        <v>50</v>
      </c>
      <c r="E411" s="6" t="s">
        <v>51</v>
      </c>
      <c r="F411" s="8">
        <v>4561</v>
      </c>
      <c r="G411" s="8">
        <v>51</v>
      </c>
      <c r="H411" s="8">
        <v>441</v>
      </c>
      <c r="I411" s="8">
        <v>22805</v>
      </c>
      <c r="J411" s="8">
        <v>21890</v>
      </c>
      <c r="K411" s="8">
        <v>45</v>
      </c>
      <c r="L411" s="9" t="s">
        <v>31</v>
      </c>
      <c r="M411" s="9" t="s">
        <v>23</v>
      </c>
    </row>
    <row r="412" spans="1:13" x14ac:dyDescent="0.3">
      <c r="A412" s="5" t="s">
        <v>307</v>
      </c>
      <c r="B412" s="6" t="s">
        <v>25</v>
      </c>
      <c r="C412" s="7">
        <v>45672</v>
      </c>
      <c r="D412" s="6" t="s">
        <v>15</v>
      </c>
      <c r="E412" s="6" t="s">
        <v>16</v>
      </c>
      <c r="F412" s="8">
        <v>3774</v>
      </c>
      <c r="G412" s="8">
        <v>239</v>
      </c>
      <c r="H412" s="8">
        <v>39</v>
      </c>
      <c r="I412" s="8">
        <v>60384</v>
      </c>
      <c r="J412" s="8">
        <v>59490</v>
      </c>
      <c r="K412" s="8">
        <v>241</v>
      </c>
      <c r="L412" s="9" t="s">
        <v>52</v>
      </c>
      <c r="M412" s="9" t="s">
        <v>32</v>
      </c>
    </row>
    <row r="413" spans="1:13" x14ac:dyDescent="0.3">
      <c r="A413" s="5" t="s">
        <v>308</v>
      </c>
      <c r="B413" s="6" t="s">
        <v>27</v>
      </c>
      <c r="C413" s="7">
        <v>45582</v>
      </c>
      <c r="D413" s="6" t="s">
        <v>50</v>
      </c>
      <c r="E413" s="6" t="s">
        <v>51</v>
      </c>
      <c r="F413" s="8">
        <v>3575</v>
      </c>
      <c r="G413" s="8">
        <v>749</v>
      </c>
      <c r="H413" s="8">
        <v>111</v>
      </c>
      <c r="I413" s="8">
        <v>21450</v>
      </c>
      <c r="J413" s="8">
        <v>20785</v>
      </c>
      <c r="K413" s="8">
        <v>195</v>
      </c>
      <c r="L413" s="9" t="s">
        <v>52</v>
      </c>
      <c r="M413" s="9" t="s">
        <v>32</v>
      </c>
    </row>
    <row r="414" spans="1:13" x14ac:dyDescent="0.3">
      <c r="A414" s="5" t="s">
        <v>309</v>
      </c>
      <c r="B414" s="6" t="s">
        <v>27</v>
      </c>
      <c r="C414" s="7">
        <v>45743</v>
      </c>
      <c r="D414" s="6" t="s">
        <v>20</v>
      </c>
      <c r="E414" s="6" t="s">
        <v>21</v>
      </c>
      <c r="F414" s="8">
        <v>4941</v>
      </c>
      <c r="G414" s="8">
        <v>414</v>
      </c>
      <c r="H414" s="8">
        <v>266</v>
      </c>
      <c r="I414" s="8">
        <v>39528</v>
      </c>
      <c r="J414" s="8">
        <v>39154</v>
      </c>
      <c r="K414" s="8">
        <v>217</v>
      </c>
      <c r="L414" s="9" t="s">
        <v>17</v>
      </c>
      <c r="M414" s="9" t="s">
        <v>23</v>
      </c>
    </row>
    <row r="415" spans="1:13" x14ac:dyDescent="0.3">
      <c r="A415" s="5" t="s">
        <v>310</v>
      </c>
      <c r="B415" s="6" t="s">
        <v>25</v>
      </c>
      <c r="C415" s="7">
        <v>45577</v>
      </c>
      <c r="D415" s="6" t="s">
        <v>28</v>
      </c>
      <c r="E415" s="6" t="s">
        <v>29</v>
      </c>
      <c r="F415" s="8">
        <v>3641</v>
      </c>
      <c r="G415" s="8">
        <v>226</v>
      </c>
      <c r="H415" s="8">
        <v>46</v>
      </c>
      <c r="I415" s="8">
        <v>40051</v>
      </c>
      <c r="J415" s="8">
        <v>39319</v>
      </c>
      <c r="K415" s="8">
        <v>296</v>
      </c>
      <c r="L415" s="9" t="s">
        <v>37</v>
      </c>
      <c r="M415" s="9" t="s">
        <v>23</v>
      </c>
    </row>
    <row r="416" spans="1:13" x14ac:dyDescent="0.3">
      <c r="A416" s="5" t="s">
        <v>311</v>
      </c>
      <c r="B416" s="6" t="s">
        <v>14</v>
      </c>
      <c r="C416" s="7">
        <v>45658</v>
      </c>
      <c r="D416" s="6" t="s">
        <v>35</v>
      </c>
      <c r="E416" s="6" t="s">
        <v>36</v>
      </c>
      <c r="F416" s="8">
        <v>3535</v>
      </c>
      <c r="G416" s="8">
        <v>494</v>
      </c>
      <c r="H416" s="8">
        <v>152</v>
      </c>
      <c r="I416" s="8">
        <v>53025</v>
      </c>
      <c r="J416" s="8">
        <v>52791</v>
      </c>
      <c r="K416" s="8">
        <v>44</v>
      </c>
      <c r="L416" s="9" t="s">
        <v>37</v>
      </c>
      <c r="M416" s="9" t="s">
        <v>23</v>
      </c>
    </row>
    <row r="417" spans="1:13" x14ac:dyDescent="0.3">
      <c r="A417" s="5" t="s">
        <v>311</v>
      </c>
      <c r="B417" s="6" t="s">
        <v>14</v>
      </c>
      <c r="C417" s="7">
        <v>45658</v>
      </c>
      <c r="D417" s="6" t="s">
        <v>35</v>
      </c>
      <c r="E417" s="6" t="s">
        <v>36</v>
      </c>
      <c r="F417" s="8">
        <v>3535</v>
      </c>
      <c r="G417" s="8">
        <v>494</v>
      </c>
      <c r="H417" s="8">
        <v>152</v>
      </c>
      <c r="I417" s="8">
        <v>53025</v>
      </c>
      <c r="J417" s="8">
        <v>52791</v>
      </c>
      <c r="K417" s="8">
        <v>44</v>
      </c>
      <c r="L417" s="9" t="s">
        <v>31</v>
      </c>
      <c r="M417" s="9" t="s">
        <v>23</v>
      </c>
    </row>
    <row r="418" spans="1:13" x14ac:dyDescent="0.3">
      <c r="A418" s="5" t="s">
        <v>312</v>
      </c>
      <c r="B418" s="6" t="s">
        <v>34</v>
      </c>
      <c r="C418" s="7">
        <v>45509</v>
      </c>
      <c r="D418" s="6" t="s">
        <v>15</v>
      </c>
      <c r="E418" s="6" t="s">
        <v>16</v>
      </c>
      <c r="F418" s="8">
        <v>1741</v>
      </c>
      <c r="G418" s="8">
        <v>831</v>
      </c>
      <c r="H418" s="8">
        <v>345</v>
      </c>
      <c r="I418" s="8">
        <v>17410</v>
      </c>
      <c r="J418" s="8">
        <v>16844</v>
      </c>
      <c r="K418" s="8">
        <v>58</v>
      </c>
      <c r="L418" s="9" t="s">
        <v>22</v>
      </c>
      <c r="M418" s="9" t="s">
        <v>44</v>
      </c>
    </row>
    <row r="419" spans="1:13" x14ac:dyDescent="0.3">
      <c r="A419" s="5" t="s">
        <v>312</v>
      </c>
      <c r="B419" s="6" t="s">
        <v>34</v>
      </c>
      <c r="C419" s="7">
        <v>45509</v>
      </c>
      <c r="D419" s="6" t="s">
        <v>15</v>
      </c>
      <c r="E419" s="6" t="s">
        <v>16</v>
      </c>
      <c r="F419" s="8">
        <v>1741</v>
      </c>
      <c r="G419" s="8">
        <v>831</v>
      </c>
      <c r="H419" s="8">
        <v>345</v>
      </c>
      <c r="I419" s="8">
        <v>17410</v>
      </c>
      <c r="J419" s="8">
        <v>16844</v>
      </c>
      <c r="K419" s="8">
        <v>58</v>
      </c>
      <c r="L419" s="9" t="s">
        <v>52</v>
      </c>
      <c r="M419" s="9" t="s">
        <v>44</v>
      </c>
    </row>
    <row r="420" spans="1:13" x14ac:dyDescent="0.3">
      <c r="A420" s="5" t="s">
        <v>313</v>
      </c>
      <c r="B420" s="6" t="s">
        <v>14</v>
      </c>
      <c r="C420" s="7">
        <v>45450</v>
      </c>
      <c r="D420" s="6" t="s">
        <v>35</v>
      </c>
      <c r="E420" s="6" t="s">
        <v>36</v>
      </c>
      <c r="F420" s="8">
        <v>1556</v>
      </c>
      <c r="G420" s="8">
        <v>195</v>
      </c>
      <c r="H420" s="8">
        <v>131</v>
      </c>
      <c r="I420" s="8">
        <v>9336</v>
      </c>
      <c r="J420" s="8">
        <v>8875</v>
      </c>
      <c r="K420" s="8">
        <v>137</v>
      </c>
      <c r="L420" s="9" t="s">
        <v>22</v>
      </c>
      <c r="M420" s="9" t="s">
        <v>23</v>
      </c>
    </row>
    <row r="421" spans="1:13" x14ac:dyDescent="0.3">
      <c r="A421" s="5" t="s">
        <v>314</v>
      </c>
      <c r="B421" s="6" t="s">
        <v>34</v>
      </c>
      <c r="C421" s="7">
        <v>45753</v>
      </c>
      <c r="D421" s="6" t="s">
        <v>40</v>
      </c>
      <c r="E421" s="6" t="s">
        <v>41</v>
      </c>
      <c r="F421" s="8">
        <v>4236</v>
      </c>
      <c r="G421" s="8">
        <v>711</v>
      </c>
      <c r="H421" s="8">
        <v>298</v>
      </c>
      <c r="I421" s="8">
        <v>21180</v>
      </c>
      <c r="J421" s="8">
        <v>20516</v>
      </c>
      <c r="K421" s="8">
        <v>238</v>
      </c>
      <c r="L421" s="9" t="s">
        <v>37</v>
      </c>
      <c r="M421" s="9" t="s">
        <v>44</v>
      </c>
    </row>
    <row r="422" spans="1:13" x14ac:dyDescent="0.3">
      <c r="A422" s="5" t="s">
        <v>314</v>
      </c>
      <c r="B422" s="6" t="s">
        <v>34</v>
      </c>
      <c r="C422" s="7">
        <v>45753</v>
      </c>
      <c r="D422" s="6" t="s">
        <v>40</v>
      </c>
      <c r="E422" s="6" t="s">
        <v>41</v>
      </c>
      <c r="F422" s="8">
        <v>4236</v>
      </c>
      <c r="G422" s="8">
        <v>711</v>
      </c>
      <c r="H422" s="8">
        <v>298</v>
      </c>
      <c r="I422" s="8">
        <v>21180</v>
      </c>
      <c r="J422" s="8">
        <v>20516</v>
      </c>
      <c r="K422" s="8">
        <v>238</v>
      </c>
      <c r="L422" s="9" t="s">
        <v>17</v>
      </c>
      <c r="M422" s="9" t="s">
        <v>44</v>
      </c>
    </row>
    <row r="423" spans="1:13" x14ac:dyDescent="0.3">
      <c r="A423" s="5" t="s">
        <v>315</v>
      </c>
      <c r="B423" s="6" t="s">
        <v>14</v>
      </c>
      <c r="C423" s="7">
        <v>45622</v>
      </c>
      <c r="D423" s="6" t="s">
        <v>20</v>
      </c>
      <c r="E423" s="6" t="s">
        <v>21</v>
      </c>
      <c r="F423" s="8">
        <v>4516</v>
      </c>
      <c r="G423" s="8">
        <v>836</v>
      </c>
      <c r="H423" s="8">
        <v>169</v>
      </c>
      <c r="I423" s="8">
        <v>49676</v>
      </c>
      <c r="J423" s="8">
        <v>49257</v>
      </c>
      <c r="K423" s="8">
        <v>282</v>
      </c>
      <c r="L423" s="9" t="s">
        <v>37</v>
      </c>
      <c r="M423" s="9" t="s">
        <v>18</v>
      </c>
    </row>
    <row r="424" spans="1:13" x14ac:dyDescent="0.3">
      <c r="A424" s="5" t="s">
        <v>316</v>
      </c>
      <c r="B424" s="6" t="s">
        <v>25</v>
      </c>
      <c r="C424" s="7">
        <v>45537</v>
      </c>
      <c r="D424" s="6" t="s">
        <v>40</v>
      </c>
      <c r="E424" s="6" t="s">
        <v>41</v>
      </c>
      <c r="F424" s="8">
        <v>4905</v>
      </c>
      <c r="G424" s="8">
        <v>845</v>
      </c>
      <c r="H424" s="8">
        <v>129</v>
      </c>
      <c r="I424" s="8">
        <v>98100</v>
      </c>
      <c r="J424" s="8">
        <v>97772</v>
      </c>
      <c r="K424" s="8">
        <v>279</v>
      </c>
      <c r="L424" s="9" t="s">
        <v>37</v>
      </c>
      <c r="M424" s="9" t="s">
        <v>44</v>
      </c>
    </row>
    <row r="425" spans="1:13" x14ac:dyDescent="0.3">
      <c r="A425" s="5" t="s">
        <v>317</v>
      </c>
      <c r="B425" s="6" t="s">
        <v>25</v>
      </c>
      <c r="C425" s="7">
        <v>45586</v>
      </c>
      <c r="D425" s="6" t="s">
        <v>50</v>
      </c>
      <c r="E425" s="6" t="s">
        <v>51</v>
      </c>
      <c r="F425" s="8">
        <v>4275</v>
      </c>
      <c r="G425" s="8">
        <v>680</v>
      </c>
      <c r="H425" s="8">
        <v>385</v>
      </c>
      <c r="I425" s="8">
        <v>64125</v>
      </c>
      <c r="J425" s="8">
        <v>63650</v>
      </c>
      <c r="K425" s="8">
        <v>104</v>
      </c>
      <c r="L425" s="9" t="s">
        <v>31</v>
      </c>
      <c r="M425" s="9" t="s">
        <v>44</v>
      </c>
    </row>
    <row r="426" spans="1:13" x14ac:dyDescent="0.3">
      <c r="A426" s="5" t="s">
        <v>318</v>
      </c>
      <c r="B426" s="6" t="s">
        <v>25</v>
      </c>
      <c r="C426" s="7">
        <v>45738</v>
      </c>
      <c r="D426" s="6" t="s">
        <v>40</v>
      </c>
      <c r="E426" s="6" t="s">
        <v>41</v>
      </c>
      <c r="F426" s="8">
        <v>3166</v>
      </c>
      <c r="G426" s="8">
        <v>90</v>
      </c>
      <c r="H426" s="8">
        <v>341</v>
      </c>
      <c r="I426" s="8">
        <v>56988</v>
      </c>
      <c r="J426" s="8">
        <v>56125</v>
      </c>
      <c r="K426" s="8">
        <v>135</v>
      </c>
      <c r="L426" s="9" t="s">
        <v>22</v>
      </c>
      <c r="M426" s="9" t="s">
        <v>23</v>
      </c>
    </row>
    <row r="427" spans="1:13" x14ac:dyDescent="0.3">
      <c r="A427" s="5" t="s">
        <v>318</v>
      </c>
      <c r="B427" s="6" t="s">
        <v>25</v>
      </c>
      <c r="C427" s="7">
        <v>45738</v>
      </c>
      <c r="D427" s="6" t="s">
        <v>40</v>
      </c>
      <c r="E427" s="6" t="s">
        <v>41</v>
      </c>
      <c r="F427" s="8">
        <v>3166</v>
      </c>
      <c r="G427" s="8">
        <v>90</v>
      </c>
      <c r="H427" s="8">
        <v>341</v>
      </c>
      <c r="I427" s="8">
        <v>56988</v>
      </c>
      <c r="J427" s="8">
        <v>56125</v>
      </c>
      <c r="K427" s="8">
        <v>135</v>
      </c>
      <c r="L427" s="9" t="s">
        <v>31</v>
      </c>
      <c r="M427" s="9" t="s">
        <v>23</v>
      </c>
    </row>
    <row r="428" spans="1:13" x14ac:dyDescent="0.3">
      <c r="A428" s="5" t="s">
        <v>319</v>
      </c>
      <c r="B428" s="6" t="s">
        <v>27</v>
      </c>
      <c r="C428" s="7">
        <v>45568</v>
      </c>
      <c r="D428" s="6" t="s">
        <v>50</v>
      </c>
      <c r="E428" s="6" t="s">
        <v>51</v>
      </c>
      <c r="F428" s="8">
        <v>1488</v>
      </c>
      <c r="G428" s="8">
        <v>417</v>
      </c>
      <c r="H428" s="8">
        <v>168</v>
      </c>
      <c r="I428" s="8">
        <v>19344</v>
      </c>
      <c r="J428" s="8">
        <v>18395</v>
      </c>
      <c r="K428" s="8">
        <v>30</v>
      </c>
      <c r="L428" s="9" t="s">
        <v>17</v>
      </c>
      <c r="M428" s="9" t="s">
        <v>18</v>
      </c>
    </row>
    <row r="429" spans="1:13" x14ac:dyDescent="0.3">
      <c r="A429" s="5" t="s">
        <v>320</v>
      </c>
      <c r="B429" s="6" t="s">
        <v>14</v>
      </c>
      <c r="C429" s="7">
        <v>45786</v>
      </c>
      <c r="D429" s="6" t="s">
        <v>15</v>
      </c>
      <c r="E429" s="6" t="s">
        <v>16</v>
      </c>
      <c r="F429" s="8">
        <v>3367</v>
      </c>
      <c r="G429" s="8">
        <v>302</v>
      </c>
      <c r="H429" s="8">
        <v>57</v>
      </c>
      <c r="I429" s="8">
        <v>63973</v>
      </c>
      <c r="J429" s="8">
        <v>63789</v>
      </c>
      <c r="K429" s="8">
        <v>157</v>
      </c>
      <c r="L429" s="9" t="s">
        <v>37</v>
      </c>
      <c r="M429" s="9" t="s">
        <v>32</v>
      </c>
    </row>
    <row r="430" spans="1:13" x14ac:dyDescent="0.3">
      <c r="A430" s="5" t="s">
        <v>320</v>
      </c>
      <c r="B430" s="6" t="s">
        <v>14</v>
      </c>
      <c r="C430" s="7">
        <v>45786</v>
      </c>
      <c r="D430" s="6" t="s">
        <v>15</v>
      </c>
      <c r="E430" s="6" t="s">
        <v>16</v>
      </c>
      <c r="F430" s="8">
        <v>3367</v>
      </c>
      <c r="G430" s="8">
        <v>302</v>
      </c>
      <c r="H430" s="8">
        <v>57</v>
      </c>
      <c r="I430" s="8">
        <v>63973</v>
      </c>
      <c r="J430" s="8">
        <v>63789</v>
      </c>
      <c r="K430" s="8">
        <v>157</v>
      </c>
      <c r="L430" s="9" t="s">
        <v>22</v>
      </c>
      <c r="M430" s="9" t="s">
        <v>32</v>
      </c>
    </row>
    <row r="431" spans="1:13" x14ac:dyDescent="0.3">
      <c r="A431" s="5" t="s">
        <v>321</v>
      </c>
      <c r="B431" s="6" t="s">
        <v>14</v>
      </c>
      <c r="C431" s="7">
        <v>45552</v>
      </c>
      <c r="D431" s="6" t="s">
        <v>20</v>
      </c>
      <c r="E431" s="6" t="s">
        <v>21</v>
      </c>
      <c r="F431" s="8">
        <v>571</v>
      </c>
      <c r="G431" s="8">
        <v>190</v>
      </c>
      <c r="H431" s="8">
        <v>352</v>
      </c>
      <c r="I431" s="8">
        <v>9707</v>
      </c>
      <c r="J431" s="8">
        <v>9418</v>
      </c>
      <c r="K431" s="8">
        <v>231</v>
      </c>
      <c r="L431" s="9" t="s">
        <v>52</v>
      </c>
      <c r="M431" s="9" t="s">
        <v>23</v>
      </c>
    </row>
    <row r="432" spans="1:13" x14ac:dyDescent="0.3">
      <c r="A432" s="5" t="s">
        <v>322</v>
      </c>
      <c r="B432" s="6" t="s">
        <v>25</v>
      </c>
      <c r="C432" s="7">
        <v>45491</v>
      </c>
      <c r="D432" s="6" t="s">
        <v>20</v>
      </c>
      <c r="E432" s="6" t="s">
        <v>21</v>
      </c>
      <c r="F432" s="8">
        <v>4021</v>
      </c>
      <c r="G432" s="8">
        <v>794</v>
      </c>
      <c r="H432" s="8">
        <v>77</v>
      </c>
      <c r="I432" s="8">
        <v>36189</v>
      </c>
      <c r="J432" s="8">
        <v>35505</v>
      </c>
      <c r="K432" s="8">
        <v>174</v>
      </c>
      <c r="L432" s="9" t="s">
        <v>52</v>
      </c>
      <c r="M432" s="9" t="s">
        <v>18</v>
      </c>
    </row>
    <row r="433" spans="1:13" x14ac:dyDescent="0.3">
      <c r="A433" s="5" t="s">
        <v>322</v>
      </c>
      <c r="B433" s="6" t="s">
        <v>25</v>
      </c>
      <c r="C433" s="7">
        <v>45491</v>
      </c>
      <c r="D433" s="6" t="s">
        <v>20</v>
      </c>
      <c r="E433" s="6" t="s">
        <v>21</v>
      </c>
      <c r="F433" s="8">
        <v>4021</v>
      </c>
      <c r="G433" s="8">
        <v>794</v>
      </c>
      <c r="H433" s="8">
        <v>77</v>
      </c>
      <c r="I433" s="8">
        <v>36189</v>
      </c>
      <c r="J433" s="8">
        <v>35505</v>
      </c>
      <c r="K433" s="8">
        <v>174</v>
      </c>
      <c r="L433" s="9" t="s">
        <v>31</v>
      </c>
      <c r="M433" s="9" t="s">
        <v>18</v>
      </c>
    </row>
    <row r="434" spans="1:13" x14ac:dyDescent="0.3">
      <c r="A434" s="5" t="s">
        <v>323</v>
      </c>
      <c r="B434" s="6" t="s">
        <v>25</v>
      </c>
      <c r="C434" s="7">
        <v>45560</v>
      </c>
      <c r="D434" s="6" t="s">
        <v>50</v>
      </c>
      <c r="E434" s="6" t="s">
        <v>51</v>
      </c>
      <c r="F434" s="8">
        <v>3389</v>
      </c>
      <c r="G434" s="8">
        <v>344</v>
      </c>
      <c r="H434" s="8">
        <v>229</v>
      </c>
      <c r="I434" s="8">
        <v>20334</v>
      </c>
      <c r="J434" s="8">
        <v>19443</v>
      </c>
      <c r="K434" s="8">
        <v>228</v>
      </c>
      <c r="L434" s="9" t="s">
        <v>22</v>
      </c>
      <c r="M434" s="9" t="s">
        <v>23</v>
      </c>
    </row>
    <row r="435" spans="1:13" x14ac:dyDescent="0.3">
      <c r="A435" s="5" t="s">
        <v>323</v>
      </c>
      <c r="B435" s="6" t="s">
        <v>25</v>
      </c>
      <c r="C435" s="7">
        <v>45560</v>
      </c>
      <c r="D435" s="6" t="s">
        <v>50</v>
      </c>
      <c r="E435" s="6" t="s">
        <v>51</v>
      </c>
      <c r="F435" s="8">
        <v>3389</v>
      </c>
      <c r="G435" s="8">
        <v>344</v>
      </c>
      <c r="H435" s="8">
        <v>229</v>
      </c>
      <c r="I435" s="8">
        <v>20334</v>
      </c>
      <c r="J435" s="8">
        <v>19443</v>
      </c>
      <c r="K435" s="8">
        <v>228</v>
      </c>
      <c r="L435" s="9" t="s">
        <v>17</v>
      </c>
      <c r="M435" s="9" t="s">
        <v>23</v>
      </c>
    </row>
    <row r="436" spans="1:13" x14ac:dyDescent="0.3">
      <c r="A436" s="5" t="s">
        <v>324</v>
      </c>
      <c r="B436" s="6" t="s">
        <v>27</v>
      </c>
      <c r="C436" s="7">
        <v>45519</v>
      </c>
      <c r="D436" s="6" t="s">
        <v>15</v>
      </c>
      <c r="E436" s="6" t="s">
        <v>16</v>
      </c>
      <c r="F436" s="8">
        <v>1164</v>
      </c>
      <c r="G436" s="8">
        <v>616</v>
      </c>
      <c r="H436" s="8">
        <v>324</v>
      </c>
      <c r="I436" s="8">
        <v>6984</v>
      </c>
      <c r="J436" s="8">
        <v>6636</v>
      </c>
      <c r="K436" s="8">
        <v>82</v>
      </c>
      <c r="L436" s="9" t="s">
        <v>22</v>
      </c>
      <c r="M436" s="9" t="s">
        <v>32</v>
      </c>
    </row>
    <row r="437" spans="1:13" x14ac:dyDescent="0.3">
      <c r="A437" s="5" t="s">
        <v>324</v>
      </c>
      <c r="B437" s="6" t="s">
        <v>27</v>
      </c>
      <c r="C437" s="7">
        <v>45519</v>
      </c>
      <c r="D437" s="6" t="s">
        <v>15</v>
      </c>
      <c r="E437" s="6" t="s">
        <v>16</v>
      </c>
      <c r="F437" s="8">
        <v>1164</v>
      </c>
      <c r="G437" s="8">
        <v>616</v>
      </c>
      <c r="H437" s="8">
        <v>324</v>
      </c>
      <c r="I437" s="8">
        <v>6984</v>
      </c>
      <c r="J437" s="8">
        <v>6636</v>
      </c>
      <c r="K437" s="8">
        <v>82</v>
      </c>
      <c r="L437" s="9" t="s">
        <v>37</v>
      </c>
      <c r="M437" s="9" t="s">
        <v>32</v>
      </c>
    </row>
    <row r="438" spans="1:13" x14ac:dyDescent="0.3">
      <c r="A438" s="5" t="s">
        <v>325</v>
      </c>
      <c r="B438" s="6" t="s">
        <v>25</v>
      </c>
      <c r="C438" s="7">
        <v>45764</v>
      </c>
      <c r="D438" s="6" t="s">
        <v>35</v>
      </c>
      <c r="E438" s="6" t="s">
        <v>36</v>
      </c>
      <c r="F438" s="8">
        <v>4780</v>
      </c>
      <c r="G438" s="8">
        <v>691</v>
      </c>
      <c r="H438" s="8">
        <v>380</v>
      </c>
      <c r="I438" s="8">
        <v>86040</v>
      </c>
      <c r="J438" s="8">
        <v>85743</v>
      </c>
      <c r="K438" s="8">
        <v>262</v>
      </c>
      <c r="L438" s="9" t="s">
        <v>22</v>
      </c>
      <c r="M438" s="9" t="s">
        <v>32</v>
      </c>
    </row>
    <row r="439" spans="1:13" x14ac:dyDescent="0.3">
      <c r="A439" s="5" t="s">
        <v>325</v>
      </c>
      <c r="B439" s="6" t="s">
        <v>25</v>
      </c>
      <c r="C439" s="7">
        <v>45764</v>
      </c>
      <c r="D439" s="6" t="s">
        <v>35</v>
      </c>
      <c r="E439" s="6" t="s">
        <v>36</v>
      </c>
      <c r="F439" s="8">
        <v>4780</v>
      </c>
      <c r="G439" s="8">
        <v>691</v>
      </c>
      <c r="H439" s="8">
        <v>380</v>
      </c>
      <c r="I439" s="8">
        <v>86040</v>
      </c>
      <c r="J439" s="8">
        <v>85743</v>
      </c>
      <c r="K439" s="8">
        <v>262</v>
      </c>
      <c r="L439" s="9" t="s">
        <v>52</v>
      </c>
      <c r="M439" s="9" t="s">
        <v>32</v>
      </c>
    </row>
    <row r="440" spans="1:13" x14ac:dyDescent="0.3">
      <c r="A440" s="5" t="s">
        <v>326</v>
      </c>
      <c r="B440" s="6" t="s">
        <v>34</v>
      </c>
      <c r="C440" s="7">
        <v>45624</v>
      </c>
      <c r="D440" s="6" t="s">
        <v>35</v>
      </c>
      <c r="E440" s="6" t="s">
        <v>36</v>
      </c>
      <c r="F440" s="8">
        <v>2751</v>
      </c>
      <c r="G440" s="8">
        <v>33</v>
      </c>
      <c r="H440" s="8">
        <v>430</v>
      </c>
      <c r="I440" s="8">
        <v>44016</v>
      </c>
      <c r="J440" s="8">
        <v>43415</v>
      </c>
      <c r="K440" s="8">
        <v>129</v>
      </c>
      <c r="L440" s="9" t="s">
        <v>37</v>
      </c>
      <c r="M440" s="9" t="s">
        <v>23</v>
      </c>
    </row>
    <row r="441" spans="1:13" x14ac:dyDescent="0.3">
      <c r="A441" s="5" t="s">
        <v>326</v>
      </c>
      <c r="B441" s="6" t="s">
        <v>34</v>
      </c>
      <c r="C441" s="7">
        <v>45624</v>
      </c>
      <c r="D441" s="6" t="s">
        <v>35</v>
      </c>
      <c r="E441" s="6" t="s">
        <v>36</v>
      </c>
      <c r="F441" s="8">
        <v>2751</v>
      </c>
      <c r="G441" s="8">
        <v>33</v>
      </c>
      <c r="H441" s="8">
        <v>430</v>
      </c>
      <c r="I441" s="8">
        <v>44016</v>
      </c>
      <c r="J441" s="8">
        <v>43415</v>
      </c>
      <c r="K441" s="8">
        <v>129</v>
      </c>
      <c r="L441" s="9" t="s">
        <v>31</v>
      </c>
      <c r="M441" s="9" t="s">
        <v>23</v>
      </c>
    </row>
    <row r="442" spans="1:13" x14ac:dyDescent="0.3">
      <c r="A442" s="5" t="s">
        <v>327</v>
      </c>
      <c r="B442" s="6" t="s">
        <v>27</v>
      </c>
      <c r="C442" s="7">
        <v>45646</v>
      </c>
      <c r="D442" s="6" t="s">
        <v>35</v>
      </c>
      <c r="E442" s="6" t="s">
        <v>36</v>
      </c>
      <c r="F442" s="8">
        <v>2107</v>
      </c>
      <c r="G442" s="8">
        <v>550</v>
      </c>
      <c r="H442" s="8">
        <v>349</v>
      </c>
      <c r="I442" s="8">
        <v>35819</v>
      </c>
      <c r="J442" s="8">
        <v>35340</v>
      </c>
      <c r="K442" s="8">
        <v>191</v>
      </c>
      <c r="L442" s="9" t="s">
        <v>37</v>
      </c>
      <c r="M442" s="9" t="s">
        <v>32</v>
      </c>
    </row>
    <row r="443" spans="1:13" x14ac:dyDescent="0.3">
      <c r="A443" s="5" t="s">
        <v>328</v>
      </c>
      <c r="B443" s="6" t="s">
        <v>34</v>
      </c>
      <c r="C443" s="7">
        <v>45602</v>
      </c>
      <c r="D443" s="6" t="s">
        <v>50</v>
      </c>
      <c r="E443" s="6" t="s">
        <v>51</v>
      </c>
      <c r="F443" s="8">
        <v>4663</v>
      </c>
      <c r="G443" s="8">
        <v>145</v>
      </c>
      <c r="H443" s="8">
        <v>225</v>
      </c>
      <c r="I443" s="8">
        <v>69945</v>
      </c>
      <c r="J443" s="8">
        <v>69596</v>
      </c>
      <c r="K443" s="8">
        <v>35</v>
      </c>
      <c r="L443" s="9" t="s">
        <v>22</v>
      </c>
      <c r="M443" s="9" t="s">
        <v>23</v>
      </c>
    </row>
    <row r="444" spans="1:13" x14ac:dyDescent="0.3">
      <c r="A444" s="5" t="s">
        <v>329</v>
      </c>
      <c r="B444" s="6" t="s">
        <v>34</v>
      </c>
      <c r="C444" s="7">
        <v>45613</v>
      </c>
      <c r="D444" s="6" t="s">
        <v>20</v>
      </c>
      <c r="E444" s="6" t="s">
        <v>21</v>
      </c>
      <c r="F444" s="8">
        <v>880</v>
      </c>
      <c r="G444" s="8">
        <v>297</v>
      </c>
      <c r="H444" s="8">
        <v>345</v>
      </c>
      <c r="I444" s="8">
        <v>12320</v>
      </c>
      <c r="J444" s="8">
        <v>11978</v>
      </c>
      <c r="K444" s="8">
        <v>238</v>
      </c>
      <c r="L444" s="9" t="s">
        <v>17</v>
      </c>
      <c r="M444" s="9" t="s">
        <v>23</v>
      </c>
    </row>
    <row r="445" spans="1:13" x14ac:dyDescent="0.3">
      <c r="A445" s="5" t="s">
        <v>330</v>
      </c>
      <c r="B445" s="6" t="s">
        <v>34</v>
      </c>
      <c r="C445" s="7">
        <v>45791</v>
      </c>
      <c r="D445" s="6" t="s">
        <v>20</v>
      </c>
      <c r="E445" s="6" t="s">
        <v>21</v>
      </c>
      <c r="F445" s="8">
        <v>2634</v>
      </c>
      <c r="G445" s="8">
        <v>726</v>
      </c>
      <c r="H445" s="8">
        <v>241</v>
      </c>
      <c r="I445" s="8">
        <v>28974</v>
      </c>
      <c r="J445" s="8">
        <v>28102</v>
      </c>
      <c r="K445" s="8">
        <v>277</v>
      </c>
      <c r="L445" s="9" t="s">
        <v>31</v>
      </c>
      <c r="M445" s="9" t="s">
        <v>32</v>
      </c>
    </row>
    <row r="446" spans="1:13" x14ac:dyDescent="0.3">
      <c r="A446" s="5" t="s">
        <v>331</v>
      </c>
      <c r="B446" s="6" t="s">
        <v>34</v>
      </c>
      <c r="C446" s="7">
        <v>45462</v>
      </c>
      <c r="D446" s="6" t="s">
        <v>35</v>
      </c>
      <c r="E446" s="6" t="s">
        <v>36</v>
      </c>
      <c r="F446" s="8">
        <v>4731</v>
      </c>
      <c r="G446" s="8">
        <v>173</v>
      </c>
      <c r="H446" s="8">
        <v>276</v>
      </c>
      <c r="I446" s="8">
        <v>28386</v>
      </c>
      <c r="J446" s="8">
        <v>28185</v>
      </c>
      <c r="K446" s="8">
        <v>89</v>
      </c>
      <c r="L446" s="9" t="s">
        <v>37</v>
      </c>
      <c r="M446" s="9" t="s">
        <v>44</v>
      </c>
    </row>
    <row r="447" spans="1:13" x14ac:dyDescent="0.3">
      <c r="A447" s="5" t="s">
        <v>331</v>
      </c>
      <c r="B447" s="6" t="s">
        <v>34</v>
      </c>
      <c r="C447" s="7">
        <v>45462</v>
      </c>
      <c r="D447" s="6" t="s">
        <v>35</v>
      </c>
      <c r="E447" s="6" t="s">
        <v>36</v>
      </c>
      <c r="F447" s="8">
        <v>4731</v>
      </c>
      <c r="G447" s="8">
        <v>173</v>
      </c>
      <c r="H447" s="8">
        <v>276</v>
      </c>
      <c r="I447" s="8">
        <v>28386</v>
      </c>
      <c r="J447" s="8">
        <v>28185</v>
      </c>
      <c r="K447" s="8">
        <v>89</v>
      </c>
      <c r="L447" s="9" t="s">
        <v>22</v>
      </c>
      <c r="M447" s="9" t="s">
        <v>44</v>
      </c>
    </row>
    <row r="448" spans="1:13" x14ac:dyDescent="0.3">
      <c r="A448" s="5" t="s">
        <v>332</v>
      </c>
      <c r="B448" s="6" t="s">
        <v>14</v>
      </c>
      <c r="C448" s="7">
        <v>45783</v>
      </c>
      <c r="D448" s="6" t="s">
        <v>40</v>
      </c>
      <c r="E448" s="6" t="s">
        <v>41</v>
      </c>
      <c r="F448" s="8">
        <v>1952</v>
      </c>
      <c r="G448" s="8">
        <v>344</v>
      </c>
      <c r="H448" s="8">
        <v>287</v>
      </c>
      <c r="I448" s="8">
        <v>15616</v>
      </c>
      <c r="J448" s="8">
        <v>15403</v>
      </c>
      <c r="K448" s="8">
        <v>235</v>
      </c>
      <c r="L448" s="9" t="s">
        <v>17</v>
      </c>
      <c r="M448" s="9" t="s">
        <v>32</v>
      </c>
    </row>
    <row r="449" spans="1:13" x14ac:dyDescent="0.3">
      <c r="A449" s="5" t="s">
        <v>332</v>
      </c>
      <c r="B449" s="6" t="s">
        <v>14</v>
      </c>
      <c r="C449" s="7">
        <v>45783</v>
      </c>
      <c r="D449" s="6" t="s">
        <v>40</v>
      </c>
      <c r="E449" s="6" t="s">
        <v>41</v>
      </c>
      <c r="F449" s="8">
        <v>1952</v>
      </c>
      <c r="G449" s="8">
        <v>344</v>
      </c>
      <c r="H449" s="8">
        <v>287</v>
      </c>
      <c r="I449" s="8">
        <v>15616</v>
      </c>
      <c r="J449" s="8">
        <v>15403</v>
      </c>
      <c r="K449" s="8">
        <v>235</v>
      </c>
      <c r="L449" s="9" t="s">
        <v>22</v>
      </c>
      <c r="M449" s="9" t="s">
        <v>32</v>
      </c>
    </row>
    <row r="450" spans="1:13" x14ac:dyDescent="0.3">
      <c r="A450" s="5" t="s">
        <v>333</v>
      </c>
      <c r="B450" s="6" t="s">
        <v>14</v>
      </c>
      <c r="C450" s="7">
        <v>45699</v>
      </c>
      <c r="D450" s="6" t="s">
        <v>50</v>
      </c>
      <c r="E450" s="6" t="s">
        <v>51</v>
      </c>
      <c r="F450" s="8">
        <v>3440</v>
      </c>
      <c r="G450" s="8">
        <v>13</v>
      </c>
      <c r="H450" s="8">
        <v>20</v>
      </c>
      <c r="I450" s="8">
        <v>58480</v>
      </c>
      <c r="J450" s="8">
        <v>58146</v>
      </c>
      <c r="K450" s="8">
        <v>210</v>
      </c>
      <c r="L450" s="9" t="s">
        <v>22</v>
      </c>
      <c r="M450" s="9" t="s">
        <v>18</v>
      </c>
    </row>
    <row r="451" spans="1:13" x14ac:dyDescent="0.3">
      <c r="A451" s="5" t="s">
        <v>333</v>
      </c>
      <c r="B451" s="6" t="s">
        <v>14</v>
      </c>
      <c r="C451" s="7">
        <v>45699</v>
      </c>
      <c r="D451" s="6" t="s">
        <v>50</v>
      </c>
      <c r="E451" s="6" t="s">
        <v>51</v>
      </c>
      <c r="F451" s="8">
        <v>3440</v>
      </c>
      <c r="G451" s="8">
        <v>13</v>
      </c>
      <c r="H451" s="8">
        <v>20</v>
      </c>
      <c r="I451" s="8">
        <v>58480</v>
      </c>
      <c r="J451" s="8">
        <v>58146</v>
      </c>
      <c r="K451" s="8">
        <v>210</v>
      </c>
      <c r="L451" s="9" t="s">
        <v>52</v>
      </c>
      <c r="M451" s="9" t="s">
        <v>18</v>
      </c>
    </row>
    <row r="452" spans="1:13" x14ac:dyDescent="0.3">
      <c r="A452" s="5" t="s">
        <v>334</v>
      </c>
      <c r="B452" s="6" t="s">
        <v>14</v>
      </c>
      <c r="C452" s="7">
        <v>45650</v>
      </c>
      <c r="D452" s="6" t="s">
        <v>20</v>
      </c>
      <c r="E452" s="6" t="s">
        <v>21</v>
      </c>
      <c r="F452" s="8">
        <v>2166</v>
      </c>
      <c r="G452" s="8">
        <v>354</v>
      </c>
      <c r="H452" s="8">
        <v>117</v>
      </c>
      <c r="I452" s="8">
        <v>10830</v>
      </c>
      <c r="J452" s="8">
        <v>10245</v>
      </c>
      <c r="K452" s="8">
        <v>24</v>
      </c>
      <c r="L452" s="9" t="s">
        <v>31</v>
      </c>
      <c r="M452" s="9" t="s">
        <v>18</v>
      </c>
    </row>
    <row r="453" spans="1:13" x14ac:dyDescent="0.3">
      <c r="A453" s="5" t="s">
        <v>334</v>
      </c>
      <c r="B453" s="6" t="s">
        <v>14</v>
      </c>
      <c r="C453" s="7">
        <v>45650</v>
      </c>
      <c r="D453" s="6" t="s">
        <v>20</v>
      </c>
      <c r="E453" s="6" t="s">
        <v>21</v>
      </c>
      <c r="F453" s="8">
        <v>2166</v>
      </c>
      <c r="G453" s="8">
        <v>354</v>
      </c>
      <c r="H453" s="8">
        <v>117</v>
      </c>
      <c r="I453" s="8">
        <v>10830</v>
      </c>
      <c r="J453" s="8">
        <v>10245</v>
      </c>
      <c r="K453" s="8">
        <v>24</v>
      </c>
      <c r="L453" s="9" t="s">
        <v>37</v>
      </c>
      <c r="M453" s="9" t="s">
        <v>18</v>
      </c>
    </row>
    <row r="454" spans="1:13" x14ac:dyDescent="0.3">
      <c r="A454" s="5" t="s">
        <v>335</v>
      </c>
      <c r="B454" s="6" t="s">
        <v>34</v>
      </c>
      <c r="C454" s="7">
        <v>45589</v>
      </c>
      <c r="D454" s="6" t="s">
        <v>40</v>
      </c>
      <c r="E454" s="6" t="s">
        <v>41</v>
      </c>
      <c r="F454" s="8">
        <v>4303</v>
      </c>
      <c r="G454" s="8">
        <v>451</v>
      </c>
      <c r="H454" s="8">
        <v>286</v>
      </c>
      <c r="I454" s="8">
        <v>86060</v>
      </c>
      <c r="J454" s="8">
        <v>85823</v>
      </c>
      <c r="K454" s="8">
        <v>14</v>
      </c>
      <c r="L454" s="9" t="s">
        <v>17</v>
      </c>
      <c r="M454" s="9" t="s">
        <v>23</v>
      </c>
    </row>
    <row r="455" spans="1:13" x14ac:dyDescent="0.3">
      <c r="A455" s="5" t="s">
        <v>336</v>
      </c>
      <c r="B455" s="6" t="s">
        <v>34</v>
      </c>
      <c r="C455" s="7">
        <v>45530</v>
      </c>
      <c r="D455" s="6" t="s">
        <v>40</v>
      </c>
      <c r="E455" s="6" t="s">
        <v>41</v>
      </c>
      <c r="F455" s="8">
        <v>2581</v>
      </c>
      <c r="G455" s="8">
        <v>517</v>
      </c>
      <c r="H455" s="8">
        <v>117</v>
      </c>
      <c r="I455" s="8">
        <v>23229</v>
      </c>
      <c r="J455" s="8">
        <v>22331</v>
      </c>
      <c r="K455" s="8">
        <v>70</v>
      </c>
      <c r="L455" s="9" t="s">
        <v>17</v>
      </c>
      <c r="M455" s="9" t="s">
        <v>23</v>
      </c>
    </row>
    <row r="456" spans="1:13" x14ac:dyDescent="0.3">
      <c r="A456" s="5" t="s">
        <v>336</v>
      </c>
      <c r="B456" s="6" t="s">
        <v>34</v>
      </c>
      <c r="C456" s="7">
        <v>45530</v>
      </c>
      <c r="D456" s="6" t="s">
        <v>40</v>
      </c>
      <c r="E456" s="6" t="s">
        <v>41</v>
      </c>
      <c r="F456" s="8">
        <v>2581</v>
      </c>
      <c r="G456" s="8">
        <v>517</v>
      </c>
      <c r="H456" s="8">
        <v>117</v>
      </c>
      <c r="I456" s="8">
        <v>23229</v>
      </c>
      <c r="J456" s="8">
        <v>22331</v>
      </c>
      <c r="K456" s="8">
        <v>70</v>
      </c>
      <c r="L456" s="9" t="s">
        <v>31</v>
      </c>
      <c r="M456" s="9" t="s">
        <v>23</v>
      </c>
    </row>
    <row r="457" spans="1:13" x14ac:dyDescent="0.3">
      <c r="A457" s="10" t="s">
        <v>337</v>
      </c>
      <c r="B457" s="11" t="s">
        <v>14</v>
      </c>
      <c r="C457" s="12">
        <v>45535</v>
      </c>
      <c r="D457" s="11" t="s">
        <v>35</v>
      </c>
      <c r="E457" s="11" t="s">
        <v>36</v>
      </c>
      <c r="F457" s="13">
        <v>4494</v>
      </c>
      <c r="G457" s="13">
        <v>717</v>
      </c>
      <c r="H457" s="13">
        <v>45</v>
      </c>
      <c r="I457" s="13">
        <v>62916</v>
      </c>
      <c r="J457" s="13">
        <v>62688</v>
      </c>
      <c r="K457" s="13">
        <v>191</v>
      </c>
      <c r="L457" s="14" t="s">
        <v>22</v>
      </c>
      <c r="M457" s="14" t="s">
        <v>18</v>
      </c>
    </row>
  </sheetData>
  <mergeCells count="2">
    <mergeCell ref="O3:Q3"/>
    <mergeCell ref="P12:Q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96F60-4B9C-41E4-A238-D0587E0EA35B}">
  <dimension ref="A1:T457"/>
  <sheetViews>
    <sheetView topLeftCell="I16" workbookViewId="0">
      <selection activeCell="U34" sqref="U34"/>
    </sheetView>
  </sheetViews>
  <sheetFormatPr defaultRowHeight="14.4" x14ac:dyDescent="0.3"/>
  <cols>
    <col min="2" max="2" width="13.6640625" customWidth="1"/>
    <col min="3" max="3" width="12.88671875" customWidth="1"/>
    <col min="12" max="12" width="15.21875" customWidth="1"/>
    <col min="13" max="13" width="17.44140625" customWidth="1"/>
    <col min="14" max="14" width="19.21875" bestFit="1" customWidth="1"/>
    <col min="16" max="16" width="15.77734375" bestFit="1" customWidth="1"/>
    <col min="17" max="17" width="29" bestFit="1" customWidth="1"/>
    <col min="19" max="19" width="12.44140625" customWidth="1"/>
  </cols>
  <sheetData>
    <row r="1" spans="1: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7" t="s">
        <v>341</v>
      </c>
    </row>
    <row r="2" spans="1:18" x14ac:dyDescent="0.3">
      <c r="A2" s="5" t="s">
        <v>13</v>
      </c>
      <c r="B2" s="6" t="s">
        <v>14</v>
      </c>
      <c r="C2" s="7">
        <v>45649</v>
      </c>
      <c r="D2" s="6" t="s">
        <v>15</v>
      </c>
      <c r="E2" s="6" t="s">
        <v>16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9" t="s">
        <v>17</v>
      </c>
      <c r="M2" s="9" t="s">
        <v>18</v>
      </c>
      <c r="N2" s="18">
        <f>SUM(F2,G2,H2)/J2</f>
        <v>9.1764705882352943E-2</v>
      </c>
    </row>
    <row r="3" spans="1:18" x14ac:dyDescent="0.3">
      <c r="A3" s="5" t="s">
        <v>19</v>
      </c>
      <c r="B3" s="6" t="s">
        <v>14</v>
      </c>
      <c r="C3" s="7">
        <v>45750</v>
      </c>
      <c r="D3" s="6" t="s">
        <v>20</v>
      </c>
      <c r="E3" s="6" t="s">
        <v>21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9" t="s">
        <v>22</v>
      </c>
      <c r="M3" s="9" t="s">
        <v>23</v>
      </c>
      <c r="N3" s="18">
        <f t="shared" ref="N3:N66" si="0">SUM(F3,G3,H3)/J3</f>
        <v>7.6666200705155091E-2</v>
      </c>
    </row>
    <row r="4" spans="1:18" x14ac:dyDescent="0.3">
      <c r="A4" s="5" t="s">
        <v>24</v>
      </c>
      <c r="B4" s="6" t="s">
        <v>25</v>
      </c>
      <c r="C4" s="7">
        <v>45789</v>
      </c>
      <c r="D4" s="6" t="s">
        <v>15</v>
      </c>
      <c r="E4" s="6" t="s">
        <v>16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9" t="s">
        <v>22</v>
      </c>
      <c r="M4" s="9" t="s">
        <v>18</v>
      </c>
      <c r="N4" s="18">
        <f t="shared" si="0"/>
        <v>5.6378687364979828E-2</v>
      </c>
      <c r="P4" s="27" t="s">
        <v>343</v>
      </c>
      <c r="Q4" s="27"/>
      <c r="R4" s="27"/>
    </row>
    <row r="5" spans="1:18" x14ac:dyDescent="0.3">
      <c r="A5" s="5" t="s">
        <v>24</v>
      </c>
      <c r="B5" s="6" t="s">
        <v>25</v>
      </c>
      <c r="C5" s="7">
        <v>45789</v>
      </c>
      <c r="D5" s="6" t="s">
        <v>15</v>
      </c>
      <c r="E5" s="6" t="s">
        <v>16</v>
      </c>
      <c r="F5" s="8">
        <v>2795</v>
      </c>
      <c r="G5" s="8">
        <v>105</v>
      </c>
      <c r="H5" s="8">
        <v>49</v>
      </c>
      <c r="I5" s="8">
        <v>53105</v>
      </c>
      <c r="J5" s="8">
        <v>52307</v>
      </c>
      <c r="K5" s="8">
        <v>204</v>
      </c>
      <c r="L5" s="9" t="s">
        <v>17</v>
      </c>
      <c r="M5" s="9" t="s">
        <v>18</v>
      </c>
      <c r="N5" s="18">
        <f t="shared" si="0"/>
        <v>5.6378687364979828E-2</v>
      </c>
      <c r="P5" s="15" t="s">
        <v>338</v>
      </c>
      <c r="Q5" t="s">
        <v>342</v>
      </c>
    </row>
    <row r="6" spans="1:18" x14ac:dyDescent="0.3">
      <c r="A6" s="5" t="s">
        <v>26</v>
      </c>
      <c r="B6" s="9" t="s">
        <v>27</v>
      </c>
      <c r="C6" s="7">
        <v>45516</v>
      </c>
      <c r="D6" s="6" t="s">
        <v>28</v>
      </c>
      <c r="E6" s="6" t="s">
        <v>29</v>
      </c>
      <c r="F6" s="8">
        <v>2404</v>
      </c>
      <c r="G6" s="8">
        <v>363</v>
      </c>
      <c r="H6" s="8">
        <v>138</v>
      </c>
      <c r="I6" s="8">
        <v>19232</v>
      </c>
      <c r="J6" s="8">
        <v>18636</v>
      </c>
      <c r="K6" s="8">
        <v>128</v>
      </c>
      <c r="L6" s="9" t="s">
        <v>17</v>
      </c>
      <c r="M6" s="9" t="s">
        <v>18</v>
      </c>
      <c r="N6" s="18">
        <f t="shared" si="0"/>
        <v>0.15588109036273878</v>
      </c>
      <c r="P6" s="16" t="s">
        <v>52</v>
      </c>
      <c r="Q6" s="19">
        <v>1.0555074926507788</v>
      </c>
    </row>
    <row r="7" spans="1:18" x14ac:dyDescent="0.3">
      <c r="A7" s="5" t="s">
        <v>30</v>
      </c>
      <c r="B7" s="6" t="s">
        <v>25</v>
      </c>
      <c r="C7" s="7">
        <v>45469</v>
      </c>
      <c r="D7" s="6" t="s">
        <v>15</v>
      </c>
      <c r="E7" s="6" t="s">
        <v>16</v>
      </c>
      <c r="F7" s="8">
        <v>3557</v>
      </c>
      <c r="G7" s="8">
        <v>687</v>
      </c>
      <c r="H7" s="8">
        <v>424</v>
      </c>
      <c r="I7" s="8">
        <v>71140</v>
      </c>
      <c r="J7" s="8">
        <v>70701</v>
      </c>
      <c r="K7" s="8">
        <v>224</v>
      </c>
      <c r="L7" s="9" t="s">
        <v>31</v>
      </c>
      <c r="M7" s="9" t="s">
        <v>32</v>
      </c>
      <c r="N7" s="18">
        <f t="shared" si="0"/>
        <v>6.6024525820002553E-2</v>
      </c>
      <c r="P7" s="16" t="s">
        <v>22</v>
      </c>
      <c r="Q7" s="19">
        <v>0.1673142926614104</v>
      </c>
    </row>
    <row r="8" spans="1:18" x14ac:dyDescent="0.3">
      <c r="A8" s="5" t="s">
        <v>30</v>
      </c>
      <c r="B8" s="6" t="s">
        <v>25</v>
      </c>
      <c r="C8" s="7">
        <v>45469</v>
      </c>
      <c r="D8" s="6" t="s">
        <v>15</v>
      </c>
      <c r="E8" s="6" t="s">
        <v>16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9" t="s">
        <v>22</v>
      </c>
      <c r="M8" s="9" t="s">
        <v>32</v>
      </c>
      <c r="N8" s="18">
        <f t="shared" si="0"/>
        <v>6.6024525820002553E-2</v>
      </c>
      <c r="P8" s="16" t="s">
        <v>17</v>
      </c>
      <c r="Q8" s="19">
        <v>0.17470142881937181</v>
      </c>
    </row>
    <row r="9" spans="1:18" x14ac:dyDescent="0.3">
      <c r="A9" s="5" t="s">
        <v>33</v>
      </c>
      <c r="B9" s="6" t="s">
        <v>34</v>
      </c>
      <c r="C9" s="7">
        <v>45596</v>
      </c>
      <c r="D9" s="6" t="s">
        <v>35</v>
      </c>
      <c r="E9" s="6" t="s">
        <v>36</v>
      </c>
      <c r="F9" s="8">
        <v>2945</v>
      </c>
      <c r="G9" s="8">
        <v>930</v>
      </c>
      <c r="H9" s="8">
        <v>355</v>
      </c>
      <c r="I9" s="8">
        <v>23560</v>
      </c>
      <c r="J9" s="8">
        <v>23275</v>
      </c>
      <c r="K9" s="8">
        <v>256</v>
      </c>
      <c r="L9" s="9" t="s">
        <v>37</v>
      </c>
      <c r="M9" s="9" t="s">
        <v>23</v>
      </c>
      <c r="N9" s="18">
        <f t="shared" si="0"/>
        <v>0.18174006444683136</v>
      </c>
      <c r="P9" s="16" t="s">
        <v>37</v>
      </c>
      <c r="Q9" s="19">
        <v>0.15656649759766211</v>
      </c>
    </row>
    <row r="10" spans="1:18" x14ac:dyDescent="0.3">
      <c r="A10" s="5" t="s">
        <v>38</v>
      </c>
      <c r="B10" s="6" t="s">
        <v>14</v>
      </c>
      <c r="C10" s="7">
        <v>45467</v>
      </c>
      <c r="D10" s="6" t="s">
        <v>35</v>
      </c>
      <c r="E10" s="6" t="s">
        <v>36</v>
      </c>
      <c r="F10" s="8">
        <v>3860</v>
      </c>
      <c r="G10" s="8">
        <v>201</v>
      </c>
      <c r="H10" s="8">
        <v>279</v>
      </c>
      <c r="I10" s="8">
        <v>61760</v>
      </c>
      <c r="J10" s="8">
        <v>61660</v>
      </c>
      <c r="K10" s="8">
        <v>235</v>
      </c>
      <c r="L10" s="9" t="s">
        <v>37</v>
      </c>
      <c r="M10" s="9" t="s">
        <v>32</v>
      </c>
      <c r="N10" s="18">
        <f t="shared" si="0"/>
        <v>7.0385987674343176E-2</v>
      </c>
      <c r="P10" s="16" t="s">
        <v>31</v>
      </c>
      <c r="Q10" s="19">
        <v>1.4385457745906978</v>
      </c>
    </row>
    <row r="11" spans="1:18" x14ac:dyDescent="0.3">
      <c r="A11" s="5" t="s">
        <v>39</v>
      </c>
      <c r="B11" s="6" t="s">
        <v>25</v>
      </c>
      <c r="C11" s="7">
        <v>45486</v>
      </c>
      <c r="D11" s="6" t="s">
        <v>40</v>
      </c>
      <c r="E11" s="6" t="s">
        <v>41</v>
      </c>
      <c r="F11" s="8">
        <v>3929</v>
      </c>
      <c r="G11" s="8">
        <v>262</v>
      </c>
      <c r="H11" s="8">
        <v>278</v>
      </c>
      <c r="I11" s="8">
        <v>43219</v>
      </c>
      <c r="J11" s="8">
        <v>42841</v>
      </c>
      <c r="K11" s="8">
        <v>39</v>
      </c>
      <c r="L11" s="9" t="s">
        <v>22</v>
      </c>
      <c r="M11" s="9" t="s">
        <v>32</v>
      </c>
      <c r="N11" s="18">
        <f t="shared" si="0"/>
        <v>0.10431595901122756</v>
      </c>
      <c r="P11" s="16" t="s">
        <v>339</v>
      </c>
      <c r="Q11" s="19">
        <v>0.61247061981328021</v>
      </c>
    </row>
    <row r="12" spans="1:18" x14ac:dyDescent="0.3">
      <c r="A12" s="5" t="s">
        <v>39</v>
      </c>
      <c r="B12" s="6" t="s">
        <v>25</v>
      </c>
      <c r="C12" s="7">
        <v>45486</v>
      </c>
      <c r="D12" s="6" t="s">
        <v>40</v>
      </c>
      <c r="E12" s="6" t="s">
        <v>41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9" t="s">
        <v>17</v>
      </c>
      <c r="M12" s="9" t="s">
        <v>32</v>
      </c>
      <c r="N12" s="18">
        <f t="shared" si="0"/>
        <v>0.10431595901122756</v>
      </c>
    </row>
    <row r="13" spans="1:18" x14ac:dyDescent="0.3">
      <c r="A13" s="5" t="s">
        <v>42</v>
      </c>
      <c r="B13" s="6" t="s">
        <v>34</v>
      </c>
      <c r="C13" s="7">
        <v>45534</v>
      </c>
      <c r="D13" s="6" t="s">
        <v>20</v>
      </c>
      <c r="E13" s="6" t="s">
        <v>21</v>
      </c>
      <c r="F13" s="8">
        <v>3784</v>
      </c>
      <c r="G13" s="8">
        <v>808</v>
      </c>
      <c r="H13" s="8">
        <v>404</v>
      </c>
      <c r="I13" s="8">
        <v>56760</v>
      </c>
      <c r="J13" s="8">
        <v>56343</v>
      </c>
      <c r="K13" s="8">
        <v>131</v>
      </c>
      <c r="L13" s="9" t="s">
        <v>22</v>
      </c>
      <c r="M13" s="9" t="s">
        <v>32</v>
      </c>
      <c r="N13" s="18">
        <f t="shared" si="0"/>
        <v>8.8671174768826647E-2</v>
      </c>
    </row>
    <row r="14" spans="1:18" x14ac:dyDescent="0.3">
      <c r="A14" s="5" t="s">
        <v>42</v>
      </c>
      <c r="B14" s="6" t="s">
        <v>34</v>
      </c>
      <c r="C14" s="7">
        <v>45534</v>
      </c>
      <c r="D14" s="6" t="s">
        <v>20</v>
      </c>
      <c r="E14" s="6" t="s">
        <v>21</v>
      </c>
      <c r="F14" s="8">
        <v>3784</v>
      </c>
      <c r="G14" s="8">
        <v>808</v>
      </c>
      <c r="H14" s="8">
        <v>404</v>
      </c>
      <c r="I14" s="8">
        <v>56760</v>
      </c>
      <c r="J14" s="8">
        <v>56343</v>
      </c>
      <c r="K14" s="8">
        <v>131</v>
      </c>
      <c r="L14" s="9" t="s">
        <v>17</v>
      </c>
      <c r="M14" s="9" t="s">
        <v>32</v>
      </c>
      <c r="N14" s="18">
        <f t="shared" si="0"/>
        <v>8.8671174768826647E-2</v>
      </c>
    </row>
    <row r="15" spans="1:18" x14ac:dyDescent="0.3">
      <c r="A15" s="5" t="s">
        <v>43</v>
      </c>
      <c r="B15" s="6" t="s">
        <v>34</v>
      </c>
      <c r="C15" s="7">
        <v>45727</v>
      </c>
      <c r="D15" s="6" t="s">
        <v>40</v>
      </c>
      <c r="E15" s="6" t="s">
        <v>41</v>
      </c>
      <c r="F15" s="8">
        <v>4241</v>
      </c>
      <c r="G15" s="8">
        <v>902</v>
      </c>
      <c r="H15" s="8">
        <v>47</v>
      </c>
      <c r="I15" s="8">
        <v>72097</v>
      </c>
      <c r="J15" s="8">
        <v>71598</v>
      </c>
      <c r="K15" s="8">
        <v>167</v>
      </c>
      <c r="L15" s="9" t="s">
        <v>37</v>
      </c>
      <c r="M15" s="9" t="s">
        <v>44</v>
      </c>
      <c r="N15" s="18">
        <f t="shared" si="0"/>
        <v>7.2488058325651555E-2</v>
      </c>
    </row>
    <row r="16" spans="1:18" x14ac:dyDescent="0.3">
      <c r="A16" s="5" t="s">
        <v>45</v>
      </c>
      <c r="B16" s="6" t="s">
        <v>27</v>
      </c>
      <c r="C16" s="7">
        <v>45690</v>
      </c>
      <c r="D16" s="6" t="s">
        <v>28</v>
      </c>
      <c r="E16" s="6" t="s">
        <v>29</v>
      </c>
      <c r="F16" s="8">
        <v>1792</v>
      </c>
      <c r="G16" s="8">
        <v>614</v>
      </c>
      <c r="H16" s="8">
        <v>497</v>
      </c>
      <c r="I16" s="8">
        <v>25088</v>
      </c>
      <c r="J16" s="8">
        <v>24675</v>
      </c>
      <c r="K16" s="8">
        <v>65</v>
      </c>
      <c r="L16" s="9" t="s">
        <v>31</v>
      </c>
      <c r="M16" s="9" t="s">
        <v>18</v>
      </c>
      <c r="N16" s="18">
        <f t="shared" si="0"/>
        <v>0.11764944275582573</v>
      </c>
    </row>
    <row r="17" spans="1:20" x14ac:dyDescent="0.3">
      <c r="A17" s="5" t="s">
        <v>46</v>
      </c>
      <c r="B17" s="6" t="s">
        <v>34</v>
      </c>
      <c r="C17" s="7">
        <v>45494</v>
      </c>
      <c r="D17" s="6" t="s">
        <v>15</v>
      </c>
      <c r="E17" s="6" t="s">
        <v>16</v>
      </c>
      <c r="F17" s="8">
        <v>1946</v>
      </c>
      <c r="G17" s="8">
        <v>686</v>
      </c>
      <c r="H17" s="8">
        <v>377</v>
      </c>
      <c r="I17" s="8">
        <v>23352</v>
      </c>
      <c r="J17" s="8">
        <v>22982</v>
      </c>
      <c r="K17" s="8">
        <v>213</v>
      </c>
      <c r="L17" s="9" t="s">
        <v>31</v>
      </c>
      <c r="M17" s="9" t="s">
        <v>32</v>
      </c>
      <c r="N17" s="18">
        <f t="shared" si="0"/>
        <v>0.13092855278043686</v>
      </c>
    </row>
    <row r="18" spans="1:20" x14ac:dyDescent="0.3">
      <c r="A18" s="5" t="s">
        <v>46</v>
      </c>
      <c r="B18" s="6" t="s">
        <v>34</v>
      </c>
      <c r="C18" s="7">
        <v>45494</v>
      </c>
      <c r="D18" s="6" t="s">
        <v>15</v>
      </c>
      <c r="E18" s="6" t="s">
        <v>16</v>
      </c>
      <c r="F18" s="8">
        <v>1946</v>
      </c>
      <c r="G18" s="8">
        <v>686</v>
      </c>
      <c r="H18" s="8">
        <v>377</v>
      </c>
      <c r="I18" s="8">
        <v>23352</v>
      </c>
      <c r="J18" s="8">
        <v>22982</v>
      </c>
      <c r="K18" s="8">
        <v>213</v>
      </c>
      <c r="L18" s="9" t="s">
        <v>17</v>
      </c>
      <c r="M18" s="9" t="s">
        <v>32</v>
      </c>
      <c r="N18" s="18">
        <f t="shared" si="0"/>
        <v>0.13092855278043686</v>
      </c>
    </row>
    <row r="19" spans="1:20" x14ac:dyDescent="0.3">
      <c r="A19" s="5" t="s">
        <v>47</v>
      </c>
      <c r="B19" s="6" t="s">
        <v>25</v>
      </c>
      <c r="C19" s="7">
        <v>45614</v>
      </c>
      <c r="D19" s="6" t="s">
        <v>35</v>
      </c>
      <c r="E19" s="6" t="s">
        <v>36</v>
      </c>
      <c r="F19" s="8">
        <v>1171</v>
      </c>
      <c r="G19" s="8">
        <v>286</v>
      </c>
      <c r="H19" s="8">
        <v>231</v>
      </c>
      <c r="I19" s="8">
        <v>22249</v>
      </c>
      <c r="J19" s="8">
        <v>21282</v>
      </c>
      <c r="K19" s="8">
        <v>114</v>
      </c>
      <c r="L19" s="9" t="s">
        <v>22</v>
      </c>
      <c r="M19" s="9" t="s">
        <v>44</v>
      </c>
      <c r="N19" s="18">
        <f t="shared" si="0"/>
        <v>7.9315853773141626E-2</v>
      </c>
    </row>
    <row r="20" spans="1:20" x14ac:dyDescent="0.3">
      <c r="A20" s="5" t="s">
        <v>48</v>
      </c>
      <c r="B20" s="6" t="s">
        <v>34</v>
      </c>
      <c r="C20" s="7">
        <v>45704</v>
      </c>
      <c r="D20" s="6" t="s">
        <v>28</v>
      </c>
      <c r="E20" s="6" t="s">
        <v>29</v>
      </c>
      <c r="F20" s="8">
        <v>4242</v>
      </c>
      <c r="G20" s="8">
        <v>555</v>
      </c>
      <c r="H20" s="8">
        <v>131</v>
      </c>
      <c r="I20" s="8">
        <v>33936</v>
      </c>
      <c r="J20" s="8">
        <v>33802</v>
      </c>
      <c r="K20" s="8">
        <v>265</v>
      </c>
      <c r="L20" s="9" t="s">
        <v>17</v>
      </c>
      <c r="M20" s="9" t="s">
        <v>32</v>
      </c>
      <c r="N20" s="18">
        <f t="shared" si="0"/>
        <v>0.14579018992958998</v>
      </c>
    </row>
    <row r="21" spans="1:20" x14ac:dyDescent="0.3">
      <c r="A21" s="5" t="s">
        <v>48</v>
      </c>
      <c r="B21" s="6" t="s">
        <v>34</v>
      </c>
      <c r="C21" s="7">
        <v>45704</v>
      </c>
      <c r="D21" s="6" t="s">
        <v>28</v>
      </c>
      <c r="E21" s="6" t="s">
        <v>29</v>
      </c>
      <c r="F21" s="8">
        <v>4242</v>
      </c>
      <c r="G21" s="8">
        <v>555</v>
      </c>
      <c r="H21" s="8">
        <v>131</v>
      </c>
      <c r="I21" s="8">
        <v>33936</v>
      </c>
      <c r="J21" s="8">
        <v>33802</v>
      </c>
      <c r="K21" s="8">
        <v>265</v>
      </c>
      <c r="L21" s="9" t="s">
        <v>22</v>
      </c>
      <c r="M21" s="9" t="s">
        <v>32</v>
      </c>
      <c r="N21" s="18">
        <f t="shared" si="0"/>
        <v>0.14579018992958998</v>
      </c>
    </row>
    <row r="22" spans="1:20" x14ac:dyDescent="0.3">
      <c r="A22" s="5" t="s">
        <v>49</v>
      </c>
      <c r="B22" s="6" t="s">
        <v>34</v>
      </c>
      <c r="C22" s="7">
        <v>45589</v>
      </c>
      <c r="D22" s="6" t="s">
        <v>50</v>
      </c>
      <c r="E22" s="6" t="s">
        <v>51</v>
      </c>
      <c r="F22" s="8">
        <v>3888</v>
      </c>
      <c r="G22" s="8">
        <v>604</v>
      </c>
      <c r="H22" s="8">
        <v>128</v>
      </c>
      <c r="I22" s="8">
        <v>77760</v>
      </c>
      <c r="J22" s="8">
        <v>77167</v>
      </c>
      <c r="K22" s="8">
        <v>20</v>
      </c>
      <c r="L22" s="9" t="s">
        <v>22</v>
      </c>
      <c r="M22" s="9" t="s">
        <v>18</v>
      </c>
      <c r="N22" s="18">
        <f t="shared" si="0"/>
        <v>5.9870151748804543E-2</v>
      </c>
    </row>
    <row r="23" spans="1:20" x14ac:dyDescent="0.3">
      <c r="A23" s="5" t="s">
        <v>49</v>
      </c>
      <c r="B23" s="6" t="s">
        <v>34</v>
      </c>
      <c r="C23" s="7">
        <v>45589</v>
      </c>
      <c r="D23" s="6" t="s">
        <v>50</v>
      </c>
      <c r="E23" s="6" t="s">
        <v>51</v>
      </c>
      <c r="F23" s="8">
        <v>3888</v>
      </c>
      <c r="G23" s="8">
        <v>604</v>
      </c>
      <c r="H23" s="8">
        <v>128</v>
      </c>
      <c r="I23" s="8">
        <v>77760</v>
      </c>
      <c r="J23" s="8">
        <v>77167</v>
      </c>
      <c r="K23" s="8">
        <v>20</v>
      </c>
      <c r="L23" s="9" t="s">
        <v>52</v>
      </c>
      <c r="M23" s="9" t="s">
        <v>18</v>
      </c>
      <c r="N23" s="18">
        <f t="shared" si="0"/>
        <v>5.9870151748804543E-2</v>
      </c>
    </row>
    <row r="24" spans="1:20" x14ac:dyDescent="0.3">
      <c r="A24" s="5" t="s">
        <v>53</v>
      </c>
      <c r="B24" s="6" t="s">
        <v>34</v>
      </c>
      <c r="C24" s="7">
        <v>45530</v>
      </c>
      <c r="D24" s="6" t="s">
        <v>20</v>
      </c>
      <c r="E24" s="6" t="s">
        <v>21</v>
      </c>
      <c r="F24" s="8">
        <v>3452</v>
      </c>
      <c r="G24" s="8">
        <v>377</v>
      </c>
      <c r="H24" s="8">
        <v>360</v>
      </c>
      <c r="I24" s="8">
        <v>55232</v>
      </c>
      <c r="J24" s="8">
        <v>55075</v>
      </c>
      <c r="K24" s="8">
        <v>87</v>
      </c>
      <c r="L24" s="9" t="s">
        <v>17</v>
      </c>
      <c r="M24" s="9" t="s">
        <v>32</v>
      </c>
      <c r="N24" s="18">
        <f t="shared" si="0"/>
        <v>7.6059918293236495E-2</v>
      </c>
    </row>
    <row r="25" spans="1:20" x14ac:dyDescent="0.3">
      <c r="A25" s="5" t="s">
        <v>53</v>
      </c>
      <c r="B25" s="6" t="s">
        <v>34</v>
      </c>
      <c r="C25" s="7">
        <v>45530</v>
      </c>
      <c r="D25" s="6" t="s">
        <v>20</v>
      </c>
      <c r="E25" s="6" t="s">
        <v>21</v>
      </c>
      <c r="F25" s="8">
        <v>3452</v>
      </c>
      <c r="G25" s="8">
        <v>377</v>
      </c>
      <c r="H25" s="8">
        <v>360</v>
      </c>
      <c r="I25" s="8">
        <v>55232</v>
      </c>
      <c r="J25" s="8">
        <v>55075</v>
      </c>
      <c r="K25" s="8">
        <v>87</v>
      </c>
      <c r="L25" s="9" t="s">
        <v>52</v>
      </c>
      <c r="M25" s="9" t="s">
        <v>32</v>
      </c>
      <c r="N25" s="18">
        <f t="shared" si="0"/>
        <v>7.6059918293236495E-2</v>
      </c>
    </row>
    <row r="26" spans="1:20" ht="15.6" x14ac:dyDescent="0.3">
      <c r="A26" s="5" t="s">
        <v>54</v>
      </c>
      <c r="B26" s="6" t="s">
        <v>34</v>
      </c>
      <c r="C26" s="7">
        <v>45782</v>
      </c>
      <c r="D26" s="6" t="s">
        <v>20</v>
      </c>
      <c r="E26" s="6" t="s">
        <v>21</v>
      </c>
      <c r="F26" s="8">
        <v>4441</v>
      </c>
      <c r="G26" s="8">
        <v>511</v>
      </c>
      <c r="H26" s="8">
        <v>70</v>
      </c>
      <c r="I26" s="8">
        <v>53292</v>
      </c>
      <c r="J26" s="8">
        <v>53082</v>
      </c>
      <c r="K26" s="8">
        <v>159</v>
      </c>
      <c r="L26" s="9" t="s">
        <v>52</v>
      </c>
      <c r="M26" s="9" t="s">
        <v>32</v>
      </c>
      <c r="N26" s="18">
        <f t="shared" si="0"/>
        <v>9.4608341810783314E-2</v>
      </c>
      <c r="P26" s="34" t="s">
        <v>356</v>
      </c>
      <c r="Q26" s="35"/>
      <c r="R26" s="35"/>
      <c r="S26" s="35"/>
      <c r="T26" s="33"/>
    </row>
    <row r="27" spans="1:20" ht="15.6" x14ac:dyDescent="0.3">
      <c r="A27" s="5" t="s">
        <v>55</v>
      </c>
      <c r="B27" s="6" t="s">
        <v>27</v>
      </c>
      <c r="C27" s="7">
        <v>45523</v>
      </c>
      <c r="D27" s="6" t="s">
        <v>15</v>
      </c>
      <c r="E27" s="6" t="s">
        <v>16</v>
      </c>
      <c r="F27" s="8">
        <v>3000</v>
      </c>
      <c r="G27" s="8">
        <v>382</v>
      </c>
      <c r="H27" s="8">
        <v>325</v>
      </c>
      <c r="I27" s="8">
        <v>36000</v>
      </c>
      <c r="J27" s="8">
        <v>35819</v>
      </c>
      <c r="K27" s="8">
        <v>19</v>
      </c>
      <c r="L27" s="9" t="s">
        <v>31</v>
      </c>
      <c r="M27" s="9" t="s">
        <v>23</v>
      </c>
      <c r="N27" s="18">
        <f t="shared" si="0"/>
        <v>0.10349255981462352</v>
      </c>
      <c r="P27" s="36"/>
      <c r="Q27" s="35"/>
      <c r="R27" s="35"/>
      <c r="S27" s="35"/>
      <c r="T27" s="33"/>
    </row>
    <row r="28" spans="1:20" ht="15.6" x14ac:dyDescent="0.3">
      <c r="A28" s="5" t="s">
        <v>56</v>
      </c>
      <c r="B28" s="6" t="s">
        <v>27</v>
      </c>
      <c r="C28" s="7">
        <v>45466</v>
      </c>
      <c r="D28" s="6" t="s">
        <v>50</v>
      </c>
      <c r="E28" s="6" t="s">
        <v>51</v>
      </c>
      <c r="F28" s="8">
        <v>1071</v>
      </c>
      <c r="G28" s="8">
        <v>519</v>
      </c>
      <c r="H28" s="8">
        <v>22</v>
      </c>
      <c r="I28" s="8">
        <v>16065</v>
      </c>
      <c r="J28" s="8">
        <v>15865</v>
      </c>
      <c r="K28" s="8">
        <v>103</v>
      </c>
      <c r="L28" s="9" t="s">
        <v>17</v>
      </c>
      <c r="M28" s="9" t="s">
        <v>32</v>
      </c>
      <c r="N28" s="18">
        <f t="shared" si="0"/>
        <v>0.10160731169240467</v>
      </c>
      <c r="P28" s="34" t="s">
        <v>357</v>
      </c>
      <c r="Q28" s="35"/>
      <c r="R28" s="35"/>
      <c r="S28" s="35"/>
      <c r="T28" s="33"/>
    </row>
    <row r="29" spans="1:20" ht="15.6" x14ac:dyDescent="0.3">
      <c r="A29" s="5" t="s">
        <v>56</v>
      </c>
      <c r="B29" s="6" t="s">
        <v>27</v>
      </c>
      <c r="C29" s="7">
        <v>45466</v>
      </c>
      <c r="D29" s="6" t="s">
        <v>50</v>
      </c>
      <c r="E29" s="6" t="s">
        <v>51</v>
      </c>
      <c r="F29" s="8">
        <v>1071</v>
      </c>
      <c r="G29" s="8">
        <v>519</v>
      </c>
      <c r="H29" s="8">
        <v>22</v>
      </c>
      <c r="I29" s="8">
        <v>16065</v>
      </c>
      <c r="J29" s="8">
        <v>15865</v>
      </c>
      <c r="K29" s="8">
        <v>103</v>
      </c>
      <c r="L29" s="9" t="s">
        <v>31</v>
      </c>
      <c r="M29" s="9" t="s">
        <v>32</v>
      </c>
      <c r="N29" s="18">
        <f t="shared" si="0"/>
        <v>0.10160731169240467</v>
      </c>
      <c r="P29" s="36"/>
      <c r="Q29" s="35"/>
      <c r="R29" s="35"/>
      <c r="S29" s="35"/>
      <c r="T29" s="33"/>
    </row>
    <row r="30" spans="1:20" ht="15.6" x14ac:dyDescent="0.3">
      <c r="A30" s="5" t="s">
        <v>57</v>
      </c>
      <c r="B30" s="6" t="s">
        <v>27</v>
      </c>
      <c r="C30" s="7">
        <v>45544</v>
      </c>
      <c r="D30" s="6" t="s">
        <v>35</v>
      </c>
      <c r="E30" s="6" t="s">
        <v>36</v>
      </c>
      <c r="F30" s="8">
        <v>4054</v>
      </c>
      <c r="G30" s="8">
        <v>488</v>
      </c>
      <c r="H30" s="8">
        <v>373</v>
      </c>
      <c r="I30" s="8">
        <v>77026</v>
      </c>
      <c r="J30" s="8">
        <v>76881</v>
      </c>
      <c r="K30" s="8">
        <v>25</v>
      </c>
      <c r="L30" s="9" t="s">
        <v>22</v>
      </c>
      <c r="M30" s="9" t="s">
        <v>32</v>
      </c>
      <c r="N30" s="18">
        <f t="shared" si="0"/>
        <v>6.3929969693422309E-2</v>
      </c>
      <c r="P30" s="36" t="s">
        <v>358</v>
      </c>
      <c r="Q30" s="35"/>
      <c r="R30" s="35"/>
      <c r="S30" s="35"/>
      <c r="T30" s="33"/>
    </row>
    <row r="31" spans="1:20" ht="15.6" x14ac:dyDescent="0.3">
      <c r="A31" s="5" t="s">
        <v>57</v>
      </c>
      <c r="B31" s="6" t="s">
        <v>27</v>
      </c>
      <c r="C31" s="7">
        <v>45544</v>
      </c>
      <c r="D31" s="6" t="s">
        <v>35</v>
      </c>
      <c r="E31" s="6" t="s">
        <v>36</v>
      </c>
      <c r="F31" s="8">
        <v>4054</v>
      </c>
      <c r="G31" s="8">
        <v>488</v>
      </c>
      <c r="H31" s="8">
        <v>373</v>
      </c>
      <c r="I31" s="8">
        <v>77026</v>
      </c>
      <c r="J31" s="8">
        <v>76881</v>
      </c>
      <c r="K31" s="8">
        <v>25</v>
      </c>
      <c r="L31" s="9" t="s">
        <v>17</v>
      </c>
      <c r="M31" s="9" t="s">
        <v>32</v>
      </c>
      <c r="N31" s="18">
        <f t="shared" si="0"/>
        <v>6.3929969693422309E-2</v>
      </c>
      <c r="P31" s="36"/>
      <c r="Q31" s="35"/>
      <c r="R31" s="35"/>
      <c r="S31" s="35"/>
      <c r="T31" s="33"/>
    </row>
    <row r="32" spans="1:20" ht="15.6" x14ac:dyDescent="0.3">
      <c r="A32" s="5" t="s">
        <v>58</v>
      </c>
      <c r="B32" s="6" t="s">
        <v>27</v>
      </c>
      <c r="C32" s="7">
        <v>45661</v>
      </c>
      <c r="D32" s="6" t="s">
        <v>15</v>
      </c>
      <c r="E32" s="6" t="s">
        <v>16</v>
      </c>
      <c r="F32" s="8">
        <v>4838</v>
      </c>
      <c r="G32" s="8">
        <v>640</v>
      </c>
      <c r="H32" s="8">
        <v>128</v>
      </c>
      <c r="I32" s="8">
        <v>72570</v>
      </c>
      <c r="J32" s="8">
        <v>72396</v>
      </c>
      <c r="K32" s="8">
        <v>83</v>
      </c>
      <c r="L32" s="9" t="s">
        <v>31</v>
      </c>
      <c r="M32" s="9" t="s">
        <v>32</v>
      </c>
      <c r="N32" s="18">
        <f t="shared" si="0"/>
        <v>7.7435217415326815E-2</v>
      </c>
      <c r="P32" s="34" t="s">
        <v>359</v>
      </c>
      <c r="Q32" s="35"/>
      <c r="R32" s="35"/>
      <c r="S32" s="35"/>
      <c r="T32" s="33"/>
    </row>
    <row r="33" spans="1:19" x14ac:dyDescent="0.3">
      <c r="A33" s="5" t="s">
        <v>58</v>
      </c>
      <c r="B33" s="6" t="s">
        <v>27</v>
      </c>
      <c r="C33" s="7">
        <v>45661</v>
      </c>
      <c r="D33" s="6" t="s">
        <v>15</v>
      </c>
      <c r="E33" s="6" t="s">
        <v>16</v>
      </c>
      <c r="F33" s="8">
        <v>4838</v>
      </c>
      <c r="G33" s="8">
        <v>640</v>
      </c>
      <c r="H33" s="8">
        <v>128</v>
      </c>
      <c r="I33" s="8">
        <v>72570</v>
      </c>
      <c r="J33" s="8">
        <v>72396</v>
      </c>
      <c r="K33" s="8">
        <v>83</v>
      </c>
      <c r="L33" s="9" t="s">
        <v>37</v>
      </c>
      <c r="M33" s="9" t="s">
        <v>32</v>
      </c>
      <c r="N33" s="18">
        <f t="shared" si="0"/>
        <v>7.7435217415326815E-2</v>
      </c>
      <c r="P33" s="37"/>
      <c r="Q33" s="37"/>
      <c r="R33" s="37"/>
      <c r="S33" s="37"/>
    </row>
    <row r="34" spans="1:19" x14ac:dyDescent="0.3">
      <c r="A34" s="5" t="s">
        <v>59</v>
      </c>
      <c r="B34" s="6" t="s">
        <v>34</v>
      </c>
      <c r="C34" s="7">
        <v>45715</v>
      </c>
      <c r="D34" s="6" t="s">
        <v>20</v>
      </c>
      <c r="E34" s="6" t="s">
        <v>21</v>
      </c>
      <c r="F34" s="8">
        <v>1570</v>
      </c>
      <c r="G34" s="8">
        <v>187</v>
      </c>
      <c r="H34" s="8">
        <v>260</v>
      </c>
      <c r="I34" s="8">
        <v>25120</v>
      </c>
      <c r="J34" s="8">
        <v>24613</v>
      </c>
      <c r="K34" s="8">
        <v>133</v>
      </c>
      <c r="L34" s="9" t="s">
        <v>17</v>
      </c>
      <c r="M34" s="9" t="s">
        <v>44</v>
      </c>
      <c r="N34" s="18">
        <f t="shared" si="0"/>
        <v>8.1948563767114943E-2</v>
      </c>
    </row>
    <row r="35" spans="1:19" x14ac:dyDescent="0.3">
      <c r="A35" s="5" t="s">
        <v>60</v>
      </c>
      <c r="B35" s="6" t="s">
        <v>34</v>
      </c>
      <c r="C35" s="7">
        <v>45602</v>
      </c>
      <c r="D35" s="6" t="s">
        <v>50</v>
      </c>
      <c r="E35" s="6" t="s">
        <v>51</v>
      </c>
      <c r="F35" s="8">
        <v>1606</v>
      </c>
      <c r="G35" s="8">
        <v>547</v>
      </c>
      <c r="H35" s="8">
        <v>316</v>
      </c>
      <c r="I35" s="8">
        <v>32120</v>
      </c>
      <c r="J35" s="8">
        <v>31736</v>
      </c>
      <c r="K35" s="8">
        <v>225</v>
      </c>
      <c r="L35" s="9" t="s">
        <v>17</v>
      </c>
      <c r="M35" s="9" t="s">
        <v>32</v>
      </c>
      <c r="N35" s="18">
        <f t="shared" si="0"/>
        <v>7.7798084194605502E-2</v>
      </c>
    </row>
    <row r="36" spans="1:19" x14ac:dyDescent="0.3">
      <c r="A36" s="5" t="s">
        <v>61</v>
      </c>
      <c r="B36" s="6" t="s">
        <v>34</v>
      </c>
      <c r="C36" s="7">
        <v>45680</v>
      </c>
      <c r="D36" s="6" t="s">
        <v>50</v>
      </c>
      <c r="E36" s="6" t="s">
        <v>51</v>
      </c>
      <c r="F36" s="8">
        <v>3961</v>
      </c>
      <c r="G36" s="8">
        <v>761</v>
      </c>
      <c r="H36" s="8">
        <v>131</v>
      </c>
      <c r="I36" s="8">
        <v>67337</v>
      </c>
      <c r="J36" s="8">
        <v>66615</v>
      </c>
      <c r="K36" s="8">
        <v>161</v>
      </c>
      <c r="L36" s="9" t="s">
        <v>37</v>
      </c>
      <c r="M36" s="9" t="s">
        <v>23</v>
      </c>
      <c r="N36" s="18">
        <f t="shared" si="0"/>
        <v>7.2851459881408093E-2</v>
      </c>
    </row>
    <row r="37" spans="1:19" x14ac:dyDescent="0.3">
      <c r="A37" s="5" t="s">
        <v>62</v>
      </c>
      <c r="B37" s="6" t="s">
        <v>14</v>
      </c>
      <c r="C37" s="7">
        <v>45757</v>
      </c>
      <c r="D37" s="6" t="s">
        <v>35</v>
      </c>
      <c r="E37" s="6" t="s">
        <v>36</v>
      </c>
      <c r="F37" s="8">
        <v>3128</v>
      </c>
      <c r="G37" s="8">
        <v>211</v>
      </c>
      <c r="H37" s="8">
        <v>197</v>
      </c>
      <c r="I37" s="8">
        <v>59432</v>
      </c>
      <c r="J37" s="8">
        <v>59182</v>
      </c>
      <c r="K37" s="8">
        <v>238</v>
      </c>
      <c r="L37" s="9" t="s">
        <v>31</v>
      </c>
      <c r="M37" s="9" t="s">
        <v>18</v>
      </c>
      <c r="N37" s="18">
        <f t="shared" si="0"/>
        <v>5.9747896319826972E-2</v>
      </c>
    </row>
    <row r="38" spans="1:19" x14ac:dyDescent="0.3">
      <c r="A38" s="5" t="s">
        <v>62</v>
      </c>
      <c r="B38" s="6" t="s">
        <v>14</v>
      </c>
      <c r="C38" s="7">
        <v>45757</v>
      </c>
      <c r="D38" s="6" t="s">
        <v>35</v>
      </c>
      <c r="E38" s="6" t="s">
        <v>36</v>
      </c>
      <c r="F38" s="8">
        <v>3128</v>
      </c>
      <c r="G38" s="8">
        <v>211</v>
      </c>
      <c r="H38" s="8">
        <v>197</v>
      </c>
      <c r="I38" s="8">
        <v>59432</v>
      </c>
      <c r="J38" s="8">
        <v>59182</v>
      </c>
      <c r="K38" s="8">
        <v>238</v>
      </c>
      <c r="L38" s="9" t="s">
        <v>17</v>
      </c>
      <c r="M38" s="9" t="s">
        <v>18</v>
      </c>
      <c r="N38" s="18">
        <f t="shared" si="0"/>
        <v>5.9747896319826972E-2</v>
      </c>
    </row>
    <row r="39" spans="1:19" x14ac:dyDescent="0.3">
      <c r="A39" s="5" t="s">
        <v>63</v>
      </c>
      <c r="B39" s="6" t="s">
        <v>25</v>
      </c>
      <c r="C39" s="7">
        <v>45752</v>
      </c>
      <c r="D39" s="6" t="s">
        <v>15</v>
      </c>
      <c r="E39" s="6" t="s">
        <v>16</v>
      </c>
      <c r="F39" s="8">
        <v>3009</v>
      </c>
      <c r="G39" s="8">
        <v>413</v>
      </c>
      <c r="H39" s="8">
        <v>358</v>
      </c>
      <c r="I39" s="8">
        <v>42126</v>
      </c>
      <c r="J39" s="8">
        <v>41309</v>
      </c>
      <c r="K39" s="8">
        <v>211</v>
      </c>
      <c r="L39" s="9" t="s">
        <v>17</v>
      </c>
      <c r="M39" s="9" t="s">
        <v>23</v>
      </c>
      <c r="N39" s="18">
        <f t="shared" si="0"/>
        <v>9.1505483066644078E-2</v>
      </c>
    </row>
    <row r="40" spans="1:19" x14ac:dyDescent="0.3">
      <c r="A40" s="5" t="s">
        <v>64</v>
      </c>
      <c r="B40" s="6" t="s">
        <v>25</v>
      </c>
      <c r="C40" s="7">
        <v>45552</v>
      </c>
      <c r="D40" s="6" t="s">
        <v>20</v>
      </c>
      <c r="E40" s="6" t="s">
        <v>21</v>
      </c>
      <c r="F40" s="8">
        <v>2076</v>
      </c>
      <c r="G40" s="8">
        <v>195</v>
      </c>
      <c r="H40" s="8">
        <v>104</v>
      </c>
      <c r="I40" s="8">
        <v>33216</v>
      </c>
      <c r="J40" s="8">
        <v>32244</v>
      </c>
      <c r="K40" s="8">
        <v>51</v>
      </c>
      <c r="L40" s="9" t="s">
        <v>37</v>
      </c>
      <c r="M40" s="9" t="s">
        <v>44</v>
      </c>
      <c r="N40" s="18">
        <f t="shared" si="0"/>
        <v>7.3657114501922832E-2</v>
      </c>
    </row>
    <row r="41" spans="1:19" x14ac:dyDescent="0.3">
      <c r="A41" s="5" t="s">
        <v>65</v>
      </c>
      <c r="B41" s="6" t="s">
        <v>27</v>
      </c>
      <c r="C41" s="7">
        <v>45720</v>
      </c>
      <c r="D41" s="6" t="s">
        <v>50</v>
      </c>
      <c r="E41" s="6" t="s">
        <v>51</v>
      </c>
      <c r="F41" s="8">
        <v>432</v>
      </c>
      <c r="G41" s="8">
        <v>624</v>
      </c>
      <c r="H41" s="8">
        <v>123</v>
      </c>
      <c r="I41" s="8">
        <v>6912</v>
      </c>
      <c r="J41" s="8">
        <v>6259</v>
      </c>
      <c r="K41" s="8">
        <v>79</v>
      </c>
      <c r="L41" s="9" t="s">
        <v>17</v>
      </c>
      <c r="M41" s="9" t="s">
        <v>23</v>
      </c>
      <c r="N41" s="18">
        <f t="shared" si="0"/>
        <v>0.18836874900143794</v>
      </c>
    </row>
    <row r="42" spans="1:19" x14ac:dyDescent="0.3">
      <c r="A42" s="5" t="s">
        <v>65</v>
      </c>
      <c r="B42" s="6" t="s">
        <v>27</v>
      </c>
      <c r="C42" s="7">
        <v>45720</v>
      </c>
      <c r="D42" s="6" t="s">
        <v>50</v>
      </c>
      <c r="E42" s="6" t="s">
        <v>51</v>
      </c>
      <c r="F42" s="8">
        <v>432</v>
      </c>
      <c r="G42" s="8">
        <v>624</v>
      </c>
      <c r="H42" s="8">
        <v>123</v>
      </c>
      <c r="I42" s="8">
        <v>6912</v>
      </c>
      <c r="J42" s="8">
        <v>6259</v>
      </c>
      <c r="K42" s="8">
        <v>79</v>
      </c>
      <c r="L42" s="9" t="s">
        <v>37</v>
      </c>
      <c r="M42" s="9" t="s">
        <v>23</v>
      </c>
      <c r="N42" s="18">
        <f t="shared" si="0"/>
        <v>0.18836874900143794</v>
      </c>
    </row>
    <row r="43" spans="1:19" x14ac:dyDescent="0.3">
      <c r="A43" s="5" t="s">
        <v>66</v>
      </c>
      <c r="B43" s="6" t="s">
        <v>27</v>
      </c>
      <c r="C43" s="7">
        <v>45688</v>
      </c>
      <c r="D43" s="6" t="s">
        <v>35</v>
      </c>
      <c r="E43" s="6" t="s">
        <v>36</v>
      </c>
      <c r="F43" s="8">
        <v>2566</v>
      </c>
      <c r="G43" s="8">
        <v>118</v>
      </c>
      <c r="H43" s="8">
        <v>37</v>
      </c>
      <c r="I43" s="8">
        <v>12830</v>
      </c>
      <c r="J43" s="8">
        <v>12264</v>
      </c>
      <c r="K43" s="8">
        <v>221</v>
      </c>
      <c r="L43" s="9" t="s">
        <v>37</v>
      </c>
      <c r="M43" s="9" t="s">
        <v>32</v>
      </c>
      <c r="N43" s="18">
        <f t="shared" si="0"/>
        <v>0.22186888454011741</v>
      </c>
    </row>
    <row r="44" spans="1:19" x14ac:dyDescent="0.3">
      <c r="A44" s="5" t="s">
        <v>66</v>
      </c>
      <c r="B44" s="6" t="s">
        <v>27</v>
      </c>
      <c r="C44" s="7">
        <v>45688</v>
      </c>
      <c r="D44" s="6" t="s">
        <v>35</v>
      </c>
      <c r="E44" s="6" t="s">
        <v>36</v>
      </c>
      <c r="F44" s="8">
        <v>2566</v>
      </c>
      <c r="G44" s="8">
        <v>118</v>
      </c>
      <c r="H44" s="8">
        <v>37</v>
      </c>
      <c r="I44" s="8">
        <v>12830</v>
      </c>
      <c r="J44" s="8">
        <v>12264</v>
      </c>
      <c r="K44" s="8">
        <v>221</v>
      </c>
      <c r="L44" s="9" t="s">
        <v>22</v>
      </c>
      <c r="M44" s="9" t="s">
        <v>32</v>
      </c>
      <c r="N44" s="18">
        <f t="shared" si="0"/>
        <v>0.22186888454011741</v>
      </c>
    </row>
    <row r="45" spans="1:19" x14ac:dyDescent="0.3">
      <c r="A45" s="5" t="s">
        <v>67</v>
      </c>
      <c r="B45" s="6" t="s">
        <v>27</v>
      </c>
      <c r="C45" s="7">
        <v>45713</v>
      </c>
      <c r="D45" s="6" t="s">
        <v>50</v>
      </c>
      <c r="E45" s="6" t="s">
        <v>51</v>
      </c>
      <c r="F45" s="8">
        <v>3095</v>
      </c>
      <c r="G45" s="8">
        <v>39</v>
      </c>
      <c r="H45" s="8">
        <v>78</v>
      </c>
      <c r="I45" s="8">
        <v>55710</v>
      </c>
      <c r="J45" s="8">
        <v>54808</v>
      </c>
      <c r="K45" s="8">
        <v>93</v>
      </c>
      <c r="L45" s="9" t="s">
        <v>17</v>
      </c>
      <c r="M45" s="9" t="s">
        <v>44</v>
      </c>
      <c r="N45" s="18">
        <f t="shared" si="0"/>
        <v>5.8604583272514964E-2</v>
      </c>
    </row>
    <row r="46" spans="1:19" x14ac:dyDescent="0.3">
      <c r="A46" s="5" t="s">
        <v>68</v>
      </c>
      <c r="B46" s="6" t="s">
        <v>27</v>
      </c>
      <c r="C46" s="7">
        <v>45642</v>
      </c>
      <c r="D46" s="6" t="s">
        <v>20</v>
      </c>
      <c r="E46" s="6" t="s">
        <v>21</v>
      </c>
      <c r="F46" s="8">
        <v>438</v>
      </c>
      <c r="G46" s="8">
        <v>153</v>
      </c>
      <c r="H46" s="8">
        <v>275</v>
      </c>
      <c r="I46" s="8">
        <v>3066</v>
      </c>
      <c r="J46" s="8">
        <v>2701</v>
      </c>
      <c r="K46" s="8">
        <v>282</v>
      </c>
      <c r="L46" s="9" t="s">
        <v>37</v>
      </c>
      <c r="M46" s="9" t="s">
        <v>44</v>
      </c>
      <c r="N46" s="18">
        <f t="shared" si="0"/>
        <v>0.32062199185486856</v>
      </c>
    </row>
    <row r="47" spans="1:19" x14ac:dyDescent="0.3">
      <c r="A47" s="5" t="s">
        <v>69</v>
      </c>
      <c r="B47" s="6" t="s">
        <v>14</v>
      </c>
      <c r="C47" s="7">
        <v>45504</v>
      </c>
      <c r="D47" s="6" t="s">
        <v>35</v>
      </c>
      <c r="E47" s="6" t="s">
        <v>36</v>
      </c>
      <c r="F47" s="8">
        <v>2278</v>
      </c>
      <c r="G47" s="8">
        <v>10</v>
      </c>
      <c r="H47" s="8">
        <v>321</v>
      </c>
      <c r="I47" s="8">
        <v>13668</v>
      </c>
      <c r="J47" s="8">
        <v>12676</v>
      </c>
      <c r="K47" s="8">
        <v>275</v>
      </c>
      <c r="L47" s="9" t="s">
        <v>37</v>
      </c>
      <c r="M47" s="9" t="s">
        <v>44</v>
      </c>
      <c r="N47" s="18">
        <f t="shared" si="0"/>
        <v>0.20582202587567056</v>
      </c>
    </row>
    <row r="48" spans="1:19" x14ac:dyDescent="0.3">
      <c r="A48" s="5" t="s">
        <v>69</v>
      </c>
      <c r="B48" s="6" t="s">
        <v>14</v>
      </c>
      <c r="C48" s="7">
        <v>45504</v>
      </c>
      <c r="D48" s="6" t="s">
        <v>35</v>
      </c>
      <c r="E48" s="6" t="s">
        <v>36</v>
      </c>
      <c r="F48" s="8">
        <v>2278</v>
      </c>
      <c r="G48" s="8">
        <v>10</v>
      </c>
      <c r="H48" s="8">
        <v>321</v>
      </c>
      <c r="I48" s="8">
        <v>13668</v>
      </c>
      <c r="J48" s="8">
        <v>12676</v>
      </c>
      <c r="K48" s="8">
        <v>275</v>
      </c>
      <c r="L48" s="9" t="s">
        <v>22</v>
      </c>
      <c r="M48" s="9" t="s">
        <v>44</v>
      </c>
      <c r="N48" s="18">
        <f t="shared" si="0"/>
        <v>0.20582202587567056</v>
      </c>
    </row>
    <row r="49" spans="1:14" x14ac:dyDescent="0.3">
      <c r="A49" s="5" t="s">
        <v>70</v>
      </c>
      <c r="B49" s="6" t="s">
        <v>34</v>
      </c>
      <c r="C49" s="7">
        <v>45525</v>
      </c>
      <c r="D49" s="6" t="s">
        <v>40</v>
      </c>
      <c r="E49" s="6" t="s">
        <v>41</v>
      </c>
      <c r="F49" s="8">
        <v>1407</v>
      </c>
      <c r="G49" s="8">
        <v>400</v>
      </c>
      <c r="H49" s="8">
        <v>351</v>
      </c>
      <c r="I49" s="8">
        <v>16884</v>
      </c>
      <c r="J49" s="8">
        <v>15954</v>
      </c>
      <c r="K49" s="8">
        <v>113</v>
      </c>
      <c r="L49" s="9" t="s">
        <v>22</v>
      </c>
      <c r="M49" s="9" t="s">
        <v>32</v>
      </c>
      <c r="N49" s="18">
        <f t="shared" si="0"/>
        <v>0.13526388366553843</v>
      </c>
    </row>
    <row r="50" spans="1:14" x14ac:dyDescent="0.3">
      <c r="A50" s="5" t="s">
        <v>70</v>
      </c>
      <c r="B50" s="6" t="s">
        <v>34</v>
      </c>
      <c r="C50" s="7">
        <v>45525</v>
      </c>
      <c r="D50" s="6" t="s">
        <v>40</v>
      </c>
      <c r="E50" s="6" t="s">
        <v>41</v>
      </c>
      <c r="F50" s="8">
        <v>1407</v>
      </c>
      <c r="G50" s="8">
        <v>400</v>
      </c>
      <c r="H50" s="8">
        <v>351</v>
      </c>
      <c r="I50" s="8">
        <v>16884</v>
      </c>
      <c r="J50" s="8">
        <v>15954</v>
      </c>
      <c r="K50" s="8">
        <v>113</v>
      </c>
      <c r="L50" s="9" t="s">
        <v>52</v>
      </c>
      <c r="M50" s="9" t="s">
        <v>32</v>
      </c>
      <c r="N50" s="18">
        <f t="shared" si="0"/>
        <v>0.13526388366553843</v>
      </c>
    </row>
    <row r="51" spans="1:14" x14ac:dyDescent="0.3">
      <c r="A51" s="5" t="s">
        <v>71</v>
      </c>
      <c r="B51" s="6" t="s">
        <v>34</v>
      </c>
      <c r="C51" s="7">
        <v>45742</v>
      </c>
      <c r="D51" s="6" t="s">
        <v>20</v>
      </c>
      <c r="E51" s="6" t="s">
        <v>21</v>
      </c>
      <c r="F51" s="8">
        <v>1652</v>
      </c>
      <c r="G51" s="8">
        <v>89</v>
      </c>
      <c r="H51" s="8">
        <v>357</v>
      </c>
      <c r="I51" s="8">
        <v>29736</v>
      </c>
      <c r="J51" s="8">
        <v>28771</v>
      </c>
      <c r="K51" s="8">
        <v>215</v>
      </c>
      <c r="L51" s="9" t="s">
        <v>37</v>
      </c>
      <c r="M51" s="9" t="s">
        <v>23</v>
      </c>
      <c r="N51" s="18">
        <f t="shared" si="0"/>
        <v>7.2920649264884785E-2</v>
      </c>
    </row>
    <row r="52" spans="1:14" x14ac:dyDescent="0.3">
      <c r="A52" s="5" t="s">
        <v>71</v>
      </c>
      <c r="B52" s="6" t="s">
        <v>34</v>
      </c>
      <c r="C52" s="7">
        <v>45742</v>
      </c>
      <c r="D52" s="6" t="s">
        <v>20</v>
      </c>
      <c r="E52" s="6" t="s">
        <v>21</v>
      </c>
      <c r="F52" s="8">
        <v>1652</v>
      </c>
      <c r="G52" s="8">
        <v>89</v>
      </c>
      <c r="H52" s="8">
        <v>357</v>
      </c>
      <c r="I52" s="8">
        <v>29736</v>
      </c>
      <c r="J52" s="8">
        <v>28771</v>
      </c>
      <c r="K52" s="8">
        <v>215</v>
      </c>
      <c r="L52" s="9" t="s">
        <v>52</v>
      </c>
      <c r="M52" s="9" t="s">
        <v>23</v>
      </c>
      <c r="N52" s="18">
        <f t="shared" si="0"/>
        <v>7.2920649264884785E-2</v>
      </c>
    </row>
    <row r="53" spans="1:14" x14ac:dyDescent="0.3">
      <c r="A53" s="5" t="s">
        <v>72</v>
      </c>
      <c r="B53" s="6" t="s">
        <v>27</v>
      </c>
      <c r="C53" s="7">
        <v>45626</v>
      </c>
      <c r="D53" s="6" t="s">
        <v>50</v>
      </c>
      <c r="E53" s="6" t="s">
        <v>51</v>
      </c>
      <c r="F53" s="8">
        <v>3775</v>
      </c>
      <c r="G53" s="8">
        <v>16</v>
      </c>
      <c r="H53" s="8">
        <v>239</v>
      </c>
      <c r="I53" s="8">
        <v>33975</v>
      </c>
      <c r="J53" s="8">
        <v>33310</v>
      </c>
      <c r="K53" s="8">
        <v>271</v>
      </c>
      <c r="L53" s="9" t="s">
        <v>31</v>
      </c>
      <c r="M53" s="9" t="s">
        <v>32</v>
      </c>
      <c r="N53" s="18">
        <f t="shared" si="0"/>
        <v>0.12098468928249775</v>
      </c>
    </row>
    <row r="54" spans="1:14" x14ac:dyDescent="0.3">
      <c r="A54" s="5" t="s">
        <v>72</v>
      </c>
      <c r="B54" s="6" t="s">
        <v>27</v>
      </c>
      <c r="C54" s="7">
        <v>45626</v>
      </c>
      <c r="D54" s="6" t="s">
        <v>50</v>
      </c>
      <c r="E54" s="6" t="s">
        <v>51</v>
      </c>
      <c r="F54" s="8">
        <v>3775</v>
      </c>
      <c r="G54" s="8">
        <v>16</v>
      </c>
      <c r="H54" s="8">
        <v>239</v>
      </c>
      <c r="I54" s="8">
        <v>33975</v>
      </c>
      <c r="J54" s="8">
        <v>33310</v>
      </c>
      <c r="K54" s="8">
        <v>271</v>
      </c>
      <c r="L54" s="9" t="s">
        <v>17</v>
      </c>
      <c r="M54" s="9" t="s">
        <v>32</v>
      </c>
      <c r="N54" s="18">
        <f t="shared" si="0"/>
        <v>0.12098468928249775</v>
      </c>
    </row>
    <row r="55" spans="1:14" x14ac:dyDescent="0.3">
      <c r="A55" s="5" t="s">
        <v>73</v>
      </c>
      <c r="B55" s="6" t="s">
        <v>27</v>
      </c>
      <c r="C55" s="7">
        <v>45766</v>
      </c>
      <c r="D55" s="6" t="s">
        <v>28</v>
      </c>
      <c r="E55" s="6" t="s">
        <v>29</v>
      </c>
      <c r="F55" s="8">
        <v>4518</v>
      </c>
      <c r="G55" s="8">
        <v>285</v>
      </c>
      <c r="H55" s="8">
        <v>383</v>
      </c>
      <c r="I55" s="8">
        <v>67770</v>
      </c>
      <c r="J55" s="8">
        <v>67621</v>
      </c>
      <c r="K55" s="8">
        <v>31</v>
      </c>
      <c r="L55" s="9" t="s">
        <v>52</v>
      </c>
      <c r="M55" s="9" t="s">
        <v>23</v>
      </c>
      <c r="N55" s="18">
        <f t="shared" si="0"/>
        <v>7.6692151846319931E-2</v>
      </c>
    </row>
    <row r="56" spans="1:14" x14ac:dyDescent="0.3">
      <c r="A56" s="5" t="s">
        <v>74</v>
      </c>
      <c r="B56" s="6" t="s">
        <v>34</v>
      </c>
      <c r="C56" s="7">
        <v>45663</v>
      </c>
      <c r="D56" s="6" t="s">
        <v>35</v>
      </c>
      <c r="E56" s="6" t="s">
        <v>36</v>
      </c>
      <c r="F56" s="8">
        <v>3024</v>
      </c>
      <c r="G56" s="8">
        <v>925</v>
      </c>
      <c r="H56" s="8">
        <v>350</v>
      </c>
      <c r="I56" s="8">
        <v>24192</v>
      </c>
      <c r="J56" s="8">
        <v>23518</v>
      </c>
      <c r="K56" s="8">
        <v>36</v>
      </c>
      <c r="L56" s="9" t="s">
        <v>17</v>
      </c>
      <c r="M56" s="9" t="s">
        <v>32</v>
      </c>
      <c r="N56" s="18">
        <f t="shared" si="0"/>
        <v>0.18279615613572583</v>
      </c>
    </row>
    <row r="57" spans="1:14" x14ac:dyDescent="0.3">
      <c r="A57" s="5" t="s">
        <v>75</v>
      </c>
      <c r="B57" s="6" t="s">
        <v>25</v>
      </c>
      <c r="C57" s="7">
        <v>45705</v>
      </c>
      <c r="D57" s="6" t="s">
        <v>15</v>
      </c>
      <c r="E57" s="6" t="s">
        <v>16</v>
      </c>
      <c r="F57" s="8">
        <v>3138</v>
      </c>
      <c r="G57" s="8">
        <v>123</v>
      </c>
      <c r="H57" s="8">
        <v>291</v>
      </c>
      <c r="I57" s="8">
        <v>28242</v>
      </c>
      <c r="J57" s="8">
        <v>27550</v>
      </c>
      <c r="K57" s="8">
        <v>87</v>
      </c>
      <c r="L57" s="9" t="s">
        <v>52</v>
      </c>
      <c r="M57" s="9" t="s">
        <v>44</v>
      </c>
      <c r="N57" s="18">
        <f t="shared" si="0"/>
        <v>0.12892921960072595</v>
      </c>
    </row>
    <row r="58" spans="1:14" x14ac:dyDescent="0.3">
      <c r="A58" s="5" t="s">
        <v>76</v>
      </c>
      <c r="B58" s="6" t="s">
        <v>34</v>
      </c>
      <c r="C58" s="7">
        <v>45621</v>
      </c>
      <c r="D58" s="6" t="s">
        <v>40</v>
      </c>
      <c r="E58" s="6" t="s">
        <v>41</v>
      </c>
      <c r="F58" s="8">
        <v>3564</v>
      </c>
      <c r="G58" s="8">
        <v>629</v>
      </c>
      <c r="H58" s="8">
        <v>177</v>
      </c>
      <c r="I58" s="8">
        <v>60588</v>
      </c>
      <c r="J58" s="8">
        <v>59627</v>
      </c>
      <c r="K58" s="8">
        <v>92</v>
      </c>
      <c r="L58" s="9" t="s">
        <v>52</v>
      </c>
      <c r="M58" s="9" t="s">
        <v>32</v>
      </c>
      <c r="N58" s="18">
        <f t="shared" si="0"/>
        <v>7.3288946282724268E-2</v>
      </c>
    </row>
    <row r="59" spans="1:14" x14ac:dyDescent="0.3">
      <c r="A59" s="5" t="s">
        <v>76</v>
      </c>
      <c r="B59" s="6" t="s">
        <v>34</v>
      </c>
      <c r="C59" s="7">
        <v>45621</v>
      </c>
      <c r="D59" s="6" t="s">
        <v>40</v>
      </c>
      <c r="E59" s="6" t="s">
        <v>41</v>
      </c>
      <c r="F59" s="8">
        <v>3564</v>
      </c>
      <c r="G59" s="8">
        <v>629</v>
      </c>
      <c r="H59" s="8">
        <v>177</v>
      </c>
      <c r="I59" s="8">
        <v>60588</v>
      </c>
      <c r="J59" s="8">
        <v>59627</v>
      </c>
      <c r="K59" s="8">
        <v>92</v>
      </c>
      <c r="L59" s="9" t="s">
        <v>17</v>
      </c>
      <c r="M59" s="9" t="s">
        <v>32</v>
      </c>
      <c r="N59" s="18">
        <f t="shared" si="0"/>
        <v>7.3288946282724268E-2</v>
      </c>
    </row>
    <row r="60" spans="1:14" x14ac:dyDescent="0.3">
      <c r="A60" s="5" t="s">
        <v>77</v>
      </c>
      <c r="B60" s="6" t="s">
        <v>14</v>
      </c>
      <c r="C60" s="7">
        <v>45723</v>
      </c>
      <c r="D60" s="6" t="s">
        <v>40</v>
      </c>
      <c r="E60" s="6" t="s">
        <v>41</v>
      </c>
      <c r="F60" s="8">
        <v>4750</v>
      </c>
      <c r="G60" s="8">
        <v>151</v>
      </c>
      <c r="H60" s="8">
        <v>415</v>
      </c>
      <c r="I60" s="8">
        <v>38000</v>
      </c>
      <c r="J60" s="8">
        <v>37792</v>
      </c>
      <c r="K60" s="8">
        <v>299</v>
      </c>
      <c r="L60" s="9" t="s">
        <v>31</v>
      </c>
      <c r="M60" s="9" t="s">
        <v>23</v>
      </c>
      <c r="N60" s="18">
        <f t="shared" si="0"/>
        <v>0.14066469093988146</v>
      </c>
    </row>
    <row r="61" spans="1:14" x14ac:dyDescent="0.3">
      <c r="A61" s="5" t="s">
        <v>77</v>
      </c>
      <c r="B61" s="6" t="s">
        <v>14</v>
      </c>
      <c r="C61" s="7">
        <v>45723</v>
      </c>
      <c r="D61" s="6" t="s">
        <v>40</v>
      </c>
      <c r="E61" s="6" t="s">
        <v>41</v>
      </c>
      <c r="F61" s="8">
        <v>4750</v>
      </c>
      <c r="G61" s="8">
        <v>151</v>
      </c>
      <c r="H61" s="8">
        <v>415</v>
      </c>
      <c r="I61" s="8">
        <v>38000</v>
      </c>
      <c r="J61" s="8">
        <v>37792</v>
      </c>
      <c r="K61" s="8">
        <v>299</v>
      </c>
      <c r="L61" s="9" t="s">
        <v>17</v>
      </c>
      <c r="M61" s="9" t="s">
        <v>23</v>
      </c>
      <c r="N61" s="18">
        <f t="shared" si="0"/>
        <v>0.14066469093988146</v>
      </c>
    </row>
    <row r="62" spans="1:14" x14ac:dyDescent="0.3">
      <c r="A62" s="5" t="s">
        <v>78</v>
      </c>
      <c r="B62" s="6" t="s">
        <v>27</v>
      </c>
      <c r="C62" s="7">
        <v>45724</v>
      </c>
      <c r="D62" s="6" t="s">
        <v>15</v>
      </c>
      <c r="E62" s="6" t="s">
        <v>16</v>
      </c>
      <c r="F62" s="8">
        <v>456</v>
      </c>
      <c r="G62" s="8">
        <v>629</v>
      </c>
      <c r="H62" s="8">
        <v>428</v>
      </c>
      <c r="I62" s="8">
        <v>8208</v>
      </c>
      <c r="J62" s="8">
        <v>7377</v>
      </c>
      <c r="K62" s="8">
        <v>205</v>
      </c>
      <c r="L62" s="9" t="s">
        <v>17</v>
      </c>
      <c r="M62" s="9" t="s">
        <v>32</v>
      </c>
      <c r="N62" s="18">
        <f t="shared" si="0"/>
        <v>0.20509692286837466</v>
      </c>
    </row>
    <row r="63" spans="1:14" x14ac:dyDescent="0.3">
      <c r="A63" s="5" t="s">
        <v>78</v>
      </c>
      <c r="B63" s="6" t="s">
        <v>27</v>
      </c>
      <c r="C63" s="7">
        <v>45724</v>
      </c>
      <c r="D63" s="6" t="s">
        <v>15</v>
      </c>
      <c r="E63" s="6" t="s">
        <v>16</v>
      </c>
      <c r="F63" s="8">
        <v>456</v>
      </c>
      <c r="G63" s="8">
        <v>629</v>
      </c>
      <c r="H63" s="8">
        <v>428</v>
      </c>
      <c r="I63" s="8">
        <v>8208</v>
      </c>
      <c r="J63" s="8">
        <v>7377</v>
      </c>
      <c r="K63" s="8">
        <v>205</v>
      </c>
      <c r="L63" s="9" t="s">
        <v>52</v>
      </c>
      <c r="M63" s="9" t="s">
        <v>32</v>
      </c>
      <c r="N63" s="18">
        <f t="shared" si="0"/>
        <v>0.20509692286837466</v>
      </c>
    </row>
    <row r="64" spans="1:14" x14ac:dyDescent="0.3">
      <c r="A64" s="5" t="s">
        <v>79</v>
      </c>
      <c r="B64" s="6" t="s">
        <v>25</v>
      </c>
      <c r="C64" s="7">
        <v>45721</v>
      </c>
      <c r="D64" s="6" t="s">
        <v>15</v>
      </c>
      <c r="E64" s="6" t="s">
        <v>16</v>
      </c>
      <c r="F64" s="8">
        <v>1543</v>
      </c>
      <c r="G64" s="8">
        <v>820</v>
      </c>
      <c r="H64" s="8">
        <v>333</v>
      </c>
      <c r="I64" s="8">
        <v>12344</v>
      </c>
      <c r="J64" s="8">
        <v>11496</v>
      </c>
      <c r="K64" s="8">
        <v>241</v>
      </c>
      <c r="L64" s="9" t="s">
        <v>31</v>
      </c>
      <c r="M64" s="9" t="s">
        <v>32</v>
      </c>
      <c r="N64" s="18">
        <f t="shared" si="0"/>
        <v>0.23451635351426584</v>
      </c>
    </row>
    <row r="65" spans="1:14" x14ac:dyDescent="0.3">
      <c r="A65" s="5" t="s">
        <v>80</v>
      </c>
      <c r="B65" s="6" t="s">
        <v>27</v>
      </c>
      <c r="C65" s="7">
        <v>45640</v>
      </c>
      <c r="D65" s="6" t="s">
        <v>35</v>
      </c>
      <c r="E65" s="6" t="s">
        <v>36</v>
      </c>
      <c r="F65" s="8">
        <v>2174</v>
      </c>
      <c r="G65" s="8">
        <v>658</v>
      </c>
      <c r="H65" s="8">
        <v>15</v>
      </c>
      <c r="I65" s="8">
        <v>13044</v>
      </c>
      <c r="J65" s="8">
        <v>12206</v>
      </c>
      <c r="K65" s="8">
        <v>137</v>
      </c>
      <c r="L65" s="9" t="s">
        <v>17</v>
      </c>
      <c r="M65" s="9" t="s">
        <v>44</v>
      </c>
      <c r="N65" s="18">
        <f t="shared" si="0"/>
        <v>0.23324594461740128</v>
      </c>
    </row>
    <row r="66" spans="1:14" x14ac:dyDescent="0.3">
      <c r="A66" s="5" t="s">
        <v>80</v>
      </c>
      <c r="B66" s="6" t="s">
        <v>27</v>
      </c>
      <c r="C66" s="7">
        <v>45640</v>
      </c>
      <c r="D66" s="6" t="s">
        <v>35</v>
      </c>
      <c r="E66" s="6" t="s">
        <v>36</v>
      </c>
      <c r="F66" s="8">
        <v>2174</v>
      </c>
      <c r="G66" s="8">
        <v>658</v>
      </c>
      <c r="H66" s="8">
        <v>15</v>
      </c>
      <c r="I66" s="8">
        <v>13044</v>
      </c>
      <c r="J66" s="8">
        <v>12206</v>
      </c>
      <c r="K66" s="8">
        <v>137</v>
      </c>
      <c r="L66" s="9" t="s">
        <v>22</v>
      </c>
      <c r="M66" s="9" t="s">
        <v>44</v>
      </c>
      <c r="N66" s="18">
        <f t="shared" si="0"/>
        <v>0.23324594461740128</v>
      </c>
    </row>
    <row r="67" spans="1:14" x14ac:dyDescent="0.3">
      <c r="A67" s="5" t="s">
        <v>81</v>
      </c>
      <c r="B67" s="6" t="s">
        <v>14</v>
      </c>
      <c r="C67" s="7">
        <v>45718</v>
      </c>
      <c r="D67" s="6" t="s">
        <v>40</v>
      </c>
      <c r="E67" s="6" t="s">
        <v>41</v>
      </c>
      <c r="F67" s="8">
        <v>2358</v>
      </c>
      <c r="G67" s="8">
        <v>784</v>
      </c>
      <c r="H67" s="8">
        <v>344</v>
      </c>
      <c r="I67" s="8">
        <v>35370</v>
      </c>
      <c r="J67" s="8">
        <v>34475</v>
      </c>
      <c r="K67" s="8">
        <v>216</v>
      </c>
      <c r="L67" s="9" t="s">
        <v>17</v>
      </c>
      <c r="M67" s="9" t="s">
        <v>18</v>
      </c>
      <c r="N67" s="18">
        <f t="shared" ref="N67:N130" si="1">SUM(F67,G67,H67)/J67</f>
        <v>0.10111675126903553</v>
      </c>
    </row>
    <row r="68" spans="1:14" x14ac:dyDescent="0.3">
      <c r="A68" s="5" t="s">
        <v>81</v>
      </c>
      <c r="B68" s="6" t="s">
        <v>14</v>
      </c>
      <c r="C68" s="7">
        <v>45718</v>
      </c>
      <c r="D68" s="6" t="s">
        <v>40</v>
      </c>
      <c r="E68" s="6" t="s">
        <v>41</v>
      </c>
      <c r="F68" s="8">
        <v>2358</v>
      </c>
      <c r="G68" s="8">
        <v>784</v>
      </c>
      <c r="H68" s="8">
        <v>344</v>
      </c>
      <c r="I68" s="8">
        <v>35370</v>
      </c>
      <c r="J68" s="8">
        <v>34475</v>
      </c>
      <c r="K68" s="8">
        <v>216</v>
      </c>
      <c r="L68" s="9" t="s">
        <v>31</v>
      </c>
      <c r="M68" s="9" t="s">
        <v>18</v>
      </c>
      <c r="N68" s="18">
        <f t="shared" si="1"/>
        <v>0.10111675126903553</v>
      </c>
    </row>
    <row r="69" spans="1:14" x14ac:dyDescent="0.3">
      <c r="A69" s="5" t="s">
        <v>82</v>
      </c>
      <c r="B69" s="6" t="s">
        <v>34</v>
      </c>
      <c r="C69" s="7">
        <v>45597</v>
      </c>
      <c r="D69" s="6" t="s">
        <v>50</v>
      </c>
      <c r="E69" s="6" t="s">
        <v>51</v>
      </c>
      <c r="F69" s="8">
        <v>3371</v>
      </c>
      <c r="G69" s="8">
        <v>106</v>
      </c>
      <c r="H69" s="8">
        <v>327</v>
      </c>
      <c r="I69" s="8">
        <v>50565</v>
      </c>
      <c r="J69" s="8">
        <v>49816</v>
      </c>
      <c r="K69" s="8">
        <v>176</v>
      </c>
      <c r="L69" s="9" t="s">
        <v>52</v>
      </c>
      <c r="M69" s="9" t="s">
        <v>44</v>
      </c>
      <c r="N69" s="18">
        <f t="shared" si="1"/>
        <v>7.636100851132166E-2</v>
      </c>
    </row>
    <row r="70" spans="1:14" x14ac:dyDescent="0.3">
      <c r="A70" s="5" t="s">
        <v>83</v>
      </c>
      <c r="B70" s="6" t="s">
        <v>14</v>
      </c>
      <c r="C70" s="7">
        <v>45779</v>
      </c>
      <c r="D70" s="6" t="s">
        <v>50</v>
      </c>
      <c r="E70" s="6" t="s">
        <v>51</v>
      </c>
      <c r="F70" s="8">
        <v>1108</v>
      </c>
      <c r="G70" s="8">
        <v>177</v>
      </c>
      <c r="H70" s="8">
        <v>212</v>
      </c>
      <c r="I70" s="8">
        <v>8864</v>
      </c>
      <c r="J70" s="8">
        <v>8710</v>
      </c>
      <c r="K70" s="8">
        <v>97</v>
      </c>
      <c r="L70" s="9" t="s">
        <v>22</v>
      </c>
      <c r="M70" s="9" t="s">
        <v>44</v>
      </c>
      <c r="N70" s="18">
        <f t="shared" si="1"/>
        <v>0.17187141216991964</v>
      </c>
    </row>
    <row r="71" spans="1:14" x14ac:dyDescent="0.3">
      <c r="A71" s="5" t="s">
        <v>84</v>
      </c>
      <c r="B71" s="6" t="s">
        <v>14</v>
      </c>
      <c r="C71" s="7">
        <v>45712</v>
      </c>
      <c r="D71" s="6" t="s">
        <v>35</v>
      </c>
      <c r="E71" s="6" t="s">
        <v>36</v>
      </c>
      <c r="F71" s="8">
        <v>2704</v>
      </c>
      <c r="G71" s="8">
        <v>752</v>
      </c>
      <c r="H71" s="8">
        <v>153</v>
      </c>
      <c r="I71" s="8">
        <v>21632</v>
      </c>
      <c r="J71" s="8">
        <v>20792</v>
      </c>
      <c r="K71" s="8">
        <v>127</v>
      </c>
      <c r="L71" s="9" t="s">
        <v>52</v>
      </c>
      <c r="M71" s="9" t="s">
        <v>18</v>
      </c>
      <c r="N71" s="18">
        <f t="shared" si="1"/>
        <v>0.17357637552904964</v>
      </c>
    </row>
    <row r="72" spans="1:14" x14ac:dyDescent="0.3">
      <c r="A72" s="5" t="s">
        <v>84</v>
      </c>
      <c r="B72" s="6" t="s">
        <v>14</v>
      </c>
      <c r="C72" s="7">
        <v>45712</v>
      </c>
      <c r="D72" s="6" t="s">
        <v>35</v>
      </c>
      <c r="E72" s="6" t="s">
        <v>36</v>
      </c>
      <c r="F72" s="8">
        <v>2704</v>
      </c>
      <c r="G72" s="8">
        <v>752</v>
      </c>
      <c r="H72" s="8">
        <v>153</v>
      </c>
      <c r="I72" s="8">
        <v>21632</v>
      </c>
      <c r="J72" s="8">
        <v>20792</v>
      </c>
      <c r="K72" s="8">
        <v>127</v>
      </c>
      <c r="L72" s="9" t="s">
        <v>22</v>
      </c>
      <c r="M72" s="9" t="s">
        <v>18</v>
      </c>
      <c r="N72" s="18">
        <f t="shared" si="1"/>
        <v>0.17357637552904964</v>
      </c>
    </row>
    <row r="73" spans="1:14" x14ac:dyDescent="0.3">
      <c r="A73" s="5" t="s">
        <v>85</v>
      </c>
      <c r="B73" s="6" t="s">
        <v>14</v>
      </c>
      <c r="C73" s="7">
        <v>45727</v>
      </c>
      <c r="D73" s="6" t="s">
        <v>28</v>
      </c>
      <c r="E73" s="6" t="s">
        <v>29</v>
      </c>
      <c r="F73" s="8">
        <v>1950</v>
      </c>
      <c r="G73" s="8">
        <v>295</v>
      </c>
      <c r="H73" s="8">
        <v>478</v>
      </c>
      <c r="I73" s="8">
        <v>37050</v>
      </c>
      <c r="J73" s="8">
        <v>36272</v>
      </c>
      <c r="K73" s="8">
        <v>119</v>
      </c>
      <c r="L73" s="9" t="s">
        <v>22</v>
      </c>
      <c r="M73" s="9" t="s">
        <v>44</v>
      </c>
      <c r="N73" s="18">
        <f t="shared" si="1"/>
        <v>7.5071680635200699E-2</v>
      </c>
    </row>
    <row r="74" spans="1:14" x14ac:dyDescent="0.3">
      <c r="A74" s="5" t="s">
        <v>85</v>
      </c>
      <c r="B74" s="6" t="s">
        <v>14</v>
      </c>
      <c r="C74" s="7">
        <v>45727</v>
      </c>
      <c r="D74" s="6" t="s">
        <v>28</v>
      </c>
      <c r="E74" s="6" t="s">
        <v>29</v>
      </c>
      <c r="F74" s="8">
        <v>1950</v>
      </c>
      <c r="G74" s="8">
        <v>295</v>
      </c>
      <c r="H74" s="8">
        <v>478</v>
      </c>
      <c r="I74" s="8">
        <v>37050</v>
      </c>
      <c r="J74" s="8">
        <v>36272</v>
      </c>
      <c r="K74" s="8">
        <v>119</v>
      </c>
      <c r="L74" s="9" t="s">
        <v>31</v>
      </c>
      <c r="M74" s="9" t="s">
        <v>44</v>
      </c>
      <c r="N74" s="18">
        <f t="shared" si="1"/>
        <v>7.5071680635200699E-2</v>
      </c>
    </row>
    <row r="75" spans="1:14" x14ac:dyDescent="0.3">
      <c r="A75" s="5" t="s">
        <v>86</v>
      </c>
      <c r="B75" s="6" t="s">
        <v>14</v>
      </c>
      <c r="C75" s="7">
        <v>45453</v>
      </c>
      <c r="D75" s="6" t="s">
        <v>28</v>
      </c>
      <c r="E75" s="6" t="s">
        <v>29</v>
      </c>
      <c r="F75" s="8">
        <v>2164</v>
      </c>
      <c r="G75" s="8">
        <v>549</v>
      </c>
      <c r="H75" s="8">
        <v>274</v>
      </c>
      <c r="I75" s="8">
        <v>28132</v>
      </c>
      <c r="J75" s="8">
        <v>27361</v>
      </c>
      <c r="K75" s="8">
        <v>177</v>
      </c>
      <c r="L75" s="9" t="s">
        <v>31</v>
      </c>
      <c r="M75" s="9" t="s">
        <v>18</v>
      </c>
      <c r="N75" s="18">
        <f t="shared" si="1"/>
        <v>0.10916998647710245</v>
      </c>
    </row>
    <row r="76" spans="1:14" x14ac:dyDescent="0.3">
      <c r="A76" s="5" t="s">
        <v>87</v>
      </c>
      <c r="B76" s="6" t="s">
        <v>25</v>
      </c>
      <c r="C76" s="7">
        <v>45476</v>
      </c>
      <c r="D76" s="6" t="s">
        <v>28</v>
      </c>
      <c r="E76" s="6" t="s">
        <v>29</v>
      </c>
      <c r="F76" s="8">
        <v>2754</v>
      </c>
      <c r="G76" s="8">
        <v>130</v>
      </c>
      <c r="H76" s="8">
        <v>90</v>
      </c>
      <c r="I76" s="8">
        <v>22032</v>
      </c>
      <c r="J76" s="8">
        <v>21288</v>
      </c>
      <c r="K76" s="8">
        <v>112</v>
      </c>
      <c r="L76" s="9" t="s">
        <v>22</v>
      </c>
      <c r="M76" s="9" t="s">
        <v>18</v>
      </c>
      <c r="N76" s="18">
        <f t="shared" si="1"/>
        <v>0.13970311912814731</v>
      </c>
    </row>
    <row r="77" spans="1:14" x14ac:dyDescent="0.3">
      <c r="A77" s="5" t="s">
        <v>88</v>
      </c>
      <c r="B77" s="6" t="s">
        <v>34</v>
      </c>
      <c r="C77" s="7">
        <v>45456</v>
      </c>
      <c r="D77" s="6" t="s">
        <v>35</v>
      </c>
      <c r="E77" s="6" t="s">
        <v>36</v>
      </c>
      <c r="F77" s="8">
        <v>2200</v>
      </c>
      <c r="G77" s="8">
        <v>504</v>
      </c>
      <c r="H77" s="8">
        <v>239</v>
      </c>
      <c r="I77" s="8">
        <v>37400</v>
      </c>
      <c r="J77" s="8">
        <v>36938</v>
      </c>
      <c r="K77" s="8">
        <v>225</v>
      </c>
      <c r="L77" s="9" t="s">
        <v>17</v>
      </c>
      <c r="M77" s="9" t="s">
        <v>32</v>
      </c>
      <c r="N77" s="18">
        <f t="shared" si="1"/>
        <v>7.967404840543614E-2</v>
      </c>
    </row>
    <row r="78" spans="1:14" x14ac:dyDescent="0.3">
      <c r="A78" s="5" t="s">
        <v>89</v>
      </c>
      <c r="B78" s="6" t="s">
        <v>34</v>
      </c>
      <c r="C78" s="7">
        <v>45660</v>
      </c>
      <c r="D78" s="6" t="s">
        <v>40</v>
      </c>
      <c r="E78" s="6" t="s">
        <v>41</v>
      </c>
      <c r="F78" s="8">
        <v>947</v>
      </c>
      <c r="G78" s="8">
        <v>338</v>
      </c>
      <c r="H78" s="8">
        <v>350</v>
      </c>
      <c r="I78" s="8">
        <v>10417</v>
      </c>
      <c r="J78" s="8">
        <v>9730</v>
      </c>
      <c r="K78" s="8">
        <v>34</v>
      </c>
      <c r="L78" s="9" t="s">
        <v>22</v>
      </c>
      <c r="M78" s="9" t="s">
        <v>32</v>
      </c>
      <c r="N78" s="18">
        <f t="shared" si="1"/>
        <v>0.16803699897225077</v>
      </c>
    </row>
    <row r="79" spans="1:14" x14ac:dyDescent="0.3">
      <c r="A79" s="5" t="s">
        <v>89</v>
      </c>
      <c r="B79" s="6" t="s">
        <v>34</v>
      </c>
      <c r="C79" s="7">
        <v>45660</v>
      </c>
      <c r="D79" s="6" t="s">
        <v>40</v>
      </c>
      <c r="E79" s="6" t="s">
        <v>41</v>
      </c>
      <c r="F79" s="8">
        <v>947</v>
      </c>
      <c r="G79" s="8">
        <v>338</v>
      </c>
      <c r="H79" s="8">
        <v>350</v>
      </c>
      <c r="I79" s="8">
        <v>10417</v>
      </c>
      <c r="J79" s="8">
        <v>9730</v>
      </c>
      <c r="K79" s="8">
        <v>34</v>
      </c>
      <c r="L79" s="9" t="s">
        <v>17</v>
      </c>
      <c r="M79" s="9" t="s">
        <v>32</v>
      </c>
      <c r="N79" s="18">
        <f t="shared" si="1"/>
        <v>0.16803699897225077</v>
      </c>
    </row>
    <row r="80" spans="1:14" x14ac:dyDescent="0.3">
      <c r="A80" s="5" t="s">
        <v>90</v>
      </c>
      <c r="B80" s="6" t="s">
        <v>25</v>
      </c>
      <c r="C80" s="7">
        <v>45712</v>
      </c>
      <c r="D80" s="6" t="s">
        <v>35</v>
      </c>
      <c r="E80" s="6" t="s">
        <v>36</v>
      </c>
      <c r="F80" s="8">
        <v>804</v>
      </c>
      <c r="G80" s="8">
        <v>639</v>
      </c>
      <c r="H80" s="8">
        <v>43</v>
      </c>
      <c r="I80" s="8">
        <v>4020</v>
      </c>
      <c r="J80" s="8">
        <v>3144</v>
      </c>
      <c r="K80" s="8">
        <v>11</v>
      </c>
      <c r="L80" s="9" t="s">
        <v>31</v>
      </c>
      <c r="M80" s="9" t="s">
        <v>44</v>
      </c>
      <c r="N80" s="18">
        <f t="shared" si="1"/>
        <v>0.47264631043256999</v>
      </c>
    </row>
    <row r="81" spans="1:14" x14ac:dyDescent="0.3">
      <c r="A81" s="5" t="s">
        <v>90</v>
      </c>
      <c r="B81" s="6" t="s">
        <v>25</v>
      </c>
      <c r="C81" s="7">
        <v>45712</v>
      </c>
      <c r="D81" s="6" t="s">
        <v>35</v>
      </c>
      <c r="E81" s="6" t="s">
        <v>36</v>
      </c>
      <c r="F81" s="8">
        <v>804</v>
      </c>
      <c r="G81" s="8">
        <v>639</v>
      </c>
      <c r="H81" s="8">
        <v>43</v>
      </c>
      <c r="I81" s="8">
        <v>4020</v>
      </c>
      <c r="J81" s="8">
        <v>3144</v>
      </c>
      <c r="K81" s="8">
        <v>11</v>
      </c>
      <c r="L81" s="9" t="s">
        <v>37</v>
      </c>
      <c r="M81" s="9" t="s">
        <v>44</v>
      </c>
      <c r="N81" s="18">
        <f t="shared" si="1"/>
        <v>0.47264631043256999</v>
      </c>
    </row>
    <row r="82" spans="1:14" x14ac:dyDescent="0.3">
      <c r="A82" s="5" t="s">
        <v>91</v>
      </c>
      <c r="B82" s="6" t="s">
        <v>25</v>
      </c>
      <c r="C82" s="7">
        <v>45729</v>
      </c>
      <c r="D82" s="6" t="s">
        <v>35</v>
      </c>
      <c r="E82" s="6" t="s">
        <v>36</v>
      </c>
      <c r="F82" s="8">
        <v>1686</v>
      </c>
      <c r="G82" s="8">
        <v>904</v>
      </c>
      <c r="H82" s="8">
        <v>472</v>
      </c>
      <c r="I82" s="8">
        <v>18546</v>
      </c>
      <c r="J82" s="8">
        <v>18171</v>
      </c>
      <c r="K82" s="8">
        <v>52</v>
      </c>
      <c r="L82" s="9" t="s">
        <v>22</v>
      </c>
      <c r="M82" s="9" t="s">
        <v>23</v>
      </c>
      <c r="N82" s="18">
        <f t="shared" si="1"/>
        <v>0.16851026360684607</v>
      </c>
    </row>
    <row r="83" spans="1:14" x14ac:dyDescent="0.3">
      <c r="A83" s="5" t="s">
        <v>91</v>
      </c>
      <c r="B83" s="6" t="s">
        <v>25</v>
      </c>
      <c r="C83" s="7">
        <v>45729</v>
      </c>
      <c r="D83" s="6" t="s">
        <v>35</v>
      </c>
      <c r="E83" s="6" t="s">
        <v>36</v>
      </c>
      <c r="F83" s="8">
        <v>1686</v>
      </c>
      <c r="G83" s="8">
        <v>904</v>
      </c>
      <c r="H83" s="8">
        <v>472</v>
      </c>
      <c r="I83" s="8">
        <v>18546</v>
      </c>
      <c r="J83" s="8">
        <v>18171</v>
      </c>
      <c r="K83" s="8">
        <v>52</v>
      </c>
      <c r="L83" s="9" t="s">
        <v>52</v>
      </c>
      <c r="M83" s="9" t="s">
        <v>23</v>
      </c>
      <c r="N83" s="18">
        <f t="shared" si="1"/>
        <v>0.16851026360684607</v>
      </c>
    </row>
    <row r="84" spans="1:14" x14ac:dyDescent="0.3">
      <c r="A84" s="5" t="s">
        <v>92</v>
      </c>
      <c r="B84" s="6" t="s">
        <v>34</v>
      </c>
      <c r="C84" s="7">
        <v>45460</v>
      </c>
      <c r="D84" s="6" t="s">
        <v>40</v>
      </c>
      <c r="E84" s="6" t="s">
        <v>41</v>
      </c>
      <c r="F84" s="8">
        <v>1226</v>
      </c>
      <c r="G84" s="8">
        <v>119</v>
      </c>
      <c r="H84" s="8">
        <v>7</v>
      </c>
      <c r="I84" s="8">
        <v>14712</v>
      </c>
      <c r="J84" s="8">
        <v>14049</v>
      </c>
      <c r="K84" s="8">
        <v>123</v>
      </c>
      <c r="L84" s="9" t="s">
        <v>17</v>
      </c>
      <c r="M84" s="9" t="s">
        <v>44</v>
      </c>
      <c r="N84" s="18">
        <f t="shared" si="1"/>
        <v>9.6234607445369783E-2</v>
      </c>
    </row>
    <row r="85" spans="1:14" x14ac:dyDescent="0.3">
      <c r="A85" s="5" t="s">
        <v>92</v>
      </c>
      <c r="B85" s="6" t="s">
        <v>34</v>
      </c>
      <c r="C85" s="7">
        <v>45460</v>
      </c>
      <c r="D85" s="6" t="s">
        <v>40</v>
      </c>
      <c r="E85" s="6" t="s">
        <v>41</v>
      </c>
      <c r="F85" s="8">
        <v>1226</v>
      </c>
      <c r="G85" s="8">
        <v>119</v>
      </c>
      <c r="H85" s="8">
        <v>7</v>
      </c>
      <c r="I85" s="8">
        <v>14712</v>
      </c>
      <c r="J85" s="8">
        <v>14049</v>
      </c>
      <c r="K85" s="8">
        <v>123</v>
      </c>
      <c r="L85" s="9" t="s">
        <v>37</v>
      </c>
      <c r="M85" s="9" t="s">
        <v>44</v>
      </c>
      <c r="N85" s="18">
        <f t="shared" si="1"/>
        <v>9.6234607445369783E-2</v>
      </c>
    </row>
    <row r="86" spans="1:14" x14ac:dyDescent="0.3">
      <c r="A86" s="5" t="s">
        <v>93</v>
      </c>
      <c r="B86" s="6" t="s">
        <v>34</v>
      </c>
      <c r="C86" s="7">
        <v>45644</v>
      </c>
      <c r="D86" s="6" t="s">
        <v>35</v>
      </c>
      <c r="E86" s="6" t="s">
        <v>36</v>
      </c>
      <c r="F86" s="8">
        <v>2946</v>
      </c>
      <c r="G86" s="8">
        <v>498</v>
      </c>
      <c r="H86" s="8">
        <v>367</v>
      </c>
      <c r="I86" s="8">
        <v>29460</v>
      </c>
      <c r="J86" s="8">
        <v>28527</v>
      </c>
      <c r="K86" s="8">
        <v>60</v>
      </c>
      <c r="L86" s="9" t="s">
        <v>31</v>
      </c>
      <c r="M86" s="9" t="s">
        <v>23</v>
      </c>
      <c r="N86" s="18">
        <f t="shared" si="1"/>
        <v>0.13359273670557717</v>
      </c>
    </row>
    <row r="87" spans="1:14" x14ac:dyDescent="0.3">
      <c r="A87" s="5" t="s">
        <v>93</v>
      </c>
      <c r="B87" s="6" t="s">
        <v>34</v>
      </c>
      <c r="C87" s="7">
        <v>45644</v>
      </c>
      <c r="D87" s="6" t="s">
        <v>35</v>
      </c>
      <c r="E87" s="6" t="s">
        <v>36</v>
      </c>
      <c r="F87" s="8">
        <v>2946</v>
      </c>
      <c r="G87" s="8">
        <v>498</v>
      </c>
      <c r="H87" s="8">
        <v>367</v>
      </c>
      <c r="I87" s="8">
        <v>29460</v>
      </c>
      <c r="J87" s="8">
        <v>28527</v>
      </c>
      <c r="K87" s="8">
        <v>60</v>
      </c>
      <c r="L87" s="9" t="s">
        <v>52</v>
      </c>
      <c r="M87" s="9" t="s">
        <v>23</v>
      </c>
      <c r="N87" s="18">
        <f t="shared" si="1"/>
        <v>0.13359273670557717</v>
      </c>
    </row>
    <row r="88" spans="1:14" x14ac:dyDescent="0.3">
      <c r="A88" s="5" t="s">
        <v>94</v>
      </c>
      <c r="B88" s="6" t="s">
        <v>14</v>
      </c>
      <c r="C88" s="7">
        <v>45586</v>
      </c>
      <c r="D88" s="6" t="s">
        <v>50</v>
      </c>
      <c r="E88" s="6" t="s">
        <v>51</v>
      </c>
      <c r="F88" s="8">
        <v>2825</v>
      </c>
      <c r="G88" s="8">
        <v>535</v>
      </c>
      <c r="H88" s="8">
        <v>295</v>
      </c>
      <c r="I88" s="8">
        <v>45200</v>
      </c>
      <c r="J88" s="8">
        <v>44739</v>
      </c>
      <c r="K88" s="8">
        <v>169</v>
      </c>
      <c r="L88" s="9" t="s">
        <v>31</v>
      </c>
      <c r="M88" s="9" t="s">
        <v>23</v>
      </c>
      <c r="N88" s="18">
        <f t="shared" si="1"/>
        <v>8.1696059366548196E-2</v>
      </c>
    </row>
    <row r="89" spans="1:14" x14ac:dyDescent="0.3">
      <c r="A89" s="5" t="s">
        <v>95</v>
      </c>
      <c r="B89" s="6" t="s">
        <v>27</v>
      </c>
      <c r="C89" s="7">
        <v>45762</v>
      </c>
      <c r="D89" s="6" t="s">
        <v>15</v>
      </c>
      <c r="E89" s="6" t="s">
        <v>16</v>
      </c>
      <c r="F89" s="8">
        <v>103</v>
      </c>
      <c r="G89" s="8">
        <v>770</v>
      </c>
      <c r="H89" s="8">
        <v>19</v>
      </c>
      <c r="I89" s="8">
        <v>1030</v>
      </c>
      <c r="J89" s="8">
        <v>410</v>
      </c>
      <c r="K89" s="8">
        <v>262</v>
      </c>
      <c r="L89" s="9" t="s">
        <v>17</v>
      </c>
      <c r="M89" s="9" t="s">
        <v>32</v>
      </c>
      <c r="N89" s="18">
        <f t="shared" si="1"/>
        <v>2.1756097560975611</v>
      </c>
    </row>
    <row r="90" spans="1:14" x14ac:dyDescent="0.3">
      <c r="A90" s="5" t="s">
        <v>96</v>
      </c>
      <c r="B90" s="6" t="s">
        <v>27</v>
      </c>
      <c r="C90" s="7">
        <v>45465</v>
      </c>
      <c r="D90" s="6" t="s">
        <v>20</v>
      </c>
      <c r="E90" s="6" t="s">
        <v>21</v>
      </c>
      <c r="F90" s="8">
        <v>2180</v>
      </c>
      <c r="G90" s="8">
        <v>263</v>
      </c>
      <c r="H90" s="8">
        <v>387</v>
      </c>
      <c r="I90" s="8">
        <v>30520</v>
      </c>
      <c r="J90" s="8">
        <v>30059</v>
      </c>
      <c r="K90" s="8">
        <v>174</v>
      </c>
      <c r="L90" s="9" t="s">
        <v>52</v>
      </c>
      <c r="M90" s="9" t="s">
        <v>18</v>
      </c>
      <c r="N90" s="18">
        <f t="shared" si="1"/>
        <v>9.4148175255331187E-2</v>
      </c>
    </row>
    <row r="91" spans="1:14" x14ac:dyDescent="0.3">
      <c r="A91" s="5" t="s">
        <v>97</v>
      </c>
      <c r="B91" s="6" t="s">
        <v>27</v>
      </c>
      <c r="C91" s="7">
        <v>45685</v>
      </c>
      <c r="D91" s="6" t="s">
        <v>50</v>
      </c>
      <c r="E91" s="6" t="s">
        <v>51</v>
      </c>
      <c r="F91" s="8">
        <v>904</v>
      </c>
      <c r="G91" s="8">
        <v>973</v>
      </c>
      <c r="H91" s="8">
        <v>63</v>
      </c>
      <c r="I91" s="8">
        <v>11752</v>
      </c>
      <c r="J91" s="8">
        <v>11580</v>
      </c>
      <c r="K91" s="8">
        <v>84</v>
      </c>
      <c r="L91" s="9" t="s">
        <v>31</v>
      </c>
      <c r="M91" s="9" t="s">
        <v>18</v>
      </c>
      <c r="N91" s="18">
        <f t="shared" si="1"/>
        <v>0.16753022452504318</v>
      </c>
    </row>
    <row r="92" spans="1:14" x14ac:dyDescent="0.3">
      <c r="A92" s="5" t="s">
        <v>98</v>
      </c>
      <c r="B92" s="6" t="s">
        <v>14</v>
      </c>
      <c r="C92" s="7">
        <v>45540</v>
      </c>
      <c r="D92" s="6" t="s">
        <v>50</v>
      </c>
      <c r="E92" s="6" t="s">
        <v>51</v>
      </c>
      <c r="F92" s="8">
        <v>4886</v>
      </c>
      <c r="G92" s="8">
        <v>983</v>
      </c>
      <c r="H92" s="8">
        <v>409</v>
      </c>
      <c r="I92" s="8">
        <v>43974</v>
      </c>
      <c r="J92" s="8">
        <v>43239</v>
      </c>
      <c r="K92" s="8">
        <v>65</v>
      </c>
      <c r="L92" s="9" t="s">
        <v>22</v>
      </c>
      <c r="M92" s="9" t="s">
        <v>18</v>
      </c>
      <c r="N92" s="18">
        <f t="shared" si="1"/>
        <v>0.14519299706283678</v>
      </c>
    </row>
    <row r="93" spans="1:14" x14ac:dyDescent="0.3">
      <c r="A93" s="5" t="s">
        <v>99</v>
      </c>
      <c r="B93" s="6" t="s">
        <v>14</v>
      </c>
      <c r="C93" s="7">
        <v>45618</v>
      </c>
      <c r="D93" s="6" t="s">
        <v>35</v>
      </c>
      <c r="E93" s="6" t="s">
        <v>36</v>
      </c>
      <c r="F93" s="8">
        <v>53</v>
      </c>
      <c r="G93" s="8">
        <v>81</v>
      </c>
      <c r="H93" s="8">
        <v>379</v>
      </c>
      <c r="I93" s="8">
        <v>954</v>
      </c>
      <c r="J93" s="8">
        <v>7</v>
      </c>
      <c r="K93" s="8">
        <v>148</v>
      </c>
      <c r="L93" s="9" t="s">
        <v>52</v>
      </c>
      <c r="M93" s="9" t="s">
        <v>32</v>
      </c>
      <c r="N93" s="18">
        <f t="shared" si="1"/>
        <v>73.285714285714292</v>
      </c>
    </row>
    <row r="94" spans="1:14" x14ac:dyDescent="0.3">
      <c r="A94" s="5" t="s">
        <v>100</v>
      </c>
      <c r="B94" s="6" t="s">
        <v>14</v>
      </c>
      <c r="C94" s="7">
        <v>45504</v>
      </c>
      <c r="D94" s="6" t="s">
        <v>35</v>
      </c>
      <c r="E94" s="6" t="s">
        <v>36</v>
      </c>
      <c r="F94" s="8">
        <v>4507</v>
      </c>
      <c r="G94" s="8">
        <v>217</v>
      </c>
      <c r="H94" s="8">
        <v>13</v>
      </c>
      <c r="I94" s="8">
        <v>90140</v>
      </c>
      <c r="J94" s="8">
        <v>89591</v>
      </c>
      <c r="K94" s="8">
        <v>125</v>
      </c>
      <c r="L94" s="9" t="s">
        <v>17</v>
      </c>
      <c r="M94" s="9" t="s">
        <v>18</v>
      </c>
      <c r="N94" s="18">
        <f t="shared" si="1"/>
        <v>5.2873614537174492E-2</v>
      </c>
    </row>
    <row r="95" spans="1:14" x14ac:dyDescent="0.3">
      <c r="A95" s="5" t="s">
        <v>101</v>
      </c>
      <c r="B95" s="6" t="s">
        <v>34</v>
      </c>
      <c r="C95" s="7">
        <v>45521</v>
      </c>
      <c r="D95" s="6" t="s">
        <v>40</v>
      </c>
      <c r="E95" s="6" t="s">
        <v>41</v>
      </c>
      <c r="F95" s="8">
        <v>2878</v>
      </c>
      <c r="G95" s="8">
        <v>248</v>
      </c>
      <c r="H95" s="8">
        <v>416</v>
      </c>
      <c r="I95" s="8">
        <v>43170</v>
      </c>
      <c r="J95" s="8">
        <v>42667</v>
      </c>
      <c r="K95" s="8">
        <v>75</v>
      </c>
      <c r="L95" s="9" t="s">
        <v>52</v>
      </c>
      <c r="M95" s="9" t="s">
        <v>23</v>
      </c>
      <c r="N95" s="18">
        <f t="shared" si="1"/>
        <v>8.3014976445496519E-2</v>
      </c>
    </row>
    <row r="96" spans="1:14" x14ac:dyDescent="0.3">
      <c r="A96" s="5" t="s">
        <v>101</v>
      </c>
      <c r="B96" s="6" t="s">
        <v>34</v>
      </c>
      <c r="C96" s="7">
        <v>45521</v>
      </c>
      <c r="D96" s="6" t="s">
        <v>40</v>
      </c>
      <c r="E96" s="6" t="s">
        <v>41</v>
      </c>
      <c r="F96" s="8">
        <v>2878</v>
      </c>
      <c r="G96" s="8">
        <v>248</v>
      </c>
      <c r="H96" s="8">
        <v>416</v>
      </c>
      <c r="I96" s="8">
        <v>43170</v>
      </c>
      <c r="J96" s="8">
        <v>42667</v>
      </c>
      <c r="K96" s="8">
        <v>75</v>
      </c>
      <c r="L96" s="9" t="s">
        <v>37</v>
      </c>
      <c r="M96" s="9" t="s">
        <v>23</v>
      </c>
      <c r="N96" s="18">
        <f t="shared" si="1"/>
        <v>8.3014976445496519E-2</v>
      </c>
    </row>
    <row r="97" spans="1:14" x14ac:dyDescent="0.3">
      <c r="A97" s="5" t="s">
        <v>102</v>
      </c>
      <c r="B97" s="6" t="s">
        <v>27</v>
      </c>
      <c r="C97" s="7">
        <v>45744</v>
      </c>
      <c r="D97" s="6" t="s">
        <v>28</v>
      </c>
      <c r="E97" s="6" t="s">
        <v>29</v>
      </c>
      <c r="F97" s="8">
        <v>1881</v>
      </c>
      <c r="G97" s="8">
        <v>501</v>
      </c>
      <c r="H97" s="8">
        <v>99</v>
      </c>
      <c r="I97" s="8">
        <v>20691</v>
      </c>
      <c r="J97" s="8">
        <v>19987</v>
      </c>
      <c r="K97" s="8">
        <v>289</v>
      </c>
      <c r="L97" s="9" t="s">
        <v>52</v>
      </c>
      <c r="M97" s="9" t="s">
        <v>23</v>
      </c>
      <c r="N97" s="18">
        <f t="shared" si="1"/>
        <v>0.12413068494521438</v>
      </c>
    </row>
    <row r="98" spans="1:14" x14ac:dyDescent="0.3">
      <c r="A98" s="5" t="s">
        <v>103</v>
      </c>
      <c r="B98" s="6" t="s">
        <v>14</v>
      </c>
      <c r="C98" s="7">
        <v>45499</v>
      </c>
      <c r="D98" s="6" t="s">
        <v>35</v>
      </c>
      <c r="E98" s="6" t="s">
        <v>36</v>
      </c>
      <c r="F98" s="8">
        <v>432</v>
      </c>
      <c r="G98" s="8">
        <v>171</v>
      </c>
      <c r="H98" s="8">
        <v>280</v>
      </c>
      <c r="I98" s="8">
        <v>3024</v>
      </c>
      <c r="J98" s="8">
        <v>2285</v>
      </c>
      <c r="K98" s="8">
        <v>184</v>
      </c>
      <c r="L98" s="9" t="s">
        <v>22</v>
      </c>
      <c r="M98" s="9" t="s">
        <v>32</v>
      </c>
      <c r="N98" s="18">
        <f t="shared" si="1"/>
        <v>0.3864332603938731</v>
      </c>
    </row>
    <row r="99" spans="1:14" x14ac:dyDescent="0.3">
      <c r="A99" s="5" t="s">
        <v>104</v>
      </c>
      <c r="B99" s="6" t="s">
        <v>34</v>
      </c>
      <c r="C99" s="7">
        <v>45745</v>
      </c>
      <c r="D99" s="6" t="s">
        <v>35</v>
      </c>
      <c r="E99" s="6" t="s">
        <v>36</v>
      </c>
      <c r="F99" s="8">
        <v>4712</v>
      </c>
      <c r="G99" s="8">
        <v>568</v>
      </c>
      <c r="H99" s="8">
        <v>127</v>
      </c>
      <c r="I99" s="8">
        <v>84816</v>
      </c>
      <c r="J99" s="8">
        <v>84691</v>
      </c>
      <c r="K99" s="8">
        <v>100</v>
      </c>
      <c r="L99" s="9" t="s">
        <v>52</v>
      </c>
      <c r="M99" s="9" t="s">
        <v>18</v>
      </c>
      <c r="N99" s="18">
        <f t="shared" si="1"/>
        <v>6.3843855899682375E-2</v>
      </c>
    </row>
    <row r="100" spans="1:14" x14ac:dyDescent="0.3">
      <c r="A100" s="5" t="s">
        <v>105</v>
      </c>
      <c r="B100" s="6" t="s">
        <v>27</v>
      </c>
      <c r="C100" s="7">
        <v>45634</v>
      </c>
      <c r="D100" s="6" t="s">
        <v>28</v>
      </c>
      <c r="E100" s="6" t="s">
        <v>29</v>
      </c>
      <c r="F100" s="8">
        <v>2610</v>
      </c>
      <c r="G100" s="8">
        <v>126</v>
      </c>
      <c r="H100" s="8">
        <v>288</v>
      </c>
      <c r="I100" s="8">
        <v>15660</v>
      </c>
      <c r="J100" s="8">
        <v>15145</v>
      </c>
      <c r="K100" s="8">
        <v>73</v>
      </c>
      <c r="L100" s="9" t="s">
        <v>22</v>
      </c>
      <c r="M100" s="9" t="s">
        <v>18</v>
      </c>
      <c r="N100" s="18">
        <f t="shared" si="1"/>
        <v>0.19966985803895676</v>
      </c>
    </row>
    <row r="101" spans="1:14" x14ac:dyDescent="0.3">
      <c r="A101" s="5" t="s">
        <v>106</v>
      </c>
      <c r="B101" s="6" t="s">
        <v>14</v>
      </c>
      <c r="C101" s="7">
        <v>45724</v>
      </c>
      <c r="D101" s="6" t="s">
        <v>20</v>
      </c>
      <c r="E101" s="6" t="s">
        <v>21</v>
      </c>
      <c r="F101" s="8">
        <v>1292</v>
      </c>
      <c r="G101" s="8">
        <v>626</v>
      </c>
      <c r="H101" s="8">
        <v>496</v>
      </c>
      <c r="I101" s="8">
        <v>25840</v>
      </c>
      <c r="J101" s="8">
        <v>24916</v>
      </c>
      <c r="K101" s="8">
        <v>149</v>
      </c>
      <c r="L101" s="9" t="s">
        <v>31</v>
      </c>
      <c r="M101" s="9" t="s">
        <v>44</v>
      </c>
      <c r="N101" s="18">
        <f t="shared" si="1"/>
        <v>9.6885535398940445E-2</v>
      </c>
    </row>
    <row r="102" spans="1:14" x14ac:dyDescent="0.3">
      <c r="A102" s="5" t="s">
        <v>106</v>
      </c>
      <c r="B102" s="6" t="s">
        <v>14</v>
      </c>
      <c r="C102" s="7">
        <v>45724</v>
      </c>
      <c r="D102" s="6" t="s">
        <v>20</v>
      </c>
      <c r="E102" s="6" t="s">
        <v>21</v>
      </c>
      <c r="F102" s="8">
        <v>1292</v>
      </c>
      <c r="G102" s="8">
        <v>626</v>
      </c>
      <c r="H102" s="8">
        <v>496</v>
      </c>
      <c r="I102" s="8">
        <v>25840</v>
      </c>
      <c r="J102" s="8">
        <v>24916</v>
      </c>
      <c r="K102" s="8">
        <v>149</v>
      </c>
      <c r="L102" s="9" t="s">
        <v>37</v>
      </c>
      <c r="M102" s="9" t="s">
        <v>44</v>
      </c>
      <c r="N102" s="18">
        <f t="shared" si="1"/>
        <v>9.6885535398940445E-2</v>
      </c>
    </row>
    <row r="103" spans="1:14" x14ac:dyDescent="0.3">
      <c r="A103" s="5" t="s">
        <v>107</v>
      </c>
      <c r="B103" s="6" t="s">
        <v>34</v>
      </c>
      <c r="C103" s="7">
        <v>45749</v>
      </c>
      <c r="D103" s="6" t="s">
        <v>50</v>
      </c>
      <c r="E103" s="6" t="s">
        <v>51</v>
      </c>
      <c r="F103" s="8">
        <v>199</v>
      </c>
      <c r="G103" s="8">
        <v>772</v>
      </c>
      <c r="H103" s="8">
        <v>400</v>
      </c>
      <c r="I103" s="8">
        <v>3582</v>
      </c>
      <c r="J103" s="8">
        <v>2988</v>
      </c>
      <c r="K103" s="8">
        <v>43</v>
      </c>
      <c r="L103" s="9" t="s">
        <v>37</v>
      </c>
      <c r="M103" s="9" t="s">
        <v>18</v>
      </c>
      <c r="N103" s="18">
        <f t="shared" si="1"/>
        <v>0.45883534136546184</v>
      </c>
    </row>
    <row r="104" spans="1:14" x14ac:dyDescent="0.3">
      <c r="A104" s="5" t="s">
        <v>108</v>
      </c>
      <c r="B104" s="6" t="s">
        <v>25</v>
      </c>
      <c r="C104" s="7">
        <v>45537</v>
      </c>
      <c r="D104" s="6" t="s">
        <v>35</v>
      </c>
      <c r="E104" s="6" t="s">
        <v>36</v>
      </c>
      <c r="F104" s="8">
        <v>2551</v>
      </c>
      <c r="G104" s="8">
        <v>915</v>
      </c>
      <c r="H104" s="8">
        <v>205</v>
      </c>
      <c r="I104" s="8">
        <v>30612</v>
      </c>
      <c r="J104" s="8">
        <v>30360</v>
      </c>
      <c r="K104" s="8">
        <v>227</v>
      </c>
      <c r="L104" s="9" t="s">
        <v>17</v>
      </c>
      <c r="M104" s="9" t="s">
        <v>23</v>
      </c>
      <c r="N104" s="18">
        <f t="shared" si="1"/>
        <v>0.12091567852437418</v>
      </c>
    </row>
    <row r="105" spans="1:14" x14ac:dyDescent="0.3">
      <c r="A105" s="5" t="s">
        <v>108</v>
      </c>
      <c r="B105" s="6" t="s">
        <v>25</v>
      </c>
      <c r="C105" s="7">
        <v>45537</v>
      </c>
      <c r="D105" s="6" t="s">
        <v>35</v>
      </c>
      <c r="E105" s="6" t="s">
        <v>36</v>
      </c>
      <c r="F105" s="8">
        <v>2551</v>
      </c>
      <c r="G105" s="8">
        <v>915</v>
      </c>
      <c r="H105" s="8">
        <v>205</v>
      </c>
      <c r="I105" s="8">
        <v>30612</v>
      </c>
      <c r="J105" s="8">
        <v>30360</v>
      </c>
      <c r="K105" s="8">
        <v>227</v>
      </c>
      <c r="L105" s="9" t="s">
        <v>52</v>
      </c>
      <c r="M105" s="9" t="s">
        <v>23</v>
      </c>
      <c r="N105" s="18">
        <f t="shared" si="1"/>
        <v>0.12091567852437418</v>
      </c>
    </row>
    <row r="106" spans="1:14" x14ac:dyDescent="0.3">
      <c r="A106" s="5" t="s">
        <v>109</v>
      </c>
      <c r="B106" s="6" t="s">
        <v>25</v>
      </c>
      <c r="C106" s="7">
        <v>45719</v>
      </c>
      <c r="D106" s="6" t="s">
        <v>15</v>
      </c>
      <c r="E106" s="6" t="s">
        <v>16</v>
      </c>
      <c r="F106" s="8">
        <v>296</v>
      </c>
      <c r="G106" s="8">
        <v>60</v>
      </c>
      <c r="H106" s="8">
        <v>141</v>
      </c>
      <c r="I106" s="8">
        <v>5624</v>
      </c>
      <c r="J106" s="8">
        <v>5239</v>
      </c>
      <c r="K106" s="8">
        <v>88</v>
      </c>
      <c r="L106" s="9" t="s">
        <v>37</v>
      </c>
      <c r="M106" s="9" t="s">
        <v>44</v>
      </c>
      <c r="N106" s="18">
        <f t="shared" si="1"/>
        <v>9.4865432334414967E-2</v>
      </c>
    </row>
    <row r="107" spans="1:14" x14ac:dyDescent="0.3">
      <c r="A107" s="5" t="s">
        <v>110</v>
      </c>
      <c r="B107" s="6" t="s">
        <v>34</v>
      </c>
      <c r="C107" s="7">
        <v>45583</v>
      </c>
      <c r="D107" s="6" t="s">
        <v>28</v>
      </c>
      <c r="E107" s="6" t="s">
        <v>29</v>
      </c>
      <c r="F107" s="8">
        <v>4126</v>
      </c>
      <c r="G107" s="8">
        <v>426</v>
      </c>
      <c r="H107" s="8">
        <v>486</v>
      </c>
      <c r="I107" s="8">
        <v>78394</v>
      </c>
      <c r="J107" s="8">
        <v>77798</v>
      </c>
      <c r="K107" s="8">
        <v>88</v>
      </c>
      <c r="L107" s="9" t="s">
        <v>22</v>
      </c>
      <c r="M107" s="9" t="s">
        <v>18</v>
      </c>
      <c r="N107" s="18">
        <f t="shared" si="1"/>
        <v>6.4757448777603532E-2</v>
      </c>
    </row>
    <row r="108" spans="1:14" x14ac:dyDescent="0.3">
      <c r="A108" s="5" t="s">
        <v>111</v>
      </c>
      <c r="B108" s="6" t="s">
        <v>25</v>
      </c>
      <c r="C108" s="7">
        <v>45593</v>
      </c>
      <c r="D108" s="6" t="s">
        <v>15</v>
      </c>
      <c r="E108" s="6" t="s">
        <v>16</v>
      </c>
      <c r="F108" s="8">
        <v>1855</v>
      </c>
      <c r="G108" s="8">
        <v>200</v>
      </c>
      <c r="H108" s="8">
        <v>174</v>
      </c>
      <c r="I108" s="8">
        <v>16695</v>
      </c>
      <c r="J108" s="8">
        <v>16330</v>
      </c>
      <c r="K108" s="8">
        <v>123</v>
      </c>
      <c r="L108" s="9" t="s">
        <v>22</v>
      </c>
      <c r="M108" s="9" t="s">
        <v>32</v>
      </c>
      <c r="N108" s="18">
        <f t="shared" si="1"/>
        <v>0.13649724433557869</v>
      </c>
    </row>
    <row r="109" spans="1:14" x14ac:dyDescent="0.3">
      <c r="A109" s="5" t="s">
        <v>112</v>
      </c>
      <c r="B109" s="6" t="s">
        <v>27</v>
      </c>
      <c r="C109" s="7">
        <v>45505</v>
      </c>
      <c r="D109" s="6" t="s">
        <v>15</v>
      </c>
      <c r="E109" s="6" t="s">
        <v>16</v>
      </c>
      <c r="F109" s="8">
        <v>1674</v>
      </c>
      <c r="G109" s="8">
        <v>929</v>
      </c>
      <c r="H109" s="8">
        <v>37</v>
      </c>
      <c r="I109" s="8">
        <v>21762</v>
      </c>
      <c r="J109" s="8">
        <v>20998</v>
      </c>
      <c r="K109" s="8">
        <v>255</v>
      </c>
      <c r="L109" s="9" t="s">
        <v>31</v>
      </c>
      <c r="M109" s="9" t="s">
        <v>32</v>
      </c>
      <c r="N109" s="18">
        <f t="shared" si="1"/>
        <v>0.1257262596437756</v>
      </c>
    </row>
    <row r="110" spans="1:14" x14ac:dyDescent="0.3">
      <c r="A110" s="5" t="s">
        <v>112</v>
      </c>
      <c r="B110" s="6" t="s">
        <v>27</v>
      </c>
      <c r="C110" s="7">
        <v>45505</v>
      </c>
      <c r="D110" s="6" t="s">
        <v>15</v>
      </c>
      <c r="E110" s="6" t="s">
        <v>16</v>
      </c>
      <c r="F110" s="8">
        <v>1674</v>
      </c>
      <c r="G110" s="8">
        <v>929</v>
      </c>
      <c r="H110" s="8">
        <v>37</v>
      </c>
      <c r="I110" s="8">
        <v>21762</v>
      </c>
      <c r="J110" s="8">
        <v>20998</v>
      </c>
      <c r="K110" s="8">
        <v>255</v>
      </c>
      <c r="L110" s="9" t="s">
        <v>52</v>
      </c>
      <c r="M110" s="9" t="s">
        <v>32</v>
      </c>
      <c r="N110" s="18">
        <f t="shared" si="1"/>
        <v>0.1257262596437756</v>
      </c>
    </row>
    <row r="111" spans="1:14" x14ac:dyDescent="0.3">
      <c r="A111" s="5" t="s">
        <v>113</v>
      </c>
      <c r="B111" s="6" t="s">
        <v>14</v>
      </c>
      <c r="C111" s="7">
        <v>45603</v>
      </c>
      <c r="D111" s="6" t="s">
        <v>28</v>
      </c>
      <c r="E111" s="6" t="s">
        <v>29</v>
      </c>
      <c r="F111" s="8">
        <v>1121</v>
      </c>
      <c r="G111" s="8">
        <v>135</v>
      </c>
      <c r="H111" s="8">
        <v>18</v>
      </c>
      <c r="I111" s="8">
        <v>15694</v>
      </c>
      <c r="J111" s="8">
        <v>14957</v>
      </c>
      <c r="K111" s="8">
        <v>99</v>
      </c>
      <c r="L111" s="9" t="s">
        <v>17</v>
      </c>
      <c r="M111" s="9" t="s">
        <v>44</v>
      </c>
      <c r="N111" s="18">
        <f t="shared" si="1"/>
        <v>8.5177508858728351E-2</v>
      </c>
    </row>
    <row r="112" spans="1:14" x14ac:dyDescent="0.3">
      <c r="A112" s="5" t="s">
        <v>113</v>
      </c>
      <c r="B112" s="6" t="s">
        <v>14</v>
      </c>
      <c r="C112" s="7">
        <v>45603</v>
      </c>
      <c r="D112" s="6" t="s">
        <v>28</v>
      </c>
      <c r="E112" s="6" t="s">
        <v>29</v>
      </c>
      <c r="F112" s="8">
        <v>1121</v>
      </c>
      <c r="G112" s="8">
        <v>135</v>
      </c>
      <c r="H112" s="8">
        <v>18</v>
      </c>
      <c r="I112" s="8">
        <v>15694</v>
      </c>
      <c r="J112" s="8">
        <v>14957</v>
      </c>
      <c r="K112" s="8">
        <v>99</v>
      </c>
      <c r="L112" s="9" t="s">
        <v>22</v>
      </c>
      <c r="M112" s="9" t="s">
        <v>44</v>
      </c>
      <c r="N112" s="18">
        <f t="shared" si="1"/>
        <v>8.5177508858728351E-2</v>
      </c>
    </row>
    <row r="113" spans="1:14" x14ac:dyDescent="0.3">
      <c r="A113" s="5" t="s">
        <v>114</v>
      </c>
      <c r="B113" s="6" t="s">
        <v>34</v>
      </c>
      <c r="C113" s="7">
        <v>45720</v>
      </c>
      <c r="D113" s="6" t="s">
        <v>28</v>
      </c>
      <c r="E113" s="6" t="s">
        <v>29</v>
      </c>
      <c r="F113" s="8">
        <v>1249</v>
      </c>
      <c r="G113" s="8">
        <v>116</v>
      </c>
      <c r="H113" s="8">
        <v>420</v>
      </c>
      <c r="I113" s="8">
        <v>8743</v>
      </c>
      <c r="J113" s="8">
        <v>8538</v>
      </c>
      <c r="K113" s="8">
        <v>63</v>
      </c>
      <c r="L113" s="9" t="s">
        <v>22</v>
      </c>
      <c r="M113" s="9" t="s">
        <v>32</v>
      </c>
      <c r="N113" s="18">
        <f t="shared" si="1"/>
        <v>0.20906535488404779</v>
      </c>
    </row>
    <row r="114" spans="1:14" x14ac:dyDescent="0.3">
      <c r="A114" s="5" t="s">
        <v>114</v>
      </c>
      <c r="B114" s="6" t="s">
        <v>34</v>
      </c>
      <c r="C114" s="7">
        <v>45720</v>
      </c>
      <c r="D114" s="6" t="s">
        <v>28</v>
      </c>
      <c r="E114" s="6" t="s">
        <v>29</v>
      </c>
      <c r="F114" s="8">
        <v>1249</v>
      </c>
      <c r="G114" s="8">
        <v>116</v>
      </c>
      <c r="H114" s="8">
        <v>420</v>
      </c>
      <c r="I114" s="8">
        <v>8743</v>
      </c>
      <c r="J114" s="8">
        <v>8538</v>
      </c>
      <c r="K114" s="8">
        <v>63</v>
      </c>
      <c r="L114" s="9" t="s">
        <v>52</v>
      </c>
      <c r="M114" s="9" t="s">
        <v>32</v>
      </c>
      <c r="N114" s="18">
        <f t="shared" si="1"/>
        <v>0.20906535488404779</v>
      </c>
    </row>
    <row r="115" spans="1:14" x14ac:dyDescent="0.3">
      <c r="A115" s="5" t="s">
        <v>115</v>
      </c>
      <c r="B115" s="6" t="s">
        <v>14</v>
      </c>
      <c r="C115" s="7">
        <v>45460</v>
      </c>
      <c r="D115" s="6" t="s">
        <v>40</v>
      </c>
      <c r="E115" s="6" t="s">
        <v>41</v>
      </c>
      <c r="F115" s="8">
        <v>954</v>
      </c>
      <c r="G115" s="8">
        <v>324</v>
      </c>
      <c r="H115" s="8">
        <v>288</v>
      </c>
      <c r="I115" s="8">
        <v>19080</v>
      </c>
      <c r="J115" s="8">
        <v>18859</v>
      </c>
      <c r="K115" s="8">
        <v>21</v>
      </c>
      <c r="L115" s="9" t="s">
        <v>37</v>
      </c>
      <c r="M115" s="9" t="s">
        <v>32</v>
      </c>
      <c r="N115" s="18">
        <f t="shared" si="1"/>
        <v>8.303727663184686E-2</v>
      </c>
    </row>
    <row r="116" spans="1:14" x14ac:dyDescent="0.3">
      <c r="A116" s="5" t="s">
        <v>116</v>
      </c>
      <c r="B116" s="6" t="s">
        <v>27</v>
      </c>
      <c r="C116" s="7">
        <v>45574</v>
      </c>
      <c r="D116" s="6" t="s">
        <v>35</v>
      </c>
      <c r="E116" s="6" t="s">
        <v>36</v>
      </c>
      <c r="F116" s="8">
        <v>3068</v>
      </c>
      <c r="G116" s="8">
        <v>137</v>
      </c>
      <c r="H116" s="8">
        <v>329</v>
      </c>
      <c r="I116" s="8">
        <v>39884</v>
      </c>
      <c r="J116" s="8">
        <v>39404</v>
      </c>
      <c r="K116" s="8">
        <v>266</v>
      </c>
      <c r="L116" s="9" t="s">
        <v>17</v>
      </c>
      <c r="M116" s="9" t="s">
        <v>32</v>
      </c>
      <c r="N116" s="18">
        <f t="shared" si="1"/>
        <v>8.9686326261293275E-2</v>
      </c>
    </row>
    <row r="117" spans="1:14" x14ac:dyDescent="0.3">
      <c r="A117" s="5" t="s">
        <v>116</v>
      </c>
      <c r="B117" s="6" t="s">
        <v>27</v>
      </c>
      <c r="C117" s="7">
        <v>45574</v>
      </c>
      <c r="D117" s="6" t="s">
        <v>35</v>
      </c>
      <c r="E117" s="6" t="s">
        <v>36</v>
      </c>
      <c r="F117" s="8">
        <v>3068</v>
      </c>
      <c r="G117" s="8">
        <v>137</v>
      </c>
      <c r="H117" s="8">
        <v>329</v>
      </c>
      <c r="I117" s="8">
        <v>39884</v>
      </c>
      <c r="J117" s="8">
        <v>39404</v>
      </c>
      <c r="K117" s="8">
        <v>266</v>
      </c>
      <c r="L117" s="9" t="s">
        <v>37</v>
      </c>
      <c r="M117" s="9" t="s">
        <v>32</v>
      </c>
      <c r="N117" s="18">
        <f t="shared" si="1"/>
        <v>8.9686326261293275E-2</v>
      </c>
    </row>
    <row r="118" spans="1:14" x14ac:dyDescent="0.3">
      <c r="A118" s="5" t="s">
        <v>117</v>
      </c>
      <c r="B118" s="6" t="s">
        <v>27</v>
      </c>
      <c r="C118" s="7">
        <v>45456</v>
      </c>
      <c r="D118" s="6" t="s">
        <v>28</v>
      </c>
      <c r="E118" s="6" t="s">
        <v>29</v>
      </c>
      <c r="F118" s="8">
        <v>2103</v>
      </c>
      <c r="G118" s="8">
        <v>892</v>
      </c>
      <c r="H118" s="8">
        <v>103</v>
      </c>
      <c r="I118" s="8">
        <v>39957</v>
      </c>
      <c r="J118" s="8">
        <v>39466</v>
      </c>
      <c r="K118" s="8">
        <v>28</v>
      </c>
      <c r="L118" s="9" t="s">
        <v>52</v>
      </c>
      <c r="M118" s="9" t="s">
        <v>23</v>
      </c>
      <c r="N118" s="18">
        <f t="shared" si="1"/>
        <v>7.8497947600466231E-2</v>
      </c>
    </row>
    <row r="119" spans="1:14" x14ac:dyDescent="0.3">
      <c r="A119" s="5" t="s">
        <v>117</v>
      </c>
      <c r="B119" s="6" t="s">
        <v>27</v>
      </c>
      <c r="C119" s="7">
        <v>45456</v>
      </c>
      <c r="D119" s="6" t="s">
        <v>28</v>
      </c>
      <c r="E119" s="6" t="s">
        <v>29</v>
      </c>
      <c r="F119" s="8">
        <v>2103</v>
      </c>
      <c r="G119" s="8">
        <v>892</v>
      </c>
      <c r="H119" s="8">
        <v>103</v>
      </c>
      <c r="I119" s="8">
        <v>39957</v>
      </c>
      <c r="J119" s="8">
        <v>39466</v>
      </c>
      <c r="K119" s="8">
        <v>28</v>
      </c>
      <c r="L119" s="9" t="s">
        <v>22</v>
      </c>
      <c r="M119" s="9" t="s">
        <v>23</v>
      </c>
      <c r="N119" s="18">
        <f t="shared" si="1"/>
        <v>7.8497947600466231E-2</v>
      </c>
    </row>
    <row r="120" spans="1:14" x14ac:dyDescent="0.3">
      <c r="A120" s="5" t="s">
        <v>118</v>
      </c>
      <c r="B120" s="6" t="s">
        <v>27</v>
      </c>
      <c r="C120" s="7">
        <v>45584</v>
      </c>
      <c r="D120" s="6" t="s">
        <v>28</v>
      </c>
      <c r="E120" s="6" t="s">
        <v>29</v>
      </c>
      <c r="F120" s="8">
        <v>1816</v>
      </c>
      <c r="G120" s="8">
        <v>29</v>
      </c>
      <c r="H120" s="8">
        <v>41</v>
      </c>
      <c r="I120" s="8">
        <v>19976</v>
      </c>
      <c r="J120" s="8">
        <v>19262</v>
      </c>
      <c r="K120" s="8">
        <v>283</v>
      </c>
      <c r="L120" s="9" t="s">
        <v>37</v>
      </c>
      <c r="M120" s="9" t="s">
        <v>32</v>
      </c>
      <c r="N120" s="18">
        <f t="shared" si="1"/>
        <v>9.7912989305368084E-2</v>
      </c>
    </row>
    <row r="121" spans="1:14" x14ac:dyDescent="0.3">
      <c r="A121" s="5" t="s">
        <v>118</v>
      </c>
      <c r="B121" s="6" t="s">
        <v>27</v>
      </c>
      <c r="C121" s="7">
        <v>45584</v>
      </c>
      <c r="D121" s="6" t="s">
        <v>28</v>
      </c>
      <c r="E121" s="6" t="s">
        <v>29</v>
      </c>
      <c r="F121" s="8">
        <v>1816</v>
      </c>
      <c r="G121" s="8">
        <v>29</v>
      </c>
      <c r="H121" s="8">
        <v>41</v>
      </c>
      <c r="I121" s="8">
        <v>19976</v>
      </c>
      <c r="J121" s="8">
        <v>19262</v>
      </c>
      <c r="K121" s="8">
        <v>283</v>
      </c>
      <c r="L121" s="9" t="s">
        <v>17</v>
      </c>
      <c r="M121" s="9" t="s">
        <v>32</v>
      </c>
      <c r="N121" s="18">
        <f t="shared" si="1"/>
        <v>9.7912989305368084E-2</v>
      </c>
    </row>
    <row r="122" spans="1:14" x14ac:dyDescent="0.3">
      <c r="A122" s="5" t="s">
        <v>119</v>
      </c>
      <c r="B122" s="6" t="s">
        <v>27</v>
      </c>
      <c r="C122" s="7">
        <v>45497</v>
      </c>
      <c r="D122" s="6" t="s">
        <v>40</v>
      </c>
      <c r="E122" s="6" t="s">
        <v>41</v>
      </c>
      <c r="F122" s="8">
        <v>725</v>
      </c>
      <c r="G122" s="8">
        <v>88</v>
      </c>
      <c r="H122" s="8">
        <v>428</v>
      </c>
      <c r="I122" s="8">
        <v>14500</v>
      </c>
      <c r="J122" s="8">
        <v>13637</v>
      </c>
      <c r="K122" s="8">
        <v>200</v>
      </c>
      <c r="L122" s="9" t="s">
        <v>37</v>
      </c>
      <c r="M122" s="9" t="s">
        <v>32</v>
      </c>
      <c r="N122" s="18">
        <f t="shared" si="1"/>
        <v>9.1002419887071931E-2</v>
      </c>
    </row>
    <row r="123" spans="1:14" x14ac:dyDescent="0.3">
      <c r="A123" s="5" t="s">
        <v>120</v>
      </c>
      <c r="B123" s="6" t="s">
        <v>25</v>
      </c>
      <c r="C123" s="7">
        <v>45580</v>
      </c>
      <c r="D123" s="6" t="s">
        <v>50</v>
      </c>
      <c r="E123" s="6" t="s">
        <v>51</v>
      </c>
      <c r="F123" s="8">
        <v>1094</v>
      </c>
      <c r="G123" s="8">
        <v>472</v>
      </c>
      <c r="H123" s="8">
        <v>21</v>
      </c>
      <c r="I123" s="8">
        <v>9846</v>
      </c>
      <c r="J123" s="8">
        <v>9609</v>
      </c>
      <c r="K123" s="8">
        <v>112</v>
      </c>
      <c r="L123" s="9" t="s">
        <v>37</v>
      </c>
      <c r="M123" s="9" t="s">
        <v>32</v>
      </c>
      <c r="N123" s="18">
        <f t="shared" si="1"/>
        <v>0.16515766468935372</v>
      </c>
    </row>
    <row r="124" spans="1:14" x14ac:dyDescent="0.3">
      <c r="A124" s="5" t="s">
        <v>120</v>
      </c>
      <c r="B124" s="6" t="s">
        <v>25</v>
      </c>
      <c r="C124" s="7">
        <v>45580</v>
      </c>
      <c r="D124" s="6" t="s">
        <v>50</v>
      </c>
      <c r="E124" s="6" t="s">
        <v>51</v>
      </c>
      <c r="F124" s="8">
        <v>1094</v>
      </c>
      <c r="G124" s="8">
        <v>472</v>
      </c>
      <c r="H124" s="8">
        <v>21</v>
      </c>
      <c r="I124" s="8">
        <v>9846</v>
      </c>
      <c r="J124" s="8">
        <v>9609</v>
      </c>
      <c r="K124" s="8">
        <v>112</v>
      </c>
      <c r="L124" s="9" t="s">
        <v>31</v>
      </c>
      <c r="M124" s="9" t="s">
        <v>32</v>
      </c>
      <c r="N124" s="18">
        <f t="shared" si="1"/>
        <v>0.16515766468935372</v>
      </c>
    </row>
    <row r="125" spans="1:14" x14ac:dyDescent="0.3">
      <c r="A125" s="5" t="s">
        <v>121</v>
      </c>
      <c r="B125" s="6" t="s">
        <v>34</v>
      </c>
      <c r="C125" s="7">
        <v>45635</v>
      </c>
      <c r="D125" s="6" t="s">
        <v>40</v>
      </c>
      <c r="E125" s="6" t="s">
        <v>41</v>
      </c>
      <c r="F125" s="8">
        <v>1841</v>
      </c>
      <c r="G125" s="8">
        <v>851</v>
      </c>
      <c r="H125" s="8">
        <v>342</v>
      </c>
      <c r="I125" s="8">
        <v>34979</v>
      </c>
      <c r="J125" s="8">
        <v>34154</v>
      </c>
      <c r="K125" s="8">
        <v>255</v>
      </c>
      <c r="L125" s="9" t="s">
        <v>22</v>
      </c>
      <c r="M125" s="9" t="s">
        <v>18</v>
      </c>
      <c r="N125" s="18">
        <f t="shared" si="1"/>
        <v>8.8832933184985655E-2</v>
      </c>
    </row>
    <row r="126" spans="1:14" x14ac:dyDescent="0.3">
      <c r="A126" s="5" t="s">
        <v>121</v>
      </c>
      <c r="B126" s="6" t="s">
        <v>34</v>
      </c>
      <c r="C126" s="7">
        <v>45635</v>
      </c>
      <c r="D126" s="6" t="s">
        <v>40</v>
      </c>
      <c r="E126" s="6" t="s">
        <v>41</v>
      </c>
      <c r="F126" s="8">
        <v>1841</v>
      </c>
      <c r="G126" s="8">
        <v>851</v>
      </c>
      <c r="H126" s="8">
        <v>342</v>
      </c>
      <c r="I126" s="8">
        <v>34979</v>
      </c>
      <c r="J126" s="8">
        <v>34154</v>
      </c>
      <c r="K126" s="8">
        <v>255</v>
      </c>
      <c r="L126" s="9" t="s">
        <v>52</v>
      </c>
      <c r="M126" s="9" t="s">
        <v>18</v>
      </c>
      <c r="N126" s="18">
        <f t="shared" si="1"/>
        <v>8.8832933184985655E-2</v>
      </c>
    </row>
    <row r="127" spans="1:14" x14ac:dyDescent="0.3">
      <c r="A127" s="5" t="s">
        <v>122</v>
      </c>
      <c r="B127" s="6" t="s">
        <v>27</v>
      </c>
      <c r="C127" s="7">
        <v>45766</v>
      </c>
      <c r="D127" s="6" t="s">
        <v>40</v>
      </c>
      <c r="E127" s="6" t="s">
        <v>41</v>
      </c>
      <c r="F127" s="8">
        <v>4177</v>
      </c>
      <c r="G127" s="8">
        <v>569</v>
      </c>
      <c r="H127" s="8">
        <v>55</v>
      </c>
      <c r="I127" s="8">
        <v>25062</v>
      </c>
      <c r="J127" s="8">
        <v>24847</v>
      </c>
      <c r="K127" s="8">
        <v>230</v>
      </c>
      <c r="L127" s="9" t="s">
        <v>22</v>
      </c>
      <c r="M127" s="9" t="s">
        <v>18</v>
      </c>
      <c r="N127" s="18">
        <f t="shared" si="1"/>
        <v>0.19322252183362176</v>
      </c>
    </row>
    <row r="128" spans="1:14" x14ac:dyDescent="0.3">
      <c r="A128" s="5" t="s">
        <v>123</v>
      </c>
      <c r="B128" s="6" t="s">
        <v>25</v>
      </c>
      <c r="C128" s="7">
        <v>45684</v>
      </c>
      <c r="D128" s="6" t="s">
        <v>20</v>
      </c>
      <c r="E128" s="6" t="s">
        <v>21</v>
      </c>
      <c r="F128" s="8">
        <v>3428</v>
      </c>
      <c r="G128" s="8">
        <v>305</v>
      </c>
      <c r="H128" s="8">
        <v>85</v>
      </c>
      <c r="I128" s="8">
        <v>58276</v>
      </c>
      <c r="J128" s="8">
        <v>58052</v>
      </c>
      <c r="K128" s="8">
        <v>242</v>
      </c>
      <c r="L128" s="9" t="s">
        <v>37</v>
      </c>
      <c r="M128" s="9" t="s">
        <v>32</v>
      </c>
      <c r="N128" s="18">
        <f t="shared" si="1"/>
        <v>6.5768621236133126E-2</v>
      </c>
    </row>
    <row r="129" spans="1:14" x14ac:dyDescent="0.3">
      <c r="A129" s="5" t="s">
        <v>123</v>
      </c>
      <c r="B129" s="6" t="s">
        <v>25</v>
      </c>
      <c r="C129" s="7">
        <v>45684</v>
      </c>
      <c r="D129" s="6" t="s">
        <v>20</v>
      </c>
      <c r="E129" s="6" t="s">
        <v>21</v>
      </c>
      <c r="F129" s="8">
        <v>3428</v>
      </c>
      <c r="G129" s="8">
        <v>305</v>
      </c>
      <c r="H129" s="8">
        <v>85</v>
      </c>
      <c r="I129" s="8">
        <v>58276</v>
      </c>
      <c r="J129" s="8">
        <v>58052</v>
      </c>
      <c r="K129" s="8">
        <v>242</v>
      </c>
      <c r="L129" s="9" t="s">
        <v>31</v>
      </c>
      <c r="M129" s="9" t="s">
        <v>32</v>
      </c>
      <c r="N129" s="18">
        <f t="shared" si="1"/>
        <v>6.5768621236133126E-2</v>
      </c>
    </row>
    <row r="130" spans="1:14" x14ac:dyDescent="0.3">
      <c r="A130" s="5" t="s">
        <v>124</v>
      </c>
      <c r="B130" s="6" t="s">
        <v>14</v>
      </c>
      <c r="C130" s="7">
        <v>45449</v>
      </c>
      <c r="D130" s="6" t="s">
        <v>50</v>
      </c>
      <c r="E130" s="6" t="s">
        <v>51</v>
      </c>
      <c r="F130" s="8">
        <v>1436</v>
      </c>
      <c r="G130" s="8">
        <v>765</v>
      </c>
      <c r="H130" s="8">
        <v>496</v>
      </c>
      <c r="I130" s="8">
        <v>12924</v>
      </c>
      <c r="J130" s="8">
        <v>12701</v>
      </c>
      <c r="K130" s="8">
        <v>197</v>
      </c>
      <c r="L130" s="9" t="s">
        <v>37</v>
      </c>
      <c r="M130" s="9" t="s">
        <v>23</v>
      </c>
      <c r="N130" s="18">
        <f t="shared" si="1"/>
        <v>0.21234548460751121</v>
      </c>
    </row>
    <row r="131" spans="1:14" x14ac:dyDescent="0.3">
      <c r="A131" s="5" t="s">
        <v>124</v>
      </c>
      <c r="B131" s="6" t="s">
        <v>14</v>
      </c>
      <c r="C131" s="7">
        <v>45449</v>
      </c>
      <c r="D131" s="6" t="s">
        <v>50</v>
      </c>
      <c r="E131" s="6" t="s">
        <v>51</v>
      </c>
      <c r="F131" s="8">
        <v>1436</v>
      </c>
      <c r="G131" s="8">
        <v>765</v>
      </c>
      <c r="H131" s="8">
        <v>496</v>
      </c>
      <c r="I131" s="8">
        <v>12924</v>
      </c>
      <c r="J131" s="8">
        <v>12701</v>
      </c>
      <c r="K131" s="8">
        <v>197</v>
      </c>
      <c r="L131" s="9" t="s">
        <v>17</v>
      </c>
      <c r="M131" s="9" t="s">
        <v>23</v>
      </c>
      <c r="N131" s="18">
        <f t="shared" ref="N131:N194" si="2">SUM(F131,G131,H131)/J131</f>
        <v>0.21234548460751121</v>
      </c>
    </row>
    <row r="132" spans="1:14" x14ac:dyDescent="0.3">
      <c r="A132" s="5" t="s">
        <v>125</v>
      </c>
      <c r="B132" s="6" t="s">
        <v>34</v>
      </c>
      <c r="C132" s="7">
        <v>45480</v>
      </c>
      <c r="D132" s="6" t="s">
        <v>28</v>
      </c>
      <c r="E132" s="6" t="s">
        <v>29</v>
      </c>
      <c r="F132" s="8">
        <v>302</v>
      </c>
      <c r="G132" s="8">
        <v>47</v>
      </c>
      <c r="H132" s="8">
        <v>430</v>
      </c>
      <c r="I132" s="8">
        <v>5738</v>
      </c>
      <c r="J132" s="8">
        <v>4890</v>
      </c>
      <c r="K132" s="8">
        <v>25</v>
      </c>
      <c r="L132" s="9" t="s">
        <v>22</v>
      </c>
      <c r="M132" s="9" t="s">
        <v>23</v>
      </c>
      <c r="N132" s="18">
        <f t="shared" si="2"/>
        <v>0.15930470347648262</v>
      </c>
    </row>
    <row r="133" spans="1:14" x14ac:dyDescent="0.3">
      <c r="A133" s="5" t="s">
        <v>125</v>
      </c>
      <c r="B133" s="6" t="s">
        <v>34</v>
      </c>
      <c r="C133" s="7">
        <v>45480</v>
      </c>
      <c r="D133" s="6" t="s">
        <v>28</v>
      </c>
      <c r="E133" s="6" t="s">
        <v>29</v>
      </c>
      <c r="F133" s="8">
        <v>302</v>
      </c>
      <c r="G133" s="8">
        <v>47</v>
      </c>
      <c r="H133" s="8">
        <v>430</v>
      </c>
      <c r="I133" s="8">
        <v>5738</v>
      </c>
      <c r="J133" s="8">
        <v>4890</v>
      </c>
      <c r="K133" s="8">
        <v>25</v>
      </c>
      <c r="L133" s="9" t="s">
        <v>17</v>
      </c>
      <c r="M133" s="9" t="s">
        <v>23</v>
      </c>
      <c r="N133" s="18">
        <f t="shared" si="2"/>
        <v>0.15930470347648262</v>
      </c>
    </row>
    <row r="134" spans="1:14" x14ac:dyDescent="0.3">
      <c r="A134" s="5" t="s">
        <v>126</v>
      </c>
      <c r="B134" s="6" t="s">
        <v>14</v>
      </c>
      <c r="C134" s="7">
        <v>45667</v>
      </c>
      <c r="D134" s="6" t="s">
        <v>40</v>
      </c>
      <c r="E134" s="6" t="s">
        <v>41</v>
      </c>
      <c r="F134" s="8">
        <v>2214</v>
      </c>
      <c r="G134" s="8">
        <v>249</v>
      </c>
      <c r="H134" s="8">
        <v>152</v>
      </c>
      <c r="I134" s="8">
        <v>15498</v>
      </c>
      <c r="J134" s="8">
        <v>14800</v>
      </c>
      <c r="K134" s="8">
        <v>180</v>
      </c>
      <c r="L134" s="9" t="s">
        <v>17</v>
      </c>
      <c r="M134" s="9" t="s">
        <v>23</v>
      </c>
      <c r="N134" s="18">
        <f t="shared" si="2"/>
        <v>0.17668918918918919</v>
      </c>
    </row>
    <row r="135" spans="1:14" x14ac:dyDescent="0.3">
      <c r="A135" s="5" t="s">
        <v>127</v>
      </c>
      <c r="B135" s="6" t="s">
        <v>27</v>
      </c>
      <c r="C135" s="7">
        <v>45446</v>
      </c>
      <c r="D135" s="6" t="s">
        <v>40</v>
      </c>
      <c r="E135" s="6" t="s">
        <v>41</v>
      </c>
      <c r="F135" s="8">
        <v>3861</v>
      </c>
      <c r="G135" s="8">
        <v>960</v>
      </c>
      <c r="H135" s="8">
        <v>101</v>
      </c>
      <c r="I135" s="8">
        <v>69498</v>
      </c>
      <c r="J135" s="8">
        <v>68817</v>
      </c>
      <c r="K135" s="8">
        <v>297</v>
      </c>
      <c r="L135" s="9" t="s">
        <v>22</v>
      </c>
      <c r="M135" s="9" t="s">
        <v>23</v>
      </c>
      <c r="N135" s="18">
        <f t="shared" si="2"/>
        <v>7.1523024833979973E-2</v>
      </c>
    </row>
    <row r="136" spans="1:14" x14ac:dyDescent="0.3">
      <c r="A136" s="5" t="s">
        <v>128</v>
      </c>
      <c r="B136" s="6" t="s">
        <v>34</v>
      </c>
      <c r="C136" s="7">
        <v>45740</v>
      </c>
      <c r="D136" s="6" t="s">
        <v>40</v>
      </c>
      <c r="E136" s="6" t="s">
        <v>41</v>
      </c>
      <c r="F136" s="8">
        <v>1263</v>
      </c>
      <c r="G136" s="8">
        <v>397</v>
      </c>
      <c r="H136" s="8">
        <v>357</v>
      </c>
      <c r="I136" s="8">
        <v>25260</v>
      </c>
      <c r="J136" s="8">
        <v>24615</v>
      </c>
      <c r="K136" s="8">
        <v>137</v>
      </c>
      <c r="L136" s="9" t="s">
        <v>17</v>
      </c>
      <c r="M136" s="9" t="s">
        <v>23</v>
      </c>
      <c r="N136" s="18">
        <f t="shared" si="2"/>
        <v>8.1941905342270971E-2</v>
      </c>
    </row>
    <row r="137" spans="1:14" x14ac:dyDescent="0.3">
      <c r="A137" s="5" t="s">
        <v>129</v>
      </c>
      <c r="B137" s="6" t="s">
        <v>14</v>
      </c>
      <c r="C137" s="7">
        <v>45586</v>
      </c>
      <c r="D137" s="6" t="s">
        <v>28</v>
      </c>
      <c r="E137" s="6" t="s">
        <v>29</v>
      </c>
      <c r="F137" s="8">
        <v>3801</v>
      </c>
      <c r="G137" s="8">
        <v>967</v>
      </c>
      <c r="H137" s="8">
        <v>401</v>
      </c>
      <c r="I137" s="8">
        <v>38010</v>
      </c>
      <c r="J137" s="8">
        <v>37625</v>
      </c>
      <c r="K137" s="8">
        <v>236</v>
      </c>
      <c r="L137" s="9" t="s">
        <v>31</v>
      </c>
      <c r="M137" s="9" t="s">
        <v>44</v>
      </c>
      <c r="N137" s="18">
        <f t="shared" si="2"/>
        <v>0.13738205980066445</v>
      </c>
    </row>
    <row r="138" spans="1:14" x14ac:dyDescent="0.3">
      <c r="A138" s="5" t="s">
        <v>130</v>
      </c>
      <c r="B138" s="6" t="s">
        <v>27</v>
      </c>
      <c r="C138" s="7">
        <v>45637</v>
      </c>
      <c r="D138" s="6" t="s">
        <v>50</v>
      </c>
      <c r="E138" s="6" t="s">
        <v>51</v>
      </c>
      <c r="F138" s="8">
        <v>1431</v>
      </c>
      <c r="G138" s="8">
        <v>951</v>
      </c>
      <c r="H138" s="8">
        <v>26</v>
      </c>
      <c r="I138" s="8">
        <v>8586</v>
      </c>
      <c r="J138" s="8">
        <v>8396</v>
      </c>
      <c r="K138" s="8">
        <v>150</v>
      </c>
      <c r="L138" s="9" t="s">
        <v>37</v>
      </c>
      <c r="M138" s="9" t="s">
        <v>18</v>
      </c>
      <c r="N138" s="18">
        <f t="shared" si="2"/>
        <v>0.28680323963792281</v>
      </c>
    </row>
    <row r="139" spans="1:14" x14ac:dyDescent="0.3">
      <c r="A139" s="5" t="s">
        <v>130</v>
      </c>
      <c r="B139" s="6" t="s">
        <v>27</v>
      </c>
      <c r="C139" s="7">
        <v>45637</v>
      </c>
      <c r="D139" s="6" t="s">
        <v>50</v>
      </c>
      <c r="E139" s="6" t="s">
        <v>51</v>
      </c>
      <c r="F139" s="8">
        <v>1431</v>
      </c>
      <c r="G139" s="8">
        <v>951</v>
      </c>
      <c r="H139" s="8">
        <v>26</v>
      </c>
      <c r="I139" s="8">
        <v>8586</v>
      </c>
      <c r="J139" s="8">
        <v>8396</v>
      </c>
      <c r="K139" s="8">
        <v>150</v>
      </c>
      <c r="L139" s="9" t="s">
        <v>52</v>
      </c>
      <c r="M139" s="9" t="s">
        <v>18</v>
      </c>
      <c r="N139" s="18">
        <f t="shared" si="2"/>
        <v>0.28680323963792281</v>
      </c>
    </row>
    <row r="140" spans="1:14" x14ac:dyDescent="0.3">
      <c r="A140" s="5" t="s">
        <v>131</v>
      </c>
      <c r="B140" s="6" t="s">
        <v>27</v>
      </c>
      <c r="C140" s="7">
        <v>45603</v>
      </c>
      <c r="D140" s="6" t="s">
        <v>40</v>
      </c>
      <c r="E140" s="6" t="s">
        <v>41</v>
      </c>
      <c r="F140" s="8">
        <v>2647</v>
      </c>
      <c r="G140" s="8">
        <v>304</v>
      </c>
      <c r="H140" s="8">
        <v>170</v>
      </c>
      <c r="I140" s="8">
        <v>18529</v>
      </c>
      <c r="J140" s="8">
        <v>17841</v>
      </c>
      <c r="K140" s="8">
        <v>46</v>
      </c>
      <c r="L140" s="9" t="s">
        <v>31</v>
      </c>
      <c r="M140" s="9" t="s">
        <v>23</v>
      </c>
      <c r="N140" s="18">
        <f t="shared" si="2"/>
        <v>0.17493414046297853</v>
      </c>
    </row>
    <row r="141" spans="1:14" x14ac:dyDescent="0.3">
      <c r="A141" s="5" t="s">
        <v>132</v>
      </c>
      <c r="B141" s="6" t="s">
        <v>27</v>
      </c>
      <c r="C141" s="7">
        <v>45604</v>
      </c>
      <c r="D141" s="6" t="s">
        <v>20</v>
      </c>
      <c r="E141" s="6" t="s">
        <v>21</v>
      </c>
      <c r="F141" s="8">
        <v>3182</v>
      </c>
      <c r="G141" s="8">
        <v>559</v>
      </c>
      <c r="H141" s="8">
        <v>160</v>
      </c>
      <c r="I141" s="8">
        <v>57276</v>
      </c>
      <c r="J141" s="8">
        <v>56890</v>
      </c>
      <c r="K141" s="8">
        <v>163</v>
      </c>
      <c r="L141" s="9" t="s">
        <v>31</v>
      </c>
      <c r="M141" s="9" t="s">
        <v>23</v>
      </c>
      <c r="N141" s="18">
        <f t="shared" si="2"/>
        <v>6.8570926349094743E-2</v>
      </c>
    </row>
    <row r="142" spans="1:14" x14ac:dyDescent="0.3">
      <c r="A142" s="5" t="s">
        <v>132</v>
      </c>
      <c r="B142" s="6" t="s">
        <v>27</v>
      </c>
      <c r="C142" s="7">
        <v>45604</v>
      </c>
      <c r="D142" s="6" t="s">
        <v>20</v>
      </c>
      <c r="E142" s="6" t="s">
        <v>21</v>
      </c>
      <c r="F142" s="8">
        <v>3182</v>
      </c>
      <c r="G142" s="8">
        <v>559</v>
      </c>
      <c r="H142" s="8">
        <v>160</v>
      </c>
      <c r="I142" s="8">
        <v>57276</v>
      </c>
      <c r="J142" s="8">
        <v>56890</v>
      </c>
      <c r="K142" s="8">
        <v>163</v>
      </c>
      <c r="L142" s="9" t="s">
        <v>37</v>
      </c>
      <c r="M142" s="9" t="s">
        <v>23</v>
      </c>
      <c r="N142" s="18">
        <f t="shared" si="2"/>
        <v>6.8570926349094743E-2</v>
      </c>
    </row>
    <row r="143" spans="1:14" x14ac:dyDescent="0.3">
      <c r="A143" s="5" t="s">
        <v>133</v>
      </c>
      <c r="B143" s="6" t="s">
        <v>14</v>
      </c>
      <c r="C143" s="7">
        <v>45545</v>
      </c>
      <c r="D143" s="6" t="s">
        <v>40</v>
      </c>
      <c r="E143" s="6" t="s">
        <v>41</v>
      </c>
      <c r="F143" s="8">
        <v>1238</v>
      </c>
      <c r="G143" s="8">
        <v>366</v>
      </c>
      <c r="H143" s="8">
        <v>444</v>
      </c>
      <c r="I143" s="8">
        <v>19808</v>
      </c>
      <c r="J143" s="8">
        <v>19334</v>
      </c>
      <c r="K143" s="8">
        <v>123</v>
      </c>
      <c r="L143" s="9" t="s">
        <v>52</v>
      </c>
      <c r="M143" s="9" t="s">
        <v>32</v>
      </c>
      <c r="N143" s="18">
        <f t="shared" si="2"/>
        <v>0.1059273818144202</v>
      </c>
    </row>
    <row r="144" spans="1:14" x14ac:dyDescent="0.3">
      <c r="A144" s="5" t="s">
        <v>134</v>
      </c>
      <c r="B144" s="6" t="s">
        <v>27</v>
      </c>
      <c r="C144" s="7">
        <v>45517</v>
      </c>
      <c r="D144" s="6" t="s">
        <v>40</v>
      </c>
      <c r="E144" s="6" t="s">
        <v>41</v>
      </c>
      <c r="F144" s="8">
        <v>4739</v>
      </c>
      <c r="G144" s="8">
        <v>527</v>
      </c>
      <c r="H144" s="8">
        <v>135</v>
      </c>
      <c r="I144" s="8">
        <v>61607</v>
      </c>
      <c r="J144" s="8">
        <v>61333</v>
      </c>
      <c r="K144" s="8">
        <v>36</v>
      </c>
      <c r="L144" s="9" t="s">
        <v>31</v>
      </c>
      <c r="M144" s="9" t="s">
        <v>23</v>
      </c>
      <c r="N144" s="18">
        <f t="shared" si="2"/>
        <v>8.8060261197071721E-2</v>
      </c>
    </row>
    <row r="145" spans="1:14" x14ac:dyDescent="0.3">
      <c r="A145" s="5" t="s">
        <v>134</v>
      </c>
      <c r="B145" s="6" t="s">
        <v>27</v>
      </c>
      <c r="C145" s="7">
        <v>45517</v>
      </c>
      <c r="D145" s="6" t="s">
        <v>40</v>
      </c>
      <c r="E145" s="6" t="s">
        <v>41</v>
      </c>
      <c r="F145" s="8">
        <v>4739</v>
      </c>
      <c r="G145" s="8">
        <v>527</v>
      </c>
      <c r="H145" s="8">
        <v>135</v>
      </c>
      <c r="I145" s="8">
        <v>61607</v>
      </c>
      <c r="J145" s="8">
        <v>61333</v>
      </c>
      <c r="K145" s="8">
        <v>36</v>
      </c>
      <c r="L145" s="9" t="s">
        <v>17</v>
      </c>
      <c r="M145" s="9" t="s">
        <v>23</v>
      </c>
      <c r="N145" s="18">
        <f t="shared" si="2"/>
        <v>8.8060261197071721E-2</v>
      </c>
    </row>
    <row r="146" spans="1:14" x14ac:dyDescent="0.3">
      <c r="A146" s="5" t="s">
        <v>135</v>
      </c>
      <c r="B146" s="6" t="s">
        <v>14</v>
      </c>
      <c r="C146" s="7">
        <v>45453</v>
      </c>
      <c r="D146" s="6" t="s">
        <v>28</v>
      </c>
      <c r="E146" s="6" t="s">
        <v>29</v>
      </c>
      <c r="F146" s="8">
        <v>1575</v>
      </c>
      <c r="G146" s="8">
        <v>771</v>
      </c>
      <c r="H146" s="8">
        <v>486</v>
      </c>
      <c r="I146" s="8">
        <v>25200</v>
      </c>
      <c r="J146" s="8">
        <v>24826</v>
      </c>
      <c r="K146" s="8">
        <v>17</v>
      </c>
      <c r="L146" s="9" t="s">
        <v>31</v>
      </c>
      <c r="M146" s="9" t="s">
        <v>32</v>
      </c>
      <c r="N146" s="18">
        <f t="shared" si="2"/>
        <v>0.1140739547248852</v>
      </c>
    </row>
    <row r="147" spans="1:14" x14ac:dyDescent="0.3">
      <c r="A147" s="5" t="s">
        <v>136</v>
      </c>
      <c r="B147" s="6" t="s">
        <v>25</v>
      </c>
      <c r="C147" s="7">
        <v>45475</v>
      </c>
      <c r="D147" s="6" t="s">
        <v>35</v>
      </c>
      <c r="E147" s="6" t="s">
        <v>36</v>
      </c>
      <c r="F147" s="8">
        <v>4171</v>
      </c>
      <c r="G147" s="8">
        <v>548</v>
      </c>
      <c r="H147" s="8">
        <v>86</v>
      </c>
      <c r="I147" s="8">
        <v>66736</v>
      </c>
      <c r="J147" s="8">
        <v>66634</v>
      </c>
      <c r="K147" s="8">
        <v>173</v>
      </c>
      <c r="L147" s="9" t="s">
        <v>31</v>
      </c>
      <c r="M147" s="9" t="s">
        <v>32</v>
      </c>
      <c r="N147" s="18">
        <f t="shared" si="2"/>
        <v>7.2110334063691203E-2</v>
      </c>
    </row>
    <row r="148" spans="1:14" x14ac:dyDescent="0.3">
      <c r="A148" s="5" t="s">
        <v>137</v>
      </c>
      <c r="B148" s="6" t="s">
        <v>25</v>
      </c>
      <c r="C148" s="7">
        <v>45698</v>
      </c>
      <c r="D148" s="6" t="s">
        <v>50</v>
      </c>
      <c r="E148" s="6" t="s">
        <v>51</v>
      </c>
      <c r="F148" s="8">
        <v>1766</v>
      </c>
      <c r="G148" s="8">
        <v>92</v>
      </c>
      <c r="H148" s="8">
        <v>424</v>
      </c>
      <c r="I148" s="8">
        <v>24724</v>
      </c>
      <c r="J148" s="8">
        <v>24333</v>
      </c>
      <c r="K148" s="8">
        <v>52</v>
      </c>
      <c r="L148" s="9" t="s">
        <v>31</v>
      </c>
      <c r="M148" s="9" t="s">
        <v>18</v>
      </c>
      <c r="N148" s="18">
        <f t="shared" si="2"/>
        <v>9.3782106604200055E-2</v>
      </c>
    </row>
    <row r="149" spans="1:14" x14ac:dyDescent="0.3">
      <c r="A149" s="5" t="s">
        <v>138</v>
      </c>
      <c r="B149" s="6" t="s">
        <v>25</v>
      </c>
      <c r="C149" s="7">
        <v>45583</v>
      </c>
      <c r="D149" s="6" t="s">
        <v>50</v>
      </c>
      <c r="E149" s="6" t="s">
        <v>51</v>
      </c>
      <c r="F149" s="8">
        <v>4450</v>
      </c>
      <c r="G149" s="8">
        <v>983</v>
      </c>
      <c r="H149" s="8">
        <v>143</v>
      </c>
      <c r="I149" s="8">
        <v>75650</v>
      </c>
      <c r="J149" s="8">
        <v>75008</v>
      </c>
      <c r="K149" s="8">
        <v>12</v>
      </c>
      <c r="L149" s="9" t="s">
        <v>17</v>
      </c>
      <c r="M149" s="9" t="s">
        <v>23</v>
      </c>
      <c r="N149" s="18">
        <f t="shared" si="2"/>
        <v>7.433873720136519E-2</v>
      </c>
    </row>
    <row r="150" spans="1:14" x14ac:dyDescent="0.3">
      <c r="A150" s="5" t="s">
        <v>138</v>
      </c>
      <c r="B150" s="6" t="s">
        <v>25</v>
      </c>
      <c r="C150" s="7">
        <v>45583</v>
      </c>
      <c r="D150" s="6" t="s">
        <v>50</v>
      </c>
      <c r="E150" s="6" t="s">
        <v>51</v>
      </c>
      <c r="F150" s="8">
        <v>4450</v>
      </c>
      <c r="G150" s="8">
        <v>983</v>
      </c>
      <c r="H150" s="8">
        <v>143</v>
      </c>
      <c r="I150" s="8">
        <v>75650</v>
      </c>
      <c r="J150" s="8">
        <v>75008</v>
      </c>
      <c r="K150" s="8">
        <v>12</v>
      </c>
      <c r="L150" s="9" t="s">
        <v>31</v>
      </c>
      <c r="M150" s="9" t="s">
        <v>23</v>
      </c>
      <c r="N150" s="18">
        <f t="shared" si="2"/>
        <v>7.433873720136519E-2</v>
      </c>
    </row>
    <row r="151" spans="1:14" x14ac:dyDescent="0.3">
      <c r="A151" s="5" t="s">
        <v>139</v>
      </c>
      <c r="B151" s="6" t="s">
        <v>14</v>
      </c>
      <c r="C151" s="7">
        <v>45553</v>
      </c>
      <c r="D151" s="6" t="s">
        <v>15</v>
      </c>
      <c r="E151" s="6" t="s">
        <v>16</v>
      </c>
      <c r="F151" s="8">
        <v>1000</v>
      </c>
      <c r="G151" s="8">
        <v>978</v>
      </c>
      <c r="H151" s="8">
        <v>162</v>
      </c>
      <c r="I151" s="8">
        <v>6000</v>
      </c>
      <c r="J151" s="8">
        <v>5221</v>
      </c>
      <c r="K151" s="8">
        <v>223</v>
      </c>
      <c r="L151" s="9" t="s">
        <v>37</v>
      </c>
      <c r="M151" s="9" t="s">
        <v>32</v>
      </c>
      <c r="N151" s="18">
        <f t="shared" si="2"/>
        <v>0.40988316414479986</v>
      </c>
    </row>
    <row r="152" spans="1:14" x14ac:dyDescent="0.3">
      <c r="A152" s="5" t="s">
        <v>139</v>
      </c>
      <c r="B152" s="6" t="s">
        <v>14</v>
      </c>
      <c r="C152" s="7">
        <v>45553</v>
      </c>
      <c r="D152" s="6" t="s">
        <v>15</v>
      </c>
      <c r="E152" s="6" t="s">
        <v>16</v>
      </c>
      <c r="F152" s="8">
        <v>1000</v>
      </c>
      <c r="G152" s="8">
        <v>978</v>
      </c>
      <c r="H152" s="8">
        <v>162</v>
      </c>
      <c r="I152" s="8">
        <v>6000</v>
      </c>
      <c r="J152" s="8">
        <v>5221</v>
      </c>
      <c r="K152" s="8">
        <v>223</v>
      </c>
      <c r="L152" s="9" t="s">
        <v>22</v>
      </c>
      <c r="M152" s="9" t="s">
        <v>32</v>
      </c>
      <c r="N152" s="18">
        <f t="shared" si="2"/>
        <v>0.40988316414479986</v>
      </c>
    </row>
    <row r="153" spans="1:14" x14ac:dyDescent="0.3">
      <c r="A153" s="5" t="s">
        <v>140</v>
      </c>
      <c r="B153" s="6" t="s">
        <v>34</v>
      </c>
      <c r="C153" s="7">
        <v>45454</v>
      </c>
      <c r="D153" s="6" t="s">
        <v>40</v>
      </c>
      <c r="E153" s="6" t="s">
        <v>41</v>
      </c>
      <c r="F153" s="8">
        <v>3689</v>
      </c>
      <c r="G153" s="8">
        <v>48</v>
      </c>
      <c r="H153" s="8">
        <v>306</v>
      </c>
      <c r="I153" s="8">
        <v>40579</v>
      </c>
      <c r="J153" s="8">
        <v>39588</v>
      </c>
      <c r="K153" s="8">
        <v>212</v>
      </c>
      <c r="L153" s="9" t="s">
        <v>37</v>
      </c>
      <c r="M153" s="9" t="s">
        <v>18</v>
      </c>
      <c r="N153" s="18">
        <f t="shared" si="2"/>
        <v>0.10212690714357886</v>
      </c>
    </row>
    <row r="154" spans="1:14" x14ac:dyDescent="0.3">
      <c r="A154" s="5" t="s">
        <v>141</v>
      </c>
      <c r="B154" s="6" t="s">
        <v>25</v>
      </c>
      <c r="C154" s="7">
        <v>45739</v>
      </c>
      <c r="D154" s="6" t="s">
        <v>28</v>
      </c>
      <c r="E154" s="6" t="s">
        <v>29</v>
      </c>
      <c r="F154" s="8">
        <v>3655</v>
      </c>
      <c r="G154" s="8">
        <v>568</v>
      </c>
      <c r="H154" s="8">
        <v>286</v>
      </c>
      <c r="I154" s="8">
        <v>32895</v>
      </c>
      <c r="J154" s="8">
        <v>32015</v>
      </c>
      <c r="K154" s="8">
        <v>199</v>
      </c>
      <c r="L154" s="9" t="s">
        <v>37</v>
      </c>
      <c r="M154" s="9" t="s">
        <v>44</v>
      </c>
      <c r="N154" s="18">
        <f t="shared" si="2"/>
        <v>0.14084023114165234</v>
      </c>
    </row>
    <row r="155" spans="1:14" x14ac:dyDescent="0.3">
      <c r="A155" s="5" t="s">
        <v>142</v>
      </c>
      <c r="B155" s="6" t="s">
        <v>27</v>
      </c>
      <c r="C155" s="7">
        <v>45457</v>
      </c>
      <c r="D155" s="6" t="s">
        <v>35</v>
      </c>
      <c r="E155" s="6" t="s">
        <v>36</v>
      </c>
      <c r="F155" s="8">
        <v>498</v>
      </c>
      <c r="G155" s="8">
        <v>38</v>
      </c>
      <c r="H155" s="8">
        <v>42</v>
      </c>
      <c r="I155" s="8">
        <v>4482</v>
      </c>
      <c r="J155" s="8">
        <v>3647</v>
      </c>
      <c r="K155" s="8">
        <v>32</v>
      </c>
      <c r="L155" s="9" t="s">
        <v>31</v>
      </c>
      <c r="M155" s="9" t="s">
        <v>44</v>
      </c>
      <c r="N155" s="18">
        <f t="shared" si="2"/>
        <v>0.15848642720043871</v>
      </c>
    </row>
    <row r="156" spans="1:14" x14ac:dyDescent="0.3">
      <c r="A156" s="5" t="s">
        <v>142</v>
      </c>
      <c r="B156" s="6" t="s">
        <v>27</v>
      </c>
      <c r="C156" s="7">
        <v>45457</v>
      </c>
      <c r="D156" s="6" t="s">
        <v>35</v>
      </c>
      <c r="E156" s="6" t="s">
        <v>36</v>
      </c>
      <c r="F156" s="8">
        <v>498</v>
      </c>
      <c r="G156" s="8">
        <v>38</v>
      </c>
      <c r="H156" s="8">
        <v>42</v>
      </c>
      <c r="I156" s="8">
        <v>4482</v>
      </c>
      <c r="J156" s="8">
        <v>3647</v>
      </c>
      <c r="K156" s="8">
        <v>32</v>
      </c>
      <c r="L156" s="9" t="s">
        <v>52</v>
      </c>
      <c r="M156" s="9" t="s">
        <v>44</v>
      </c>
      <c r="N156" s="18">
        <f t="shared" si="2"/>
        <v>0.15848642720043871</v>
      </c>
    </row>
    <row r="157" spans="1:14" x14ac:dyDescent="0.3">
      <c r="A157" s="5" t="s">
        <v>143</v>
      </c>
      <c r="B157" s="6" t="s">
        <v>27</v>
      </c>
      <c r="C157" s="7">
        <v>45692</v>
      </c>
      <c r="D157" s="6" t="s">
        <v>40</v>
      </c>
      <c r="E157" s="6" t="s">
        <v>41</v>
      </c>
      <c r="F157" s="8">
        <v>4619</v>
      </c>
      <c r="G157" s="8">
        <v>821</v>
      </c>
      <c r="H157" s="8">
        <v>499</v>
      </c>
      <c r="I157" s="8">
        <v>69285</v>
      </c>
      <c r="J157" s="8">
        <v>69141</v>
      </c>
      <c r="K157" s="8">
        <v>298</v>
      </c>
      <c r="L157" s="9" t="s">
        <v>22</v>
      </c>
      <c r="M157" s="9" t="s">
        <v>18</v>
      </c>
      <c r="N157" s="18">
        <f t="shared" si="2"/>
        <v>8.5896935248260795E-2</v>
      </c>
    </row>
    <row r="158" spans="1:14" x14ac:dyDescent="0.3">
      <c r="A158" s="5" t="s">
        <v>144</v>
      </c>
      <c r="B158" s="6" t="s">
        <v>25</v>
      </c>
      <c r="C158" s="7">
        <v>45464</v>
      </c>
      <c r="D158" s="6" t="s">
        <v>40</v>
      </c>
      <c r="E158" s="6" t="s">
        <v>41</v>
      </c>
      <c r="F158" s="8">
        <v>4832</v>
      </c>
      <c r="G158" s="8">
        <v>893</v>
      </c>
      <c r="H158" s="8">
        <v>10</v>
      </c>
      <c r="I158" s="8">
        <v>91808</v>
      </c>
      <c r="J158" s="8">
        <v>91296</v>
      </c>
      <c r="K158" s="8">
        <v>182</v>
      </c>
      <c r="L158" s="9" t="s">
        <v>17</v>
      </c>
      <c r="M158" s="9" t="s">
        <v>32</v>
      </c>
      <c r="N158" s="18">
        <f t="shared" si="2"/>
        <v>6.2817648089730102E-2</v>
      </c>
    </row>
    <row r="159" spans="1:14" x14ac:dyDescent="0.3">
      <c r="A159" s="5" t="s">
        <v>144</v>
      </c>
      <c r="B159" s="6" t="s">
        <v>25</v>
      </c>
      <c r="C159" s="7">
        <v>45464</v>
      </c>
      <c r="D159" s="6" t="s">
        <v>40</v>
      </c>
      <c r="E159" s="6" t="s">
        <v>41</v>
      </c>
      <c r="F159" s="8">
        <v>4832</v>
      </c>
      <c r="G159" s="8">
        <v>893</v>
      </c>
      <c r="H159" s="8">
        <v>10</v>
      </c>
      <c r="I159" s="8">
        <v>91808</v>
      </c>
      <c r="J159" s="8">
        <v>91296</v>
      </c>
      <c r="K159" s="8">
        <v>182</v>
      </c>
      <c r="L159" s="9" t="s">
        <v>31</v>
      </c>
      <c r="M159" s="9" t="s">
        <v>32</v>
      </c>
      <c r="N159" s="18">
        <f t="shared" si="2"/>
        <v>6.2817648089730102E-2</v>
      </c>
    </row>
    <row r="160" spans="1:14" x14ac:dyDescent="0.3">
      <c r="A160" s="5" t="s">
        <v>145</v>
      </c>
      <c r="B160" s="6" t="s">
        <v>14</v>
      </c>
      <c r="C160" s="7">
        <v>45741</v>
      </c>
      <c r="D160" s="6" t="s">
        <v>50</v>
      </c>
      <c r="E160" s="6" t="s">
        <v>51</v>
      </c>
      <c r="F160" s="8">
        <v>4050</v>
      </c>
      <c r="G160" s="8">
        <v>871</v>
      </c>
      <c r="H160" s="8">
        <v>347</v>
      </c>
      <c r="I160" s="8">
        <v>52650</v>
      </c>
      <c r="J160" s="8">
        <v>51755</v>
      </c>
      <c r="K160" s="8">
        <v>209</v>
      </c>
      <c r="L160" s="9" t="s">
        <v>31</v>
      </c>
      <c r="M160" s="9" t="s">
        <v>18</v>
      </c>
      <c r="N160" s="18">
        <f t="shared" si="2"/>
        <v>0.10178726693073133</v>
      </c>
    </row>
    <row r="161" spans="1:14" x14ac:dyDescent="0.3">
      <c r="A161" s="5" t="s">
        <v>145</v>
      </c>
      <c r="B161" s="6" t="s">
        <v>14</v>
      </c>
      <c r="C161" s="7">
        <v>45741</v>
      </c>
      <c r="D161" s="6" t="s">
        <v>50</v>
      </c>
      <c r="E161" s="6" t="s">
        <v>51</v>
      </c>
      <c r="F161" s="8">
        <v>4050</v>
      </c>
      <c r="G161" s="8">
        <v>871</v>
      </c>
      <c r="H161" s="8">
        <v>347</v>
      </c>
      <c r="I161" s="8">
        <v>52650</v>
      </c>
      <c r="J161" s="8">
        <v>51755</v>
      </c>
      <c r="K161" s="8">
        <v>209</v>
      </c>
      <c r="L161" s="9" t="s">
        <v>52</v>
      </c>
      <c r="M161" s="9" t="s">
        <v>18</v>
      </c>
      <c r="N161" s="18">
        <f t="shared" si="2"/>
        <v>0.10178726693073133</v>
      </c>
    </row>
    <row r="162" spans="1:14" x14ac:dyDescent="0.3">
      <c r="A162" s="5" t="s">
        <v>146</v>
      </c>
      <c r="B162" s="6" t="s">
        <v>14</v>
      </c>
      <c r="C162" s="7">
        <v>45512</v>
      </c>
      <c r="D162" s="6" t="s">
        <v>28</v>
      </c>
      <c r="E162" s="6" t="s">
        <v>29</v>
      </c>
      <c r="F162" s="8">
        <v>3649</v>
      </c>
      <c r="G162" s="8">
        <v>215</v>
      </c>
      <c r="H162" s="8">
        <v>413</v>
      </c>
      <c r="I162" s="8">
        <v>25543</v>
      </c>
      <c r="J162" s="8">
        <v>24963</v>
      </c>
      <c r="K162" s="8">
        <v>167</v>
      </c>
      <c r="L162" s="9" t="s">
        <v>22</v>
      </c>
      <c r="M162" s="9" t="s">
        <v>18</v>
      </c>
      <c r="N162" s="18">
        <f t="shared" si="2"/>
        <v>0.1713335736890598</v>
      </c>
    </row>
    <row r="163" spans="1:14" x14ac:dyDescent="0.3">
      <c r="A163" s="5" t="s">
        <v>146</v>
      </c>
      <c r="B163" s="6" t="s">
        <v>14</v>
      </c>
      <c r="C163" s="7">
        <v>45512</v>
      </c>
      <c r="D163" s="6" t="s">
        <v>28</v>
      </c>
      <c r="E163" s="6" t="s">
        <v>29</v>
      </c>
      <c r="F163" s="8">
        <v>3649</v>
      </c>
      <c r="G163" s="8">
        <v>215</v>
      </c>
      <c r="H163" s="8">
        <v>413</v>
      </c>
      <c r="I163" s="8">
        <v>25543</v>
      </c>
      <c r="J163" s="8">
        <v>24963</v>
      </c>
      <c r="K163" s="8">
        <v>167</v>
      </c>
      <c r="L163" s="9" t="s">
        <v>31</v>
      </c>
      <c r="M163" s="9" t="s">
        <v>18</v>
      </c>
      <c r="N163" s="18">
        <f t="shared" si="2"/>
        <v>0.1713335736890598</v>
      </c>
    </row>
    <row r="164" spans="1:14" x14ac:dyDescent="0.3">
      <c r="A164" s="5" t="s">
        <v>147</v>
      </c>
      <c r="B164" s="6" t="s">
        <v>27</v>
      </c>
      <c r="C164" s="7">
        <v>45502</v>
      </c>
      <c r="D164" s="6" t="s">
        <v>15</v>
      </c>
      <c r="E164" s="6" t="s">
        <v>16</v>
      </c>
      <c r="F164" s="8">
        <v>3523</v>
      </c>
      <c r="G164" s="8">
        <v>753</v>
      </c>
      <c r="H164" s="8">
        <v>482</v>
      </c>
      <c r="I164" s="8">
        <v>38753</v>
      </c>
      <c r="J164" s="8">
        <v>38579</v>
      </c>
      <c r="K164" s="8">
        <v>270</v>
      </c>
      <c r="L164" s="9" t="s">
        <v>52</v>
      </c>
      <c r="M164" s="9" t="s">
        <v>23</v>
      </c>
      <c r="N164" s="18">
        <f t="shared" si="2"/>
        <v>0.12333134606910495</v>
      </c>
    </row>
    <row r="165" spans="1:14" x14ac:dyDescent="0.3">
      <c r="A165" s="5" t="s">
        <v>147</v>
      </c>
      <c r="B165" s="6" t="s">
        <v>27</v>
      </c>
      <c r="C165" s="7">
        <v>45502</v>
      </c>
      <c r="D165" s="6" t="s">
        <v>15</v>
      </c>
      <c r="E165" s="6" t="s">
        <v>16</v>
      </c>
      <c r="F165" s="8">
        <v>3523</v>
      </c>
      <c r="G165" s="8">
        <v>753</v>
      </c>
      <c r="H165" s="8">
        <v>482</v>
      </c>
      <c r="I165" s="8">
        <v>38753</v>
      </c>
      <c r="J165" s="8">
        <v>38579</v>
      </c>
      <c r="K165" s="8">
        <v>270</v>
      </c>
      <c r="L165" s="9" t="s">
        <v>31</v>
      </c>
      <c r="M165" s="9" t="s">
        <v>23</v>
      </c>
      <c r="N165" s="18">
        <f t="shared" si="2"/>
        <v>0.12333134606910495</v>
      </c>
    </row>
    <row r="166" spans="1:14" x14ac:dyDescent="0.3">
      <c r="A166" s="5" t="s">
        <v>148</v>
      </c>
      <c r="B166" s="6" t="s">
        <v>25</v>
      </c>
      <c r="C166" s="7">
        <v>45619</v>
      </c>
      <c r="D166" s="6" t="s">
        <v>40</v>
      </c>
      <c r="E166" s="6" t="s">
        <v>41</v>
      </c>
      <c r="F166" s="8">
        <v>2719</v>
      </c>
      <c r="G166" s="8">
        <v>17</v>
      </c>
      <c r="H166" s="8">
        <v>285</v>
      </c>
      <c r="I166" s="8">
        <v>40785</v>
      </c>
      <c r="J166" s="8">
        <v>40281</v>
      </c>
      <c r="K166" s="8">
        <v>40</v>
      </c>
      <c r="L166" s="9" t="s">
        <v>22</v>
      </c>
      <c r="M166" s="9" t="s">
        <v>32</v>
      </c>
      <c r="N166" s="18">
        <f t="shared" si="2"/>
        <v>7.4998138079988078E-2</v>
      </c>
    </row>
    <row r="167" spans="1:14" x14ac:dyDescent="0.3">
      <c r="A167" s="5" t="s">
        <v>148</v>
      </c>
      <c r="B167" s="6" t="s">
        <v>25</v>
      </c>
      <c r="C167" s="7">
        <v>45619</v>
      </c>
      <c r="D167" s="6" t="s">
        <v>40</v>
      </c>
      <c r="E167" s="6" t="s">
        <v>41</v>
      </c>
      <c r="F167" s="8">
        <v>2719</v>
      </c>
      <c r="G167" s="8">
        <v>17</v>
      </c>
      <c r="H167" s="8">
        <v>285</v>
      </c>
      <c r="I167" s="8">
        <v>40785</v>
      </c>
      <c r="J167" s="8">
        <v>40281</v>
      </c>
      <c r="K167" s="8">
        <v>40</v>
      </c>
      <c r="L167" s="9" t="s">
        <v>31</v>
      </c>
      <c r="M167" s="9" t="s">
        <v>32</v>
      </c>
      <c r="N167" s="18">
        <f t="shared" si="2"/>
        <v>7.4998138079988078E-2</v>
      </c>
    </row>
    <row r="168" spans="1:14" x14ac:dyDescent="0.3">
      <c r="A168" s="5" t="s">
        <v>149</v>
      </c>
      <c r="B168" s="6" t="s">
        <v>14</v>
      </c>
      <c r="C168" s="7">
        <v>45570</v>
      </c>
      <c r="D168" s="6" t="s">
        <v>28</v>
      </c>
      <c r="E168" s="6" t="s">
        <v>29</v>
      </c>
      <c r="F168" s="8">
        <v>1957</v>
      </c>
      <c r="G168" s="8">
        <v>877</v>
      </c>
      <c r="H168" s="8">
        <v>238</v>
      </c>
      <c r="I168" s="8">
        <v>17613</v>
      </c>
      <c r="J168" s="8">
        <v>16865</v>
      </c>
      <c r="K168" s="8">
        <v>297</v>
      </c>
      <c r="L168" s="9" t="s">
        <v>22</v>
      </c>
      <c r="M168" s="9" t="s">
        <v>32</v>
      </c>
      <c r="N168" s="18">
        <f t="shared" si="2"/>
        <v>0.18215238659946634</v>
      </c>
    </row>
    <row r="169" spans="1:14" x14ac:dyDescent="0.3">
      <c r="A169" s="5" t="s">
        <v>149</v>
      </c>
      <c r="B169" s="6" t="s">
        <v>14</v>
      </c>
      <c r="C169" s="7">
        <v>45570</v>
      </c>
      <c r="D169" s="6" t="s">
        <v>28</v>
      </c>
      <c r="E169" s="6" t="s">
        <v>29</v>
      </c>
      <c r="F169" s="8">
        <v>1957</v>
      </c>
      <c r="G169" s="8">
        <v>877</v>
      </c>
      <c r="H169" s="8">
        <v>238</v>
      </c>
      <c r="I169" s="8">
        <v>17613</v>
      </c>
      <c r="J169" s="8">
        <v>16865</v>
      </c>
      <c r="K169" s="8">
        <v>297</v>
      </c>
      <c r="L169" s="9" t="s">
        <v>17</v>
      </c>
      <c r="M169" s="9" t="s">
        <v>32</v>
      </c>
      <c r="N169" s="18">
        <f t="shared" si="2"/>
        <v>0.18215238659946634</v>
      </c>
    </row>
    <row r="170" spans="1:14" x14ac:dyDescent="0.3">
      <c r="A170" s="5" t="s">
        <v>150</v>
      </c>
      <c r="B170" s="6" t="s">
        <v>14</v>
      </c>
      <c r="C170" s="7">
        <v>45567</v>
      </c>
      <c r="D170" s="6" t="s">
        <v>35</v>
      </c>
      <c r="E170" s="6" t="s">
        <v>36</v>
      </c>
      <c r="F170" s="8">
        <v>4419</v>
      </c>
      <c r="G170" s="8">
        <v>236</v>
      </c>
      <c r="H170" s="8">
        <v>369</v>
      </c>
      <c r="I170" s="8">
        <v>44190</v>
      </c>
      <c r="J170" s="8">
        <v>43582</v>
      </c>
      <c r="K170" s="8">
        <v>10</v>
      </c>
      <c r="L170" s="9" t="s">
        <v>37</v>
      </c>
      <c r="M170" s="9" t="s">
        <v>44</v>
      </c>
      <c r="N170" s="18">
        <f t="shared" si="2"/>
        <v>0.11527694919921068</v>
      </c>
    </row>
    <row r="171" spans="1:14" x14ac:dyDescent="0.3">
      <c r="A171" s="5" t="s">
        <v>151</v>
      </c>
      <c r="B171" s="6" t="s">
        <v>14</v>
      </c>
      <c r="C171" s="7">
        <v>45610</v>
      </c>
      <c r="D171" s="6" t="s">
        <v>28</v>
      </c>
      <c r="E171" s="6" t="s">
        <v>29</v>
      </c>
      <c r="F171" s="8">
        <v>4000</v>
      </c>
      <c r="G171" s="8">
        <v>689</v>
      </c>
      <c r="H171" s="8">
        <v>488</v>
      </c>
      <c r="I171" s="8">
        <v>40000</v>
      </c>
      <c r="J171" s="8">
        <v>39569</v>
      </c>
      <c r="K171" s="8">
        <v>44</v>
      </c>
      <c r="L171" s="9" t="s">
        <v>52</v>
      </c>
      <c r="M171" s="9" t="s">
        <v>32</v>
      </c>
      <c r="N171" s="18">
        <f t="shared" si="2"/>
        <v>0.13083474437059314</v>
      </c>
    </row>
    <row r="172" spans="1:14" x14ac:dyDescent="0.3">
      <c r="A172" s="5" t="s">
        <v>151</v>
      </c>
      <c r="B172" s="6" t="s">
        <v>14</v>
      </c>
      <c r="C172" s="7">
        <v>45610</v>
      </c>
      <c r="D172" s="6" t="s">
        <v>28</v>
      </c>
      <c r="E172" s="6" t="s">
        <v>29</v>
      </c>
      <c r="F172" s="8">
        <v>4000</v>
      </c>
      <c r="G172" s="8">
        <v>689</v>
      </c>
      <c r="H172" s="8">
        <v>488</v>
      </c>
      <c r="I172" s="8">
        <v>40000</v>
      </c>
      <c r="J172" s="8">
        <v>39569</v>
      </c>
      <c r="K172" s="8">
        <v>44</v>
      </c>
      <c r="L172" s="9" t="s">
        <v>22</v>
      </c>
      <c r="M172" s="9" t="s">
        <v>32</v>
      </c>
      <c r="N172" s="18">
        <f t="shared" si="2"/>
        <v>0.13083474437059314</v>
      </c>
    </row>
    <row r="173" spans="1:14" x14ac:dyDescent="0.3">
      <c r="A173" s="5" t="s">
        <v>152</v>
      </c>
      <c r="B173" s="6" t="s">
        <v>14</v>
      </c>
      <c r="C173" s="7">
        <v>45788</v>
      </c>
      <c r="D173" s="6" t="s">
        <v>40</v>
      </c>
      <c r="E173" s="6" t="s">
        <v>41</v>
      </c>
      <c r="F173" s="8">
        <v>2493</v>
      </c>
      <c r="G173" s="8">
        <v>97</v>
      </c>
      <c r="H173" s="8">
        <v>44</v>
      </c>
      <c r="I173" s="8">
        <v>42381</v>
      </c>
      <c r="J173" s="8">
        <v>41991</v>
      </c>
      <c r="K173" s="8">
        <v>242</v>
      </c>
      <c r="L173" s="9" t="s">
        <v>17</v>
      </c>
      <c r="M173" s="9" t="s">
        <v>18</v>
      </c>
      <c r="N173" s="18">
        <f t="shared" si="2"/>
        <v>6.272772737015074E-2</v>
      </c>
    </row>
    <row r="174" spans="1:14" x14ac:dyDescent="0.3">
      <c r="A174" s="5" t="s">
        <v>152</v>
      </c>
      <c r="B174" s="6" t="s">
        <v>14</v>
      </c>
      <c r="C174" s="7">
        <v>45788</v>
      </c>
      <c r="D174" s="6" t="s">
        <v>40</v>
      </c>
      <c r="E174" s="6" t="s">
        <v>41</v>
      </c>
      <c r="F174" s="8">
        <v>2493</v>
      </c>
      <c r="G174" s="8">
        <v>97</v>
      </c>
      <c r="H174" s="8">
        <v>44</v>
      </c>
      <c r="I174" s="8">
        <v>42381</v>
      </c>
      <c r="J174" s="8">
        <v>41991</v>
      </c>
      <c r="K174" s="8">
        <v>242</v>
      </c>
      <c r="L174" s="9" t="s">
        <v>31</v>
      </c>
      <c r="M174" s="9" t="s">
        <v>18</v>
      </c>
      <c r="N174" s="18">
        <f t="shared" si="2"/>
        <v>6.272772737015074E-2</v>
      </c>
    </row>
    <row r="175" spans="1:14" x14ac:dyDescent="0.3">
      <c r="A175" s="5" t="s">
        <v>153</v>
      </c>
      <c r="B175" s="6" t="s">
        <v>25</v>
      </c>
      <c r="C175" s="7">
        <v>45734</v>
      </c>
      <c r="D175" s="6" t="s">
        <v>15</v>
      </c>
      <c r="E175" s="6" t="s">
        <v>16</v>
      </c>
      <c r="F175" s="8">
        <v>3704</v>
      </c>
      <c r="G175" s="8">
        <v>186</v>
      </c>
      <c r="H175" s="8">
        <v>458</v>
      </c>
      <c r="I175" s="8">
        <v>25928</v>
      </c>
      <c r="J175" s="8">
        <v>25081</v>
      </c>
      <c r="K175" s="8">
        <v>131</v>
      </c>
      <c r="L175" s="9" t="s">
        <v>31</v>
      </c>
      <c r="M175" s="9" t="s">
        <v>18</v>
      </c>
      <c r="N175" s="18">
        <f t="shared" si="2"/>
        <v>0.17335831904629001</v>
      </c>
    </row>
    <row r="176" spans="1:14" x14ac:dyDescent="0.3">
      <c r="A176" s="5" t="s">
        <v>154</v>
      </c>
      <c r="B176" s="6" t="s">
        <v>14</v>
      </c>
      <c r="C176" s="7">
        <v>45600</v>
      </c>
      <c r="D176" s="6" t="s">
        <v>40</v>
      </c>
      <c r="E176" s="6" t="s">
        <v>41</v>
      </c>
      <c r="F176" s="8">
        <v>1606</v>
      </c>
      <c r="G176" s="8">
        <v>451</v>
      </c>
      <c r="H176" s="8">
        <v>405</v>
      </c>
      <c r="I176" s="8">
        <v>20878</v>
      </c>
      <c r="J176" s="8">
        <v>20190</v>
      </c>
      <c r="K176" s="8">
        <v>219</v>
      </c>
      <c r="L176" s="9" t="s">
        <v>17</v>
      </c>
      <c r="M176" s="9" t="s">
        <v>23</v>
      </c>
      <c r="N176" s="18">
        <f t="shared" si="2"/>
        <v>0.12194155522535909</v>
      </c>
    </row>
    <row r="177" spans="1:14" x14ac:dyDescent="0.3">
      <c r="A177" s="5" t="s">
        <v>154</v>
      </c>
      <c r="B177" s="6" t="s">
        <v>14</v>
      </c>
      <c r="C177" s="7">
        <v>45600</v>
      </c>
      <c r="D177" s="6" t="s">
        <v>40</v>
      </c>
      <c r="E177" s="6" t="s">
        <v>41</v>
      </c>
      <c r="F177" s="8">
        <v>1606</v>
      </c>
      <c r="G177" s="8">
        <v>451</v>
      </c>
      <c r="H177" s="8">
        <v>405</v>
      </c>
      <c r="I177" s="8">
        <v>20878</v>
      </c>
      <c r="J177" s="8">
        <v>20190</v>
      </c>
      <c r="K177" s="8">
        <v>219</v>
      </c>
      <c r="L177" s="9" t="s">
        <v>31</v>
      </c>
      <c r="M177" s="9" t="s">
        <v>23</v>
      </c>
      <c r="N177" s="18">
        <f t="shared" si="2"/>
        <v>0.12194155522535909</v>
      </c>
    </row>
    <row r="178" spans="1:14" x14ac:dyDescent="0.3">
      <c r="A178" s="5" t="s">
        <v>155</v>
      </c>
      <c r="B178" s="6" t="s">
        <v>34</v>
      </c>
      <c r="C178" s="7">
        <v>45600</v>
      </c>
      <c r="D178" s="6" t="s">
        <v>40</v>
      </c>
      <c r="E178" s="6" t="s">
        <v>41</v>
      </c>
      <c r="F178" s="8">
        <v>4551</v>
      </c>
      <c r="G178" s="8">
        <v>714</v>
      </c>
      <c r="H178" s="8">
        <v>207</v>
      </c>
      <c r="I178" s="8">
        <v>68265</v>
      </c>
      <c r="J178" s="8">
        <v>67754</v>
      </c>
      <c r="K178" s="8">
        <v>57</v>
      </c>
      <c r="L178" s="9" t="s">
        <v>37</v>
      </c>
      <c r="M178" s="9" t="s">
        <v>23</v>
      </c>
      <c r="N178" s="18">
        <f t="shared" si="2"/>
        <v>8.0762759394279307E-2</v>
      </c>
    </row>
    <row r="179" spans="1:14" x14ac:dyDescent="0.3">
      <c r="A179" s="5" t="s">
        <v>156</v>
      </c>
      <c r="B179" s="6" t="s">
        <v>27</v>
      </c>
      <c r="C179" s="7">
        <v>45695</v>
      </c>
      <c r="D179" s="6" t="s">
        <v>15</v>
      </c>
      <c r="E179" s="6" t="s">
        <v>16</v>
      </c>
      <c r="F179" s="8">
        <v>1970</v>
      </c>
      <c r="G179" s="8">
        <v>675</v>
      </c>
      <c r="H179" s="8">
        <v>478</v>
      </c>
      <c r="I179" s="8">
        <v>9850</v>
      </c>
      <c r="J179" s="8">
        <v>8924</v>
      </c>
      <c r="K179" s="8">
        <v>117</v>
      </c>
      <c r="L179" s="9" t="s">
        <v>37</v>
      </c>
      <c r="M179" s="9" t="s">
        <v>44</v>
      </c>
      <c r="N179" s="18">
        <f t="shared" si="2"/>
        <v>0.34995517705064993</v>
      </c>
    </row>
    <row r="180" spans="1:14" x14ac:dyDescent="0.3">
      <c r="A180" s="5" t="s">
        <v>157</v>
      </c>
      <c r="B180" s="6" t="s">
        <v>34</v>
      </c>
      <c r="C180" s="7">
        <v>45586</v>
      </c>
      <c r="D180" s="6" t="s">
        <v>28</v>
      </c>
      <c r="E180" s="6" t="s">
        <v>29</v>
      </c>
      <c r="F180" s="8">
        <v>780</v>
      </c>
      <c r="G180" s="8">
        <v>928</v>
      </c>
      <c r="H180" s="8">
        <v>301</v>
      </c>
      <c r="I180" s="8">
        <v>8580</v>
      </c>
      <c r="J180" s="8">
        <v>8081</v>
      </c>
      <c r="K180" s="8">
        <v>91</v>
      </c>
      <c r="L180" s="9" t="s">
        <v>17</v>
      </c>
      <c r="M180" s="9" t="s">
        <v>44</v>
      </c>
      <c r="N180" s="18">
        <f t="shared" si="2"/>
        <v>0.24860784556366786</v>
      </c>
    </row>
    <row r="181" spans="1:14" x14ac:dyDescent="0.3">
      <c r="A181" s="5" t="s">
        <v>157</v>
      </c>
      <c r="B181" s="6" t="s">
        <v>34</v>
      </c>
      <c r="C181" s="7">
        <v>45586</v>
      </c>
      <c r="D181" s="6" t="s">
        <v>28</v>
      </c>
      <c r="E181" s="6" t="s">
        <v>29</v>
      </c>
      <c r="F181" s="8">
        <v>780</v>
      </c>
      <c r="G181" s="8">
        <v>928</v>
      </c>
      <c r="H181" s="8">
        <v>301</v>
      </c>
      <c r="I181" s="8">
        <v>8580</v>
      </c>
      <c r="J181" s="8">
        <v>8081</v>
      </c>
      <c r="K181" s="8">
        <v>91</v>
      </c>
      <c r="L181" s="9" t="s">
        <v>22</v>
      </c>
      <c r="M181" s="9" t="s">
        <v>44</v>
      </c>
      <c r="N181" s="18">
        <f t="shared" si="2"/>
        <v>0.24860784556366786</v>
      </c>
    </row>
    <row r="182" spans="1:14" x14ac:dyDescent="0.3">
      <c r="A182" s="5" t="s">
        <v>158</v>
      </c>
      <c r="B182" s="6" t="s">
        <v>27</v>
      </c>
      <c r="C182" s="7">
        <v>45502</v>
      </c>
      <c r="D182" s="6" t="s">
        <v>28</v>
      </c>
      <c r="E182" s="6" t="s">
        <v>29</v>
      </c>
      <c r="F182" s="8">
        <v>498</v>
      </c>
      <c r="G182" s="8">
        <v>701</v>
      </c>
      <c r="H182" s="8">
        <v>412</v>
      </c>
      <c r="I182" s="8">
        <v>4980</v>
      </c>
      <c r="J182" s="8">
        <v>4185</v>
      </c>
      <c r="K182" s="8">
        <v>185</v>
      </c>
      <c r="L182" s="9" t="s">
        <v>52</v>
      </c>
      <c r="M182" s="9" t="s">
        <v>44</v>
      </c>
      <c r="N182" s="18">
        <f t="shared" si="2"/>
        <v>0.38494623655913979</v>
      </c>
    </row>
    <row r="183" spans="1:14" x14ac:dyDescent="0.3">
      <c r="A183" s="5" t="s">
        <v>158</v>
      </c>
      <c r="B183" s="6" t="s">
        <v>27</v>
      </c>
      <c r="C183" s="7">
        <v>45502</v>
      </c>
      <c r="D183" s="6" t="s">
        <v>28</v>
      </c>
      <c r="E183" s="6" t="s">
        <v>29</v>
      </c>
      <c r="F183" s="8">
        <v>498</v>
      </c>
      <c r="G183" s="8">
        <v>701</v>
      </c>
      <c r="H183" s="8">
        <v>412</v>
      </c>
      <c r="I183" s="8">
        <v>4980</v>
      </c>
      <c r="J183" s="8">
        <v>4185</v>
      </c>
      <c r="K183" s="8">
        <v>185</v>
      </c>
      <c r="L183" s="9" t="s">
        <v>31</v>
      </c>
      <c r="M183" s="9" t="s">
        <v>44</v>
      </c>
      <c r="N183" s="18">
        <f t="shared" si="2"/>
        <v>0.38494623655913979</v>
      </c>
    </row>
    <row r="184" spans="1:14" x14ac:dyDescent="0.3">
      <c r="A184" s="5" t="s">
        <v>159</v>
      </c>
      <c r="B184" s="6" t="s">
        <v>27</v>
      </c>
      <c r="C184" s="7">
        <v>45567</v>
      </c>
      <c r="D184" s="6" t="s">
        <v>20</v>
      </c>
      <c r="E184" s="6" t="s">
        <v>21</v>
      </c>
      <c r="F184" s="8">
        <v>3432</v>
      </c>
      <c r="G184" s="8">
        <v>869</v>
      </c>
      <c r="H184" s="8">
        <v>123</v>
      </c>
      <c r="I184" s="8">
        <v>54912</v>
      </c>
      <c r="J184" s="8">
        <v>53916</v>
      </c>
      <c r="K184" s="8">
        <v>264</v>
      </c>
      <c r="L184" s="9" t="s">
        <v>22</v>
      </c>
      <c r="M184" s="9" t="s">
        <v>23</v>
      </c>
      <c r="N184" s="18">
        <f t="shared" si="2"/>
        <v>8.2053564804510717E-2</v>
      </c>
    </row>
    <row r="185" spans="1:14" x14ac:dyDescent="0.3">
      <c r="A185" s="5" t="s">
        <v>159</v>
      </c>
      <c r="B185" s="6" t="s">
        <v>27</v>
      </c>
      <c r="C185" s="7">
        <v>45567</v>
      </c>
      <c r="D185" s="6" t="s">
        <v>20</v>
      </c>
      <c r="E185" s="6" t="s">
        <v>21</v>
      </c>
      <c r="F185" s="8">
        <v>3432</v>
      </c>
      <c r="G185" s="8">
        <v>869</v>
      </c>
      <c r="H185" s="8">
        <v>123</v>
      </c>
      <c r="I185" s="8">
        <v>54912</v>
      </c>
      <c r="J185" s="8">
        <v>53916</v>
      </c>
      <c r="K185" s="8">
        <v>264</v>
      </c>
      <c r="L185" s="9" t="s">
        <v>37</v>
      </c>
      <c r="M185" s="9" t="s">
        <v>23</v>
      </c>
      <c r="N185" s="18">
        <f t="shared" si="2"/>
        <v>8.2053564804510717E-2</v>
      </c>
    </row>
    <row r="186" spans="1:14" x14ac:dyDescent="0.3">
      <c r="A186" s="5" t="s">
        <v>160</v>
      </c>
      <c r="B186" s="6" t="s">
        <v>27</v>
      </c>
      <c r="C186" s="7">
        <v>45457</v>
      </c>
      <c r="D186" s="6" t="s">
        <v>28</v>
      </c>
      <c r="E186" s="6" t="s">
        <v>29</v>
      </c>
      <c r="F186" s="8">
        <v>4363</v>
      </c>
      <c r="G186" s="8">
        <v>649</v>
      </c>
      <c r="H186" s="8">
        <v>140</v>
      </c>
      <c r="I186" s="8">
        <v>21815</v>
      </c>
      <c r="J186" s="8">
        <v>21481</v>
      </c>
      <c r="K186" s="8">
        <v>157</v>
      </c>
      <c r="L186" s="9" t="s">
        <v>17</v>
      </c>
      <c r="M186" s="9" t="s">
        <v>23</v>
      </c>
      <c r="N186" s="18">
        <f t="shared" si="2"/>
        <v>0.23983985847958661</v>
      </c>
    </row>
    <row r="187" spans="1:14" x14ac:dyDescent="0.3">
      <c r="A187" s="5" t="s">
        <v>160</v>
      </c>
      <c r="B187" s="6" t="s">
        <v>27</v>
      </c>
      <c r="C187" s="7">
        <v>45457</v>
      </c>
      <c r="D187" s="6" t="s">
        <v>28</v>
      </c>
      <c r="E187" s="6" t="s">
        <v>29</v>
      </c>
      <c r="F187" s="8">
        <v>4363</v>
      </c>
      <c r="G187" s="8">
        <v>649</v>
      </c>
      <c r="H187" s="8">
        <v>140</v>
      </c>
      <c r="I187" s="8">
        <v>21815</v>
      </c>
      <c r="J187" s="8">
        <v>21481</v>
      </c>
      <c r="K187" s="8">
        <v>157</v>
      </c>
      <c r="L187" s="9" t="s">
        <v>22</v>
      </c>
      <c r="M187" s="9" t="s">
        <v>23</v>
      </c>
      <c r="N187" s="18">
        <f t="shared" si="2"/>
        <v>0.23983985847958661</v>
      </c>
    </row>
    <row r="188" spans="1:14" x14ac:dyDescent="0.3">
      <c r="A188" s="5" t="s">
        <v>161</v>
      </c>
      <c r="B188" s="6" t="s">
        <v>25</v>
      </c>
      <c r="C188" s="7">
        <v>45753</v>
      </c>
      <c r="D188" s="6" t="s">
        <v>35</v>
      </c>
      <c r="E188" s="6" t="s">
        <v>36</v>
      </c>
      <c r="F188" s="8">
        <v>736</v>
      </c>
      <c r="G188" s="8">
        <v>771</v>
      </c>
      <c r="H188" s="8">
        <v>225</v>
      </c>
      <c r="I188" s="8">
        <v>5152</v>
      </c>
      <c r="J188" s="8">
        <v>4706</v>
      </c>
      <c r="K188" s="8">
        <v>19</v>
      </c>
      <c r="L188" s="9" t="s">
        <v>31</v>
      </c>
      <c r="M188" s="9" t="s">
        <v>32</v>
      </c>
      <c r="N188" s="18">
        <f t="shared" si="2"/>
        <v>0.36804079898002551</v>
      </c>
    </row>
    <row r="189" spans="1:14" x14ac:dyDescent="0.3">
      <c r="A189" s="5" t="s">
        <v>162</v>
      </c>
      <c r="B189" s="6" t="s">
        <v>14</v>
      </c>
      <c r="C189" s="7">
        <v>45543</v>
      </c>
      <c r="D189" s="6" t="s">
        <v>35</v>
      </c>
      <c r="E189" s="6" t="s">
        <v>36</v>
      </c>
      <c r="F189" s="8">
        <v>3811</v>
      </c>
      <c r="G189" s="8">
        <v>866</v>
      </c>
      <c r="H189" s="8">
        <v>216</v>
      </c>
      <c r="I189" s="8">
        <v>34299</v>
      </c>
      <c r="J189" s="8">
        <v>34088</v>
      </c>
      <c r="K189" s="8">
        <v>233</v>
      </c>
      <c r="L189" s="9" t="s">
        <v>31</v>
      </c>
      <c r="M189" s="9" t="s">
        <v>32</v>
      </c>
      <c r="N189" s="18">
        <f t="shared" si="2"/>
        <v>0.14354024876789487</v>
      </c>
    </row>
    <row r="190" spans="1:14" x14ac:dyDescent="0.3">
      <c r="A190" s="5" t="s">
        <v>163</v>
      </c>
      <c r="B190" s="6" t="s">
        <v>27</v>
      </c>
      <c r="C190" s="7">
        <v>45744</v>
      </c>
      <c r="D190" s="6" t="s">
        <v>35</v>
      </c>
      <c r="E190" s="6" t="s">
        <v>36</v>
      </c>
      <c r="F190" s="8">
        <v>4158</v>
      </c>
      <c r="G190" s="8">
        <v>167</v>
      </c>
      <c r="H190" s="8">
        <v>241</v>
      </c>
      <c r="I190" s="8">
        <v>45738</v>
      </c>
      <c r="J190" s="8">
        <v>45183</v>
      </c>
      <c r="K190" s="8">
        <v>142</v>
      </c>
      <c r="L190" s="9" t="s">
        <v>22</v>
      </c>
      <c r="M190" s="9" t="s">
        <v>23</v>
      </c>
      <c r="N190" s="18">
        <f t="shared" si="2"/>
        <v>0.10105570679237766</v>
      </c>
    </row>
    <row r="191" spans="1:14" x14ac:dyDescent="0.3">
      <c r="A191" s="5" t="s">
        <v>164</v>
      </c>
      <c r="B191" s="6" t="s">
        <v>34</v>
      </c>
      <c r="C191" s="7">
        <v>45684</v>
      </c>
      <c r="D191" s="6" t="s">
        <v>15</v>
      </c>
      <c r="E191" s="6" t="s">
        <v>16</v>
      </c>
      <c r="F191" s="8">
        <v>3452</v>
      </c>
      <c r="G191" s="8">
        <v>652</v>
      </c>
      <c r="H191" s="8">
        <v>442</v>
      </c>
      <c r="I191" s="8">
        <v>65588</v>
      </c>
      <c r="J191" s="8">
        <v>65049</v>
      </c>
      <c r="K191" s="8">
        <v>158</v>
      </c>
      <c r="L191" s="9" t="s">
        <v>17</v>
      </c>
      <c r="M191" s="9" t="s">
        <v>18</v>
      </c>
      <c r="N191" s="18">
        <f t="shared" si="2"/>
        <v>6.9885778413196209E-2</v>
      </c>
    </row>
    <row r="192" spans="1:14" x14ac:dyDescent="0.3">
      <c r="A192" s="5" t="s">
        <v>164</v>
      </c>
      <c r="B192" s="6" t="s">
        <v>34</v>
      </c>
      <c r="C192" s="7">
        <v>45684</v>
      </c>
      <c r="D192" s="6" t="s">
        <v>15</v>
      </c>
      <c r="E192" s="6" t="s">
        <v>16</v>
      </c>
      <c r="F192" s="8">
        <v>3452</v>
      </c>
      <c r="G192" s="8">
        <v>652</v>
      </c>
      <c r="H192" s="8">
        <v>442</v>
      </c>
      <c r="I192" s="8">
        <v>65588</v>
      </c>
      <c r="J192" s="8">
        <v>65049</v>
      </c>
      <c r="K192" s="8">
        <v>158</v>
      </c>
      <c r="L192" s="9" t="s">
        <v>31</v>
      </c>
      <c r="M192" s="9" t="s">
        <v>18</v>
      </c>
      <c r="N192" s="18">
        <f t="shared" si="2"/>
        <v>6.9885778413196209E-2</v>
      </c>
    </row>
    <row r="193" spans="1:14" x14ac:dyDescent="0.3">
      <c r="A193" s="5" t="s">
        <v>165</v>
      </c>
      <c r="B193" s="6" t="s">
        <v>14</v>
      </c>
      <c r="C193" s="7">
        <v>45667</v>
      </c>
      <c r="D193" s="6" t="s">
        <v>40</v>
      </c>
      <c r="E193" s="6" t="s">
        <v>41</v>
      </c>
      <c r="F193" s="8">
        <v>3092</v>
      </c>
      <c r="G193" s="8">
        <v>106</v>
      </c>
      <c r="H193" s="8">
        <v>291</v>
      </c>
      <c r="I193" s="8">
        <v>27828</v>
      </c>
      <c r="J193" s="8">
        <v>27217</v>
      </c>
      <c r="K193" s="8">
        <v>102</v>
      </c>
      <c r="L193" s="9" t="s">
        <v>31</v>
      </c>
      <c r="M193" s="9" t="s">
        <v>44</v>
      </c>
      <c r="N193" s="18">
        <f t="shared" si="2"/>
        <v>0.12819193886174082</v>
      </c>
    </row>
    <row r="194" spans="1:14" x14ac:dyDescent="0.3">
      <c r="A194" s="5" t="s">
        <v>166</v>
      </c>
      <c r="B194" s="6" t="s">
        <v>14</v>
      </c>
      <c r="C194" s="7">
        <v>45494</v>
      </c>
      <c r="D194" s="6" t="s">
        <v>20</v>
      </c>
      <c r="E194" s="6" t="s">
        <v>21</v>
      </c>
      <c r="F194" s="8">
        <v>2147</v>
      </c>
      <c r="G194" s="8">
        <v>430</v>
      </c>
      <c r="H194" s="8">
        <v>393</v>
      </c>
      <c r="I194" s="8">
        <v>17176</v>
      </c>
      <c r="J194" s="8">
        <v>16483</v>
      </c>
      <c r="K194" s="8">
        <v>170</v>
      </c>
      <c r="L194" s="9" t="s">
        <v>52</v>
      </c>
      <c r="M194" s="9" t="s">
        <v>44</v>
      </c>
      <c r="N194" s="18">
        <f t="shared" si="2"/>
        <v>0.18018564581690227</v>
      </c>
    </row>
    <row r="195" spans="1:14" x14ac:dyDescent="0.3">
      <c r="A195" s="5" t="s">
        <v>167</v>
      </c>
      <c r="B195" s="6" t="s">
        <v>25</v>
      </c>
      <c r="C195" s="7">
        <v>45564</v>
      </c>
      <c r="D195" s="6" t="s">
        <v>15</v>
      </c>
      <c r="E195" s="6" t="s">
        <v>16</v>
      </c>
      <c r="F195" s="8">
        <v>2936</v>
      </c>
      <c r="G195" s="8">
        <v>439</v>
      </c>
      <c r="H195" s="8">
        <v>44</v>
      </c>
      <c r="I195" s="8">
        <v>38168</v>
      </c>
      <c r="J195" s="8">
        <v>37571</v>
      </c>
      <c r="K195" s="8">
        <v>22</v>
      </c>
      <c r="L195" s="9" t="s">
        <v>17</v>
      </c>
      <c r="M195" s="9" t="s">
        <v>32</v>
      </c>
      <c r="N195" s="18">
        <f t="shared" ref="N195:N258" si="3">SUM(F195,G195,H195)/J195</f>
        <v>9.1001038034654383E-2</v>
      </c>
    </row>
    <row r="196" spans="1:14" x14ac:dyDescent="0.3">
      <c r="A196" s="5" t="s">
        <v>168</v>
      </c>
      <c r="B196" s="6" t="s">
        <v>27</v>
      </c>
      <c r="C196" s="7">
        <v>45586</v>
      </c>
      <c r="D196" s="6" t="s">
        <v>15</v>
      </c>
      <c r="E196" s="6" t="s">
        <v>16</v>
      </c>
      <c r="F196" s="8">
        <v>4840</v>
      </c>
      <c r="G196" s="8">
        <v>658</v>
      </c>
      <c r="H196" s="8">
        <v>211</v>
      </c>
      <c r="I196" s="8">
        <v>43560</v>
      </c>
      <c r="J196" s="8">
        <v>43225</v>
      </c>
      <c r="K196" s="8">
        <v>57</v>
      </c>
      <c r="L196" s="9" t="s">
        <v>17</v>
      </c>
      <c r="M196" s="9" t="s">
        <v>23</v>
      </c>
      <c r="N196" s="18">
        <f t="shared" si="3"/>
        <v>0.13207634470792365</v>
      </c>
    </row>
    <row r="197" spans="1:14" x14ac:dyDescent="0.3">
      <c r="A197" s="5" t="s">
        <v>168</v>
      </c>
      <c r="B197" s="6" t="s">
        <v>27</v>
      </c>
      <c r="C197" s="7">
        <v>45586</v>
      </c>
      <c r="D197" s="6" t="s">
        <v>15</v>
      </c>
      <c r="E197" s="6" t="s">
        <v>16</v>
      </c>
      <c r="F197" s="8">
        <v>4840</v>
      </c>
      <c r="G197" s="8">
        <v>658</v>
      </c>
      <c r="H197" s="8">
        <v>211</v>
      </c>
      <c r="I197" s="8">
        <v>43560</v>
      </c>
      <c r="J197" s="8">
        <v>43225</v>
      </c>
      <c r="K197" s="8">
        <v>57</v>
      </c>
      <c r="L197" s="9" t="s">
        <v>22</v>
      </c>
      <c r="M197" s="9" t="s">
        <v>23</v>
      </c>
      <c r="N197" s="18">
        <f t="shared" si="3"/>
        <v>0.13207634470792365</v>
      </c>
    </row>
    <row r="198" spans="1:14" x14ac:dyDescent="0.3">
      <c r="A198" s="5" t="s">
        <v>169</v>
      </c>
      <c r="B198" s="6" t="s">
        <v>27</v>
      </c>
      <c r="C198" s="7">
        <v>45720</v>
      </c>
      <c r="D198" s="6" t="s">
        <v>28</v>
      </c>
      <c r="E198" s="6" t="s">
        <v>29</v>
      </c>
      <c r="F198" s="8">
        <v>1947</v>
      </c>
      <c r="G198" s="8">
        <v>842</v>
      </c>
      <c r="H198" s="8">
        <v>101</v>
      </c>
      <c r="I198" s="8">
        <v>21417</v>
      </c>
      <c r="J198" s="8">
        <v>20967</v>
      </c>
      <c r="K198" s="8">
        <v>186</v>
      </c>
      <c r="L198" s="9" t="s">
        <v>22</v>
      </c>
      <c r="M198" s="9" t="s">
        <v>23</v>
      </c>
      <c r="N198" s="18">
        <f t="shared" si="3"/>
        <v>0.13783564649210664</v>
      </c>
    </row>
    <row r="199" spans="1:14" x14ac:dyDescent="0.3">
      <c r="A199" s="5" t="s">
        <v>170</v>
      </c>
      <c r="B199" s="6" t="s">
        <v>34</v>
      </c>
      <c r="C199" s="7">
        <v>45694</v>
      </c>
      <c r="D199" s="6" t="s">
        <v>40</v>
      </c>
      <c r="E199" s="6" t="s">
        <v>41</v>
      </c>
      <c r="F199" s="8">
        <v>2072</v>
      </c>
      <c r="G199" s="8">
        <v>532</v>
      </c>
      <c r="H199" s="8">
        <v>71</v>
      </c>
      <c r="I199" s="8">
        <v>37296</v>
      </c>
      <c r="J199" s="8">
        <v>36467</v>
      </c>
      <c r="K199" s="8">
        <v>25</v>
      </c>
      <c r="L199" s="9" t="s">
        <v>17</v>
      </c>
      <c r="M199" s="9" t="s">
        <v>32</v>
      </c>
      <c r="N199" s="18">
        <f t="shared" si="3"/>
        <v>7.3353991279787201E-2</v>
      </c>
    </row>
    <row r="200" spans="1:14" x14ac:dyDescent="0.3">
      <c r="A200" s="5" t="s">
        <v>171</v>
      </c>
      <c r="B200" s="6" t="s">
        <v>14</v>
      </c>
      <c r="C200" s="7">
        <v>45771</v>
      </c>
      <c r="D200" s="6" t="s">
        <v>15</v>
      </c>
      <c r="E200" s="6" t="s">
        <v>16</v>
      </c>
      <c r="F200" s="8">
        <v>3731</v>
      </c>
      <c r="G200" s="8">
        <v>115</v>
      </c>
      <c r="H200" s="8">
        <v>135</v>
      </c>
      <c r="I200" s="8">
        <v>55965</v>
      </c>
      <c r="J200" s="8">
        <v>55436</v>
      </c>
      <c r="K200" s="8">
        <v>103</v>
      </c>
      <c r="L200" s="9" t="s">
        <v>52</v>
      </c>
      <c r="M200" s="9" t="s">
        <v>44</v>
      </c>
      <c r="N200" s="18">
        <f t="shared" si="3"/>
        <v>7.1812540587343959E-2</v>
      </c>
    </row>
    <row r="201" spans="1:14" x14ac:dyDescent="0.3">
      <c r="A201" s="5" t="s">
        <v>172</v>
      </c>
      <c r="B201" s="6" t="s">
        <v>34</v>
      </c>
      <c r="C201" s="7">
        <v>45624</v>
      </c>
      <c r="D201" s="6" t="s">
        <v>20</v>
      </c>
      <c r="E201" s="6" t="s">
        <v>21</v>
      </c>
      <c r="F201" s="8">
        <v>4213</v>
      </c>
      <c r="G201" s="8">
        <v>253</v>
      </c>
      <c r="H201" s="8">
        <v>434</v>
      </c>
      <c r="I201" s="8">
        <v>75834</v>
      </c>
      <c r="J201" s="8">
        <v>75437</v>
      </c>
      <c r="K201" s="8">
        <v>272</v>
      </c>
      <c r="L201" s="9" t="s">
        <v>37</v>
      </c>
      <c r="M201" s="9" t="s">
        <v>32</v>
      </c>
      <c r="N201" s="18">
        <f t="shared" si="3"/>
        <v>6.4954862998263446E-2</v>
      </c>
    </row>
    <row r="202" spans="1:14" x14ac:dyDescent="0.3">
      <c r="A202" s="5" t="s">
        <v>173</v>
      </c>
      <c r="B202" s="6" t="s">
        <v>27</v>
      </c>
      <c r="C202" s="7">
        <v>45484</v>
      </c>
      <c r="D202" s="6" t="s">
        <v>20</v>
      </c>
      <c r="E202" s="6" t="s">
        <v>21</v>
      </c>
      <c r="F202" s="8">
        <v>3134</v>
      </c>
      <c r="G202" s="8">
        <v>888</v>
      </c>
      <c r="H202" s="8">
        <v>444</v>
      </c>
      <c r="I202" s="8">
        <v>21938</v>
      </c>
      <c r="J202" s="8">
        <v>21337</v>
      </c>
      <c r="K202" s="8">
        <v>130</v>
      </c>
      <c r="L202" s="9" t="s">
        <v>17</v>
      </c>
      <c r="M202" s="9" t="s">
        <v>44</v>
      </c>
      <c r="N202" s="18">
        <f t="shared" si="3"/>
        <v>0.209307775226133</v>
      </c>
    </row>
    <row r="203" spans="1:14" x14ac:dyDescent="0.3">
      <c r="A203" s="5" t="s">
        <v>173</v>
      </c>
      <c r="B203" s="6" t="s">
        <v>27</v>
      </c>
      <c r="C203" s="7">
        <v>45484</v>
      </c>
      <c r="D203" s="6" t="s">
        <v>20</v>
      </c>
      <c r="E203" s="6" t="s">
        <v>21</v>
      </c>
      <c r="F203" s="8">
        <v>3134</v>
      </c>
      <c r="G203" s="8">
        <v>888</v>
      </c>
      <c r="H203" s="8">
        <v>444</v>
      </c>
      <c r="I203" s="8">
        <v>21938</v>
      </c>
      <c r="J203" s="8">
        <v>21337</v>
      </c>
      <c r="K203" s="8">
        <v>130</v>
      </c>
      <c r="L203" s="9" t="s">
        <v>22</v>
      </c>
      <c r="M203" s="9" t="s">
        <v>44</v>
      </c>
      <c r="N203" s="18">
        <f t="shared" si="3"/>
        <v>0.209307775226133</v>
      </c>
    </row>
    <row r="204" spans="1:14" x14ac:dyDescent="0.3">
      <c r="A204" s="5" t="s">
        <v>174</v>
      </c>
      <c r="B204" s="6" t="s">
        <v>34</v>
      </c>
      <c r="C204" s="7">
        <v>45504</v>
      </c>
      <c r="D204" s="6" t="s">
        <v>50</v>
      </c>
      <c r="E204" s="6" t="s">
        <v>51</v>
      </c>
      <c r="F204" s="8">
        <v>3008</v>
      </c>
      <c r="G204" s="8">
        <v>94</v>
      </c>
      <c r="H204" s="8">
        <v>37</v>
      </c>
      <c r="I204" s="8">
        <v>15040</v>
      </c>
      <c r="J204" s="8">
        <v>14639</v>
      </c>
      <c r="K204" s="8">
        <v>277</v>
      </c>
      <c r="L204" s="9" t="s">
        <v>52</v>
      </c>
      <c r="M204" s="9" t="s">
        <v>18</v>
      </c>
      <c r="N204" s="18">
        <f t="shared" si="3"/>
        <v>0.2144272149737004</v>
      </c>
    </row>
    <row r="205" spans="1:14" x14ac:dyDescent="0.3">
      <c r="A205" s="5" t="s">
        <v>175</v>
      </c>
      <c r="B205" s="6" t="s">
        <v>14</v>
      </c>
      <c r="C205" s="7">
        <v>45745</v>
      </c>
      <c r="D205" s="6" t="s">
        <v>40</v>
      </c>
      <c r="E205" s="6" t="s">
        <v>41</v>
      </c>
      <c r="F205" s="8">
        <v>305</v>
      </c>
      <c r="G205" s="8">
        <v>187</v>
      </c>
      <c r="H205" s="8">
        <v>243</v>
      </c>
      <c r="I205" s="8">
        <v>4575</v>
      </c>
      <c r="J205" s="8">
        <v>3704</v>
      </c>
      <c r="K205" s="8">
        <v>234</v>
      </c>
      <c r="L205" s="9" t="s">
        <v>22</v>
      </c>
      <c r="M205" s="9" t="s">
        <v>44</v>
      </c>
      <c r="N205" s="18">
        <f t="shared" si="3"/>
        <v>0.19843412526997839</v>
      </c>
    </row>
    <row r="206" spans="1:14" x14ac:dyDescent="0.3">
      <c r="A206" s="5" t="s">
        <v>175</v>
      </c>
      <c r="B206" s="6" t="s">
        <v>14</v>
      </c>
      <c r="C206" s="7">
        <v>45745</v>
      </c>
      <c r="D206" s="6" t="s">
        <v>40</v>
      </c>
      <c r="E206" s="6" t="s">
        <v>41</v>
      </c>
      <c r="F206" s="8">
        <v>305</v>
      </c>
      <c r="G206" s="8">
        <v>187</v>
      </c>
      <c r="H206" s="8">
        <v>243</v>
      </c>
      <c r="I206" s="8">
        <v>4575</v>
      </c>
      <c r="J206" s="8">
        <v>3704</v>
      </c>
      <c r="K206" s="8">
        <v>234</v>
      </c>
      <c r="L206" s="9" t="s">
        <v>37</v>
      </c>
      <c r="M206" s="9" t="s">
        <v>44</v>
      </c>
      <c r="N206" s="18">
        <f t="shared" si="3"/>
        <v>0.19843412526997839</v>
      </c>
    </row>
    <row r="207" spans="1:14" x14ac:dyDescent="0.3">
      <c r="A207" s="5" t="s">
        <v>176</v>
      </c>
      <c r="B207" s="6" t="s">
        <v>25</v>
      </c>
      <c r="C207" s="7">
        <v>45594</v>
      </c>
      <c r="D207" s="6" t="s">
        <v>20</v>
      </c>
      <c r="E207" s="6" t="s">
        <v>21</v>
      </c>
      <c r="F207" s="8">
        <v>2746</v>
      </c>
      <c r="G207" s="8">
        <v>156</v>
      </c>
      <c r="H207" s="8">
        <v>203</v>
      </c>
      <c r="I207" s="8">
        <v>32952</v>
      </c>
      <c r="J207" s="8">
        <v>32147</v>
      </c>
      <c r="K207" s="8">
        <v>147</v>
      </c>
      <c r="L207" s="9" t="s">
        <v>22</v>
      </c>
      <c r="M207" s="9" t="s">
        <v>23</v>
      </c>
      <c r="N207" s="18">
        <f t="shared" si="3"/>
        <v>9.6587550937879116E-2</v>
      </c>
    </row>
    <row r="208" spans="1:14" x14ac:dyDescent="0.3">
      <c r="A208" s="5" t="s">
        <v>176</v>
      </c>
      <c r="B208" s="6" t="s">
        <v>25</v>
      </c>
      <c r="C208" s="7">
        <v>45594</v>
      </c>
      <c r="D208" s="6" t="s">
        <v>20</v>
      </c>
      <c r="E208" s="6" t="s">
        <v>21</v>
      </c>
      <c r="F208" s="8">
        <v>2746</v>
      </c>
      <c r="G208" s="8">
        <v>156</v>
      </c>
      <c r="H208" s="8">
        <v>203</v>
      </c>
      <c r="I208" s="8">
        <v>32952</v>
      </c>
      <c r="J208" s="8">
        <v>32147</v>
      </c>
      <c r="K208" s="8">
        <v>147</v>
      </c>
      <c r="L208" s="9" t="s">
        <v>31</v>
      </c>
      <c r="M208" s="9" t="s">
        <v>23</v>
      </c>
      <c r="N208" s="18">
        <f t="shared" si="3"/>
        <v>9.6587550937879116E-2</v>
      </c>
    </row>
    <row r="209" spans="1:14" x14ac:dyDescent="0.3">
      <c r="A209" s="5" t="s">
        <v>177</v>
      </c>
      <c r="B209" s="6" t="s">
        <v>34</v>
      </c>
      <c r="C209" s="7">
        <v>45488</v>
      </c>
      <c r="D209" s="6" t="s">
        <v>40</v>
      </c>
      <c r="E209" s="6" t="s">
        <v>41</v>
      </c>
      <c r="F209" s="8">
        <v>2291</v>
      </c>
      <c r="G209" s="8">
        <v>78</v>
      </c>
      <c r="H209" s="8">
        <v>485</v>
      </c>
      <c r="I209" s="8">
        <v>18328</v>
      </c>
      <c r="J209" s="8">
        <v>18101</v>
      </c>
      <c r="K209" s="8">
        <v>10</v>
      </c>
      <c r="L209" s="9" t="s">
        <v>52</v>
      </c>
      <c r="M209" s="9" t="s">
        <v>18</v>
      </c>
      <c r="N209" s="18">
        <f t="shared" si="3"/>
        <v>0.15767084691453512</v>
      </c>
    </row>
    <row r="210" spans="1:14" x14ac:dyDescent="0.3">
      <c r="A210" s="5" t="s">
        <v>178</v>
      </c>
      <c r="B210" s="6" t="s">
        <v>14</v>
      </c>
      <c r="C210" s="7">
        <v>45535</v>
      </c>
      <c r="D210" s="6" t="s">
        <v>40</v>
      </c>
      <c r="E210" s="6" t="s">
        <v>41</v>
      </c>
      <c r="F210" s="8">
        <v>3170</v>
      </c>
      <c r="G210" s="8">
        <v>857</v>
      </c>
      <c r="H210" s="8">
        <v>379</v>
      </c>
      <c r="I210" s="8">
        <v>19020</v>
      </c>
      <c r="J210" s="8">
        <v>18559</v>
      </c>
      <c r="K210" s="8">
        <v>240</v>
      </c>
      <c r="L210" s="9" t="s">
        <v>17</v>
      </c>
      <c r="M210" s="9" t="s">
        <v>32</v>
      </c>
      <c r="N210" s="18">
        <f t="shared" si="3"/>
        <v>0.23740503259873916</v>
      </c>
    </row>
    <row r="211" spans="1:14" x14ac:dyDescent="0.3">
      <c r="A211" s="5" t="s">
        <v>179</v>
      </c>
      <c r="B211" s="6" t="s">
        <v>25</v>
      </c>
      <c r="C211" s="7">
        <v>45741</v>
      </c>
      <c r="D211" s="6" t="s">
        <v>28</v>
      </c>
      <c r="E211" s="6" t="s">
        <v>29</v>
      </c>
      <c r="F211" s="8">
        <v>2070</v>
      </c>
      <c r="G211" s="8">
        <v>275</v>
      </c>
      <c r="H211" s="8">
        <v>386</v>
      </c>
      <c r="I211" s="8">
        <v>39330</v>
      </c>
      <c r="J211" s="8">
        <v>38627</v>
      </c>
      <c r="K211" s="8">
        <v>114</v>
      </c>
      <c r="L211" s="9" t="s">
        <v>17</v>
      </c>
      <c r="M211" s="9" t="s">
        <v>44</v>
      </c>
      <c r="N211" s="18">
        <f t="shared" si="3"/>
        <v>7.070184068138867E-2</v>
      </c>
    </row>
    <row r="212" spans="1:14" x14ac:dyDescent="0.3">
      <c r="A212" s="5" t="s">
        <v>180</v>
      </c>
      <c r="B212" s="6" t="s">
        <v>25</v>
      </c>
      <c r="C212" s="7">
        <v>45567</v>
      </c>
      <c r="D212" s="6" t="s">
        <v>35</v>
      </c>
      <c r="E212" s="6" t="s">
        <v>36</v>
      </c>
      <c r="F212" s="8">
        <v>80</v>
      </c>
      <c r="G212" s="8">
        <v>362</v>
      </c>
      <c r="H212" s="8">
        <v>80</v>
      </c>
      <c r="I212" s="8">
        <v>1040</v>
      </c>
      <c r="J212" s="8">
        <v>349</v>
      </c>
      <c r="K212" s="8">
        <v>117</v>
      </c>
      <c r="L212" s="9" t="s">
        <v>22</v>
      </c>
      <c r="M212" s="9" t="s">
        <v>23</v>
      </c>
      <c r="N212" s="18">
        <f t="shared" si="3"/>
        <v>1.4957020057306589</v>
      </c>
    </row>
    <row r="213" spans="1:14" x14ac:dyDescent="0.3">
      <c r="A213" s="5" t="s">
        <v>180</v>
      </c>
      <c r="B213" s="6" t="s">
        <v>25</v>
      </c>
      <c r="C213" s="7">
        <v>45567</v>
      </c>
      <c r="D213" s="6" t="s">
        <v>35</v>
      </c>
      <c r="E213" s="6" t="s">
        <v>36</v>
      </c>
      <c r="F213" s="8">
        <v>80</v>
      </c>
      <c r="G213" s="8">
        <v>362</v>
      </c>
      <c r="H213" s="8">
        <v>80</v>
      </c>
      <c r="I213" s="8">
        <v>1040</v>
      </c>
      <c r="J213" s="8">
        <v>349</v>
      </c>
      <c r="K213" s="8">
        <v>117</v>
      </c>
      <c r="L213" s="9" t="s">
        <v>31</v>
      </c>
      <c r="M213" s="9" t="s">
        <v>23</v>
      </c>
      <c r="N213" s="18">
        <f t="shared" si="3"/>
        <v>1.4957020057306589</v>
      </c>
    </row>
    <row r="214" spans="1:14" x14ac:dyDescent="0.3">
      <c r="A214" s="5" t="s">
        <v>181</v>
      </c>
      <c r="B214" s="6" t="s">
        <v>25</v>
      </c>
      <c r="C214" s="7">
        <v>45593</v>
      </c>
      <c r="D214" s="6" t="s">
        <v>28</v>
      </c>
      <c r="E214" s="6" t="s">
        <v>29</v>
      </c>
      <c r="F214" s="8">
        <v>4929</v>
      </c>
      <c r="G214" s="8">
        <v>749</v>
      </c>
      <c r="H214" s="8">
        <v>452</v>
      </c>
      <c r="I214" s="8">
        <v>93651</v>
      </c>
      <c r="J214" s="8">
        <v>92810</v>
      </c>
      <c r="K214" s="8">
        <v>66</v>
      </c>
      <c r="L214" s="9" t="s">
        <v>37</v>
      </c>
      <c r="M214" s="9" t="s">
        <v>18</v>
      </c>
      <c r="N214" s="18">
        <f t="shared" si="3"/>
        <v>6.604891714254929E-2</v>
      </c>
    </row>
    <row r="215" spans="1:14" x14ac:dyDescent="0.3">
      <c r="A215" s="5" t="s">
        <v>181</v>
      </c>
      <c r="B215" s="6" t="s">
        <v>25</v>
      </c>
      <c r="C215" s="7">
        <v>45593</v>
      </c>
      <c r="D215" s="6" t="s">
        <v>28</v>
      </c>
      <c r="E215" s="6" t="s">
        <v>29</v>
      </c>
      <c r="F215" s="8">
        <v>4929</v>
      </c>
      <c r="G215" s="8">
        <v>749</v>
      </c>
      <c r="H215" s="8">
        <v>452</v>
      </c>
      <c r="I215" s="8">
        <v>93651</v>
      </c>
      <c r="J215" s="8">
        <v>92810</v>
      </c>
      <c r="K215" s="8">
        <v>66</v>
      </c>
      <c r="L215" s="9" t="s">
        <v>31</v>
      </c>
      <c r="M215" s="9" t="s">
        <v>18</v>
      </c>
      <c r="N215" s="18">
        <f t="shared" si="3"/>
        <v>6.604891714254929E-2</v>
      </c>
    </row>
    <row r="216" spans="1:14" x14ac:dyDescent="0.3">
      <c r="A216" s="5" t="s">
        <v>182</v>
      </c>
      <c r="B216" s="6" t="s">
        <v>27</v>
      </c>
      <c r="C216" s="7">
        <v>45516</v>
      </c>
      <c r="D216" s="6" t="s">
        <v>35</v>
      </c>
      <c r="E216" s="6" t="s">
        <v>36</v>
      </c>
      <c r="F216" s="8">
        <v>1878</v>
      </c>
      <c r="G216" s="8">
        <v>62</v>
      </c>
      <c r="H216" s="8">
        <v>179</v>
      </c>
      <c r="I216" s="8">
        <v>37560</v>
      </c>
      <c r="J216" s="8">
        <v>36874</v>
      </c>
      <c r="K216" s="8">
        <v>142</v>
      </c>
      <c r="L216" s="9" t="s">
        <v>52</v>
      </c>
      <c r="M216" s="9" t="s">
        <v>18</v>
      </c>
      <c r="N216" s="18">
        <f t="shared" si="3"/>
        <v>5.7465965178716709E-2</v>
      </c>
    </row>
    <row r="217" spans="1:14" x14ac:dyDescent="0.3">
      <c r="A217" s="5" t="s">
        <v>182</v>
      </c>
      <c r="B217" s="6" t="s">
        <v>27</v>
      </c>
      <c r="C217" s="7">
        <v>45516</v>
      </c>
      <c r="D217" s="6" t="s">
        <v>35</v>
      </c>
      <c r="E217" s="6" t="s">
        <v>36</v>
      </c>
      <c r="F217" s="8">
        <v>1878</v>
      </c>
      <c r="G217" s="8">
        <v>62</v>
      </c>
      <c r="H217" s="8">
        <v>179</v>
      </c>
      <c r="I217" s="8">
        <v>37560</v>
      </c>
      <c r="J217" s="8">
        <v>36874</v>
      </c>
      <c r="K217" s="8">
        <v>142</v>
      </c>
      <c r="L217" s="9" t="s">
        <v>37</v>
      </c>
      <c r="M217" s="9" t="s">
        <v>18</v>
      </c>
      <c r="N217" s="18">
        <f t="shared" si="3"/>
        <v>5.7465965178716709E-2</v>
      </c>
    </row>
    <row r="218" spans="1:14" x14ac:dyDescent="0.3">
      <c r="A218" s="5" t="s">
        <v>183</v>
      </c>
      <c r="B218" s="6" t="s">
        <v>25</v>
      </c>
      <c r="C218" s="7">
        <v>45448</v>
      </c>
      <c r="D218" s="6" t="s">
        <v>15</v>
      </c>
      <c r="E218" s="6" t="s">
        <v>16</v>
      </c>
      <c r="F218" s="8">
        <v>3065</v>
      </c>
      <c r="G218" s="8">
        <v>772</v>
      </c>
      <c r="H218" s="8">
        <v>142</v>
      </c>
      <c r="I218" s="8">
        <v>18390</v>
      </c>
      <c r="J218" s="8">
        <v>17875</v>
      </c>
      <c r="K218" s="8">
        <v>200</v>
      </c>
      <c r="L218" s="9" t="s">
        <v>31</v>
      </c>
      <c r="M218" s="9" t="s">
        <v>18</v>
      </c>
      <c r="N218" s="18">
        <f t="shared" si="3"/>
        <v>0.2226013986013986</v>
      </c>
    </row>
    <row r="219" spans="1:14" x14ac:dyDescent="0.3">
      <c r="A219" s="5" t="s">
        <v>184</v>
      </c>
      <c r="B219" s="6" t="s">
        <v>27</v>
      </c>
      <c r="C219" s="7">
        <v>45586</v>
      </c>
      <c r="D219" s="6" t="s">
        <v>15</v>
      </c>
      <c r="E219" s="6" t="s">
        <v>16</v>
      </c>
      <c r="F219" s="8">
        <v>3256</v>
      </c>
      <c r="G219" s="8">
        <v>459</v>
      </c>
      <c r="H219" s="8">
        <v>266</v>
      </c>
      <c r="I219" s="8">
        <v>26048</v>
      </c>
      <c r="J219" s="8">
        <v>25529</v>
      </c>
      <c r="K219" s="8">
        <v>143</v>
      </c>
      <c r="L219" s="9" t="s">
        <v>17</v>
      </c>
      <c r="M219" s="9" t="s">
        <v>32</v>
      </c>
      <c r="N219" s="18">
        <f t="shared" si="3"/>
        <v>0.15594030318461358</v>
      </c>
    </row>
    <row r="220" spans="1:14" x14ac:dyDescent="0.3">
      <c r="A220" s="5" t="s">
        <v>184</v>
      </c>
      <c r="B220" s="6" t="s">
        <v>27</v>
      </c>
      <c r="C220" s="7">
        <v>45586</v>
      </c>
      <c r="D220" s="6" t="s">
        <v>15</v>
      </c>
      <c r="E220" s="6" t="s">
        <v>16</v>
      </c>
      <c r="F220" s="8">
        <v>3256</v>
      </c>
      <c r="G220" s="8">
        <v>459</v>
      </c>
      <c r="H220" s="8">
        <v>266</v>
      </c>
      <c r="I220" s="8">
        <v>26048</v>
      </c>
      <c r="J220" s="8">
        <v>25529</v>
      </c>
      <c r="K220" s="8">
        <v>143</v>
      </c>
      <c r="L220" s="9" t="s">
        <v>31</v>
      </c>
      <c r="M220" s="9" t="s">
        <v>32</v>
      </c>
      <c r="N220" s="18">
        <f t="shared" si="3"/>
        <v>0.15594030318461358</v>
      </c>
    </row>
    <row r="221" spans="1:14" x14ac:dyDescent="0.3">
      <c r="A221" s="5" t="s">
        <v>185</v>
      </c>
      <c r="B221" s="6" t="s">
        <v>27</v>
      </c>
      <c r="C221" s="7">
        <v>45762</v>
      </c>
      <c r="D221" s="6" t="s">
        <v>50</v>
      </c>
      <c r="E221" s="6" t="s">
        <v>51</v>
      </c>
      <c r="F221" s="8">
        <v>4133</v>
      </c>
      <c r="G221" s="8">
        <v>466</v>
      </c>
      <c r="H221" s="8">
        <v>327</v>
      </c>
      <c r="I221" s="8">
        <v>24798</v>
      </c>
      <c r="J221" s="8">
        <v>24620</v>
      </c>
      <c r="K221" s="8">
        <v>176</v>
      </c>
      <c r="L221" s="9" t="s">
        <v>31</v>
      </c>
      <c r="M221" s="9" t="s">
        <v>23</v>
      </c>
      <c r="N221" s="18">
        <f t="shared" si="3"/>
        <v>0.20008123476848091</v>
      </c>
    </row>
    <row r="222" spans="1:14" x14ac:dyDescent="0.3">
      <c r="A222" s="5" t="s">
        <v>186</v>
      </c>
      <c r="B222" s="6" t="s">
        <v>14</v>
      </c>
      <c r="C222" s="7">
        <v>45459</v>
      </c>
      <c r="D222" s="6" t="s">
        <v>50</v>
      </c>
      <c r="E222" s="6" t="s">
        <v>51</v>
      </c>
      <c r="F222" s="8">
        <v>1702</v>
      </c>
      <c r="G222" s="8">
        <v>750</v>
      </c>
      <c r="H222" s="8">
        <v>179</v>
      </c>
      <c r="I222" s="8">
        <v>34040</v>
      </c>
      <c r="J222" s="8">
        <v>33174</v>
      </c>
      <c r="K222" s="8">
        <v>76</v>
      </c>
      <c r="L222" s="9" t="s">
        <v>37</v>
      </c>
      <c r="M222" s="9" t="s">
        <v>32</v>
      </c>
      <c r="N222" s="18">
        <f t="shared" si="3"/>
        <v>7.9309097485982999E-2</v>
      </c>
    </row>
    <row r="223" spans="1:14" x14ac:dyDescent="0.3">
      <c r="A223" s="5" t="s">
        <v>187</v>
      </c>
      <c r="B223" s="6" t="s">
        <v>25</v>
      </c>
      <c r="C223" s="7">
        <v>45526</v>
      </c>
      <c r="D223" s="6" t="s">
        <v>35</v>
      </c>
      <c r="E223" s="6" t="s">
        <v>36</v>
      </c>
      <c r="F223" s="8">
        <v>4295</v>
      </c>
      <c r="G223" s="8">
        <v>853</v>
      </c>
      <c r="H223" s="8">
        <v>325</v>
      </c>
      <c r="I223" s="8">
        <v>85900</v>
      </c>
      <c r="J223" s="8">
        <v>85788</v>
      </c>
      <c r="K223" s="8">
        <v>290</v>
      </c>
      <c r="L223" s="9" t="s">
        <v>37</v>
      </c>
      <c r="M223" s="9" t="s">
        <v>23</v>
      </c>
      <c r="N223" s="18">
        <f t="shared" si="3"/>
        <v>6.379680141744766E-2</v>
      </c>
    </row>
    <row r="224" spans="1:14" x14ac:dyDescent="0.3">
      <c r="A224" s="5" t="s">
        <v>187</v>
      </c>
      <c r="B224" s="6" t="s">
        <v>25</v>
      </c>
      <c r="C224" s="7">
        <v>45526</v>
      </c>
      <c r="D224" s="6" t="s">
        <v>35</v>
      </c>
      <c r="E224" s="6" t="s">
        <v>36</v>
      </c>
      <c r="F224" s="8">
        <v>4295</v>
      </c>
      <c r="G224" s="8">
        <v>853</v>
      </c>
      <c r="H224" s="8">
        <v>325</v>
      </c>
      <c r="I224" s="8">
        <v>85900</v>
      </c>
      <c r="J224" s="8">
        <v>85788</v>
      </c>
      <c r="K224" s="8">
        <v>290</v>
      </c>
      <c r="L224" s="9" t="s">
        <v>17</v>
      </c>
      <c r="M224" s="9" t="s">
        <v>23</v>
      </c>
      <c r="N224" s="18">
        <f t="shared" si="3"/>
        <v>6.379680141744766E-2</v>
      </c>
    </row>
    <row r="225" spans="1:14" x14ac:dyDescent="0.3">
      <c r="A225" s="5" t="s">
        <v>188</v>
      </c>
      <c r="B225" s="6" t="s">
        <v>27</v>
      </c>
      <c r="C225" s="7">
        <v>45499</v>
      </c>
      <c r="D225" s="6" t="s">
        <v>40</v>
      </c>
      <c r="E225" s="6" t="s">
        <v>41</v>
      </c>
      <c r="F225" s="8">
        <v>3559</v>
      </c>
      <c r="G225" s="8">
        <v>59</v>
      </c>
      <c r="H225" s="8">
        <v>289</v>
      </c>
      <c r="I225" s="8">
        <v>35590</v>
      </c>
      <c r="J225" s="8">
        <v>35105</v>
      </c>
      <c r="K225" s="8">
        <v>122</v>
      </c>
      <c r="L225" s="9" t="s">
        <v>37</v>
      </c>
      <c r="M225" s="9" t="s">
        <v>32</v>
      </c>
      <c r="N225" s="18">
        <f t="shared" si="3"/>
        <v>0.11129468736647201</v>
      </c>
    </row>
    <row r="226" spans="1:14" x14ac:dyDescent="0.3">
      <c r="A226" s="5" t="s">
        <v>188</v>
      </c>
      <c r="B226" s="6" t="s">
        <v>27</v>
      </c>
      <c r="C226" s="7">
        <v>45499</v>
      </c>
      <c r="D226" s="6" t="s">
        <v>40</v>
      </c>
      <c r="E226" s="6" t="s">
        <v>41</v>
      </c>
      <c r="F226" s="8">
        <v>3559</v>
      </c>
      <c r="G226" s="8">
        <v>59</v>
      </c>
      <c r="H226" s="8">
        <v>289</v>
      </c>
      <c r="I226" s="8">
        <v>35590</v>
      </c>
      <c r="J226" s="8">
        <v>35105</v>
      </c>
      <c r="K226" s="8">
        <v>122</v>
      </c>
      <c r="L226" s="9" t="s">
        <v>31</v>
      </c>
      <c r="M226" s="9" t="s">
        <v>32</v>
      </c>
      <c r="N226" s="18">
        <f t="shared" si="3"/>
        <v>0.11129468736647201</v>
      </c>
    </row>
    <row r="227" spans="1:14" x14ac:dyDescent="0.3">
      <c r="A227" s="5" t="s">
        <v>189</v>
      </c>
      <c r="B227" s="6" t="s">
        <v>34</v>
      </c>
      <c r="C227" s="7">
        <v>45769</v>
      </c>
      <c r="D227" s="6" t="s">
        <v>40</v>
      </c>
      <c r="E227" s="6" t="s">
        <v>41</v>
      </c>
      <c r="F227" s="8">
        <v>4804</v>
      </c>
      <c r="G227" s="8">
        <v>550</v>
      </c>
      <c r="H227" s="8">
        <v>270</v>
      </c>
      <c r="I227" s="8">
        <v>28824</v>
      </c>
      <c r="J227" s="8">
        <v>28370</v>
      </c>
      <c r="K227" s="8">
        <v>47</v>
      </c>
      <c r="L227" s="9" t="s">
        <v>17</v>
      </c>
      <c r="M227" s="9" t="s">
        <v>44</v>
      </c>
      <c r="N227" s="18">
        <f t="shared" si="3"/>
        <v>0.19823757490306662</v>
      </c>
    </row>
    <row r="228" spans="1:14" x14ac:dyDescent="0.3">
      <c r="A228" s="5" t="s">
        <v>189</v>
      </c>
      <c r="B228" s="6" t="s">
        <v>34</v>
      </c>
      <c r="C228" s="7">
        <v>45769</v>
      </c>
      <c r="D228" s="6" t="s">
        <v>40</v>
      </c>
      <c r="E228" s="6" t="s">
        <v>41</v>
      </c>
      <c r="F228" s="8">
        <v>4804</v>
      </c>
      <c r="G228" s="8">
        <v>550</v>
      </c>
      <c r="H228" s="8">
        <v>270</v>
      </c>
      <c r="I228" s="8">
        <v>28824</v>
      </c>
      <c r="J228" s="8">
        <v>28370</v>
      </c>
      <c r="K228" s="8">
        <v>47</v>
      </c>
      <c r="L228" s="9" t="s">
        <v>31</v>
      </c>
      <c r="M228" s="9" t="s">
        <v>44</v>
      </c>
      <c r="N228" s="18">
        <f t="shared" si="3"/>
        <v>0.19823757490306662</v>
      </c>
    </row>
    <row r="229" spans="1:14" x14ac:dyDescent="0.3">
      <c r="A229" s="5" t="s">
        <v>190</v>
      </c>
      <c r="B229" s="6" t="s">
        <v>14</v>
      </c>
      <c r="C229" s="7">
        <v>45658</v>
      </c>
      <c r="D229" s="6" t="s">
        <v>50</v>
      </c>
      <c r="E229" s="6" t="s">
        <v>51</v>
      </c>
      <c r="F229" s="8">
        <v>754</v>
      </c>
      <c r="G229" s="8">
        <v>197</v>
      </c>
      <c r="H229" s="8">
        <v>257</v>
      </c>
      <c r="I229" s="8">
        <v>6786</v>
      </c>
      <c r="J229" s="8">
        <v>6221</v>
      </c>
      <c r="K229" s="8">
        <v>212</v>
      </c>
      <c r="L229" s="9" t="s">
        <v>52</v>
      </c>
      <c r="M229" s="9" t="s">
        <v>32</v>
      </c>
      <c r="N229" s="18">
        <f t="shared" si="3"/>
        <v>0.19418099983925413</v>
      </c>
    </row>
    <row r="230" spans="1:14" x14ac:dyDescent="0.3">
      <c r="A230" s="5" t="s">
        <v>190</v>
      </c>
      <c r="B230" s="6" t="s">
        <v>14</v>
      </c>
      <c r="C230" s="7">
        <v>45658</v>
      </c>
      <c r="D230" s="6" t="s">
        <v>50</v>
      </c>
      <c r="E230" s="6" t="s">
        <v>51</v>
      </c>
      <c r="F230" s="8">
        <v>754</v>
      </c>
      <c r="G230" s="8">
        <v>197</v>
      </c>
      <c r="H230" s="8">
        <v>257</v>
      </c>
      <c r="I230" s="8">
        <v>6786</v>
      </c>
      <c r="J230" s="8">
        <v>6221</v>
      </c>
      <c r="K230" s="8">
        <v>212</v>
      </c>
      <c r="L230" s="9" t="s">
        <v>37</v>
      </c>
      <c r="M230" s="9" t="s">
        <v>32</v>
      </c>
      <c r="N230" s="18">
        <f t="shared" si="3"/>
        <v>0.19418099983925413</v>
      </c>
    </row>
    <row r="231" spans="1:14" x14ac:dyDescent="0.3">
      <c r="A231" s="5" t="s">
        <v>191</v>
      </c>
      <c r="B231" s="6" t="s">
        <v>27</v>
      </c>
      <c r="C231" s="7">
        <v>45574</v>
      </c>
      <c r="D231" s="6" t="s">
        <v>35</v>
      </c>
      <c r="E231" s="6" t="s">
        <v>36</v>
      </c>
      <c r="F231" s="8">
        <v>985</v>
      </c>
      <c r="G231" s="8">
        <v>932</v>
      </c>
      <c r="H231" s="8">
        <v>287</v>
      </c>
      <c r="I231" s="8">
        <v>6895</v>
      </c>
      <c r="J231" s="8">
        <v>6757</v>
      </c>
      <c r="K231" s="8">
        <v>64</v>
      </c>
      <c r="L231" s="9" t="s">
        <v>17</v>
      </c>
      <c r="M231" s="9" t="s">
        <v>23</v>
      </c>
      <c r="N231" s="18">
        <f t="shared" si="3"/>
        <v>0.3261802575107296</v>
      </c>
    </row>
    <row r="232" spans="1:14" x14ac:dyDescent="0.3">
      <c r="A232" s="5" t="s">
        <v>191</v>
      </c>
      <c r="B232" s="6" t="s">
        <v>27</v>
      </c>
      <c r="C232" s="7">
        <v>45574</v>
      </c>
      <c r="D232" s="6" t="s">
        <v>35</v>
      </c>
      <c r="E232" s="6" t="s">
        <v>36</v>
      </c>
      <c r="F232" s="8">
        <v>985</v>
      </c>
      <c r="G232" s="8">
        <v>932</v>
      </c>
      <c r="H232" s="8">
        <v>287</v>
      </c>
      <c r="I232" s="8">
        <v>6895</v>
      </c>
      <c r="J232" s="8">
        <v>6757</v>
      </c>
      <c r="K232" s="8">
        <v>64</v>
      </c>
      <c r="L232" s="9" t="s">
        <v>22</v>
      </c>
      <c r="M232" s="9" t="s">
        <v>23</v>
      </c>
      <c r="N232" s="18">
        <f t="shared" si="3"/>
        <v>0.3261802575107296</v>
      </c>
    </row>
    <row r="233" spans="1:14" x14ac:dyDescent="0.3">
      <c r="A233" s="5" t="s">
        <v>192</v>
      </c>
      <c r="B233" s="6" t="s">
        <v>25</v>
      </c>
      <c r="C233" s="7">
        <v>45647</v>
      </c>
      <c r="D233" s="6" t="s">
        <v>40</v>
      </c>
      <c r="E233" s="6" t="s">
        <v>41</v>
      </c>
      <c r="F233" s="8">
        <v>2283</v>
      </c>
      <c r="G233" s="8">
        <v>210</v>
      </c>
      <c r="H233" s="8">
        <v>130</v>
      </c>
      <c r="I233" s="8">
        <v>22830</v>
      </c>
      <c r="J233" s="8">
        <v>22617</v>
      </c>
      <c r="K233" s="8">
        <v>143</v>
      </c>
      <c r="L233" s="9" t="s">
        <v>22</v>
      </c>
      <c r="M233" s="9" t="s">
        <v>32</v>
      </c>
      <c r="N233" s="18">
        <f t="shared" si="3"/>
        <v>0.11597470928947252</v>
      </c>
    </row>
    <row r="234" spans="1:14" x14ac:dyDescent="0.3">
      <c r="A234" s="5" t="s">
        <v>192</v>
      </c>
      <c r="B234" s="6" t="s">
        <v>25</v>
      </c>
      <c r="C234" s="7">
        <v>45647</v>
      </c>
      <c r="D234" s="6" t="s">
        <v>40</v>
      </c>
      <c r="E234" s="6" t="s">
        <v>41</v>
      </c>
      <c r="F234" s="8">
        <v>2283</v>
      </c>
      <c r="G234" s="8">
        <v>210</v>
      </c>
      <c r="H234" s="8">
        <v>130</v>
      </c>
      <c r="I234" s="8">
        <v>22830</v>
      </c>
      <c r="J234" s="8">
        <v>22617</v>
      </c>
      <c r="K234" s="8">
        <v>143</v>
      </c>
      <c r="L234" s="9" t="s">
        <v>31</v>
      </c>
      <c r="M234" s="9" t="s">
        <v>32</v>
      </c>
      <c r="N234" s="18">
        <f t="shared" si="3"/>
        <v>0.11597470928947252</v>
      </c>
    </row>
    <row r="235" spans="1:14" x14ac:dyDescent="0.3">
      <c r="A235" s="5" t="s">
        <v>193</v>
      </c>
      <c r="B235" s="6" t="s">
        <v>34</v>
      </c>
      <c r="C235" s="7">
        <v>45587</v>
      </c>
      <c r="D235" s="6" t="s">
        <v>35</v>
      </c>
      <c r="E235" s="6" t="s">
        <v>36</v>
      </c>
      <c r="F235" s="8">
        <v>3352</v>
      </c>
      <c r="G235" s="8">
        <v>941</v>
      </c>
      <c r="H235" s="8">
        <v>482</v>
      </c>
      <c r="I235" s="8">
        <v>43576</v>
      </c>
      <c r="J235" s="8">
        <v>43338</v>
      </c>
      <c r="K235" s="8">
        <v>240</v>
      </c>
      <c r="L235" s="9" t="s">
        <v>37</v>
      </c>
      <c r="M235" s="9" t="s">
        <v>32</v>
      </c>
      <c r="N235" s="18">
        <f t="shared" si="3"/>
        <v>0.11018044210623472</v>
      </c>
    </row>
    <row r="236" spans="1:14" x14ac:dyDescent="0.3">
      <c r="A236" s="5" t="s">
        <v>194</v>
      </c>
      <c r="B236" s="6" t="s">
        <v>25</v>
      </c>
      <c r="C236" s="7">
        <v>45496</v>
      </c>
      <c r="D236" s="6" t="s">
        <v>28</v>
      </c>
      <c r="E236" s="6" t="s">
        <v>29</v>
      </c>
      <c r="F236" s="8">
        <v>4775</v>
      </c>
      <c r="G236" s="8">
        <v>173</v>
      </c>
      <c r="H236" s="8">
        <v>206</v>
      </c>
      <c r="I236" s="8">
        <v>47750</v>
      </c>
      <c r="J236" s="8">
        <v>47544</v>
      </c>
      <c r="K236" s="8">
        <v>187</v>
      </c>
      <c r="L236" s="9" t="s">
        <v>31</v>
      </c>
      <c r="M236" s="9" t="s">
        <v>44</v>
      </c>
      <c r="N236" s="18">
        <f t="shared" si="3"/>
        <v>0.10840484603735487</v>
      </c>
    </row>
    <row r="237" spans="1:14" x14ac:dyDescent="0.3">
      <c r="A237" s="5" t="s">
        <v>194</v>
      </c>
      <c r="B237" s="6" t="s">
        <v>25</v>
      </c>
      <c r="C237" s="7">
        <v>45496</v>
      </c>
      <c r="D237" s="6" t="s">
        <v>28</v>
      </c>
      <c r="E237" s="6" t="s">
        <v>29</v>
      </c>
      <c r="F237" s="8">
        <v>4775</v>
      </c>
      <c r="G237" s="8">
        <v>173</v>
      </c>
      <c r="H237" s="8">
        <v>206</v>
      </c>
      <c r="I237" s="8">
        <v>47750</v>
      </c>
      <c r="J237" s="8">
        <v>47544</v>
      </c>
      <c r="K237" s="8">
        <v>187</v>
      </c>
      <c r="L237" s="9" t="s">
        <v>37</v>
      </c>
      <c r="M237" s="9" t="s">
        <v>44</v>
      </c>
      <c r="N237" s="18">
        <f t="shared" si="3"/>
        <v>0.10840484603735487</v>
      </c>
    </row>
    <row r="238" spans="1:14" x14ac:dyDescent="0.3">
      <c r="A238" s="5" t="s">
        <v>195</v>
      </c>
      <c r="B238" s="6" t="s">
        <v>27</v>
      </c>
      <c r="C238" s="7">
        <v>45515</v>
      </c>
      <c r="D238" s="6" t="s">
        <v>28</v>
      </c>
      <c r="E238" s="6" t="s">
        <v>29</v>
      </c>
      <c r="F238" s="8">
        <v>1762</v>
      </c>
      <c r="G238" s="8">
        <v>405</v>
      </c>
      <c r="H238" s="8">
        <v>423</v>
      </c>
      <c r="I238" s="8">
        <v>22906</v>
      </c>
      <c r="J238" s="8">
        <v>21925</v>
      </c>
      <c r="K238" s="8">
        <v>25</v>
      </c>
      <c r="L238" s="9" t="s">
        <v>52</v>
      </c>
      <c r="M238" s="9" t="s">
        <v>23</v>
      </c>
      <c r="N238" s="18">
        <f t="shared" si="3"/>
        <v>0.11812998859749145</v>
      </c>
    </row>
    <row r="239" spans="1:14" x14ac:dyDescent="0.3">
      <c r="A239" s="5" t="s">
        <v>196</v>
      </c>
      <c r="B239" s="6" t="s">
        <v>34</v>
      </c>
      <c r="C239" s="7">
        <v>45621</v>
      </c>
      <c r="D239" s="6" t="s">
        <v>28</v>
      </c>
      <c r="E239" s="6" t="s">
        <v>29</v>
      </c>
      <c r="F239" s="8">
        <v>2120</v>
      </c>
      <c r="G239" s="8">
        <v>158</v>
      </c>
      <c r="H239" s="8">
        <v>488</v>
      </c>
      <c r="I239" s="8">
        <v>12720</v>
      </c>
      <c r="J239" s="8">
        <v>12085</v>
      </c>
      <c r="K239" s="8">
        <v>17</v>
      </c>
      <c r="L239" s="9" t="s">
        <v>31</v>
      </c>
      <c r="M239" s="9" t="s">
        <v>23</v>
      </c>
      <c r="N239" s="18">
        <f t="shared" si="3"/>
        <v>0.22887877534133222</v>
      </c>
    </row>
    <row r="240" spans="1:14" x14ac:dyDescent="0.3">
      <c r="A240" s="5" t="s">
        <v>196</v>
      </c>
      <c r="B240" s="6" t="s">
        <v>34</v>
      </c>
      <c r="C240" s="7">
        <v>45621</v>
      </c>
      <c r="D240" s="6" t="s">
        <v>28</v>
      </c>
      <c r="E240" s="6" t="s">
        <v>29</v>
      </c>
      <c r="F240" s="8">
        <v>2120</v>
      </c>
      <c r="G240" s="8">
        <v>158</v>
      </c>
      <c r="H240" s="8">
        <v>488</v>
      </c>
      <c r="I240" s="8">
        <v>12720</v>
      </c>
      <c r="J240" s="8">
        <v>12085</v>
      </c>
      <c r="K240" s="8">
        <v>17</v>
      </c>
      <c r="L240" s="9" t="s">
        <v>37</v>
      </c>
      <c r="M240" s="9" t="s">
        <v>23</v>
      </c>
      <c r="N240" s="18">
        <f t="shared" si="3"/>
        <v>0.22887877534133222</v>
      </c>
    </row>
    <row r="241" spans="1:14" x14ac:dyDescent="0.3">
      <c r="A241" s="5" t="s">
        <v>197</v>
      </c>
      <c r="B241" s="6" t="s">
        <v>14</v>
      </c>
      <c r="C241" s="7">
        <v>45528</v>
      </c>
      <c r="D241" s="6" t="s">
        <v>50</v>
      </c>
      <c r="E241" s="6" t="s">
        <v>51</v>
      </c>
      <c r="F241" s="8">
        <v>1082</v>
      </c>
      <c r="G241" s="8">
        <v>209</v>
      </c>
      <c r="H241" s="8">
        <v>484</v>
      </c>
      <c r="I241" s="8">
        <v>19476</v>
      </c>
      <c r="J241" s="8">
        <v>18654</v>
      </c>
      <c r="K241" s="8">
        <v>20</v>
      </c>
      <c r="L241" s="9" t="s">
        <v>31</v>
      </c>
      <c r="M241" s="9" t="s">
        <v>44</v>
      </c>
      <c r="N241" s="18">
        <f t="shared" si="3"/>
        <v>9.5153854401200819E-2</v>
      </c>
    </row>
    <row r="242" spans="1:14" x14ac:dyDescent="0.3">
      <c r="A242" s="5" t="s">
        <v>198</v>
      </c>
      <c r="B242" s="6" t="s">
        <v>14</v>
      </c>
      <c r="C242" s="7">
        <v>45707</v>
      </c>
      <c r="D242" s="6" t="s">
        <v>20</v>
      </c>
      <c r="E242" s="6" t="s">
        <v>21</v>
      </c>
      <c r="F242" s="8">
        <v>4671</v>
      </c>
      <c r="G242" s="8">
        <v>876</v>
      </c>
      <c r="H242" s="8">
        <v>366</v>
      </c>
      <c r="I242" s="8">
        <v>51381</v>
      </c>
      <c r="J242" s="8">
        <v>50565</v>
      </c>
      <c r="K242" s="8">
        <v>245</v>
      </c>
      <c r="L242" s="9" t="s">
        <v>17</v>
      </c>
      <c r="M242" s="9" t="s">
        <v>23</v>
      </c>
      <c r="N242" s="18">
        <f t="shared" si="3"/>
        <v>0.1169385938890537</v>
      </c>
    </row>
    <row r="243" spans="1:14" x14ac:dyDescent="0.3">
      <c r="A243" s="5" t="s">
        <v>199</v>
      </c>
      <c r="B243" s="6" t="s">
        <v>34</v>
      </c>
      <c r="C243" s="7">
        <v>45748</v>
      </c>
      <c r="D243" s="6" t="s">
        <v>28</v>
      </c>
      <c r="E243" s="6" t="s">
        <v>29</v>
      </c>
      <c r="F243" s="8">
        <v>3430</v>
      </c>
      <c r="G243" s="8">
        <v>566</v>
      </c>
      <c r="H243" s="8">
        <v>164</v>
      </c>
      <c r="I243" s="8">
        <v>48020</v>
      </c>
      <c r="J243" s="8">
        <v>47305</v>
      </c>
      <c r="K243" s="8">
        <v>120</v>
      </c>
      <c r="L243" s="9" t="s">
        <v>37</v>
      </c>
      <c r="M243" s="9" t="s">
        <v>23</v>
      </c>
      <c r="N243" s="18">
        <f t="shared" si="3"/>
        <v>8.7939964062995452E-2</v>
      </c>
    </row>
    <row r="244" spans="1:14" x14ac:dyDescent="0.3">
      <c r="A244" s="5" t="s">
        <v>200</v>
      </c>
      <c r="B244" s="6" t="s">
        <v>27</v>
      </c>
      <c r="C244" s="7">
        <v>45755</v>
      </c>
      <c r="D244" s="6" t="s">
        <v>40</v>
      </c>
      <c r="E244" s="6" t="s">
        <v>41</v>
      </c>
      <c r="F244" s="8">
        <v>4501</v>
      </c>
      <c r="G244" s="8">
        <v>375</v>
      </c>
      <c r="H244" s="8">
        <v>323</v>
      </c>
      <c r="I244" s="8">
        <v>22505</v>
      </c>
      <c r="J244" s="8">
        <v>21836</v>
      </c>
      <c r="K244" s="8">
        <v>132</v>
      </c>
      <c r="L244" s="9" t="s">
        <v>22</v>
      </c>
      <c r="M244" s="9" t="s">
        <v>44</v>
      </c>
      <c r="N244" s="18">
        <f t="shared" si="3"/>
        <v>0.23809305733650851</v>
      </c>
    </row>
    <row r="245" spans="1:14" x14ac:dyDescent="0.3">
      <c r="A245" s="5" t="s">
        <v>201</v>
      </c>
      <c r="B245" s="6" t="s">
        <v>25</v>
      </c>
      <c r="C245" s="7">
        <v>45715</v>
      </c>
      <c r="D245" s="6" t="s">
        <v>20</v>
      </c>
      <c r="E245" s="6" t="s">
        <v>21</v>
      </c>
      <c r="F245" s="8">
        <v>4934</v>
      </c>
      <c r="G245" s="8">
        <v>971</v>
      </c>
      <c r="H245" s="8">
        <v>156</v>
      </c>
      <c r="I245" s="8">
        <v>39472</v>
      </c>
      <c r="J245" s="8">
        <v>39025</v>
      </c>
      <c r="K245" s="8">
        <v>169</v>
      </c>
      <c r="L245" s="9" t="s">
        <v>52</v>
      </c>
      <c r="M245" s="9" t="s">
        <v>23</v>
      </c>
      <c r="N245" s="18">
        <f t="shared" si="3"/>
        <v>0.15531069827033953</v>
      </c>
    </row>
    <row r="246" spans="1:14" x14ac:dyDescent="0.3">
      <c r="A246" s="5" t="s">
        <v>201</v>
      </c>
      <c r="B246" s="6" t="s">
        <v>25</v>
      </c>
      <c r="C246" s="7">
        <v>45715</v>
      </c>
      <c r="D246" s="6" t="s">
        <v>20</v>
      </c>
      <c r="E246" s="6" t="s">
        <v>21</v>
      </c>
      <c r="F246" s="8">
        <v>4934</v>
      </c>
      <c r="G246" s="8">
        <v>971</v>
      </c>
      <c r="H246" s="8">
        <v>156</v>
      </c>
      <c r="I246" s="8">
        <v>39472</v>
      </c>
      <c r="J246" s="8">
        <v>39025</v>
      </c>
      <c r="K246" s="8">
        <v>169</v>
      </c>
      <c r="L246" s="9" t="s">
        <v>31</v>
      </c>
      <c r="M246" s="9" t="s">
        <v>23</v>
      </c>
      <c r="N246" s="18">
        <f t="shared" si="3"/>
        <v>0.15531069827033953</v>
      </c>
    </row>
    <row r="247" spans="1:14" x14ac:dyDescent="0.3">
      <c r="A247" s="5" t="s">
        <v>202</v>
      </c>
      <c r="B247" s="6" t="s">
        <v>14</v>
      </c>
      <c r="C247" s="7">
        <v>45637</v>
      </c>
      <c r="D247" s="6" t="s">
        <v>20</v>
      </c>
      <c r="E247" s="6" t="s">
        <v>21</v>
      </c>
      <c r="F247" s="8">
        <v>3239</v>
      </c>
      <c r="G247" s="8">
        <v>43</v>
      </c>
      <c r="H247" s="8">
        <v>211</v>
      </c>
      <c r="I247" s="8">
        <v>22673</v>
      </c>
      <c r="J247" s="8">
        <v>22171</v>
      </c>
      <c r="K247" s="8">
        <v>230</v>
      </c>
      <c r="L247" s="9" t="s">
        <v>37</v>
      </c>
      <c r="M247" s="9" t="s">
        <v>23</v>
      </c>
      <c r="N247" s="18">
        <f t="shared" si="3"/>
        <v>0.1575481484822516</v>
      </c>
    </row>
    <row r="248" spans="1:14" x14ac:dyDescent="0.3">
      <c r="A248" s="5" t="s">
        <v>202</v>
      </c>
      <c r="B248" s="6" t="s">
        <v>14</v>
      </c>
      <c r="C248" s="7">
        <v>45637</v>
      </c>
      <c r="D248" s="6" t="s">
        <v>20</v>
      </c>
      <c r="E248" s="6" t="s">
        <v>21</v>
      </c>
      <c r="F248" s="8">
        <v>3239</v>
      </c>
      <c r="G248" s="8">
        <v>43</v>
      </c>
      <c r="H248" s="8">
        <v>211</v>
      </c>
      <c r="I248" s="8">
        <v>22673</v>
      </c>
      <c r="J248" s="8">
        <v>22171</v>
      </c>
      <c r="K248" s="8">
        <v>230</v>
      </c>
      <c r="L248" s="9" t="s">
        <v>31</v>
      </c>
      <c r="M248" s="9" t="s">
        <v>23</v>
      </c>
      <c r="N248" s="18">
        <f t="shared" si="3"/>
        <v>0.1575481484822516</v>
      </c>
    </row>
    <row r="249" spans="1:14" x14ac:dyDescent="0.3">
      <c r="A249" s="5" t="s">
        <v>203</v>
      </c>
      <c r="B249" s="6" t="s">
        <v>14</v>
      </c>
      <c r="C249" s="7">
        <v>45704</v>
      </c>
      <c r="D249" s="6" t="s">
        <v>15</v>
      </c>
      <c r="E249" s="6" t="s">
        <v>16</v>
      </c>
      <c r="F249" s="8">
        <v>1076</v>
      </c>
      <c r="G249" s="8">
        <v>313</v>
      </c>
      <c r="H249" s="8">
        <v>306</v>
      </c>
      <c r="I249" s="8">
        <v>11836</v>
      </c>
      <c r="J249" s="8">
        <v>11596</v>
      </c>
      <c r="K249" s="8">
        <v>104</v>
      </c>
      <c r="L249" s="9" t="s">
        <v>52</v>
      </c>
      <c r="M249" s="9" t="s">
        <v>23</v>
      </c>
      <c r="N249" s="18">
        <f t="shared" si="3"/>
        <v>0.14617109348051052</v>
      </c>
    </row>
    <row r="250" spans="1:14" x14ac:dyDescent="0.3">
      <c r="A250" s="5" t="s">
        <v>204</v>
      </c>
      <c r="B250" s="6" t="s">
        <v>27</v>
      </c>
      <c r="C250" s="7">
        <v>45624</v>
      </c>
      <c r="D250" s="6" t="s">
        <v>20</v>
      </c>
      <c r="E250" s="6" t="s">
        <v>21</v>
      </c>
      <c r="F250" s="8">
        <v>4771</v>
      </c>
      <c r="G250" s="8">
        <v>818</v>
      </c>
      <c r="H250" s="8">
        <v>56</v>
      </c>
      <c r="I250" s="8">
        <v>57252</v>
      </c>
      <c r="J250" s="8">
        <v>56378</v>
      </c>
      <c r="K250" s="8">
        <v>150</v>
      </c>
      <c r="L250" s="9" t="s">
        <v>17</v>
      </c>
      <c r="M250" s="9" t="s">
        <v>23</v>
      </c>
      <c r="N250" s="18">
        <f t="shared" si="3"/>
        <v>0.10012770939018766</v>
      </c>
    </row>
    <row r="251" spans="1:14" x14ac:dyDescent="0.3">
      <c r="A251" s="5" t="s">
        <v>205</v>
      </c>
      <c r="B251" s="6" t="s">
        <v>34</v>
      </c>
      <c r="C251" s="7">
        <v>45608</v>
      </c>
      <c r="D251" s="6" t="s">
        <v>20</v>
      </c>
      <c r="E251" s="6" t="s">
        <v>21</v>
      </c>
      <c r="F251" s="8">
        <v>2418</v>
      </c>
      <c r="G251" s="8">
        <v>754</v>
      </c>
      <c r="H251" s="8">
        <v>54</v>
      </c>
      <c r="I251" s="8">
        <v>43524</v>
      </c>
      <c r="J251" s="8">
        <v>42743</v>
      </c>
      <c r="K251" s="8">
        <v>182</v>
      </c>
      <c r="L251" s="9" t="s">
        <v>22</v>
      </c>
      <c r="M251" s="9" t="s">
        <v>44</v>
      </c>
      <c r="N251" s="18">
        <f t="shared" si="3"/>
        <v>7.5474346676648804E-2</v>
      </c>
    </row>
    <row r="252" spans="1:14" x14ac:dyDescent="0.3">
      <c r="A252" s="5" t="s">
        <v>205</v>
      </c>
      <c r="B252" s="6" t="s">
        <v>34</v>
      </c>
      <c r="C252" s="7">
        <v>45608</v>
      </c>
      <c r="D252" s="6" t="s">
        <v>20</v>
      </c>
      <c r="E252" s="6" t="s">
        <v>21</v>
      </c>
      <c r="F252" s="8">
        <v>2418</v>
      </c>
      <c r="G252" s="8">
        <v>754</v>
      </c>
      <c r="H252" s="8">
        <v>54</v>
      </c>
      <c r="I252" s="8">
        <v>43524</v>
      </c>
      <c r="J252" s="8">
        <v>42743</v>
      </c>
      <c r="K252" s="8">
        <v>182</v>
      </c>
      <c r="L252" s="9" t="s">
        <v>37</v>
      </c>
      <c r="M252" s="9" t="s">
        <v>44</v>
      </c>
      <c r="N252" s="18">
        <f t="shared" si="3"/>
        <v>7.5474346676648804E-2</v>
      </c>
    </row>
    <row r="253" spans="1:14" x14ac:dyDescent="0.3">
      <c r="A253" s="5" t="s">
        <v>206</v>
      </c>
      <c r="B253" s="6" t="s">
        <v>25</v>
      </c>
      <c r="C253" s="7">
        <v>45629</v>
      </c>
      <c r="D253" s="6" t="s">
        <v>50</v>
      </c>
      <c r="E253" s="6" t="s">
        <v>51</v>
      </c>
      <c r="F253" s="8">
        <v>3809</v>
      </c>
      <c r="G253" s="8">
        <v>273</v>
      </c>
      <c r="H253" s="8">
        <v>200</v>
      </c>
      <c r="I253" s="8">
        <v>34281</v>
      </c>
      <c r="J253" s="8">
        <v>33534</v>
      </c>
      <c r="K253" s="8">
        <v>83</v>
      </c>
      <c r="L253" s="9" t="s">
        <v>37</v>
      </c>
      <c r="M253" s="9" t="s">
        <v>32</v>
      </c>
      <c r="N253" s="18">
        <f t="shared" si="3"/>
        <v>0.12769129838372995</v>
      </c>
    </row>
    <row r="254" spans="1:14" x14ac:dyDescent="0.3">
      <c r="A254" s="5" t="s">
        <v>207</v>
      </c>
      <c r="B254" s="6" t="s">
        <v>14</v>
      </c>
      <c r="C254" s="7">
        <v>45775</v>
      </c>
      <c r="D254" s="6" t="s">
        <v>20</v>
      </c>
      <c r="E254" s="6" t="s">
        <v>21</v>
      </c>
      <c r="F254" s="8">
        <v>3577</v>
      </c>
      <c r="G254" s="8">
        <v>596</v>
      </c>
      <c r="H254" s="8">
        <v>493</v>
      </c>
      <c r="I254" s="8">
        <v>67963</v>
      </c>
      <c r="J254" s="8">
        <v>67839</v>
      </c>
      <c r="K254" s="8">
        <v>53</v>
      </c>
      <c r="L254" s="9" t="s">
        <v>31</v>
      </c>
      <c r="M254" s="9" t="s">
        <v>44</v>
      </c>
      <c r="N254" s="18">
        <f t="shared" si="3"/>
        <v>6.8780494995504066E-2</v>
      </c>
    </row>
    <row r="255" spans="1:14" x14ac:dyDescent="0.3">
      <c r="A255" s="5" t="s">
        <v>207</v>
      </c>
      <c r="B255" s="6" t="s">
        <v>14</v>
      </c>
      <c r="C255" s="7">
        <v>45775</v>
      </c>
      <c r="D255" s="6" t="s">
        <v>20</v>
      </c>
      <c r="E255" s="6" t="s">
        <v>21</v>
      </c>
      <c r="F255" s="8">
        <v>3577</v>
      </c>
      <c r="G255" s="8">
        <v>596</v>
      </c>
      <c r="H255" s="8">
        <v>493</v>
      </c>
      <c r="I255" s="8">
        <v>67963</v>
      </c>
      <c r="J255" s="8">
        <v>67839</v>
      </c>
      <c r="K255" s="8">
        <v>53</v>
      </c>
      <c r="L255" s="9" t="s">
        <v>37</v>
      </c>
      <c r="M255" s="9" t="s">
        <v>44</v>
      </c>
      <c r="N255" s="18">
        <f t="shared" si="3"/>
        <v>6.8780494995504066E-2</v>
      </c>
    </row>
    <row r="256" spans="1:14" x14ac:dyDescent="0.3">
      <c r="A256" s="5" t="s">
        <v>208</v>
      </c>
      <c r="B256" s="6" t="s">
        <v>25</v>
      </c>
      <c r="C256" s="7">
        <v>45657</v>
      </c>
      <c r="D256" s="6" t="s">
        <v>50</v>
      </c>
      <c r="E256" s="6" t="s">
        <v>51</v>
      </c>
      <c r="F256" s="8">
        <v>1018</v>
      </c>
      <c r="G256" s="8">
        <v>447</v>
      </c>
      <c r="H256" s="8">
        <v>332</v>
      </c>
      <c r="I256" s="8">
        <v>18324</v>
      </c>
      <c r="J256" s="8">
        <v>18164</v>
      </c>
      <c r="K256" s="8">
        <v>38</v>
      </c>
      <c r="L256" s="9" t="s">
        <v>17</v>
      </c>
      <c r="M256" s="9" t="s">
        <v>44</v>
      </c>
      <c r="N256" s="18">
        <f t="shared" si="3"/>
        <v>9.8931953314247964E-2</v>
      </c>
    </row>
    <row r="257" spans="1:14" x14ac:dyDescent="0.3">
      <c r="A257" s="5" t="s">
        <v>208</v>
      </c>
      <c r="B257" s="6" t="s">
        <v>25</v>
      </c>
      <c r="C257" s="7">
        <v>45657</v>
      </c>
      <c r="D257" s="6" t="s">
        <v>50</v>
      </c>
      <c r="E257" s="6" t="s">
        <v>51</v>
      </c>
      <c r="F257" s="8">
        <v>1018</v>
      </c>
      <c r="G257" s="8">
        <v>447</v>
      </c>
      <c r="H257" s="8">
        <v>332</v>
      </c>
      <c r="I257" s="8">
        <v>18324</v>
      </c>
      <c r="J257" s="8">
        <v>18164</v>
      </c>
      <c r="K257" s="8">
        <v>38</v>
      </c>
      <c r="L257" s="9" t="s">
        <v>22</v>
      </c>
      <c r="M257" s="9" t="s">
        <v>44</v>
      </c>
      <c r="N257" s="18">
        <f t="shared" si="3"/>
        <v>9.8931953314247964E-2</v>
      </c>
    </row>
    <row r="258" spans="1:14" x14ac:dyDescent="0.3">
      <c r="A258" s="5" t="s">
        <v>209</v>
      </c>
      <c r="B258" s="6" t="s">
        <v>34</v>
      </c>
      <c r="C258" s="7">
        <v>45518</v>
      </c>
      <c r="D258" s="6" t="s">
        <v>35</v>
      </c>
      <c r="E258" s="6" t="s">
        <v>36</v>
      </c>
      <c r="F258" s="8">
        <v>3073</v>
      </c>
      <c r="G258" s="8">
        <v>553</v>
      </c>
      <c r="H258" s="8">
        <v>174</v>
      </c>
      <c r="I258" s="8">
        <v>52241</v>
      </c>
      <c r="J258" s="8">
        <v>51605</v>
      </c>
      <c r="K258" s="8">
        <v>246</v>
      </c>
      <c r="L258" s="9" t="s">
        <v>22</v>
      </c>
      <c r="M258" s="9" t="s">
        <v>44</v>
      </c>
      <c r="N258" s="18">
        <f t="shared" si="3"/>
        <v>7.3636275554694319E-2</v>
      </c>
    </row>
    <row r="259" spans="1:14" x14ac:dyDescent="0.3">
      <c r="A259" s="5" t="s">
        <v>209</v>
      </c>
      <c r="B259" s="6" t="s">
        <v>34</v>
      </c>
      <c r="C259" s="7">
        <v>45518</v>
      </c>
      <c r="D259" s="6" t="s">
        <v>35</v>
      </c>
      <c r="E259" s="6" t="s">
        <v>36</v>
      </c>
      <c r="F259" s="8">
        <v>3073</v>
      </c>
      <c r="G259" s="8">
        <v>553</v>
      </c>
      <c r="H259" s="8">
        <v>174</v>
      </c>
      <c r="I259" s="8">
        <v>52241</v>
      </c>
      <c r="J259" s="8">
        <v>51605</v>
      </c>
      <c r="K259" s="8">
        <v>246</v>
      </c>
      <c r="L259" s="9" t="s">
        <v>31</v>
      </c>
      <c r="M259" s="9" t="s">
        <v>44</v>
      </c>
      <c r="N259" s="18">
        <f t="shared" ref="N259:N322" si="4">SUM(F259,G259,H259)/J259</f>
        <v>7.3636275554694319E-2</v>
      </c>
    </row>
    <row r="260" spans="1:14" x14ac:dyDescent="0.3">
      <c r="A260" s="5" t="s">
        <v>210</v>
      </c>
      <c r="B260" s="6" t="s">
        <v>14</v>
      </c>
      <c r="C260" s="7">
        <v>45631</v>
      </c>
      <c r="D260" s="6" t="s">
        <v>50</v>
      </c>
      <c r="E260" s="6" t="s">
        <v>51</v>
      </c>
      <c r="F260" s="8">
        <v>1330</v>
      </c>
      <c r="G260" s="8">
        <v>925</v>
      </c>
      <c r="H260" s="8">
        <v>35</v>
      </c>
      <c r="I260" s="8">
        <v>15960</v>
      </c>
      <c r="J260" s="8">
        <v>15379</v>
      </c>
      <c r="K260" s="8">
        <v>229</v>
      </c>
      <c r="L260" s="9" t="s">
        <v>52</v>
      </c>
      <c r="M260" s="9" t="s">
        <v>44</v>
      </c>
      <c r="N260" s="18">
        <f t="shared" si="4"/>
        <v>0.14890435008778205</v>
      </c>
    </row>
    <row r="261" spans="1:14" x14ac:dyDescent="0.3">
      <c r="A261" s="5" t="s">
        <v>210</v>
      </c>
      <c r="B261" s="6" t="s">
        <v>14</v>
      </c>
      <c r="C261" s="7">
        <v>45631</v>
      </c>
      <c r="D261" s="6" t="s">
        <v>50</v>
      </c>
      <c r="E261" s="6" t="s">
        <v>51</v>
      </c>
      <c r="F261" s="8">
        <v>1330</v>
      </c>
      <c r="G261" s="8">
        <v>925</v>
      </c>
      <c r="H261" s="8">
        <v>35</v>
      </c>
      <c r="I261" s="8">
        <v>15960</v>
      </c>
      <c r="J261" s="8">
        <v>15379</v>
      </c>
      <c r="K261" s="8">
        <v>229</v>
      </c>
      <c r="L261" s="9" t="s">
        <v>37</v>
      </c>
      <c r="M261" s="9" t="s">
        <v>44</v>
      </c>
      <c r="N261" s="18">
        <f t="shared" si="4"/>
        <v>0.14890435008778205</v>
      </c>
    </row>
    <row r="262" spans="1:14" x14ac:dyDescent="0.3">
      <c r="A262" s="5" t="s">
        <v>211</v>
      </c>
      <c r="B262" s="6" t="s">
        <v>34</v>
      </c>
      <c r="C262" s="7">
        <v>45465</v>
      </c>
      <c r="D262" s="6" t="s">
        <v>20</v>
      </c>
      <c r="E262" s="6" t="s">
        <v>21</v>
      </c>
      <c r="F262" s="8">
        <v>3828</v>
      </c>
      <c r="G262" s="8">
        <v>148</v>
      </c>
      <c r="H262" s="8">
        <v>253</v>
      </c>
      <c r="I262" s="8">
        <v>30624</v>
      </c>
      <c r="J262" s="8">
        <v>30229</v>
      </c>
      <c r="K262" s="8">
        <v>235</v>
      </c>
      <c r="L262" s="9" t="s">
        <v>17</v>
      </c>
      <c r="M262" s="9" t="s">
        <v>44</v>
      </c>
      <c r="N262" s="18">
        <f t="shared" si="4"/>
        <v>0.13989877270171028</v>
      </c>
    </row>
    <row r="263" spans="1:14" x14ac:dyDescent="0.3">
      <c r="A263" s="5" t="s">
        <v>211</v>
      </c>
      <c r="B263" s="6" t="s">
        <v>34</v>
      </c>
      <c r="C263" s="7">
        <v>45465</v>
      </c>
      <c r="D263" s="6" t="s">
        <v>20</v>
      </c>
      <c r="E263" s="6" t="s">
        <v>21</v>
      </c>
      <c r="F263" s="8">
        <v>3828</v>
      </c>
      <c r="G263" s="8">
        <v>148</v>
      </c>
      <c r="H263" s="8">
        <v>253</v>
      </c>
      <c r="I263" s="8">
        <v>30624</v>
      </c>
      <c r="J263" s="8">
        <v>30229</v>
      </c>
      <c r="K263" s="8">
        <v>235</v>
      </c>
      <c r="L263" s="9" t="s">
        <v>31</v>
      </c>
      <c r="M263" s="9" t="s">
        <v>44</v>
      </c>
      <c r="N263" s="18">
        <f t="shared" si="4"/>
        <v>0.13989877270171028</v>
      </c>
    </row>
    <row r="264" spans="1:14" x14ac:dyDescent="0.3">
      <c r="A264" s="5" t="s">
        <v>212</v>
      </c>
      <c r="B264" s="6" t="s">
        <v>27</v>
      </c>
      <c r="C264" s="7">
        <v>45674</v>
      </c>
      <c r="D264" s="6" t="s">
        <v>15</v>
      </c>
      <c r="E264" s="6" t="s">
        <v>16</v>
      </c>
      <c r="F264" s="8">
        <v>142</v>
      </c>
      <c r="G264" s="8">
        <v>784</v>
      </c>
      <c r="H264" s="8">
        <v>183</v>
      </c>
      <c r="I264" s="8">
        <v>1704</v>
      </c>
      <c r="J264" s="8">
        <v>995</v>
      </c>
      <c r="K264" s="8">
        <v>154</v>
      </c>
      <c r="L264" s="9" t="s">
        <v>17</v>
      </c>
      <c r="M264" s="9" t="s">
        <v>18</v>
      </c>
      <c r="N264" s="18">
        <f t="shared" si="4"/>
        <v>1.114572864321608</v>
      </c>
    </row>
    <row r="265" spans="1:14" x14ac:dyDescent="0.3">
      <c r="A265" s="5" t="s">
        <v>213</v>
      </c>
      <c r="B265" s="6" t="s">
        <v>34</v>
      </c>
      <c r="C265" s="7">
        <v>45463</v>
      </c>
      <c r="D265" s="6" t="s">
        <v>50</v>
      </c>
      <c r="E265" s="6" t="s">
        <v>51</v>
      </c>
      <c r="F265" s="8">
        <v>3798</v>
      </c>
      <c r="G265" s="8">
        <v>31</v>
      </c>
      <c r="H265" s="8">
        <v>279</v>
      </c>
      <c r="I265" s="8">
        <v>75960</v>
      </c>
      <c r="J265" s="8">
        <v>75813</v>
      </c>
      <c r="K265" s="8">
        <v>266</v>
      </c>
      <c r="L265" s="9" t="s">
        <v>22</v>
      </c>
      <c r="M265" s="9" t="s">
        <v>23</v>
      </c>
      <c r="N265" s="18">
        <f t="shared" si="4"/>
        <v>5.4185957553453894E-2</v>
      </c>
    </row>
    <row r="266" spans="1:14" x14ac:dyDescent="0.3">
      <c r="A266" s="5" t="s">
        <v>214</v>
      </c>
      <c r="B266" s="6" t="s">
        <v>27</v>
      </c>
      <c r="C266" s="7">
        <v>45483</v>
      </c>
      <c r="D266" s="6" t="s">
        <v>35</v>
      </c>
      <c r="E266" s="6" t="s">
        <v>36</v>
      </c>
      <c r="F266" s="8">
        <v>3099</v>
      </c>
      <c r="G266" s="8">
        <v>694</v>
      </c>
      <c r="H266" s="8">
        <v>171</v>
      </c>
      <c r="I266" s="8">
        <v>43386</v>
      </c>
      <c r="J266" s="8">
        <v>42921</v>
      </c>
      <c r="K266" s="8">
        <v>52</v>
      </c>
      <c r="L266" s="9" t="s">
        <v>52</v>
      </c>
      <c r="M266" s="9" t="s">
        <v>44</v>
      </c>
      <c r="N266" s="18">
        <f t="shared" si="4"/>
        <v>9.2355723305607984E-2</v>
      </c>
    </row>
    <row r="267" spans="1:14" x14ac:dyDescent="0.3">
      <c r="A267" s="5" t="s">
        <v>215</v>
      </c>
      <c r="B267" s="6" t="s">
        <v>27</v>
      </c>
      <c r="C267" s="7">
        <v>45603</v>
      </c>
      <c r="D267" s="6" t="s">
        <v>50</v>
      </c>
      <c r="E267" s="6" t="s">
        <v>51</v>
      </c>
      <c r="F267" s="8">
        <v>129</v>
      </c>
      <c r="G267" s="8">
        <v>643</v>
      </c>
      <c r="H267" s="8">
        <v>136</v>
      </c>
      <c r="I267" s="8">
        <v>1290</v>
      </c>
      <c r="J267" s="8">
        <v>839</v>
      </c>
      <c r="K267" s="8">
        <v>238</v>
      </c>
      <c r="L267" s="9" t="s">
        <v>31</v>
      </c>
      <c r="M267" s="9" t="s">
        <v>44</v>
      </c>
      <c r="N267" s="18">
        <f t="shared" si="4"/>
        <v>1.0822407628128725</v>
      </c>
    </row>
    <row r="268" spans="1:14" x14ac:dyDescent="0.3">
      <c r="A268" s="5" t="s">
        <v>215</v>
      </c>
      <c r="B268" s="6" t="s">
        <v>27</v>
      </c>
      <c r="C268" s="7">
        <v>45603</v>
      </c>
      <c r="D268" s="6" t="s">
        <v>50</v>
      </c>
      <c r="E268" s="6" t="s">
        <v>51</v>
      </c>
      <c r="F268" s="8">
        <v>129</v>
      </c>
      <c r="G268" s="8">
        <v>643</v>
      </c>
      <c r="H268" s="8">
        <v>136</v>
      </c>
      <c r="I268" s="8">
        <v>1290</v>
      </c>
      <c r="J268" s="8">
        <v>839</v>
      </c>
      <c r="K268" s="8">
        <v>238</v>
      </c>
      <c r="L268" s="9" t="s">
        <v>52</v>
      </c>
      <c r="M268" s="9" t="s">
        <v>44</v>
      </c>
      <c r="N268" s="18">
        <f t="shared" si="4"/>
        <v>1.0822407628128725</v>
      </c>
    </row>
    <row r="269" spans="1:14" x14ac:dyDescent="0.3">
      <c r="A269" s="5" t="s">
        <v>216</v>
      </c>
      <c r="B269" s="6" t="s">
        <v>34</v>
      </c>
      <c r="C269" s="7">
        <v>45488</v>
      </c>
      <c r="D269" s="6" t="s">
        <v>35</v>
      </c>
      <c r="E269" s="6" t="s">
        <v>36</v>
      </c>
      <c r="F269" s="8">
        <v>3796</v>
      </c>
      <c r="G269" s="8">
        <v>667</v>
      </c>
      <c r="H269" s="8">
        <v>395</v>
      </c>
      <c r="I269" s="8">
        <v>64532</v>
      </c>
      <c r="J269" s="8">
        <v>63550</v>
      </c>
      <c r="K269" s="8">
        <v>292</v>
      </c>
      <c r="L269" s="9" t="s">
        <v>31</v>
      </c>
      <c r="M269" s="9" t="s">
        <v>18</v>
      </c>
      <c r="N269" s="18">
        <f t="shared" si="4"/>
        <v>7.6443745082612119E-2</v>
      </c>
    </row>
    <row r="270" spans="1:14" x14ac:dyDescent="0.3">
      <c r="A270" s="5" t="s">
        <v>217</v>
      </c>
      <c r="B270" s="6" t="s">
        <v>25</v>
      </c>
      <c r="C270" s="7">
        <v>45629</v>
      </c>
      <c r="D270" s="6" t="s">
        <v>20</v>
      </c>
      <c r="E270" s="6" t="s">
        <v>21</v>
      </c>
      <c r="F270" s="8">
        <v>3711</v>
      </c>
      <c r="G270" s="8">
        <v>352</v>
      </c>
      <c r="H270" s="8">
        <v>290</v>
      </c>
      <c r="I270" s="8">
        <v>48243</v>
      </c>
      <c r="J270" s="8">
        <v>47579</v>
      </c>
      <c r="K270" s="8">
        <v>11</v>
      </c>
      <c r="L270" s="9" t="s">
        <v>31</v>
      </c>
      <c r="M270" s="9" t="s">
        <v>44</v>
      </c>
      <c r="N270" s="18">
        <f t="shared" si="4"/>
        <v>9.1489943042098398E-2</v>
      </c>
    </row>
    <row r="271" spans="1:14" x14ac:dyDescent="0.3">
      <c r="A271" s="5" t="s">
        <v>217</v>
      </c>
      <c r="B271" s="6" t="s">
        <v>25</v>
      </c>
      <c r="C271" s="7">
        <v>45629</v>
      </c>
      <c r="D271" s="6" t="s">
        <v>20</v>
      </c>
      <c r="E271" s="6" t="s">
        <v>21</v>
      </c>
      <c r="F271" s="8">
        <v>3711</v>
      </c>
      <c r="G271" s="8">
        <v>352</v>
      </c>
      <c r="H271" s="8">
        <v>290</v>
      </c>
      <c r="I271" s="8">
        <v>48243</v>
      </c>
      <c r="J271" s="8">
        <v>47579</v>
      </c>
      <c r="K271" s="8">
        <v>11</v>
      </c>
      <c r="L271" s="9" t="s">
        <v>52</v>
      </c>
      <c r="M271" s="9" t="s">
        <v>44</v>
      </c>
      <c r="N271" s="18">
        <f t="shared" si="4"/>
        <v>9.1489943042098398E-2</v>
      </c>
    </row>
    <row r="272" spans="1:14" x14ac:dyDescent="0.3">
      <c r="A272" s="5" t="s">
        <v>218</v>
      </c>
      <c r="B272" s="6" t="s">
        <v>25</v>
      </c>
      <c r="C272" s="7">
        <v>45737</v>
      </c>
      <c r="D272" s="6" t="s">
        <v>40</v>
      </c>
      <c r="E272" s="6" t="s">
        <v>41</v>
      </c>
      <c r="F272" s="8">
        <v>606</v>
      </c>
      <c r="G272" s="8">
        <v>789</v>
      </c>
      <c r="H272" s="8">
        <v>470</v>
      </c>
      <c r="I272" s="8">
        <v>7878</v>
      </c>
      <c r="J272" s="8">
        <v>7389</v>
      </c>
      <c r="K272" s="8">
        <v>239</v>
      </c>
      <c r="L272" s="9" t="s">
        <v>17</v>
      </c>
      <c r="M272" s="9" t="s">
        <v>23</v>
      </c>
      <c r="N272" s="18">
        <f t="shared" si="4"/>
        <v>0.25240221951549602</v>
      </c>
    </row>
    <row r="273" spans="1:14" x14ac:dyDescent="0.3">
      <c r="A273" s="5" t="s">
        <v>219</v>
      </c>
      <c r="B273" s="6" t="s">
        <v>34</v>
      </c>
      <c r="C273" s="7">
        <v>45504</v>
      </c>
      <c r="D273" s="6" t="s">
        <v>40</v>
      </c>
      <c r="E273" s="6" t="s">
        <v>41</v>
      </c>
      <c r="F273" s="8">
        <v>4689</v>
      </c>
      <c r="G273" s="8">
        <v>134</v>
      </c>
      <c r="H273" s="8">
        <v>403</v>
      </c>
      <c r="I273" s="8">
        <v>51579</v>
      </c>
      <c r="J273" s="8">
        <v>50924</v>
      </c>
      <c r="K273" s="8">
        <v>173</v>
      </c>
      <c r="L273" s="9" t="s">
        <v>52</v>
      </c>
      <c r="M273" s="9" t="s">
        <v>18</v>
      </c>
      <c r="N273" s="18">
        <f t="shared" si="4"/>
        <v>0.10262351739847617</v>
      </c>
    </row>
    <row r="274" spans="1:14" x14ac:dyDescent="0.3">
      <c r="A274" s="5" t="s">
        <v>220</v>
      </c>
      <c r="B274" s="6" t="s">
        <v>27</v>
      </c>
      <c r="C274" s="7">
        <v>45643</v>
      </c>
      <c r="D274" s="6" t="s">
        <v>28</v>
      </c>
      <c r="E274" s="6" t="s">
        <v>29</v>
      </c>
      <c r="F274" s="8">
        <v>360</v>
      </c>
      <c r="G274" s="8">
        <v>590</v>
      </c>
      <c r="H274" s="8">
        <v>393</v>
      </c>
      <c r="I274" s="8">
        <v>4680</v>
      </c>
      <c r="J274" s="8">
        <v>4322</v>
      </c>
      <c r="K274" s="8">
        <v>208</v>
      </c>
      <c r="L274" s="9" t="s">
        <v>31</v>
      </c>
      <c r="M274" s="9" t="s">
        <v>23</v>
      </c>
      <c r="N274" s="18">
        <f t="shared" si="4"/>
        <v>0.3107357704766312</v>
      </c>
    </row>
    <row r="275" spans="1:14" x14ac:dyDescent="0.3">
      <c r="A275" s="5" t="s">
        <v>220</v>
      </c>
      <c r="B275" s="6" t="s">
        <v>27</v>
      </c>
      <c r="C275" s="7">
        <v>45643</v>
      </c>
      <c r="D275" s="6" t="s">
        <v>28</v>
      </c>
      <c r="E275" s="6" t="s">
        <v>29</v>
      </c>
      <c r="F275" s="8">
        <v>360</v>
      </c>
      <c r="G275" s="8">
        <v>590</v>
      </c>
      <c r="H275" s="8">
        <v>393</v>
      </c>
      <c r="I275" s="8">
        <v>4680</v>
      </c>
      <c r="J275" s="8">
        <v>4322</v>
      </c>
      <c r="K275" s="8">
        <v>208</v>
      </c>
      <c r="L275" s="9" t="s">
        <v>52</v>
      </c>
      <c r="M275" s="9" t="s">
        <v>23</v>
      </c>
      <c r="N275" s="18">
        <f t="shared" si="4"/>
        <v>0.3107357704766312</v>
      </c>
    </row>
    <row r="276" spans="1:14" x14ac:dyDescent="0.3">
      <c r="A276" s="5" t="s">
        <v>221</v>
      </c>
      <c r="B276" s="6" t="s">
        <v>14</v>
      </c>
      <c r="C276" s="7">
        <v>45501</v>
      </c>
      <c r="D276" s="6" t="s">
        <v>40</v>
      </c>
      <c r="E276" s="6" t="s">
        <v>41</v>
      </c>
      <c r="F276" s="8">
        <v>3215</v>
      </c>
      <c r="G276" s="8">
        <v>960</v>
      </c>
      <c r="H276" s="8">
        <v>202</v>
      </c>
      <c r="I276" s="8">
        <v>32150</v>
      </c>
      <c r="J276" s="8">
        <v>31404</v>
      </c>
      <c r="K276" s="8">
        <v>251</v>
      </c>
      <c r="L276" s="9" t="s">
        <v>31</v>
      </c>
      <c r="M276" s="9" t="s">
        <v>32</v>
      </c>
      <c r="N276" s="18">
        <f t="shared" si="4"/>
        <v>0.13937714940771875</v>
      </c>
    </row>
    <row r="277" spans="1:14" x14ac:dyDescent="0.3">
      <c r="A277" s="5" t="s">
        <v>222</v>
      </c>
      <c r="B277" s="6" t="s">
        <v>27</v>
      </c>
      <c r="C277" s="7">
        <v>45668</v>
      </c>
      <c r="D277" s="6" t="s">
        <v>35</v>
      </c>
      <c r="E277" s="6" t="s">
        <v>36</v>
      </c>
      <c r="F277" s="8">
        <v>4523</v>
      </c>
      <c r="G277" s="8">
        <v>61</v>
      </c>
      <c r="H277" s="8">
        <v>157</v>
      </c>
      <c r="I277" s="8">
        <v>49753</v>
      </c>
      <c r="J277" s="8">
        <v>49329</v>
      </c>
      <c r="K277" s="8">
        <v>71</v>
      </c>
      <c r="L277" s="9" t="s">
        <v>17</v>
      </c>
      <c r="M277" s="9" t="s">
        <v>44</v>
      </c>
      <c r="N277" s="18">
        <f t="shared" si="4"/>
        <v>9.6109793427801085E-2</v>
      </c>
    </row>
    <row r="278" spans="1:14" x14ac:dyDescent="0.3">
      <c r="A278" s="5" t="s">
        <v>222</v>
      </c>
      <c r="B278" s="6" t="s">
        <v>27</v>
      </c>
      <c r="C278" s="7">
        <v>45668</v>
      </c>
      <c r="D278" s="6" t="s">
        <v>35</v>
      </c>
      <c r="E278" s="6" t="s">
        <v>36</v>
      </c>
      <c r="F278" s="8">
        <v>4523</v>
      </c>
      <c r="G278" s="8">
        <v>61</v>
      </c>
      <c r="H278" s="8">
        <v>157</v>
      </c>
      <c r="I278" s="8">
        <v>49753</v>
      </c>
      <c r="J278" s="8">
        <v>49329</v>
      </c>
      <c r="K278" s="8">
        <v>71</v>
      </c>
      <c r="L278" s="9" t="s">
        <v>37</v>
      </c>
      <c r="M278" s="9" t="s">
        <v>44</v>
      </c>
      <c r="N278" s="18">
        <f t="shared" si="4"/>
        <v>9.6109793427801085E-2</v>
      </c>
    </row>
    <row r="279" spans="1:14" x14ac:dyDescent="0.3">
      <c r="A279" s="5" t="s">
        <v>223</v>
      </c>
      <c r="B279" s="6" t="s">
        <v>34</v>
      </c>
      <c r="C279" s="7">
        <v>45528</v>
      </c>
      <c r="D279" s="6" t="s">
        <v>35</v>
      </c>
      <c r="E279" s="6" t="s">
        <v>36</v>
      </c>
      <c r="F279" s="8">
        <v>4292</v>
      </c>
      <c r="G279" s="8">
        <v>51</v>
      </c>
      <c r="H279" s="8">
        <v>392</v>
      </c>
      <c r="I279" s="8">
        <v>55796</v>
      </c>
      <c r="J279" s="8">
        <v>54826</v>
      </c>
      <c r="K279" s="8">
        <v>264</v>
      </c>
      <c r="L279" s="9" t="s">
        <v>37</v>
      </c>
      <c r="M279" s="9" t="s">
        <v>18</v>
      </c>
      <c r="N279" s="18">
        <f t="shared" si="4"/>
        <v>8.6364133805128959E-2</v>
      </c>
    </row>
    <row r="280" spans="1:14" x14ac:dyDescent="0.3">
      <c r="A280" s="5" t="s">
        <v>223</v>
      </c>
      <c r="B280" s="6" t="s">
        <v>34</v>
      </c>
      <c r="C280" s="7">
        <v>45528</v>
      </c>
      <c r="D280" s="6" t="s">
        <v>35</v>
      </c>
      <c r="E280" s="6" t="s">
        <v>36</v>
      </c>
      <c r="F280" s="8">
        <v>4292</v>
      </c>
      <c r="G280" s="8">
        <v>51</v>
      </c>
      <c r="H280" s="8">
        <v>392</v>
      </c>
      <c r="I280" s="8">
        <v>55796</v>
      </c>
      <c r="J280" s="8">
        <v>54826</v>
      </c>
      <c r="K280" s="8">
        <v>264</v>
      </c>
      <c r="L280" s="9" t="s">
        <v>31</v>
      </c>
      <c r="M280" s="9" t="s">
        <v>18</v>
      </c>
      <c r="N280" s="18">
        <f t="shared" si="4"/>
        <v>8.6364133805128959E-2</v>
      </c>
    </row>
    <row r="281" spans="1:14" x14ac:dyDescent="0.3">
      <c r="A281" s="5" t="s">
        <v>224</v>
      </c>
      <c r="B281" s="6" t="s">
        <v>14</v>
      </c>
      <c r="C281" s="7">
        <v>45648</v>
      </c>
      <c r="D281" s="6" t="s">
        <v>15</v>
      </c>
      <c r="E281" s="6" t="s">
        <v>16</v>
      </c>
      <c r="F281" s="8">
        <v>1644</v>
      </c>
      <c r="G281" s="8">
        <v>546</v>
      </c>
      <c r="H281" s="8">
        <v>150</v>
      </c>
      <c r="I281" s="8">
        <v>27948</v>
      </c>
      <c r="J281" s="8">
        <v>27184</v>
      </c>
      <c r="K281" s="8">
        <v>300</v>
      </c>
      <c r="L281" s="9" t="s">
        <v>17</v>
      </c>
      <c r="M281" s="9" t="s">
        <v>18</v>
      </c>
      <c r="N281" s="18">
        <f t="shared" si="4"/>
        <v>8.6080047086521477E-2</v>
      </c>
    </row>
    <row r="282" spans="1:14" x14ac:dyDescent="0.3">
      <c r="A282" s="5" t="s">
        <v>224</v>
      </c>
      <c r="B282" s="6" t="s">
        <v>14</v>
      </c>
      <c r="C282" s="7">
        <v>45648</v>
      </c>
      <c r="D282" s="6" t="s">
        <v>15</v>
      </c>
      <c r="E282" s="6" t="s">
        <v>16</v>
      </c>
      <c r="F282" s="8">
        <v>1644</v>
      </c>
      <c r="G282" s="8">
        <v>546</v>
      </c>
      <c r="H282" s="8">
        <v>150</v>
      </c>
      <c r="I282" s="8">
        <v>27948</v>
      </c>
      <c r="J282" s="8">
        <v>27184</v>
      </c>
      <c r="K282" s="8">
        <v>300</v>
      </c>
      <c r="L282" s="9" t="s">
        <v>37</v>
      </c>
      <c r="M282" s="9" t="s">
        <v>18</v>
      </c>
      <c r="N282" s="18">
        <f t="shared" si="4"/>
        <v>8.6080047086521477E-2</v>
      </c>
    </row>
    <row r="283" spans="1:14" x14ac:dyDescent="0.3">
      <c r="A283" s="5" t="s">
        <v>225</v>
      </c>
      <c r="B283" s="6" t="s">
        <v>25</v>
      </c>
      <c r="C283" s="7">
        <v>45449</v>
      </c>
      <c r="D283" s="6" t="s">
        <v>15</v>
      </c>
      <c r="E283" s="6" t="s">
        <v>16</v>
      </c>
      <c r="F283" s="8">
        <v>2728</v>
      </c>
      <c r="G283" s="8">
        <v>533</v>
      </c>
      <c r="H283" s="8">
        <v>215</v>
      </c>
      <c r="I283" s="8">
        <v>40920</v>
      </c>
      <c r="J283" s="8">
        <v>40816</v>
      </c>
      <c r="K283" s="8">
        <v>137</v>
      </c>
      <c r="L283" s="9" t="s">
        <v>17</v>
      </c>
      <c r="M283" s="9" t="s">
        <v>23</v>
      </c>
      <c r="N283" s="18">
        <f t="shared" si="4"/>
        <v>8.516268130145041E-2</v>
      </c>
    </row>
    <row r="284" spans="1:14" x14ac:dyDescent="0.3">
      <c r="A284" s="5" t="s">
        <v>226</v>
      </c>
      <c r="B284" s="6" t="s">
        <v>34</v>
      </c>
      <c r="C284" s="7">
        <v>45740</v>
      </c>
      <c r="D284" s="6" t="s">
        <v>15</v>
      </c>
      <c r="E284" s="6" t="s">
        <v>16</v>
      </c>
      <c r="F284" s="8">
        <v>3360</v>
      </c>
      <c r="G284" s="8">
        <v>525</v>
      </c>
      <c r="H284" s="8">
        <v>500</v>
      </c>
      <c r="I284" s="8">
        <v>60480</v>
      </c>
      <c r="J284" s="8">
        <v>59610</v>
      </c>
      <c r="K284" s="8">
        <v>192</v>
      </c>
      <c r="L284" s="9" t="s">
        <v>17</v>
      </c>
      <c r="M284" s="9" t="s">
        <v>18</v>
      </c>
      <c r="N284" s="18">
        <f t="shared" si="4"/>
        <v>7.3561482972655592E-2</v>
      </c>
    </row>
    <row r="285" spans="1:14" x14ac:dyDescent="0.3">
      <c r="A285" s="5" t="s">
        <v>226</v>
      </c>
      <c r="B285" s="6" t="s">
        <v>34</v>
      </c>
      <c r="C285" s="7">
        <v>45740</v>
      </c>
      <c r="D285" s="6" t="s">
        <v>15</v>
      </c>
      <c r="E285" s="6" t="s">
        <v>16</v>
      </c>
      <c r="F285" s="8">
        <v>3360</v>
      </c>
      <c r="G285" s="8">
        <v>525</v>
      </c>
      <c r="H285" s="8">
        <v>500</v>
      </c>
      <c r="I285" s="8">
        <v>60480</v>
      </c>
      <c r="J285" s="8">
        <v>59610</v>
      </c>
      <c r="K285" s="8">
        <v>192</v>
      </c>
      <c r="L285" s="9" t="s">
        <v>31</v>
      </c>
      <c r="M285" s="9" t="s">
        <v>18</v>
      </c>
      <c r="N285" s="18">
        <f t="shared" si="4"/>
        <v>7.3561482972655592E-2</v>
      </c>
    </row>
    <row r="286" spans="1:14" x14ac:dyDescent="0.3">
      <c r="A286" s="5" t="s">
        <v>227</v>
      </c>
      <c r="B286" s="6" t="s">
        <v>25</v>
      </c>
      <c r="C286" s="7">
        <v>45569</v>
      </c>
      <c r="D286" s="6" t="s">
        <v>20</v>
      </c>
      <c r="E286" s="6" t="s">
        <v>21</v>
      </c>
      <c r="F286" s="8">
        <v>1963</v>
      </c>
      <c r="G286" s="8">
        <v>213</v>
      </c>
      <c r="H286" s="8">
        <v>19</v>
      </c>
      <c r="I286" s="8">
        <v>39260</v>
      </c>
      <c r="J286" s="8">
        <v>38771</v>
      </c>
      <c r="K286" s="8">
        <v>145</v>
      </c>
      <c r="L286" s="9" t="s">
        <v>31</v>
      </c>
      <c r="M286" s="9" t="s">
        <v>18</v>
      </c>
      <c r="N286" s="18">
        <f t="shared" si="4"/>
        <v>5.6614479894766707E-2</v>
      </c>
    </row>
    <row r="287" spans="1:14" x14ac:dyDescent="0.3">
      <c r="A287" s="5" t="s">
        <v>228</v>
      </c>
      <c r="B287" s="6" t="s">
        <v>25</v>
      </c>
      <c r="C287" s="7">
        <v>45629</v>
      </c>
      <c r="D287" s="6" t="s">
        <v>28</v>
      </c>
      <c r="E287" s="6" t="s">
        <v>29</v>
      </c>
      <c r="F287" s="8">
        <v>4285</v>
      </c>
      <c r="G287" s="8">
        <v>886</v>
      </c>
      <c r="H287" s="8">
        <v>376</v>
      </c>
      <c r="I287" s="8">
        <v>55705</v>
      </c>
      <c r="J287" s="8">
        <v>55556</v>
      </c>
      <c r="K287" s="8">
        <v>51</v>
      </c>
      <c r="L287" s="9" t="s">
        <v>22</v>
      </c>
      <c r="M287" s="9" t="s">
        <v>44</v>
      </c>
      <c r="N287" s="18">
        <f t="shared" si="4"/>
        <v>9.9845201238390094E-2</v>
      </c>
    </row>
    <row r="288" spans="1:14" x14ac:dyDescent="0.3">
      <c r="A288" s="5" t="s">
        <v>228</v>
      </c>
      <c r="B288" s="6" t="s">
        <v>25</v>
      </c>
      <c r="C288" s="7">
        <v>45629</v>
      </c>
      <c r="D288" s="6" t="s">
        <v>28</v>
      </c>
      <c r="E288" s="6" t="s">
        <v>29</v>
      </c>
      <c r="F288" s="8">
        <v>4285</v>
      </c>
      <c r="G288" s="8">
        <v>886</v>
      </c>
      <c r="H288" s="8">
        <v>376</v>
      </c>
      <c r="I288" s="8">
        <v>55705</v>
      </c>
      <c r="J288" s="8">
        <v>55556</v>
      </c>
      <c r="K288" s="8">
        <v>51</v>
      </c>
      <c r="L288" s="9" t="s">
        <v>52</v>
      </c>
      <c r="M288" s="9" t="s">
        <v>44</v>
      </c>
      <c r="N288" s="18">
        <f t="shared" si="4"/>
        <v>9.9845201238390094E-2</v>
      </c>
    </row>
    <row r="289" spans="1:14" x14ac:dyDescent="0.3">
      <c r="A289" s="5" t="s">
        <v>229</v>
      </c>
      <c r="B289" s="6" t="s">
        <v>27</v>
      </c>
      <c r="C289" s="7">
        <v>45625</v>
      </c>
      <c r="D289" s="6" t="s">
        <v>50</v>
      </c>
      <c r="E289" s="6" t="s">
        <v>51</v>
      </c>
      <c r="F289" s="8">
        <v>1176</v>
      </c>
      <c r="G289" s="8">
        <v>464</v>
      </c>
      <c r="H289" s="8">
        <v>394</v>
      </c>
      <c r="I289" s="8">
        <v>14112</v>
      </c>
      <c r="J289" s="8">
        <v>13588</v>
      </c>
      <c r="K289" s="8">
        <v>272</v>
      </c>
      <c r="L289" s="9" t="s">
        <v>52</v>
      </c>
      <c r="M289" s="9" t="s">
        <v>18</v>
      </c>
      <c r="N289" s="18">
        <f t="shared" si="4"/>
        <v>0.14969090373859287</v>
      </c>
    </row>
    <row r="290" spans="1:14" x14ac:dyDescent="0.3">
      <c r="A290" s="5" t="s">
        <v>230</v>
      </c>
      <c r="B290" s="6" t="s">
        <v>14</v>
      </c>
      <c r="C290" s="7">
        <v>45546</v>
      </c>
      <c r="D290" s="6" t="s">
        <v>40</v>
      </c>
      <c r="E290" s="6" t="s">
        <v>41</v>
      </c>
      <c r="F290" s="8">
        <v>4858</v>
      </c>
      <c r="G290" s="8">
        <v>317</v>
      </c>
      <c r="H290" s="8">
        <v>129</v>
      </c>
      <c r="I290" s="8">
        <v>53438</v>
      </c>
      <c r="J290" s="8">
        <v>52687</v>
      </c>
      <c r="K290" s="8">
        <v>223</v>
      </c>
      <c r="L290" s="9" t="s">
        <v>52</v>
      </c>
      <c r="M290" s="9" t="s">
        <v>18</v>
      </c>
      <c r="N290" s="18">
        <f t="shared" si="4"/>
        <v>0.10066999449579593</v>
      </c>
    </row>
    <row r="291" spans="1:14" x14ac:dyDescent="0.3">
      <c r="A291" s="5" t="s">
        <v>230</v>
      </c>
      <c r="B291" s="6" t="s">
        <v>14</v>
      </c>
      <c r="C291" s="7">
        <v>45546</v>
      </c>
      <c r="D291" s="6" t="s">
        <v>40</v>
      </c>
      <c r="E291" s="6" t="s">
        <v>41</v>
      </c>
      <c r="F291" s="8">
        <v>4858</v>
      </c>
      <c r="G291" s="8">
        <v>317</v>
      </c>
      <c r="H291" s="8">
        <v>129</v>
      </c>
      <c r="I291" s="8">
        <v>53438</v>
      </c>
      <c r="J291" s="8">
        <v>52687</v>
      </c>
      <c r="K291" s="8">
        <v>223</v>
      </c>
      <c r="L291" s="9" t="s">
        <v>37</v>
      </c>
      <c r="M291" s="9" t="s">
        <v>18</v>
      </c>
      <c r="N291" s="18">
        <f t="shared" si="4"/>
        <v>0.10066999449579593</v>
      </c>
    </row>
    <row r="292" spans="1:14" x14ac:dyDescent="0.3">
      <c r="A292" s="5" t="s">
        <v>231</v>
      </c>
      <c r="B292" s="6" t="s">
        <v>25</v>
      </c>
      <c r="C292" s="7">
        <v>45567</v>
      </c>
      <c r="D292" s="6" t="s">
        <v>28</v>
      </c>
      <c r="E292" s="6" t="s">
        <v>29</v>
      </c>
      <c r="F292" s="8">
        <v>4350</v>
      </c>
      <c r="G292" s="8">
        <v>771</v>
      </c>
      <c r="H292" s="8">
        <v>7</v>
      </c>
      <c r="I292" s="8">
        <v>60900</v>
      </c>
      <c r="J292" s="8">
        <v>60592</v>
      </c>
      <c r="K292" s="8">
        <v>195</v>
      </c>
      <c r="L292" s="9" t="s">
        <v>52</v>
      </c>
      <c r="M292" s="9" t="s">
        <v>23</v>
      </c>
      <c r="N292" s="18">
        <f t="shared" si="4"/>
        <v>8.4631634539213102E-2</v>
      </c>
    </row>
    <row r="293" spans="1:14" x14ac:dyDescent="0.3">
      <c r="A293" s="5" t="s">
        <v>231</v>
      </c>
      <c r="B293" s="6" t="s">
        <v>25</v>
      </c>
      <c r="C293" s="7">
        <v>45567</v>
      </c>
      <c r="D293" s="6" t="s">
        <v>28</v>
      </c>
      <c r="E293" s="6" t="s">
        <v>29</v>
      </c>
      <c r="F293" s="8">
        <v>4350</v>
      </c>
      <c r="G293" s="8">
        <v>771</v>
      </c>
      <c r="H293" s="8">
        <v>7</v>
      </c>
      <c r="I293" s="8">
        <v>60900</v>
      </c>
      <c r="J293" s="8">
        <v>60592</v>
      </c>
      <c r="K293" s="8">
        <v>195</v>
      </c>
      <c r="L293" s="9" t="s">
        <v>31</v>
      </c>
      <c r="M293" s="9" t="s">
        <v>23</v>
      </c>
      <c r="N293" s="18">
        <f t="shared" si="4"/>
        <v>8.4631634539213102E-2</v>
      </c>
    </row>
    <row r="294" spans="1:14" x14ac:dyDescent="0.3">
      <c r="A294" s="5" t="s">
        <v>232</v>
      </c>
      <c r="B294" s="6" t="s">
        <v>27</v>
      </c>
      <c r="C294" s="7">
        <v>45519</v>
      </c>
      <c r="D294" s="6" t="s">
        <v>35</v>
      </c>
      <c r="E294" s="6" t="s">
        <v>36</v>
      </c>
      <c r="F294" s="8">
        <v>914</v>
      </c>
      <c r="G294" s="8">
        <v>464</v>
      </c>
      <c r="H294" s="8">
        <v>246</v>
      </c>
      <c r="I294" s="8">
        <v>11882</v>
      </c>
      <c r="J294" s="8">
        <v>11500</v>
      </c>
      <c r="K294" s="8">
        <v>282</v>
      </c>
      <c r="L294" s="9" t="s">
        <v>22</v>
      </c>
      <c r="M294" s="9" t="s">
        <v>32</v>
      </c>
      <c r="N294" s="18">
        <f t="shared" si="4"/>
        <v>0.14121739130434782</v>
      </c>
    </row>
    <row r="295" spans="1:14" x14ac:dyDescent="0.3">
      <c r="A295" s="5" t="s">
        <v>232</v>
      </c>
      <c r="B295" s="6" t="s">
        <v>27</v>
      </c>
      <c r="C295" s="7">
        <v>45519</v>
      </c>
      <c r="D295" s="6" t="s">
        <v>35</v>
      </c>
      <c r="E295" s="6" t="s">
        <v>36</v>
      </c>
      <c r="F295" s="8">
        <v>914</v>
      </c>
      <c r="G295" s="8">
        <v>464</v>
      </c>
      <c r="H295" s="8">
        <v>246</v>
      </c>
      <c r="I295" s="8">
        <v>11882</v>
      </c>
      <c r="J295" s="8">
        <v>11500</v>
      </c>
      <c r="K295" s="8">
        <v>282</v>
      </c>
      <c r="L295" s="9" t="s">
        <v>37</v>
      </c>
      <c r="M295" s="9" t="s">
        <v>32</v>
      </c>
      <c r="N295" s="18">
        <f t="shared" si="4"/>
        <v>0.14121739130434782</v>
      </c>
    </row>
    <row r="296" spans="1:14" x14ac:dyDescent="0.3">
      <c r="A296" s="5" t="s">
        <v>233</v>
      </c>
      <c r="B296" s="6" t="s">
        <v>27</v>
      </c>
      <c r="C296" s="7">
        <v>45645</v>
      </c>
      <c r="D296" s="6" t="s">
        <v>20</v>
      </c>
      <c r="E296" s="6" t="s">
        <v>21</v>
      </c>
      <c r="F296" s="8">
        <v>1813</v>
      </c>
      <c r="G296" s="8">
        <v>623</v>
      </c>
      <c r="H296" s="8">
        <v>72</v>
      </c>
      <c r="I296" s="8">
        <v>19943</v>
      </c>
      <c r="J296" s="8">
        <v>18959</v>
      </c>
      <c r="K296" s="8">
        <v>85</v>
      </c>
      <c r="L296" s="9" t="s">
        <v>37</v>
      </c>
      <c r="M296" s="9" t="s">
        <v>32</v>
      </c>
      <c r="N296" s="18">
        <f t="shared" si="4"/>
        <v>0.13228545809378131</v>
      </c>
    </row>
    <row r="297" spans="1:14" x14ac:dyDescent="0.3">
      <c r="A297" s="5" t="s">
        <v>233</v>
      </c>
      <c r="B297" s="6" t="s">
        <v>27</v>
      </c>
      <c r="C297" s="7">
        <v>45645</v>
      </c>
      <c r="D297" s="6" t="s">
        <v>20</v>
      </c>
      <c r="E297" s="6" t="s">
        <v>21</v>
      </c>
      <c r="F297" s="8">
        <v>1813</v>
      </c>
      <c r="G297" s="8">
        <v>623</v>
      </c>
      <c r="H297" s="8">
        <v>72</v>
      </c>
      <c r="I297" s="8">
        <v>19943</v>
      </c>
      <c r="J297" s="8">
        <v>18959</v>
      </c>
      <c r="K297" s="8">
        <v>85</v>
      </c>
      <c r="L297" s="9" t="s">
        <v>22</v>
      </c>
      <c r="M297" s="9" t="s">
        <v>32</v>
      </c>
      <c r="N297" s="18">
        <f t="shared" si="4"/>
        <v>0.13228545809378131</v>
      </c>
    </row>
    <row r="298" spans="1:14" x14ac:dyDescent="0.3">
      <c r="A298" s="5" t="s">
        <v>234</v>
      </c>
      <c r="B298" s="6" t="s">
        <v>14</v>
      </c>
      <c r="C298" s="7">
        <v>45587</v>
      </c>
      <c r="D298" s="6" t="s">
        <v>15</v>
      </c>
      <c r="E298" s="6" t="s">
        <v>16</v>
      </c>
      <c r="F298" s="8">
        <v>4782</v>
      </c>
      <c r="G298" s="8">
        <v>721</v>
      </c>
      <c r="H298" s="8">
        <v>82</v>
      </c>
      <c r="I298" s="8">
        <v>86076</v>
      </c>
      <c r="J298" s="8">
        <v>85339</v>
      </c>
      <c r="K298" s="8">
        <v>19</v>
      </c>
      <c r="L298" s="9" t="s">
        <v>52</v>
      </c>
      <c r="M298" s="9" t="s">
        <v>23</v>
      </c>
      <c r="N298" s="18">
        <f t="shared" si="4"/>
        <v>6.5444872801415532E-2</v>
      </c>
    </row>
    <row r="299" spans="1:14" x14ac:dyDescent="0.3">
      <c r="A299" s="5" t="s">
        <v>235</v>
      </c>
      <c r="B299" s="6" t="s">
        <v>14</v>
      </c>
      <c r="C299" s="7">
        <v>45549</v>
      </c>
      <c r="D299" s="6" t="s">
        <v>40</v>
      </c>
      <c r="E299" s="6" t="s">
        <v>41</v>
      </c>
      <c r="F299" s="8">
        <v>1048</v>
      </c>
      <c r="G299" s="8">
        <v>374</v>
      </c>
      <c r="H299" s="8">
        <v>450</v>
      </c>
      <c r="I299" s="8">
        <v>9432</v>
      </c>
      <c r="J299" s="8">
        <v>8882</v>
      </c>
      <c r="K299" s="8">
        <v>158</v>
      </c>
      <c r="L299" s="9" t="s">
        <v>37</v>
      </c>
      <c r="M299" s="9" t="s">
        <v>23</v>
      </c>
      <c r="N299" s="18">
        <f t="shared" si="4"/>
        <v>0.21076334158973203</v>
      </c>
    </row>
    <row r="300" spans="1:14" x14ac:dyDescent="0.3">
      <c r="A300" s="5" t="s">
        <v>235</v>
      </c>
      <c r="B300" s="6" t="s">
        <v>14</v>
      </c>
      <c r="C300" s="7">
        <v>45549</v>
      </c>
      <c r="D300" s="6" t="s">
        <v>40</v>
      </c>
      <c r="E300" s="6" t="s">
        <v>41</v>
      </c>
      <c r="F300" s="8">
        <v>1048</v>
      </c>
      <c r="G300" s="8">
        <v>374</v>
      </c>
      <c r="H300" s="8">
        <v>450</v>
      </c>
      <c r="I300" s="8">
        <v>9432</v>
      </c>
      <c r="J300" s="8">
        <v>8882</v>
      </c>
      <c r="K300" s="8">
        <v>158</v>
      </c>
      <c r="L300" s="9" t="s">
        <v>17</v>
      </c>
      <c r="M300" s="9" t="s">
        <v>23</v>
      </c>
      <c r="N300" s="18">
        <f t="shared" si="4"/>
        <v>0.21076334158973203</v>
      </c>
    </row>
    <row r="301" spans="1:14" x14ac:dyDescent="0.3">
      <c r="A301" s="5" t="s">
        <v>236</v>
      </c>
      <c r="B301" s="6" t="s">
        <v>25</v>
      </c>
      <c r="C301" s="7">
        <v>45626</v>
      </c>
      <c r="D301" s="6" t="s">
        <v>35</v>
      </c>
      <c r="E301" s="6" t="s">
        <v>36</v>
      </c>
      <c r="F301" s="8">
        <v>2509</v>
      </c>
      <c r="G301" s="8">
        <v>324</v>
      </c>
      <c r="H301" s="8">
        <v>171</v>
      </c>
      <c r="I301" s="8">
        <v>35126</v>
      </c>
      <c r="J301" s="8">
        <v>34685</v>
      </c>
      <c r="K301" s="8">
        <v>277</v>
      </c>
      <c r="L301" s="9" t="s">
        <v>52</v>
      </c>
      <c r="M301" s="9" t="s">
        <v>23</v>
      </c>
      <c r="N301" s="18">
        <f t="shared" si="4"/>
        <v>8.6608043822978237E-2</v>
      </c>
    </row>
    <row r="302" spans="1:14" x14ac:dyDescent="0.3">
      <c r="A302" s="5" t="s">
        <v>237</v>
      </c>
      <c r="B302" s="6" t="s">
        <v>34</v>
      </c>
      <c r="C302" s="7">
        <v>45754</v>
      </c>
      <c r="D302" s="6" t="s">
        <v>15</v>
      </c>
      <c r="E302" s="6" t="s">
        <v>16</v>
      </c>
      <c r="F302" s="8">
        <v>3718</v>
      </c>
      <c r="G302" s="8">
        <v>385</v>
      </c>
      <c r="H302" s="8">
        <v>310</v>
      </c>
      <c r="I302" s="8">
        <v>70642</v>
      </c>
      <c r="J302" s="8">
        <v>69749</v>
      </c>
      <c r="K302" s="8">
        <v>233</v>
      </c>
      <c r="L302" s="9" t="s">
        <v>37</v>
      </c>
      <c r="M302" s="9" t="s">
        <v>18</v>
      </c>
      <c r="N302" s="18">
        <f t="shared" si="4"/>
        <v>6.3269724297122534E-2</v>
      </c>
    </row>
    <row r="303" spans="1:14" x14ac:dyDescent="0.3">
      <c r="A303" s="5" t="s">
        <v>238</v>
      </c>
      <c r="B303" s="6" t="s">
        <v>14</v>
      </c>
      <c r="C303" s="7">
        <v>45672</v>
      </c>
      <c r="D303" s="6" t="s">
        <v>15</v>
      </c>
      <c r="E303" s="6" t="s">
        <v>16</v>
      </c>
      <c r="F303" s="8">
        <v>802</v>
      </c>
      <c r="G303" s="8">
        <v>262</v>
      </c>
      <c r="H303" s="8">
        <v>244</v>
      </c>
      <c r="I303" s="8">
        <v>14436</v>
      </c>
      <c r="J303" s="8">
        <v>14280</v>
      </c>
      <c r="K303" s="8">
        <v>49</v>
      </c>
      <c r="L303" s="9" t="s">
        <v>17</v>
      </c>
      <c r="M303" s="9" t="s">
        <v>44</v>
      </c>
      <c r="N303" s="18">
        <f t="shared" si="4"/>
        <v>9.1596638655462179E-2</v>
      </c>
    </row>
    <row r="304" spans="1:14" x14ac:dyDescent="0.3">
      <c r="A304" s="5" t="s">
        <v>238</v>
      </c>
      <c r="B304" s="6" t="s">
        <v>14</v>
      </c>
      <c r="C304" s="7">
        <v>45672</v>
      </c>
      <c r="D304" s="6" t="s">
        <v>15</v>
      </c>
      <c r="E304" s="6" t="s">
        <v>16</v>
      </c>
      <c r="F304" s="8">
        <v>802</v>
      </c>
      <c r="G304" s="8">
        <v>262</v>
      </c>
      <c r="H304" s="8">
        <v>244</v>
      </c>
      <c r="I304" s="8">
        <v>14436</v>
      </c>
      <c r="J304" s="8">
        <v>14280</v>
      </c>
      <c r="K304" s="8">
        <v>49</v>
      </c>
      <c r="L304" s="9" t="s">
        <v>52</v>
      </c>
      <c r="M304" s="9" t="s">
        <v>44</v>
      </c>
      <c r="N304" s="18">
        <f t="shared" si="4"/>
        <v>9.1596638655462179E-2</v>
      </c>
    </row>
    <row r="305" spans="1:14" x14ac:dyDescent="0.3">
      <c r="A305" s="5" t="s">
        <v>239</v>
      </c>
      <c r="B305" s="6" t="s">
        <v>34</v>
      </c>
      <c r="C305" s="7">
        <v>45445</v>
      </c>
      <c r="D305" s="6" t="s">
        <v>40</v>
      </c>
      <c r="E305" s="6" t="s">
        <v>41</v>
      </c>
      <c r="F305" s="8">
        <v>1871</v>
      </c>
      <c r="G305" s="8">
        <v>252</v>
      </c>
      <c r="H305" s="8">
        <v>335</v>
      </c>
      <c r="I305" s="8">
        <v>29936</v>
      </c>
      <c r="J305" s="8">
        <v>29576</v>
      </c>
      <c r="K305" s="8">
        <v>288</v>
      </c>
      <c r="L305" s="9" t="s">
        <v>37</v>
      </c>
      <c r="M305" s="9" t="s">
        <v>23</v>
      </c>
      <c r="N305" s="18">
        <f t="shared" si="4"/>
        <v>8.3107925344874226E-2</v>
      </c>
    </row>
    <row r="306" spans="1:14" x14ac:dyDescent="0.3">
      <c r="A306" s="5" t="s">
        <v>240</v>
      </c>
      <c r="B306" s="6" t="s">
        <v>27</v>
      </c>
      <c r="C306" s="7">
        <v>45617</v>
      </c>
      <c r="D306" s="6" t="s">
        <v>35</v>
      </c>
      <c r="E306" s="6" t="s">
        <v>36</v>
      </c>
      <c r="F306" s="8">
        <v>3773</v>
      </c>
      <c r="G306" s="8">
        <v>299</v>
      </c>
      <c r="H306" s="8">
        <v>38</v>
      </c>
      <c r="I306" s="8">
        <v>71687</v>
      </c>
      <c r="J306" s="8">
        <v>71447</v>
      </c>
      <c r="K306" s="8">
        <v>286</v>
      </c>
      <c r="L306" s="9" t="s">
        <v>37</v>
      </c>
      <c r="M306" s="9" t="s">
        <v>44</v>
      </c>
      <c r="N306" s="18">
        <f t="shared" si="4"/>
        <v>5.7525158509104654E-2</v>
      </c>
    </row>
    <row r="307" spans="1:14" x14ac:dyDescent="0.3">
      <c r="A307" s="5" t="s">
        <v>241</v>
      </c>
      <c r="B307" s="6" t="s">
        <v>27</v>
      </c>
      <c r="C307" s="7">
        <v>45658</v>
      </c>
      <c r="D307" s="6" t="s">
        <v>35</v>
      </c>
      <c r="E307" s="6" t="s">
        <v>36</v>
      </c>
      <c r="F307" s="8">
        <v>2234</v>
      </c>
      <c r="G307" s="8">
        <v>653</v>
      </c>
      <c r="H307" s="8">
        <v>432</v>
      </c>
      <c r="I307" s="8">
        <v>11170</v>
      </c>
      <c r="J307" s="8">
        <v>10569</v>
      </c>
      <c r="K307" s="8">
        <v>198</v>
      </c>
      <c r="L307" s="9" t="s">
        <v>52</v>
      </c>
      <c r="M307" s="9" t="s">
        <v>44</v>
      </c>
      <c r="N307" s="18">
        <f t="shared" si="4"/>
        <v>0.31403160185448009</v>
      </c>
    </row>
    <row r="308" spans="1:14" x14ac:dyDescent="0.3">
      <c r="A308" s="5" t="s">
        <v>241</v>
      </c>
      <c r="B308" s="6" t="s">
        <v>27</v>
      </c>
      <c r="C308" s="7">
        <v>45658</v>
      </c>
      <c r="D308" s="6" t="s">
        <v>35</v>
      </c>
      <c r="E308" s="6" t="s">
        <v>36</v>
      </c>
      <c r="F308" s="8">
        <v>2234</v>
      </c>
      <c r="G308" s="8">
        <v>653</v>
      </c>
      <c r="H308" s="8">
        <v>432</v>
      </c>
      <c r="I308" s="8">
        <v>11170</v>
      </c>
      <c r="J308" s="8">
        <v>10569</v>
      </c>
      <c r="K308" s="8">
        <v>198</v>
      </c>
      <c r="L308" s="9" t="s">
        <v>31</v>
      </c>
      <c r="M308" s="9" t="s">
        <v>44</v>
      </c>
      <c r="N308" s="18">
        <f t="shared" si="4"/>
        <v>0.31403160185448009</v>
      </c>
    </row>
    <row r="309" spans="1:14" x14ac:dyDescent="0.3">
      <c r="A309" s="5" t="s">
        <v>242</v>
      </c>
      <c r="B309" s="6" t="s">
        <v>14</v>
      </c>
      <c r="C309" s="7">
        <v>45771</v>
      </c>
      <c r="D309" s="6" t="s">
        <v>50</v>
      </c>
      <c r="E309" s="6" t="s">
        <v>51</v>
      </c>
      <c r="F309" s="8">
        <v>3820</v>
      </c>
      <c r="G309" s="8">
        <v>697</v>
      </c>
      <c r="H309" s="8">
        <v>268</v>
      </c>
      <c r="I309" s="8">
        <v>45840</v>
      </c>
      <c r="J309" s="8">
        <v>45631</v>
      </c>
      <c r="K309" s="8">
        <v>171</v>
      </c>
      <c r="L309" s="9" t="s">
        <v>31</v>
      </c>
      <c r="M309" s="9" t="s">
        <v>18</v>
      </c>
      <c r="N309" s="18">
        <f t="shared" si="4"/>
        <v>0.10486292213626701</v>
      </c>
    </row>
    <row r="310" spans="1:14" x14ac:dyDescent="0.3">
      <c r="A310" s="5" t="s">
        <v>242</v>
      </c>
      <c r="B310" s="6" t="s">
        <v>14</v>
      </c>
      <c r="C310" s="7">
        <v>45771</v>
      </c>
      <c r="D310" s="6" t="s">
        <v>50</v>
      </c>
      <c r="E310" s="6" t="s">
        <v>51</v>
      </c>
      <c r="F310" s="8">
        <v>3820</v>
      </c>
      <c r="G310" s="8">
        <v>697</v>
      </c>
      <c r="H310" s="8">
        <v>268</v>
      </c>
      <c r="I310" s="8">
        <v>45840</v>
      </c>
      <c r="J310" s="8">
        <v>45631</v>
      </c>
      <c r="K310" s="8">
        <v>171</v>
      </c>
      <c r="L310" s="9" t="s">
        <v>52</v>
      </c>
      <c r="M310" s="9" t="s">
        <v>18</v>
      </c>
      <c r="N310" s="18">
        <f t="shared" si="4"/>
        <v>0.10486292213626701</v>
      </c>
    </row>
    <row r="311" spans="1:14" x14ac:dyDescent="0.3">
      <c r="A311" s="5" t="s">
        <v>243</v>
      </c>
      <c r="B311" s="6" t="s">
        <v>14</v>
      </c>
      <c r="C311" s="7">
        <v>45467</v>
      </c>
      <c r="D311" s="6" t="s">
        <v>20</v>
      </c>
      <c r="E311" s="6" t="s">
        <v>21</v>
      </c>
      <c r="F311" s="8">
        <v>941</v>
      </c>
      <c r="G311" s="8">
        <v>121</v>
      </c>
      <c r="H311" s="8">
        <v>458</v>
      </c>
      <c r="I311" s="8">
        <v>14115</v>
      </c>
      <c r="J311" s="8">
        <v>13838</v>
      </c>
      <c r="K311" s="8">
        <v>87</v>
      </c>
      <c r="L311" s="9" t="s">
        <v>22</v>
      </c>
      <c r="M311" s="9" t="s">
        <v>23</v>
      </c>
      <c r="N311" s="18">
        <f t="shared" si="4"/>
        <v>0.10984246278363925</v>
      </c>
    </row>
    <row r="312" spans="1:14" x14ac:dyDescent="0.3">
      <c r="A312" s="5" t="s">
        <v>243</v>
      </c>
      <c r="B312" s="6" t="s">
        <v>14</v>
      </c>
      <c r="C312" s="7">
        <v>45467</v>
      </c>
      <c r="D312" s="6" t="s">
        <v>20</v>
      </c>
      <c r="E312" s="6" t="s">
        <v>21</v>
      </c>
      <c r="F312" s="8">
        <v>941</v>
      </c>
      <c r="G312" s="8">
        <v>121</v>
      </c>
      <c r="H312" s="8">
        <v>458</v>
      </c>
      <c r="I312" s="8">
        <v>14115</v>
      </c>
      <c r="J312" s="8">
        <v>13838</v>
      </c>
      <c r="K312" s="8">
        <v>87</v>
      </c>
      <c r="L312" s="9" t="s">
        <v>17</v>
      </c>
      <c r="M312" s="9" t="s">
        <v>23</v>
      </c>
      <c r="N312" s="18">
        <f t="shared" si="4"/>
        <v>0.10984246278363925</v>
      </c>
    </row>
    <row r="313" spans="1:14" x14ac:dyDescent="0.3">
      <c r="A313" s="5" t="s">
        <v>244</v>
      </c>
      <c r="B313" s="6" t="s">
        <v>14</v>
      </c>
      <c r="C313" s="7">
        <v>45655</v>
      </c>
      <c r="D313" s="6" t="s">
        <v>35</v>
      </c>
      <c r="E313" s="6" t="s">
        <v>36</v>
      </c>
      <c r="F313" s="8">
        <v>4274</v>
      </c>
      <c r="G313" s="8">
        <v>340</v>
      </c>
      <c r="H313" s="8">
        <v>281</v>
      </c>
      <c r="I313" s="8">
        <v>34192</v>
      </c>
      <c r="J313" s="8">
        <v>33446</v>
      </c>
      <c r="K313" s="8">
        <v>129</v>
      </c>
      <c r="L313" s="9" t="s">
        <v>31</v>
      </c>
      <c r="M313" s="9" t="s">
        <v>32</v>
      </c>
      <c r="N313" s="18">
        <f t="shared" si="4"/>
        <v>0.14635531902170662</v>
      </c>
    </row>
    <row r="314" spans="1:14" x14ac:dyDescent="0.3">
      <c r="A314" s="5" t="s">
        <v>244</v>
      </c>
      <c r="B314" s="6" t="s">
        <v>14</v>
      </c>
      <c r="C314" s="7">
        <v>45655</v>
      </c>
      <c r="D314" s="6" t="s">
        <v>35</v>
      </c>
      <c r="E314" s="6" t="s">
        <v>36</v>
      </c>
      <c r="F314" s="8">
        <v>4274</v>
      </c>
      <c r="G314" s="8">
        <v>340</v>
      </c>
      <c r="H314" s="8">
        <v>281</v>
      </c>
      <c r="I314" s="8">
        <v>34192</v>
      </c>
      <c r="J314" s="8">
        <v>33446</v>
      </c>
      <c r="K314" s="8">
        <v>129</v>
      </c>
      <c r="L314" s="9" t="s">
        <v>52</v>
      </c>
      <c r="M314" s="9" t="s">
        <v>32</v>
      </c>
      <c r="N314" s="18">
        <f t="shared" si="4"/>
        <v>0.14635531902170662</v>
      </c>
    </row>
    <row r="315" spans="1:14" x14ac:dyDescent="0.3">
      <c r="A315" s="5" t="s">
        <v>245</v>
      </c>
      <c r="B315" s="6" t="s">
        <v>25</v>
      </c>
      <c r="C315" s="7">
        <v>45467</v>
      </c>
      <c r="D315" s="6" t="s">
        <v>50</v>
      </c>
      <c r="E315" s="6" t="s">
        <v>51</v>
      </c>
      <c r="F315" s="8">
        <v>2949</v>
      </c>
      <c r="G315" s="8">
        <v>476</v>
      </c>
      <c r="H315" s="8">
        <v>403</v>
      </c>
      <c r="I315" s="8">
        <v>44235</v>
      </c>
      <c r="J315" s="8">
        <v>43705</v>
      </c>
      <c r="K315" s="8">
        <v>135</v>
      </c>
      <c r="L315" s="9" t="s">
        <v>37</v>
      </c>
      <c r="M315" s="9" t="s">
        <v>18</v>
      </c>
      <c r="N315" s="18">
        <f t="shared" si="4"/>
        <v>8.7587232582084423E-2</v>
      </c>
    </row>
    <row r="316" spans="1:14" x14ac:dyDescent="0.3">
      <c r="A316" s="5" t="s">
        <v>245</v>
      </c>
      <c r="B316" s="6" t="s">
        <v>25</v>
      </c>
      <c r="C316" s="7">
        <v>45467</v>
      </c>
      <c r="D316" s="6" t="s">
        <v>50</v>
      </c>
      <c r="E316" s="6" t="s">
        <v>51</v>
      </c>
      <c r="F316" s="8">
        <v>2949</v>
      </c>
      <c r="G316" s="8">
        <v>476</v>
      </c>
      <c r="H316" s="8">
        <v>403</v>
      </c>
      <c r="I316" s="8">
        <v>44235</v>
      </c>
      <c r="J316" s="8">
        <v>43705</v>
      </c>
      <c r="K316" s="8">
        <v>135</v>
      </c>
      <c r="L316" s="9" t="s">
        <v>52</v>
      </c>
      <c r="M316" s="9" t="s">
        <v>18</v>
      </c>
      <c r="N316" s="18">
        <f t="shared" si="4"/>
        <v>8.7587232582084423E-2</v>
      </c>
    </row>
    <row r="317" spans="1:14" x14ac:dyDescent="0.3">
      <c r="A317" s="5" t="s">
        <v>246</v>
      </c>
      <c r="B317" s="6" t="s">
        <v>14</v>
      </c>
      <c r="C317" s="7">
        <v>45735</v>
      </c>
      <c r="D317" s="6" t="s">
        <v>50</v>
      </c>
      <c r="E317" s="6" t="s">
        <v>51</v>
      </c>
      <c r="F317" s="8">
        <v>3160</v>
      </c>
      <c r="G317" s="8">
        <v>204</v>
      </c>
      <c r="H317" s="8">
        <v>297</v>
      </c>
      <c r="I317" s="8">
        <v>44240</v>
      </c>
      <c r="J317" s="8">
        <v>43666</v>
      </c>
      <c r="K317" s="8">
        <v>49</v>
      </c>
      <c r="L317" s="9" t="s">
        <v>31</v>
      </c>
      <c r="M317" s="9" t="s">
        <v>18</v>
      </c>
      <c r="N317" s="18">
        <f t="shared" si="4"/>
        <v>8.3840974671369028E-2</v>
      </c>
    </row>
    <row r="318" spans="1:14" x14ac:dyDescent="0.3">
      <c r="A318" s="5" t="s">
        <v>246</v>
      </c>
      <c r="B318" s="6" t="s">
        <v>14</v>
      </c>
      <c r="C318" s="7">
        <v>45735</v>
      </c>
      <c r="D318" s="6" t="s">
        <v>50</v>
      </c>
      <c r="E318" s="6" t="s">
        <v>51</v>
      </c>
      <c r="F318" s="8">
        <v>3160</v>
      </c>
      <c r="G318" s="8">
        <v>204</v>
      </c>
      <c r="H318" s="8">
        <v>297</v>
      </c>
      <c r="I318" s="8">
        <v>44240</v>
      </c>
      <c r="J318" s="8">
        <v>43666</v>
      </c>
      <c r="K318" s="8">
        <v>49</v>
      </c>
      <c r="L318" s="9" t="s">
        <v>37</v>
      </c>
      <c r="M318" s="9" t="s">
        <v>18</v>
      </c>
      <c r="N318" s="18">
        <f t="shared" si="4"/>
        <v>8.3840974671369028E-2</v>
      </c>
    </row>
    <row r="319" spans="1:14" x14ac:dyDescent="0.3">
      <c r="A319" s="5" t="s">
        <v>247</v>
      </c>
      <c r="B319" s="6" t="s">
        <v>25</v>
      </c>
      <c r="C319" s="7">
        <v>45707</v>
      </c>
      <c r="D319" s="6" t="s">
        <v>40</v>
      </c>
      <c r="E319" s="6" t="s">
        <v>41</v>
      </c>
      <c r="F319" s="8">
        <v>257</v>
      </c>
      <c r="G319" s="8">
        <v>966</v>
      </c>
      <c r="H319" s="8">
        <v>398</v>
      </c>
      <c r="I319" s="8">
        <v>3341</v>
      </c>
      <c r="J319" s="8">
        <v>2753</v>
      </c>
      <c r="K319" s="8">
        <v>287</v>
      </c>
      <c r="L319" s="9" t="s">
        <v>37</v>
      </c>
      <c r="M319" s="9" t="s">
        <v>18</v>
      </c>
      <c r="N319" s="18">
        <f t="shared" si="4"/>
        <v>0.58881220486741737</v>
      </c>
    </row>
    <row r="320" spans="1:14" x14ac:dyDescent="0.3">
      <c r="A320" s="5" t="s">
        <v>247</v>
      </c>
      <c r="B320" s="6" t="s">
        <v>25</v>
      </c>
      <c r="C320" s="7">
        <v>45707</v>
      </c>
      <c r="D320" s="6" t="s">
        <v>40</v>
      </c>
      <c r="E320" s="6" t="s">
        <v>41</v>
      </c>
      <c r="F320" s="8">
        <v>257</v>
      </c>
      <c r="G320" s="8">
        <v>966</v>
      </c>
      <c r="H320" s="8">
        <v>398</v>
      </c>
      <c r="I320" s="8">
        <v>3341</v>
      </c>
      <c r="J320" s="8">
        <v>2753</v>
      </c>
      <c r="K320" s="8">
        <v>287</v>
      </c>
      <c r="L320" s="9" t="s">
        <v>17</v>
      </c>
      <c r="M320" s="9" t="s">
        <v>18</v>
      </c>
      <c r="N320" s="18">
        <f t="shared" si="4"/>
        <v>0.58881220486741737</v>
      </c>
    </row>
    <row r="321" spans="1:14" x14ac:dyDescent="0.3">
      <c r="A321" s="5" t="s">
        <v>248</v>
      </c>
      <c r="B321" s="6" t="s">
        <v>14</v>
      </c>
      <c r="C321" s="7">
        <v>45491</v>
      </c>
      <c r="D321" s="6" t="s">
        <v>35</v>
      </c>
      <c r="E321" s="6" t="s">
        <v>36</v>
      </c>
      <c r="F321" s="8">
        <v>2120</v>
      </c>
      <c r="G321" s="8">
        <v>38</v>
      </c>
      <c r="H321" s="8">
        <v>212</v>
      </c>
      <c r="I321" s="8">
        <v>12720</v>
      </c>
      <c r="J321" s="8">
        <v>12564</v>
      </c>
      <c r="K321" s="8">
        <v>21</v>
      </c>
      <c r="L321" s="9" t="s">
        <v>37</v>
      </c>
      <c r="M321" s="9" t="s">
        <v>18</v>
      </c>
      <c r="N321" s="18">
        <f t="shared" si="4"/>
        <v>0.18863419293218719</v>
      </c>
    </row>
    <row r="322" spans="1:14" x14ac:dyDescent="0.3">
      <c r="A322" s="5" t="s">
        <v>248</v>
      </c>
      <c r="B322" s="6" t="s">
        <v>14</v>
      </c>
      <c r="C322" s="7">
        <v>45491</v>
      </c>
      <c r="D322" s="6" t="s">
        <v>35</v>
      </c>
      <c r="E322" s="6" t="s">
        <v>36</v>
      </c>
      <c r="F322" s="8">
        <v>2120</v>
      </c>
      <c r="G322" s="8">
        <v>38</v>
      </c>
      <c r="H322" s="8">
        <v>212</v>
      </c>
      <c r="I322" s="8">
        <v>12720</v>
      </c>
      <c r="J322" s="8">
        <v>12564</v>
      </c>
      <c r="K322" s="8">
        <v>21</v>
      </c>
      <c r="L322" s="9" t="s">
        <v>17</v>
      </c>
      <c r="M322" s="9" t="s">
        <v>18</v>
      </c>
      <c r="N322" s="18">
        <f t="shared" si="4"/>
        <v>0.18863419293218719</v>
      </c>
    </row>
    <row r="323" spans="1:14" x14ac:dyDescent="0.3">
      <c r="A323" s="5" t="s">
        <v>249</v>
      </c>
      <c r="B323" s="6" t="s">
        <v>25</v>
      </c>
      <c r="C323" s="7">
        <v>45719</v>
      </c>
      <c r="D323" s="6" t="s">
        <v>50</v>
      </c>
      <c r="E323" s="6" t="s">
        <v>51</v>
      </c>
      <c r="F323" s="8">
        <v>3874</v>
      </c>
      <c r="G323" s="8">
        <v>884</v>
      </c>
      <c r="H323" s="8">
        <v>19</v>
      </c>
      <c r="I323" s="8">
        <v>38740</v>
      </c>
      <c r="J323" s="8">
        <v>38552</v>
      </c>
      <c r="K323" s="8">
        <v>219</v>
      </c>
      <c r="L323" s="9" t="s">
        <v>31</v>
      </c>
      <c r="M323" s="9" t="s">
        <v>44</v>
      </c>
      <c r="N323" s="18">
        <f t="shared" ref="N323:N386" si="5">SUM(F323,G323,H323)/J323</f>
        <v>0.12391056235733555</v>
      </c>
    </row>
    <row r="324" spans="1:14" x14ac:dyDescent="0.3">
      <c r="A324" s="5" t="s">
        <v>250</v>
      </c>
      <c r="B324" s="6" t="s">
        <v>34</v>
      </c>
      <c r="C324" s="7">
        <v>45778</v>
      </c>
      <c r="D324" s="6" t="s">
        <v>35</v>
      </c>
      <c r="E324" s="6" t="s">
        <v>36</v>
      </c>
      <c r="F324" s="8">
        <v>2696</v>
      </c>
      <c r="G324" s="8">
        <v>628</v>
      </c>
      <c r="H324" s="8">
        <v>443</v>
      </c>
      <c r="I324" s="8">
        <v>45832</v>
      </c>
      <c r="J324" s="8">
        <v>45632</v>
      </c>
      <c r="K324" s="8">
        <v>248</v>
      </c>
      <c r="L324" s="9" t="s">
        <v>17</v>
      </c>
      <c r="M324" s="9" t="s">
        <v>32</v>
      </c>
      <c r="N324" s="18">
        <f t="shared" si="5"/>
        <v>8.2551718092566617E-2</v>
      </c>
    </row>
    <row r="325" spans="1:14" x14ac:dyDescent="0.3">
      <c r="A325" s="5" t="s">
        <v>251</v>
      </c>
      <c r="B325" s="6" t="s">
        <v>27</v>
      </c>
      <c r="C325" s="7">
        <v>45649</v>
      </c>
      <c r="D325" s="6" t="s">
        <v>40</v>
      </c>
      <c r="E325" s="6" t="s">
        <v>41</v>
      </c>
      <c r="F325" s="8">
        <v>521</v>
      </c>
      <c r="G325" s="8">
        <v>746</v>
      </c>
      <c r="H325" s="8">
        <v>315</v>
      </c>
      <c r="I325" s="8">
        <v>4168</v>
      </c>
      <c r="J325" s="8">
        <v>3399</v>
      </c>
      <c r="K325" s="8">
        <v>282</v>
      </c>
      <c r="L325" s="9" t="s">
        <v>17</v>
      </c>
      <c r="M325" s="9" t="s">
        <v>18</v>
      </c>
      <c r="N325" s="18">
        <f t="shared" si="5"/>
        <v>0.46543100912032953</v>
      </c>
    </row>
    <row r="326" spans="1:14" x14ac:dyDescent="0.3">
      <c r="A326" s="5" t="s">
        <v>252</v>
      </c>
      <c r="B326" s="6" t="s">
        <v>34</v>
      </c>
      <c r="C326" s="7">
        <v>45783</v>
      </c>
      <c r="D326" s="6" t="s">
        <v>40</v>
      </c>
      <c r="E326" s="6" t="s">
        <v>41</v>
      </c>
      <c r="F326" s="8">
        <v>4872</v>
      </c>
      <c r="G326" s="8">
        <v>925</v>
      </c>
      <c r="H326" s="8">
        <v>176</v>
      </c>
      <c r="I326" s="8">
        <v>82824</v>
      </c>
      <c r="J326" s="8">
        <v>82543</v>
      </c>
      <c r="K326" s="8">
        <v>89</v>
      </c>
      <c r="L326" s="9" t="s">
        <v>17</v>
      </c>
      <c r="M326" s="9" t="s">
        <v>18</v>
      </c>
      <c r="N326" s="18">
        <f t="shared" si="5"/>
        <v>7.2362283900512456E-2</v>
      </c>
    </row>
    <row r="327" spans="1:14" x14ac:dyDescent="0.3">
      <c r="A327" s="5" t="s">
        <v>252</v>
      </c>
      <c r="B327" s="6" t="s">
        <v>34</v>
      </c>
      <c r="C327" s="7">
        <v>45783</v>
      </c>
      <c r="D327" s="6" t="s">
        <v>40</v>
      </c>
      <c r="E327" s="6" t="s">
        <v>41</v>
      </c>
      <c r="F327" s="8">
        <v>4872</v>
      </c>
      <c r="G327" s="8">
        <v>925</v>
      </c>
      <c r="H327" s="8">
        <v>176</v>
      </c>
      <c r="I327" s="8">
        <v>82824</v>
      </c>
      <c r="J327" s="8">
        <v>82543</v>
      </c>
      <c r="K327" s="8">
        <v>89</v>
      </c>
      <c r="L327" s="9" t="s">
        <v>37</v>
      </c>
      <c r="M327" s="9" t="s">
        <v>18</v>
      </c>
      <c r="N327" s="18">
        <f t="shared" si="5"/>
        <v>7.2362283900512456E-2</v>
      </c>
    </row>
    <row r="328" spans="1:14" x14ac:dyDescent="0.3">
      <c r="A328" s="5" t="s">
        <v>253</v>
      </c>
      <c r="B328" s="6" t="s">
        <v>25</v>
      </c>
      <c r="C328" s="7">
        <v>45502</v>
      </c>
      <c r="D328" s="6" t="s">
        <v>28</v>
      </c>
      <c r="E328" s="6" t="s">
        <v>29</v>
      </c>
      <c r="F328" s="8">
        <v>1509</v>
      </c>
      <c r="G328" s="8">
        <v>88</v>
      </c>
      <c r="H328" s="8">
        <v>163</v>
      </c>
      <c r="I328" s="8">
        <v>30180</v>
      </c>
      <c r="J328" s="8">
        <v>29689</v>
      </c>
      <c r="K328" s="8">
        <v>119</v>
      </c>
      <c r="L328" s="9" t="s">
        <v>37</v>
      </c>
      <c r="M328" s="9" t="s">
        <v>18</v>
      </c>
      <c r="N328" s="18">
        <f t="shared" si="5"/>
        <v>5.928121526491293E-2</v>
      </c>
    </row>
    <row r="329" spans="1:14" x14ac:dyDescent="0.3">
      <c r="A329" s="5" t="s">
        <v>254</v>
      </c>
      <c r="B329" s="6" t="s">
        <v>34</v>
      </c>
      <c r="C329" s="7">
        <v>45629</v>
      </c>
      <c r="D329" s="6" t="s">
        <v>40</v>
      </c>
      <c r="E329" s="6" t="s">
        <v>41</v>
      </c>
      <c r="F329" s="8">
        <v>4606</v>
      </c>
      <c r="G329" s="8">
        <v>931</v>
      </c>
      <c r="H329" s="8">
        <v>230</v>
      </c>
      <c r="I329" s="8">
        <v>92120</v>
      </c>
      <c r="J329" s="8">
        <v>91440</v>
      </c>
      <c r="K329" s="8">
        <v>56</v>
      </c>
      <c r="L329" s="9" t="s">
        <v>52</v>
      </c>
      <c r="M329" s="9" t="s">
        <v>32</v>
      </c>
      <c r="N329" s="18">
        <f t="shared" si="5"/>
        <v>6.3068678915135609E-2</v>
      </c>
    </row>
    <row r="330" spans="1:14" x14ac:dyDescent="0.3">
      <c r="A330" s="5" t="s">
        <v>254</v>
      </c>
      <c r="B330" s="6" t="s">
        <v>34</v>
      </c>
      <c r="C330" s="7">
        <v>45629</v>
      </c>
      <c r="D330" s="6" t="s">
        <v>40</v>
      </c>
      <c r="E330" s="6" t="s">
        <v>41</v>
      </c>
      <c r="F330" s="8">
        <v>4606</v>
      </c>
      <c r="G330" s="8">
        <v>931</v>
      </c>
      <c r="H330" s="8">
        <v>230</v>
      </c>
      <c r="I330" s="8">
        <v>92120</v>
      </c>
      <c r="J330" s="8">
        <v>91440</v>
      </c>
      <c r="K330" s="8">
        <v>56</v>
      </c>
      <c r="L330" s="9" t="s">
        <v>22</v>
      </c>
      <c r="M330" s="9" t="s">
        <v>32</v>
      </c>
      <c r="N330" s="18">
        <f t="shared" si="5"/>
        <v>6.3068678915135609E-2</v>
      </c>
    </row>
    <row r="331" spans="1:14" x14ac:dyDescent="0.3">
      <c r="A331" s="5" t="s">
        <v>255</v>
      </c>
      <c r="B331" s="6" t="s">
        <v>34</v>
      </c>
      <c r="C331" s="7">
        <v>45454</v>
      </c>
      <c r="D331" s="6" t="s">
        <v>35</v>
      </c>
      <c r="E331" s="6" t="s">
        <v>36</v>
      </c>
      <c r="F331" s="8">
        <v>1869</v>
      </c>
      <c r="G331" s="8">
        <v>453</v>
      </c>
      <c r="H331" s="8">
        <v>490</v>
      </c>
      <c r="I331" s="8">
        <v>14952</v>
      </c>
      <c r="J331" s="8">
        <v>14309</v>
      </c>
      <c r="K331" s="8">
        <v>275</v>
      </c>
      <c r="L331" s="9" t="s">
        <v>52</v>
      </c>
      <c r="M331" s="9" t="s">
        <v>18</v>
      </c>
      <c r="N331" s="18">
        <f t="shared" si="5"/>
        <v>0.19651967293311901</v>
      </c>
    </row>
    <row r="332" spans="1:14" x14ac:dyDescent="0.3">
      <c r="A332" s="5" t="s">
        <v>255</v>
      </c>
      <c r="B332" s="6" t="s">
        <v>34</v>
      </c>
      <c r="C332" s="7">
        <v>45454</v>
      </c>
      <c r="D332" s="6" t="s">
        <v>35</v>
      </c>
      <c r="E332" s="6" t="s">
        <v>36</v>
      </c>
      <c r="F332" s="8">
        <v>1869</v>
      </c>
      <c r="G332" s="8">
        <v>453</v>
      </c>
      <c r="H332" s="8">
        <v>490</v>
      </c>
      <c r="I332" s="8">
        <v>14952</v>
      </c>
      <c r="J332" s="8">
        <v>14309</v>
      </c>
      <c r="K332" s="8">
        <v>275</v>
      </c>
      <c r="L332" s="9" t="s">
        <v>31</v>
      </c>
      <c r="M332" s="9" t="s">
        <v>18</v>
      </c>
      <c r="N332" s="18">
        <f t="shared" si="5"/>
        <v>0.19651967293311901</v>
      </c>
    </row>
    <row r="333" spans="1:14" x14ac:dyDescent="0.3">
      <c r="A333" s="5" t="s">
        <v>256</v>
      </c>
      <c r="B333" s="6" t="s">
        <v>14</v>
      </c>
      <c r="C333" s="7">
        <v>45685</v>
      </c>
      <c r="D333" s="6" t="s">
        <v>15</v>
      </c>
      <c r="E333" s="6" t="s">
        <v>16</v>
      </c>
      <c r="F333" s="8">
        <v>1188</v>
      </c>
      <c r="G333" s="8">
        <v>470</v>
      </c>
      <c r="H333" s="8">
        <v>174</v>
      </c>
      <c r="I333" s="8">
        <v>7128</v>
      </c>
      <c r="J333" s="8">
        <v>6145</v>
      </c>
      <c r="K333" s="8">
        <v>270</v>
      </c>
      <c r="L333" s="9" t="s">
        <v>31</v>
      </c>
      <c r="M333" s="9" t="s">
        <v>23</v>
      </c>
      <c r="N333" s="18">
        <f t="shared" si="5"/>
        <v>0.29812855980471931</v>
      </c>
    </row>
    <row r="334" spans="1:14" x14ac:dyDescent="0.3">
      <c r="A334" s="5" t="s">
        <v>256</v>
      </c>
      <c r="B334" s="6" t="s">
        <v>14</v>
      </c>
      <c r="C334" s="7">
        <v>45685</v>
      </c>
      <c r="D334" s="6" t="s">
        <v>15</v>
      </c>
      <c r="E334" s="6" t="s">
        <v>16</v>
      </c>
      <c r="F334" s="8">
        <v>1188</v>
      </c>
      <c r="G334" s="8">
        <v>470</v>
      </c>
      <c r="H334" s="8">
        <v>174</v>
      </c>
      <c r="I334" s="8">
        <v>7128</v>
      </c>
      <c r="J334" s="8">
        <v>6145</v>
      </c>
      <c r="K334" s="8">
        <v>270</v>
      </c>
      <c r="L334" s="9" t="s">
        <v>22</v>
      </c>
      <c r="M334" s="9" t="s">
        <v>23</v>
      </c>
      <c r="N334" s="18">
        <f t="shared" si="5"/>
        <v>0.29812855980471931</v>
      </c>
    </row>
    <row r="335" spans="1:14" x14ac:dyDescent="0.3">
      <c r="A335" s="5" t="s">
        <v>257</v>
      </c>
      <c r="B335" s="6" t="s">
        <v>27</v>
      </c>
      <c r="C335" s="7">
        <v>45445</v>
      </c>
      <c r="D335" s="6" t="s">
        <v>28</v>
      </c>
      <c r="E335" s="6" t="s">
        <v>29</v>
      </c>
      <c r="F335" s="8">
        <v>84</v>
      </c>
      <c r="G335" s="8">
        <v>897</v>
      </c>
      <c r="H335" s="8">
        <v>85</v>
      </c>
      <c r="I335" s="8">
        <v>588</v>
      </c>
      <c r="J335" s="8">
        <v>8</v>
      </c>
      <c r="K335" s="8">
        <v>12</v>
      </c>
      <c r="L335" s="9" t="s">
        <v>31</v>
      </c>
      <c r="M335" s="9" t="s">
        <v>23</v>
      </c>
      <c r="N335" s="18">
        <f t="shared" si="5"/>
        <v>133.25</v>
      </c>
    </row>
    <row r="336" spans="1:14" x14ac:dyDescent="0.3">
      <c r="A336" s="5" t="s">
        <v>258</v>
      </c>
      <c r="B336" s="6" t="s">
        <v>34</v>
      </c>
      <c r="C336" s="7">
        <v>45739</v>
      </c>
      <c r="D336" s="6" t="s">
        <v>50</v>
      </c>
      <c r="E336" s="6" t="s">
        <v>51</v>
      </c>
      <c r="F336" s="8">
        <v>4453</v>
      </c>
      <c r="G336" s="8">
        <v>111</v>
      </c>
      <c r="H336" s="8">
        <v>420</v>
      </c>
      <c r="I336" s="8">
        <v>31171</v>
      </c>
      <c r="J336" s="8">
        <v>30565</v>
      </c>
      <c r="K336" s="8">
        <v>23</v>
      </c>
      <c r="L336" s="9" t="s">
        <v>37</v>
      </c>
      <c r="M336" s="9" t="s">
        <v>44</v>
      </c>
      <c r="N336" s="18">
        <f t="shared" si="5"/>
        <v>0.1630623261900867</v>
      </c>
    </row>
    <row r="337" spans="1:14" x14ac:dyDescent="0.3">
      <c r="A337" s="5" t="s">
        <v>258</v>
      </c>
      <c r="B337" s="6" t="s">
        <v>34</v>
      </c>
      <c r="C337" s="7">
        <v>45739</v>
      </c>
      <c r="D337" s="6" t="s">
        <v>50</v>
      </c>
      <c r="E337" s="6" t="s">
        <v>51</v>
      </c>
      <c r="F337" s="8">
        <v>4453</v>
      </c>
      <c r="G337" s="8">
        <v>111</v>
      </c>
      <c r="H337" s="8">
        <v>420</v>
      </c>
      <c r="I337" s="8">
        <v>31171</v>
      </c>
      <c r="J337" s="8">
        <v>30565</v>
      </c>
      <c r="K337" s="8">
        <v>23</v>
      </c>
      <c r="L337" s="9" t="s">
        <v>22</v>
      </c>
      <c r="M337" s="9" t="s">
        <v>44</v>
      </c>
      <c r="N337" s="18">
        <f t="shared" si="5"/>
        <v>0.1630623261900867</v>
      </c>
    </row>
    <row r="338" spans="1:14" x14ac:dyDescent="0.3">
      <c r="A338" s="5" t="s">
        <v>259</v>
      </c>
      <c r="B338" s="6" t="s">
        <v>34</v>
      </c>
      <c r="C338" s="7">
        <v>45573</v>
      </c>
      <c r="D338" s="6" t="s">
        <v>15</v>
      </c>
      <c r="E338" s="6" t="s">
        <v>16</v>
      </c>
      <c r="F338" s="8">
        <v>1814</v>
      </c>
      <c r="G338" s="8">
        <v>653</v>
      </c>
      <c r="H338" s="8">
        <v>363</v>
      </c>
      <c r="I338" s="8">
        <v>25396</v>
      </c>
      <c r="J338" s="8">
        <v>25286</v>
      </c>
      <c r="K338" s="8">
        <v>39</v>
      </c>
      <c r="L338" s="9" t="s">
        <v>31</v>
      </c>
      <c r="M338" s="9" t="s">
        <v>18</v>
      </c>
      <c r="N338" s="18">
        <f t="shared" si="5"/>
        <v>0.11191963932610931</v>
      </c>
    </row>
    <row r="339" spans="1:14" x14ac:dyDescent="0.3">
      <c r="A339" s="5" t="s">
        <v>260</v>
      </c>
      <c r="B339" s="6" t="s">
        <v>14</v>
      </c>
      <c r="C339" s="7">
        <v>45608</v>
      </c>
      <c r="D339" s="6" t="s">
        <v>40</v>
      </c>
      <c r="E339" s="6" t="s">
        <v>41</v>
      </c>
      <c r="F339" s="8">
        <v>3338</v>
      </c>
      <c r="G339" s="8">
        <v>277</v>
      </c>
      <c r="H339" s="8">
        <v>118</v>
      </c>
      <c r="I339" s="8">
        <v>60084</v>
      </c>
      <c r="J339" s="8">
        <v>59842</v>
      </c>
      <c r="K339" s="8">
        <v>252</v>
      </c>
      <c r="L339" s="9" t="s">
        <v>31</v>
      </c>
      <c r="M339" s="9" t="s">
        <v>18</v>
      </c>
      <c r="N339" s="18">
        <f t="shared" si="5"/>
        <v>6.2380936466027208E-2</v>
      </c>
    </row>
    <row r="340" spans="1:14" x14ac:dyDescent="0.3">
      <c r="A340" s="5" t="s">
        <v>261</v>
      </c>
      <c r="B340" s="6" t="s">
        <v>34</v>
      </c>
      <c r="C340" s="7">
        <v>45790</v>
      </c>
      <c r="D340" s="6" t="s">
        <v>40</v>
      </c>
      <c r="E340" s="6" t="s">
        <v>41</v>
      </c>
      <c r="F340" s="8">
        <v>602</v>
      </c>
      <c r="G340" s="8">
        <v>594</v>
      </c>
      <c r="H340" s="8">
        <v>156</v>
      </c>
      <c r="I340" s="8">
        <v>4214</v>
      </c>
      <c r="J340" s="8">
        <v>3363</v>
      </c>
      <c r="K340" s="8">
        <v>164</v>
      </c>
      <c r="L340" s="9" t="s">
        <v>17</v>
      </c>
      <c r="M340" s="9" t="s">
        <v>32</v>
      </c>
      <c r="N340" s="18">
        <f t="shared" si="5"/>
        <v>0.40202200416294975</v>
      </c>
    </row>
    <row r="341" spans="1:14" x14ac:dyDescent="0.3">
      <c r="A341" s="5" t="s">
        <v>262</v>
      </c>
      <c r="B341" s="6" t="s">
        <v>14</v>
      </c>
      <c r="C341" s="7">
        <v>45463</v>
      </c>
      <c r="D341" s="6" t="s">
        <v>35</v>
      </c>
      <c r="E341" s="6" t="s">
        <v>36</v>
      </c>
      <c r="F341" s="8">
        <v>4672</v>
      </c>
      <c r="G341" s="8">
        <v>325</v>
      </c>
      <c r="H341" s="8">
        <v>32</v>
      </c>
      <c r="I341" s="8">
        <v>88768</v>
      </c>
      <c r="J341" s="8">
        <v>87833</v>
      </c>
      <c r="K341" s="8">
        <v>118</v>
      </c>
      <c r="L341" s="9" t="s">
        <v>52</v>
      </c>
      <c r="M341" s="9" t="s">
        <v>32</v>
      </c>
      <c r="N341" s="18">
        <f t="shared" si="5"/>
        <v>5.7256384274703129E-2</v>
      </c>
    </row>
    <row r="342" spans="1:14" x14ac:dyDescent="0.3">
      <c r="A342" s="5" t="s">
        <v>262</v>
      </c>
      <c r="B342" s="6" t="s">
        <v>14</v>
      </c>
      <c r="C342" s="7">
        <v>45463</v>
      </c>
      <c r="D342" s="6" t="s">
        <v>35</v>
      </c>
      <c r="E342" s="6" t="s">
        <v>36</v>
      </c>
      <c r="F342" s="8">
        <v>4672</v>
      </c>
      <c r="G342" s="8">
        <v>325</v>
      </c>
      <c r="H342" s="8">
        <v>32</v>
      </c>
      <c r="I342" s="8">
        <v>88768</v>
      </c>
      <c r="J342" s="8">
        <v>87833</v>
      </c>
      <c r="K342" s="8">
        <v>118</v>
      </c>
      <c r="L342" s="9" t="s">
        <v>17</v>
      </c>
      <c r="M342" s="9" t="s">
        <v>32</v>
      </c>
      <c r="N342" s="18">
        <f t="shared" si="5"/>
        <v>5.7256384274703129E-2</v>
      </c>
    </row>
    <row r="343" spans="1:14" x14ac:dyDescent="0.3">
      <c r="A343" s="5" t="s">
        <v>263</v>
      </c>
      <c r="B343" s="6" t="s">
        <v>27</v>
      </c>
      <c r="C343" s="7">
        <v>45511</v>
      </c>
      <c r="D343" s="6" t="s">
        <v>35</v>
      </c>
      <c r="E343" s="6" t="s">
        <v>36</v>
      </c>
      <c r="F343" s="8">
        <v>1741</v>
      </c>
      <c r="G343" s="8">
        <v>164</v>
      </c>
      <c r="H343" s="8">
        <v>318</v>
      </c>
      <c r="I343" s="8">
        <v>8705</v>
      </c>
      <c r="J343" s="8">
        <v>8272</v>
      </c>
      <c r="K343" s="8">
        <v>121</v>
      </c>
      <c r="L343" s="9" t="s">
        <v>17</v>
      </c>
      <c r="M343" s="9" t="s">
        <v>23</v>
      </c>
      <c r="N343" s="18">
        <f t="shared" si="5"/>
        <v>0.26873791102514505</v>
      </c>
    </row>
    <row r="344" spans="1:14" x14ac:dyDescent="0.3">
      <c r="A344" s="5" t="s">
        <v>264</v>
      </c>
      <c r="B344" s="6" t="s">
        <v>27</v>
      </c>
      <c r="C344" s="7">
        <v>45455</v>
      </c>
      <c r="D344" s="6" t="s">
        <v>20</v>
      </c>
      <c r="E344" s="6" t="s">
        <v>21</v>
      </c>
      <c r="F344" s="8">
        <v>246</v>
      </c>
      <c r="G344" s="8">
        <v>149</v>
      </c>
      <c r="H344" s="8">
        <v>130</v>
      </c>
      <c r="I344" s="8">
        <v>4674</v>
      </c>
      <c r="J344" s="8">
        <v>4390</v>
      </c>
      <c r="K344" s="8">
        <v>217</v>
      </c>
      <c r="L344" s="9" t="s">
        <v>37</v>
      </c>
      <c r="M344" s="9" t="s">
        <v>23</v>
      </c>
      <c r="N344" s="18">
        <f t="shared" si="5"/>
        <v>0.11958997722095673</v>
      </c>
    </row>
    <row r="345" spans="1:14" x14ac:dyDescent="0.3">
      <c r="A345" s="5" t="s">
        <v>264</v>
      </c>
      <c r="B345" s="6" t="s">
        <v>27</v>
      </c>
      <c r="C345" s="7">
        <v>45455</v>
      </c>
      <c r="D345" s="6" t="s">
        <v>20</v>
      </c>
      <c r="E345" s="6" t="s">
        <v>21</v>
      </c>
      <c r="F345" s="8">
        <v>246</v>
      </c>
      <c r="G345" s="8">
        <v>149</v>
      </c>
      <c r="H345" s="8">
        <v>130</v>
      </c>
      <c r="I345" s="8">
        <v>4674</v>
      </c>
      <c r="J345" s="8">
        <v>4390</v>
      </c>
      <c r="K345" s="8">
        <v>217</v>
      </c>
      <c r="L345" s="9" t="s">
        <v>52</v>
      </c>
      <c r="M345" s="9" t="s">
        <v>23</v>
      </c>
      <c r="N345" s="18">
        <f t="shared" si="5"/>
        <v>0.11958997722095673</v>
      </c>
    </row>
    <row r="346" spans="1:14" x14ac:dyDescent="0.3">
      <c r="A346" s="5" t="s">
        <v>265</v>
      </c>
      <c r="B346" s="6" t="s">
        <v>27</v>
      </c>
      <c r="C346" s="7">
        <v>45474</v>
      </c>
      <c r="D346" s="6" t="s">
        <v>28</v>
      </c>
      <c r="E346" s="6" t="s">
        <v>29</v>
      </c>
      <c r="F346" s="8">
        <v>4808</v>
      </c>
      <c r="G346" s="8">
        <v>772</v>
      </c>
      <c r="H346" s="8">
        <v>320</v>
      </c>
      <c r="I346" s="8">
        <v>72120</v>
      </c>
      <c r="J346" s="8">
        <v>71696</v>
      </c>
      <c r="K346" s="8">
        <v>195</v>
      </c>
      <c r="L346" s="9" t="s">
        <v>37</v>
      </c>
      <c r="M346" s="9" t="s">
        <v>44</v>
      </c>
      <c r="N346" s="18">
        <f t="shared" si="5"/>
        <v>8.2291899129658563E-2</v>
      </c>
    </row>
    <row r="347" spans="1:14" x14ac:dyDescent="0.3">
      <c r="A347" s="5" t="s">
        <v>265</v>
      </c>
      <c r="B347" s="6" t="s">
        <v>27</v>
      </c>
      <c r="C347" s="7">
        <v>45474</v>
      </c>
      <c r="D347" s="6" t="s">
        <v>28</v>
      </c>
      <c r="E347" s="6" t="s">
        <v>29</v>
      </c>
      <c r="F347" s="8">
        <v>4808</v>
      </c>
      <c r="G347" s="8">
        <v>772</v>
      </c>
      <c r="H347" s="8">
        <v>320</v>
      </c>
      <c r="I347" s="8">
        <v>72120</v>
      </c>
      <c r="J347" s="8">
        <v>71696</v>
      </c>
      <c r="K347" s="8">
        <v>195</v>
      </c>
      <c r="L347" s="9" t="s">
        <v>17</v>
      </c>
      <c r="M347" s="9" t="s">
        <v>44</v>
      </c>
      <c r="N347" s="18">
        <f t="shared" si="5"/>
        <v>8.2291899129658563E-2</v>
      </c>
    </row>
    <row r="348" spans="1:14" x14ac:dyDescent="0.3">
      <c r="A348" s="5" t="s">
        <v>266</v>
      </c>
      <c r="B348" s="6" t="s">
        <v>27</v>
      </c>
      <c r="C348" s="7">
        <v>45476</v>
      </c>
      <c r="D348" s="6" t="s">
        <v>35</v>
      </c>
      <c r="E348" s="6" t="s">
        <v>36</v>
      </c>
      <c r="F348" s="8">
        <v>4799</v>
      </c>
      <c r="G348" s="8">
        <v>694</v>
      </c>
      <c r="H348" s="8">
        <v>289</v>
      </c>
      <c r="I348" s="8">
        <v>43191</v>
      </c>
      <c r="J348" s="8">
        <v>42228</v>
      </c>
      <c r="K348" s="8">
        <v>118</v>
      </c>
      <c r="L348" s="9" t="s">
        <v>37</v>
      </c>
      <c r="M348" s="9" t="s">
        <v>23</v>
      </c>
      <c r="N348" s="18">
        <f t="shared" si="5"/>
        <v>0.13692336838116889</v>
      </c>
    </row>
    <row r="349" spans="1:14" x14ac:dyDescent="0.3">
      <c r="A349" s="5" t="s">
        <v>267</v>
      </c>
      <c r="B349" s="6" t="s">
        <v>34</v>
      </c>
      <c r="C349" s="7">
        <v>45488</v>
      </c>
      <c r="D349" s="6" t="s">
        <v>15</v>
      </c>
      <c r="E349" s="6" t="s">
        <v>16</v>
      </c>
      <c r="F349" s="8">
        <v>3663</v>
      </c>
      <c r="G349" s="8">
        <v>17</v>
      </c>
      <c r="H349" s="8">
        <v>295</v>
      </c>
      <c r="I349" s="8">
        <v>51282</v>
      </c>
      <c r="J349" s="8">
        <v>50567</v>
      </c>
      <c r="K349" s="8">
        <v>84</v>
      </c>
      <c r="L349" s="9" t="s">
        <v>17</v>
      </c>
      <c r="M349" s="9" t="s">
        <v>18</v>
      </c>
      <c r="N349" s="18">
        <f t="shared" si="5"/>
        <v>7.8608578717345307E-2</v>
      </c>
    </row>
    <row r="350" spans="1:14" x14ac:dyDescent="0.3">
      <c r="A350" s="5" t="s">
        <v>268</v>
      </c>
      <c r="B350" s="6" t="s">
        <v>27</v>
      </c>
      <c r="C350" s="7">
        <v>45778</v>
      </c>
      <c r="D350" s="6" t="s">
        <v>20</v>
      </c>
      <c r="E350" s="6" t="s">
        <v>21</v>
      </c>
      <c r="F350" s="8">
        <v>1430</v>
      </c>
      <c r="G350" s="8">
        <v>376</v>
      </c>
      <c r="H350" s="8">
        <v>33</v>
      </c>
      <c r="I350" s="8">
        <v>21450</v>
      </c>
      <c r="J350" s="8">
        <v>20509</v>
      </c>
      <c r="K350" s="8">
        <v>251</v>
      </c>
      <c r="L350" s="9" t="s">
        <v>52</v>
      </c>
      <c r="M350" s="9" t="s">
        <v>32</v>
      </c>
      <c r="N350" s="18">
        <f t="shared" si="5"/>
        <v>8.9667950655809639E-2</v>
      </c>
    </row>
    <row r="351" spans="1:14" x14ac:dyDescent="0.3">
      <c r="A351" s="5" t="s">
        <v>269</v>
      </c>
      <c r="B351" s="6" t="s">
        <v>14</v>
      </c>
      <c r="C351" s="7">
        <v>45776</v>
      </c>
      <c r="D351" s="6" t="s">
        <v>28</v>
      </c>
      <c r="E351" s="6" t="s">
        <v>29</v>
      </c>
      <c r="F351" s="8">
        <v>249</v>
      </c>
      <c r="G351" s="8">
        <v>592</v>
      </c>
      <c r="H351" s="8">
        <v>230</v>
      </c>
      <c r="I351" s="8">
        <v>1494</v>
      </c>
      <c r="J351" s="8">
        <v>1044</v>
      </c>
      <c r="K351" s="8">
        <v>201</v>
      </c>
      <c r="L351" s="9" t="s">
        <v>22</v>
      </c>
      <c r="M351" s="9" t="s">
        <v>44</v>
      </c>
      <c r="N351" s="18">
        <f t="shared" si="5"/>
        <v>1.0258620689655173</v>
      </c>
    </row>
    <row r="352" spans="1:14" x14ac:dyDescent="0.3">
      <c r="A352" s="5" t="s">
        <v>269</v>
      </c>
      <c r="B352" s="6" t="s">
        <v>14</v>
      </c>
      <c r="C352" s="7">
        <v>45776</v>
      </c>
      <c r="D352" s="6" t="s">
        <v>28</v>
      </c>
      <c r="E352" s="6" t="s">
        <v>29</v>
      </c>
      <c r="F352" s="8">
        <v>249</v>
      </c>
      <c r="G352" s="8">
        <v>592</v>
      </c>
      <c r="H352" s="8">
        <v>230</v>
      </c>
      <c r="I352" s="8">
        <v>1494</v>
      </c>
      <c r="J352" s="8">
        <v>1044</v>
      </c>
      <c r="K352" s="8">
        <v>201</v>
      </c>
      <c r="L352" s="9" t="s">
        <v>37</v>
      </c>
      <c r="M352" s="9" t="s">
        <v>44</v>
      </c>
      <c r="N352" s="18">
        <f t="shared" si="5"/>
        <v>1.0258620689655173</v>
      </c>
    </row>
    <row r="353" spans="1:14" x14ac:dyDescent="0.3">
      <c r="A353" s="5" t="s">
        <v>270</v>
      </c>
      <c r="B353" s="6" t="s">
        <v>34</v>
      </c>
      <c r="C353" s="7">
        <v>45724</v>
      </c>
      <c r="D353" s="6" t="s">
        <v>40</v>
      </c>
      <c r="E353" s="6" t="s">
        <v>41</v>
      </c>
      <c r="F353" s="8">
        <v>2382</v>
      </c>
      <c r="G353" s="8">
        <v>265</v>
      </c>
      <c r="H353" s="8">
        <v>134</v>
      </c>
      <c r="I353" s="8">
        <v>38112</v>
      </c>
      <c r="J353" s="8">
        <v>37437</v>
      </c>
      <c r="K353" s="8">
        <v>249</v>
      </c>
      <c r="L353" s="9" t="s">
        <v>52</v>
      </c>
      <c r="M353" s="9" t="s">
        <v>23</v>
      </c>
      <c r="N353" s="18">
        <f t="shared" si="5"/>
        <v>7.4284798461415183E-2</v>
      </c>
    </row>
    <row r="354" spans="1:14" x14ac:dyDescent="0.3">
      <c r="A354" s="5" t="s">
        <v>270</v>
      </c>
      <c r="B354" s="6" t="s">
        <v>34</v>
      </c>
      <c r="C354" s="7">
        <v>45724</v>
      </c>
      <c r="D354" s="6" t="s">
        <v>40</v>
      </c>
      <c r="E354" s="6" t="s">
        <v>41</v>
      </c>
      <c r="F354" s="8">
        <v>2382</v>
      </c>
      <c r="G354" s="8">
        <v>265</v>
      </c>
      <c r="H354" s="8">
        <v>134</v>
      </c>
      <c r="I354" s="8">
        <v>38112</v>
      </c>
      <c r="J354" s="8">
        <v>37437</v>
      </c>
      <c r="K354" s="8">
        <v>249</v>
      </c>
      <c r="L354" s="9" t="s">
        <v>37</v>
      </c>
      <c r="M354" s="9" t="s">
        <v>23</v>
      </c>
      <c r="N354" s="18">
        <f t="shared" si="5"/>
        <v>7.4284798461415183E-2</v>
      </c>
    </row>
    <row r="355" spans="1:14" x14ac:dyDescent="0.3">
      <c r="A355" s="5" t="s">
        <v>271</v>
      </c>
      <c r="B355" s="6" t="s">
        <v>34</v>
      </c>
      <c r="C355" s="7">
        <v>45444</v>
      </c>
      <c r="D355" s="6" t="s">
        <v>20</v>
      </c>
      <c r="E355" s="6" t="s">
        <v>21</v>
      </c>
      <c r="F355" s="8">
        <v>1272</v>
      </c>
      <c r="G355" s="8">
        <v>465</v>
      </c>
      <c r="H355" s="8">
        <v>99</v>
      </c>
      <c r="I355" s="8">
        <v>24168</v>
      </c>
      <c r="J355" s="8">
        <v>23719</v>
      </c>
      <c r="K355" s="8">
        <v>42</v>
      </c>
      <c r="L355" s="9" t="s">
        <v>22</v>
      </c>
      <c r="M355" s="9" t="s">
        <v>23</v>
      </c>
      <c r="N355" s="18">
        <f t="shared" si="5"/>
        <v>7.7406298747839289E-2</v>
      </c>
    </row>
    <row r="356" spans="1:14" x14ac:dyDescent="0.3">
      <c r="A356" s="5" t="s">
        <v>271</v>
      </c>
      <c r="B356" s="6" t="s">
        <v>34</v>
      </c>
      <c r="C356" s="7">
        <v>45444</v>
      </c>
      <c r="D356" s="6" t="s">
        <v>20</v>
      </c>
      <c r="E356" s="6" t="s">
        <v>21</v>
      </c>
      <c r="F356" s="8">
        <v>1272</v>
      </c>
      <c r="G356" s="8">
        <v>465</v>
      </c>
      <c r="H356" s="8">
        <v>99</v>
      </c>
      <c r="I356" s="8">
        <v>24168</v>
      </c>
      <c r="J356" s="8">
        <v>23719</v>
      </c>
      <c r="K356" s="8">
        <v>42</v>
      </c>
      <c r="L356" s="9" t="s">
        <v>52</v>
      </c>
      <c r="M356" s="9" t="s">
        <v>23</v>
      </c>
      <c r="N356" s="18">
        <f t="shared" si="5"/>
        <v>7.7406298747839289E-2</v>
      </c>
    </row>
    <row r="357" spans="1:14" x14ac:dyDescent="0.3">
      <c r="A357" s="5" t="s">
        <v>272</v>
      </c>
      <c r="B357" s="6" t="s">
        <v>34</v>
      </c>
      <c r="C357" s="7">
        <v>45648</v>
      </c>
      <c r="D357" s="6" t="s">
        <v>40</v>
      </c>
      <c r="E357" s="6" t="s">
        <v>41</v>
      </c>
      <c r="F357" s="8">
        <v>3196</v>
      </c>
      <c r="G357" s="8">
        <v>941</v>
      </c>
      <c r="H357" s="8">
        <v>376</v>
      </c>
      <c r="I357" s="8">
        <v>35156</v>
      </c>
      <c r="J357" s="8">
        <v>34444</v>
      </c>
      <c r="K357" s="8">
        <v>241</v>
      </c>
      <c r="L357" s="9" t="s">
        <v>31</v>
      </c>
      <c r="M357" s="9" t="s">
        <v>44</v>
      </c>
      <c r="N357" s="18">
        <f t="shared" si="5"/>
        <v>0.13102427128091976</v>
      </c>
    </row>
    <row r="358" spans="1:14" x14ac:dyDescent="0.3">
      <c r="A358" s="5" t="s">
        <v>272</v>
      </c>
      <c r="B358" s="6" t="s">
        <v>34</v>
      </c>
      <c r="C358" s="7">
        <v>45648</v>
      </c>
      <c r="D358" s="6" t="s">
        <v>40</v>
      </c>
      <c r="E358" s="6" t="s">
        <v>41</v>
      </c>
      <c r="F358" s="8">
        <v>3196</v>
      </c>
      <c r="G358" s="8">
        <v>941</v>
      </c>
      <c r="H358" s="8">
        <v>376</v>
      </c>
      <c r="I358" s="8">
        <v>35156</v>
      </c>
      <c r="J358" s="8">
        <v>34444</v>
      </c>
      <c r="K358" s="8">
        <v>241</v>
      </c>
      <c r="L358" s="9" t="s">
        <v>37</v>
      </c>
      <c r="M358" s="9" t="s">
        <v>44</v>
      </c>
      <c r="N358" s="18">
        <f t="shared" si="5"/>
        <v>0.13102427128091976</v>
      </c>
    </row>
    <row r="359" spans="1:14" x14ac:dyDescent="0.3">
      <c r="A359" s="5" t="s">
        <v>273</v>
      </c>
      <c r="B359" s="6" t="s">
        <v>34</v>
      </c>
      <c r="C359" s="7">
        <v>45523</v>
      </c>
      <c r="D359" s="6" t="s">
        <v>20</v>
      </c>
      <c r="E359" s="6" t="s">
        <v>21</v>
      </c>
      <c r="F359" s="8">
        <v>1257</v>
      </c>
      <c r="G359" s="8">
        <v>19</v>
      </c>
      <c r="H359" s="8">
        <v>351</v>
      </c>
      <c r="I359" s="8">
        <v>12570</v>
      </c>
      <c r="J359" s="8">
        <v>11660</v>
      </c>
      <c r="K359" s="8">
        <v>194</v>
      </c>
      <c r="L359" s="9" t="s">
        <v>31</v>
      </c>
      <c r="M359" s="9" t="s">
        <v>18</v>
      </c>
      <c r="N359" s="18">
        <f t="shared" si="5"/>
        <v>0.13953687821612351</v>
      </c>
    </row>
    <row r="360" spans="1:14" x14ac:dyDescent="0.3">
      <c r="A360" s="5" t="s">
        <v>274</v>
      </c>
      <c r="B360" s="6" t="s">
        <v>27</v>
      </c>
      <c r="C360" s="7">
        <v>45587</v>
      </c>
      <c r="D360" s="6" t="s">
        <v>28</v>
      </c>
      <c r="E360" s="6" t="s">
        <v>29</v>
      </c>
      <c r="F360" s="8">
        <v>3770</v>
      </c>
      <c r="G360" s="8">
        <v>917</v>
      </c>
      <c r="H360" s="8">
        <v>129</v>
      </c>
      <c r="I360" s="8">
        <v>71630</v>
      </c>
      <c r="J360" s="8">
        <v>71322</v>
      </c>
      <c r="K360" s="8">
        <v>76</v>
      </c>
      <c r="L360" s="9" t="s">
        <v>17</v>
      </c>
      <c r="M360" s="9" t="s">
        <v>44</v>
      </c>
      <c r="N360" s="18">
        <f t="shared" si="5"/>
        <v>6.752474692240823E-2</v>
      </c>
    </row>
    <row r="361" spans="1:14" x14ac:dyDescent="0.3">
      <c r="A361" s="5" t="s">
        <v>274</v>
      </c>
      <c r="B361" s="6" t="s">
        <v>27</v>
      </c>
      <c r="C361" s="7">
        <v>45587</v>
      </c>
      <c r="D361" s="6" t="s">
        <v>28</v>
      </c>
      <c r="E361" s="6" t="s">
        <v>29</v>
      </c>
      <c r="F361" s="8">
        <v>3770</v>
      </c>
      <c r="G361" s="8">
        <v>917</v>
      </c>
      <c r="H361" s="8">
        <v>129</v>
      </c>
      <c r="I361" s="8">
        <v>71630</v>
      </c>
      <c r="J361" s="8">
        <v>71322</v>
      </c>
      <c r="K361" s="8">
        <v>76</v>
      </c>
      <c r="L361" s="9" t="s">
        <v>37</v>
      </c>
      <c r="M361" s="9" t="s">
        <v>44</v>
      </c>
      <c r="N361" s="18">
        <f t="shared" si="5"/>
        <v>6.752474692240823E-2</v>
      </c>
    </row>
    <row r="362" spans="1:14" x14ac:dyDescent="0.3">
      <c r="A362" s="5" t="s">
        <v>275</v>
      </c>
      <c r="B362" s="6" t="s">
        <v>14</v>
      </c>
      <c r="C362" s="7">
        <v>45489</v>
      </c>
      <c r="D362" s="6" t="s">
        <v>20</v>
      </c>
      <c r="E362" s="6" t="s">
        <v>21</v>
      </c>
      <c r="F362" s="8">
        <v>4725</v>
      </c>
      <c r="G362" s="8">
        <v>400</v>
      </c>
      <c r="H362" s="8">
        <v>362</v>
      </c>
      <c r="I362" s="8">
        <v>75600</v>
      </c>
      <c r="J362" s="8">
        <v>74927</v>
      </c>
      <c r="K362" s="8">
        <v>43</v>
      </c>
      <c r="L362" s="9" t="s">
        <v>37</v>
      </c>
      <c r="M362" s="9" t="s">
        <v>18</v>
      </c>
      <c r="N362" s="18">
        <f t="shared" si="5"/>
        <v>7.323127844435251E-2</v>
      </c>
    </row>
    <row r="363" spans="1:14" x14ac:dyDescent="0.3">
      <c r="A363" s="5" t="s">
        <v>275</v>
      </c>
      <c r="B363" s="6" t="s">
        <v>14</v>
      </c>
      <c r="C363" s="7">
        <v>45489</v>
      </c>
      <c r="D363" s="6" t="s">
        <v>20</v>
      </c>
      <c r="E363" s="6" t="s">
        <v>21</v>
      </c>
      <c r="F363" s="8">
        <v>4725</v>
      </c>
      <c r="G363" s="8">
        <v>400</v>
      </c>
      <c r="H363" s="8">
        <v>362</v>
      </c>
      <c r="I363" s="8">
        <v>75600</v>
      </c>
      <c r="J363" s="8">
        <v>74927</v>
      </c>
      <c r="K363" s="8">
        <v>43</v>
      </c>
      <c r="L363" s="9" t="s">
        <v>22</v>
      </c>
      <c r="M363" s="9" t="s">
        <v>18</v>
      </c>
      <c r="N363" s="18">
        <f t="shared" si="5"/>
        <v>7.323127844435251E-2</v>
      </c>
    </row>
    <row r="364" spans="1:14" x14ac:dyDescent="0.3">
      <c r="A364" s="5" t="s">
        <v>276</v>
      </c>
      <c r="B364" s="6" t="s">
        <v>25</v>
      </c>
      <c r="C364" s="7">
        <v>45712</v>
      </c>
      <c r="D364" s="6" t="s">
        <v>20</v>
      </c>
      <c r="E364" s="6" t="s">
        <v>21</v>
      </c>
      <c r="F364" s="8">
        <v>4188</v>
      </c>
      <c r="G364" s="8">
        <v>942</v>
      </c>
      <c r="H364" s="8">
        <v>118</v>
      </c>
      <c r="I364" s="8">
        <v>20940</v>
      </c>
      <c r="J364" s="8">
        <v>20471</v>
      </c>
      <c r="K364" s="8">
        <v>102</v>
      </c>
      <c r="L364" s="9" t="s">
        <v>31</v>
      </c>
      <c r="M364" s="9" t="s">
        <v>23</v>
      </c>
      <c r="N364" s="18">
        <f t="shared" si="5"/>
        <v>0.25636265937179425</v>
      </c>
    </row>
    <row r="365" spans="1:14" x14ac:dyDescent="0.3">
      <c r="A365" s="5" t="s">
        <v>277</v>
      </c>
      <c r="B365" s="6" t="s">
        <v>14</v>
      </c>
      <c r="C365" s="7">
        <v>45530</v>
      </c>
      <c r="D365" s="6" t="s">
        <v>35</v>
      </c>
      <c r="E365" s="6" t="s">
        <v>36</v>
      </c>
      <c r="F365" s="8">
        <v>929</v>
      </c>
      <c r="G365" s="8">
        <v>192</v>
      </c>
      <c r="H365" s="8">
        <v>322</v>
      </c>
      <c r="I365" s="8">
        <v>16722</v>
      </c>
      <c r="J365" s="8">
        <v>15996</v>
      </c>
      <c r="K365" s="8">
        <v>145</v>
      </c>
      <c r="L365" s="9" t="s">
        <v>22</v>
      </c>
      <c r="M365" s="9" t="s">
        <v>32</v>
      </c>
      <c r="N365" s="18">
        <f t="shared" si="5"/>
        <v>9.0210052513128289E-2</v>
      </c>
    </row>
    <row r="366" spans="1:14" x14ac:dyDescent="0.3">
      <c r="A366" s="5" t="s">
        <v>278</v>
      </c>
      <c r="B366" s="6" t="s">
        <v>34</v>
      </c>
      <c r="C366" s="7">
        <v>45675</v>
      </c>
      <c r="D366" s="6" t="s">
        <v>28</v>
      </c>
      <c r="E366" s="6" t="s">
        <v>29</v>
      </c>
      <c r="F366" s="8">
        <v>4321</v>
      </c>
      <c r="G366" s="8">
        <v>874</v>
      </c>
      <c r="H366" s="8">
        <v>172</v>
      </c>
      <c r="I366" s="8">
        <v>30247</v>
      </c>
      <c r="J366" s="8">
        <v>29254</v>
      </c>
      <c r="K366" s="8">
        <v>122</v>
      </c>
      <c r="L366" s="9" t="s">
        <v>17</v>
      </c>
      <c r="M366" s="9" t="s">
        <v>32</v>
      </c>
      <c r="N366" s="18">
        <f t="shared" si="5"/>
        <v>0.18346209065426949</v>
      </c>
    </row>
    <row r="367" spans="1:14" x14ac:dyDescent="0.3">
      <c r="A367" s="5" t="s">
        <v>278</v>
      </c>
      <c r="B367" s="6" t="s">
        <v>34</v>
      </c>
      <c r="C367" s="7">
        <v>45675</v>
      </c>
      <c r="D367" s="6" t="s">
        <v>28</v>
      </c>
      <c r="E367" s="6" t="s">
        <v>29</v>
      </c>
      <c r="F367" s="8">
        <v>4321</v>
      </c>
      <c r="G367" s="8">
        <v>874</v>
      </c>
      <c r="H367" s="8">
        <v>172</v>
      </c>
      <c r="I367" s="8">
        <v>30247</v>
      </c>
      <c r="J367" s="8">
        <v>29254</v>
      </c>
      <c r="K367" s="8">
        <v>122</v>
      </c>
      <c r="L367" s="9" t="s">
        <v>22</v>
      </c>
      <c r="M367" s="9" t="s">
        <v>32</v>
      </c>
      <c r="N367" s="18">
        <f t="shared" si="5"/>
        <v>0.18346209065426949</v>
      </c>
    </row>
    <row r="368" spans="1:14" x14ac:dyDescent="0.3">
      <c r="A368" s="5" t="s">
        <v>279</v>
      </c>
      <c r="B368" s="6" t="s">
        <v>34</v>
      </c>
      <c r="C368" s="7">
        <v>45480</v>
      </c>
      <c r="D368" s="6" t="s">
        <v>15</v>
      </c>
      <c r="E368" s="6" t="s">
        <v>16</v>
      </c>
      <c r="F368" s="8">
        <v>4767</v>
      </c>
      <c r="G368" s="8">
        <v>190</v>
      </c>
      <c r="H368" s="8">
        <v>340</v>
      </c>
      <c r="I368" s="8">
        <v>28602</v>
      </c>
      <c r="J368" s="8">
        <v>28044</v>
      </c>
      <c r="K368" s="8">
        <v>210</v>
      </c>
      <c r="L368" s="9" t="s">
        <v>52</v>
      </c>
      <c r="M368" s="9" t="s">
        <v>44</v>
      </c>
      <c r="N368" s="18">
        <f t="shared" si="5"/>
        <v>0.18888175723862502</v>
      </c>
    </row>
    <row r="369" spans="1:14" x14ac:dyDescent="0.3">
      <c r="A369" s="5" t="s">
        <v>280</v>
      </c>
      <c r="B369" s="6" t="s">
        <v>14</v>
      </c>
      <c r="C369" s="7">
        <v>45722</v>
      </c>
      <c r="D369" s="6" t="s">
        <v>40</v>
      </c>
      <c r="E369" s="6" t="s">
        <v>41</v>
      </c>
      <c r="F369" s="8">
        <v>3592</v>
      </c>
      <c r="G369" s="8">
        <v>911</v>
      </c>
      <c r="H369" s="8">
        <v>375</v>
      </c>
      <c r="I369" s="8">
        <v>50288</v>
      </c>
      <c r="J369" s="8">
        <v>49490</v>
      </c>
      <c r="K369" s="8">
        <v>32</v>
      </c>
      <c r="L369" s="9" t="s">
        <v>31</v>
      </c>
      <c r="M369" s="9" t="s">
        <v>23</v>
      </c>
      <c r="N369" s="18">
        <f t="shared" si="5"/>
        <v>9.8565366740755708E-2</v>
      </c>
    </row>
    <row r="370" spans="1:14" x14ac:dyDescent="0.3">
      <c r="A370" s="5" t="s">
        <v>281</v>
      </c>
      <c r="B370" s="6" t="s">
        <v>25</v>
      </c>
      <c r="C370" s="7">
        <v>45590</v>
      </c>
      <c r="D370" s="6" t="s">
        <v>50</v>
      </c>
      <c r="E370" s="6" t="s">
        <v>51</v>
      </c>
      <c r="F370" s="8">
        <v>4661</v>
      </c>
      <c r="G370" s="8">
        <v>935</v>
      </c>
      <c r="H370" s="8">
        <v>433</v>
      </c>
      <c r="I370" s="8">
        <v>23305</v>
      </c>
      <c r="J370" s="8">
        <v>22583</v>
      </c>
      <c r="K370" s="8">
        <v>63</v>
      </c>
      <c r="L370" s="9" t="s">
        <v>31</v>
      </c>
      <c r="M370" s="9" t="s">
        <v>18</v>
      </c>
      <c r="N370" s="18">
        <f t="shared" si="5"/>
        <v>0.26697073019527962</v>
      </c>
    </row>
    <row r="371" spans="1:14" x14ac:dyDescent="0.3">
      <c r="A371" s="5" t="s">
        <v>281</v>
      </c>
      <c r="B371" s="6" t="s">
        <v>25</v>
      </c>
      <c r="C371" s="7">
        <v>45590</v>
      </c>
      <c r="D371" s="6" t="s">
        <v>50</v>
      </c>
      <c r="E371" s="6" t="s">
        <v>51</v>
      </c>
      <c r="F371" s="8">
        <v>4661</v>
      </c>
      <c r="G371" s="8">
        <v>935</v>
      </c>
      <c r="H371" s="8">
        <v>433</v>
      </c>
      <c r="I371" s="8">
        <v>23305</v>
      </c>
      <c r="J371" s="8">
        <v>22583</v>
      </c>
      <c r="K371" s="8">
        <v>63</v>
      </c>
      <c r="L371" s="9" t="s">
        <v>52</v>
      </c>
      <c r="M371" s="9" t="s">
        <v>18</v>
      </c>
      <c r="N371" s="18">
        <f t="shared" si="5"/>
        <v>0.26697073019527962</v>
      </c>
    </row>
    <row r="372" spans="1:14" x14ac:dyDescent="0.3">
      <c r="A372" s="5" t="s">
        <v>282</v>
      </c>
      <c r="B372" s="6" t="s">
        <v>34</v>
      </c>
      <c r="C372" s="7">
        <v>45669</v>
      </c>
      <c r="D372" s="6" t="s">
        <v>15</v>
      </c>
      <c r="E372" s="6" t="s">
        <v>16</v>
      </c>
      <c r="F372" s="8">
        <v>4134</v>
      </c>
      <c r="G372" s="8">
        <v>824</v>
      </c>
      <c r="H372" s="8">
        <v>99</v>
      </c>
      <c r="I372" s="8">
        <v>41340</v>
      </c>
      <c r="J372" s="8">
        <v>41050</v>
      </c>
      <c r="K372" s="8">
        <v>177</v>
      </c>
      <c r="L372" s="9" t="s">
        <v>22</v>
      </c>
      <c r="M372" s="9" t="s">
        <v>23</v>
      </c>
      <c r="N372" s="18">
        <f t="shared" si="5"/>
        <v>0.12319123020706456</v>
      </c>
    </row>
    <row r="373" spans="1:14" x14ac:dyDescent="0.3">
      <c r="A373" s="5" t="s">
        <v>283</v>
      </c>
      <c r="B373" s="6" t="s">
        <v>34</v>
      </c>
      <c r="C373" s="7">
        <v>45576</v>
      </c>
      <c r="D373" s="6" t="s">
        <v>40</v>
      </c>
      <c r="E373" s="6" t="s">
        <v>41</v>
      </c>
      <c r="F373" s="8">
        <v>400</v>
      </c>
      <c r="G373" s="8">
        <v>680</v>
      </c>
      <c r="H373" s="8">
        <v>434</v>
      </c>
      <c r="I373" s="8">
        <v>6400</v>
      </c>
      <c r="J373" s="8">
        <v>5472</v>
      </c>
      <c r="K373" s="8">
        <v>160</v>
      </c>
      <c r="L373" s="9" t="s">
        <v>17</v>
      </c>
      <c r="M373" s="9" t="s">
        <v>23</v>
      </c>
      <c r="N373" s="18">
        <f t="shared" si="5"/>
        <v>0.27668128654970758</v>
      </c>
    </row>
    <row r="374" spans="1:14" x14ac:dyDescent="0.3">
      <c r="A374" s="5" t="s">
        <v>283</v>
      </c>
      <c r="B374" s="6" t="s">
        <v>34</v>
      </c>
      <c r="C374" s="7">
        <v>45576</v>
      </c>
      <c r="D374" s="6" t="s">
        <v>40</v>
      </c>
      <c r="E374" s="6" t="s">
        <v>41</v>
      </c>
      <c r="F374" s="8">
        <v>400</v>
      </c>
      <c r="G374" s="8">
        <v>680</v>
      </c>
      <c r="H374" s="8">
        <v>434</v>
      </c>
      <c r="I374" s="8">
        <v>6400</v>
      </c>
      <c r="J374" s="8">
        <v>5472</v>
      </c>
      <c r="K374" s="8">
        <v>160</v>
      </c>
      <c r="L374" s="9" t="s">
        <v>37</v>
      </c>
      <c r="M374" s="9" t="s">
        <v>23</v>
      </c>
      <c r="N374" s="18">
        <f t="shared" si="5"/>
        <v>0.27668128654970758</v>
      </c>
    </row>
    <row r="375" spans="1:14" x14ac:dyDescent="0.3">
      <c r="A375" s="5" t="s">
        <v>284</v>
      </c>
      <c r="B375" s="6" t="s">
        <v>34</v>
      </c>
      <c r="C375" s="7">
        <v>45531</v>
      </c>
      <c r="D375" s="6" t="s">
        <v>15</v>
      </c>
      <c r="E375" s="6" t="s">
        <v>16</v>
      </c>
      <c r="F375" s="8">
        <v>3960</v>
      </c>
      <c r="G375" s="8">
        <v>266</v>
      </c>
      <c r="H375" s="8">
        <v>8</v>
      </c>
      <c r="I375" s="8">
        <v>35640</v>
      </c>
      <c r="J375" s="8">
        <v>34850</v>
      </c>
      <c r="K375" s="8">
        <v>208</v>
      </c>
      <c r="L375" s="9" t="s">
        <v>37</v>
      </c>
      <c r="M375" s="9" t="s">
        <v>44</v>
      </c>
      <c r="N375" s="18">
        <f t="shared" si="5"/>
        <v>0.12149210903873744</v>
      </c>
    </row>
    <row r="376" spans="1:14" x14ac:dyDescent="0.3">
      <c r="A376" s="5" t="s">
        <v>284</v>
      </c>
      <c r="B376" s="6" t="s">
        <v>34</v>
      </c>
      <c r="C376" s="7">
        <v>45531</v>
      </c>
      <c r="D376" s="6" t="s">
        <v>15</v>
      </c>
      <c r="E376" s="6" t="s">
        <v>16</v>
      </c>
      <c r="F376" s="8">
        <v>3960</v>
      </c>
      <c r="G376" s="8">
        <v>266</v>
      </c>
      <c r="H376" s="8">
        <v>8</v>
      </c>
      <c r="I376" s="8">
        <v>35640</v>
      </c>
      <c r="J376" s="8">
        <v>34850</v>
      </c>
      <c r="K376" s="8">
        <v>208</v>
      </c>
      <c r="L376" s="9" t="s">
        <v>22</v>
      </c>
      <c r="M376" s="9" t="s">
        <v>44</v>
      </c>
      <c r="N376" s="18">
        <f t="shared" si="5"/>
        <v>0.12149210903873744</v>
      </c>
    </row>
    <row r="377" spans="1:14" x14ac:dyDescent="0.3">
      <c r="A377" s="5" t="s">
        <v>285</v>
      </c>
      <c r="B377" s="6" t="s">
        <v>34</v>
      </c>
      <c r="C377" s="7">
        <v>45690</v>
      </c>
      <c r="D377" s="6" t="s">
        <v>28</v>
      </c>
      <c r="E377" s="6" t="s">
        <v>29</v>
      </c>
      <c r="F377" s="8">
        <v>886</v>
      </c>
      <c r="G377" s="8">
        <v>126</v>
      </c>
      <c r="H377" s="8">
        <v>153</v>
      </c>
      <c r="I377" s="8">
        <v>4430</v>
      </c>
      <c r="J377" s="8">
        <v>4037</v>
      </c>
      <c r="K377" s="8">
        <v>212</v>
      </c>
      <c r="L377" s="9" t="s">
        <v>17</v>
      </c>
      <c r="M377" s="9" t="s">
        <v>32</v>
      </c>
      <c r="N377" s="18">
        <f t="shared" si="5"/>
        <v>0.2885806291800842</v>
      </c>
    </row>
    <row r="378" spans="1:14" x14ac:dyDescent="0.3">
      <c r="A378" s="5" t="s">
        <v>286</v>
      </c>
      <c r="B378" s="6" t="s">
        <v>14</v>
      </c>
      <c r="C378" s="7">
        <v>45491</v>
      </c>
      <c r="D378" s="6" t="s">
        <v>40</v>
      </c>
      <c r="E378" s="6" t="s">
        <v>41</v>
      </c>
      <c r="F378" s="8">
        <v>827</v>
      </c>
      <c r="G378" s="8">
        <v>77</v>
      </c>
      <c r="H378" s="8">
        <v>402</v>
      </c>
      <c r="I378" s="8">
        <v>14886</v>
      </c>
      <c r="J378" s="8">
        <v>14129</v>
      </c>
      <c r="K378" s="8">
        <v>254</v>
      </c>
      <c r="L378" s="9" t="s">
        <v>31</v>
      </c>
      <c r="M378" s="9" t="s">
        <v>23</v>
      </c>
      <c r="N378" s="18">
        <f t="shared" si="5"/>
        <v>9.2434000990869847E-2</v>
      </c>
    </row>
    <row r="379" spans="1:14" x14ac:dyDescent="0.3">
      <c r="A379" s="5" t="s">
        <v>287</v>
      </c>
      <c r="B379" s="6" t="s">
        <v>34</v>
      </c>
      <c r="C379" s="7">
        <v>45465</v>
      </c>
      <c r="D379" s="6" t="s">
        <v>15</v>
      </c>
      <c r="E379" s="6" t="s">
        <v>16</v>
      </c>
      <c r="F379" s="8">
        <v>3813</v>
      </c>
      <c r="G379" s="8">
        <v>935</v>
      </c>
      <c r="H379" s="8">
        <v>274</v>
      </c>
      <c r="I379" s="8">
        <v>68634</v>
      </c>
      <c r="J379" s="8">
        <v>68488</v>
      </c>
      <c r="K379" s="8">
        <v>251</v>
      </c>
      <c r="L379" s="9" t="s">
        <v>52</v>
      </c>
      <c r="M379" s="9" t="s">
        <v>18</v>
      </c>
      <c r="N379" s="18">
        <f t="shared" si="5"/>
        <v>7.3326714168905502E-2</v>
      </c>
    </row>
    <row r="380" spans="1:14" x14ac:dyDescent="0.3">
      <c r="A380" s="5" t="s">
        <v>287</v>
      </c>
      <c r="B380" s="6" t="s">
        <v>34</v>
      </c>
      <c r="C380" s="7">
        <v>45465</v>
      </c>
      <c r="D380" s="6" t="s">
        <v>15</v>
      </c>
      <c r="E380" s="6" t="s">
        <v>16</v>
      </c>
      <c r="F380" s="8">
        <v>3813</v>
      </c>
      <c r="G380" s="8">
        <v>935</v>
      </c>
      <c r="H380" s="8">
        <v>274</v>
      </c>
      <c r="I380" s="8">
        <v>68634</v>
      </c>
      <c r="J380" s="8">
        <v>68488</v>
      </c>
      <c r="K380" s="8">
        <v>251</v>
      </c>
      <c r="L380" s="9" t="s">
        <v>37</v>
      </c>
      <c r="M380" s="9" t="s">
        <v>18</v>
      </c>
      <c r="N380" s="18">
        <f t="shared" si="5"/>
        <v>7.3326714168905502E-2</v>
      </c>
    </row>
    <row r="381" spans="1:14" x14ac:dyDescent="0.3">
      <c r="A381" s="5" t="s">
        <v>288</v>
      </c>
      <c r="B381" s="6" t="s">
        <v>27</v>
      </c>
      <c r="C381" s="7">
        <v>45743</v>
      </c>
      <c r="D381" s="6" t="s">
        <v>35</v>
      </c>
      <c r="E381" s="6" t="s">
        <v>36</v>
      </c>
      <c r="F381" s="8">
        <v>1377</v>
      </c>
      <c r="G381" s="8">
        <v>796</v>
      </c>
      <c r="H381" s="8">
        <v>387</v>
      </c>
      <c r="I381" s="8">
        <v>22032</v>
      </c>
      <c r="J381" s="8">
        <v>21869</v>
      </c>
      <c r="K381" s="8">
        <v>189</v>
      </c>
      <c r="L381" s="9" t="s">
        <v>52</v>
      </c>
      <c r="M381" s="9" t="s">
        <v>32</v>
      </c>
      <c r="N381" s="18">
        <f t="shared" si="5"/>
        <v>0.11706067950066304</v>
      </c>
    </row>
    <row r="382" spans="1:14" x14ac:dyDescent="0.3">
      <c r="A382" s="5" t="s">
        <v>288</v>
      </c>
      <c r="B382" s="6" t="s">
        <v>27</v>
      </c>
      <c r="C382" s="7">
        <v>45743</v>
      </c>
      <c r="D382" s="6" t="s">
        <v>35</v>
      </c>
      <c r="E382" s="6" t="s">
        <v>36</v>
      </c>
      <c r="F382" s="8">
        <v>1377</v>
      </c>
      <c r="G382" s="8">
        <v>796</v>
      </c>
      <c r="H382" s="8">
        <v>387</v>
      </c>
      <c r="I382" s="8">
        <v>22032</v>
      </c>
      <c r="J382" s="8">
        <v>21869</v>
      </c>
      <c r="K382" s="8">
        <v>189</v>
      </c>
      <c r="L382" s="9" t="s">
        <v>22</v>
      </c>
      <c r="M382" s="9" t="s">
        <v>32</v>
      </c>
      <c r="N382" s="18">
        <f t="shared" si="5"/>
        <v>0.11706067950066304</v>
      </c>
    </row>
    <row r="383" spans="1:14" x14ac:dyDescent="0.3">
      <c r="A383" s="5" t="s">
        <v>289</v>
      </c>
      <c r="B383" s="6" t="s">
        <v>34</v>
      </c>
      <c r="C383" s="7">
        <v>45775</v>
      </c>
      <c r="D383" s="6" t="s">
        <v>35</v>
      </c>
      <c r="E383" s="6" t="s">
        <v>36</v>
      </c>
      <c r="F383" s="8">
        <v>2089</v>
      </c>
      <c r="G383" s="8">
        <v>476</v>
      </c>
      <c r="H383" s="8">
        <v>69</v>
      </c>
      <c r="I383" s="8">
        <v>16712</v>
      </c>
      <c r="J383" s="8">
        <v>16309</v>
      </c>
      <c r="K383" s="8">
        <v>64</v>
      </c>
      <c r="L383" s="9" t="s">
        <v>31</v>
      </c>
      <c r="M383" s="9" t="s">
        <v>18</v>
      </c>
      <c r="N383" s="18">
        <f t="shared" si="5"/>
        <v>0.16150591697835551</v>
      </c>
    </row>
    <row r="384" spans="1:14" x14ac:dyDescent="0.3">
      <c r="A384" s="5" t="s">
        <v>289</v>
      </c>
      <c r="B384" s="6" t="s">
        <v>34</v>
      </c>
      <c r="C384" s="7">
        <v>45775</v>
      </c>
      <c r="D384" s="6" t="s">
        <v>35</v>
      </c>
      <c r="E384" s="6" t="s">
        <v>36</v>
      </c>
      <c r="F384" s="8">
        <v>2089</v>
      </c>
      <c r="G384" s="8">
        <v>476</v>
      </c>
      <c r="H384" s="8">
        <v>69</v>
      </c>
      <c r="I384" s="8">
        <v>16712</v>
      </c>
      <c r="J384" s="8">
        <v>16309</v>
      </c>
      <c r="K384" s="8">
        <v>64</v>
      </c>
      <c r="L384" s="9" t="s">
        <v>17</v>
      </c>
      <c r="M384" s="9" t="s">
        <v>18</v>
      </c>
      <c r="N384" s="18">
        <f t="shared" si="5"/>
        <v>0.16150591697835551</v>
      </c>
    </row>
    <row r="385" spans="1:14" x14ac:dyDescent="0.3">
      <c r="A385" s="5" t="s">
        <v>290</v>
      </c>
      <c r="B385" s="6" t="s">
        <v>14</v>
      </c>
      <c r="C385" s="7">
        <v>45507</v>
      </c>
      <c r="D385" s="6" t="s">
        <v>15</v>
      </c>
      <c r="E385" s="6" t="s">
        <v>16</v>
      </c>
      <c r="F385" s="8">
        <v>3791</v>
      </c>
      <c r="G385" s="8">
        <v>593</v>
      </c>
      <c r="H385" s="8">
        <v>228</v>
      </c>
      <c r="I385" s="8">
        <v>53074</v>
      </c>
      <c r="J385" s="8">
        <v>52613</v>
      </c>
      <c r="K385" s="8">
        <v>205</v>
      </c>
      <c r="L385" s="9" t="s">
        <v>31</v>
      </c>
      <c r="M385" s="9" t="s">
        <v>18</v>
      </c>
      <c r="N385" s="18">
        <f t="shared" si="5"/>
        <v>8.7658943607093309E-2</v>
      </c>
    </row>
    <row r="386" spans="1:14" x14ac:dyDescent="0.3">
      <c r="A386" s="5" t="s">
        <v>290</v>
      </c>
      <c r="B386" s="6" t="s">
        <v>14</v>
      </c>
      <c r="C386" s="7">
        <v>45507</v>
      </c>
      <c r="D386" s="6" t="s">
        <v>15</v>
      </c>
      <c r="E386" s="6" t="s">
        <v>16</v>
      </c>
      <c r="F386" s="8">
        <v>3791</v>
      </c>
      <c r="G386" s="8">
        <v>593</v>
      </c>
      <c r="H386" s="8">
        <v>228</v>
      </c>
      <c r="I386" s="8">
        <v>53074</v>
      </c>
      <c r="J386" s="8">
        <v>52613</v>
      </c>
      <c r="K386" s="8">
        <v>205</v>
      </c>
      <c r="L386" s="9" t="s">
        <v>52</v>
      </c>
      <c r="M386" s="9" t="s">
        <v>18</v>
      </c>
      <c r="N386" s="18">
        <f t="shared" si="5"/>
        <v>8.7658943607093309E-2</v>
      </c>
    </row>
    <row r="387" spans="1:14" x14ac:dyDescent="0.3">
      <c r="A387" s="5" t="s">
        <v>291</v>
      </c>
      <c r="B387" s="6" t="s">
        <v>14</v>
      </c>
      <c r="C387" s="7">
        <v>45671</v>
      </c>
      <c r="D387" s="6" t="s">
        <v>40</v>
      </c>
      <c r="E387" s="6" t="s">
        <v>41</v>
      </c>
      <c r="F387" s="8">
        <v>2692</v>
      </c>
      <c r="G387" s="8">
        <v>115</v>
      </c>
      <c r="H387" s="8">
        <v>64</v>
      </c>
      <c r="I387" s="8">
        <v>21536</v>
      </c>
      <c r="J387" s="8">
        <v>21120</v>
      </c>
      <c r="K387" s="8">
        <v>224</v>
      </c>
      <c r="L387" s="9" t="s">
        <v>52</v>
      </c>
      <c r="M387" s="9" t="s">
        <v>44</v>
      </c>
      <c r="N387" s="18">
        <f t="shared" ref="N387:N450" si="6">SUM(F387,G387,H387)/J387</f>
        <v>0.13593749999999999</v>
      </c>
    </row>
    <row r="388" spans="1:14" x14ac:dyDescent="0.3">
      <c r="A388" s="5" t="s">
        <v>291</v>
      </c>
      <c r="B388" s="6" t="s">
        <v>14</v>
      </c>
      <c r="C388" s="7">
        <v>45671</v>
      </c>
      <c r="D388" s="6" t="s">
        <v>40</v>
      </c>
      <c r="E388" s="6" t="s">
        <v>41</v>
      </c>
      <c r="F388" s="8">
        <v>2692</v>
      </c>
      <c r="G388" s="8">
        <v>115</v>
      </c>
      <c r="H388" s="8">
        <v>64</v>
      </c>
      <c r="I388" s="8">
        <v>21536</v>
      </c>
      <c r="J388" s="8">
        <v>21120</v>
      </c>
      <c r="K388" s="8">
        <v>224</v>
      </c>
      <c r="L388" s="9" t="s">
        <v>37</v>
      </c>
      <c r="M388" s="9" t="s">
        <v>44</v>
      </c>
      <c r="N388" s="18">
        <f t="shared" si="6"/>
        <v>0.13593749999999999</v>
      </c>
    </row>
    <row r="389" spans="1:14" x14ac:dyDescent="0.3">
      <c r="A389" s="5" t="s">
        <v>292</v>
      </c>
      <c r="B389" s="6" t="s">
        <v>34</v>
      </c>
      <c r="C389" s="7">
        <v>45750</v>
      </c>
      <c r="D389" s="6" t="s">
        <v>28</v>
      </c>
      <c r="E389" s="6" t="s">
        <v>29</v>
      </c>
      <c r="F389" s="8">
        <v>3767</v>
      </c>
      <c r="G389" s="8">
        <v>514</v>
      </c>
      <c r="H389" s="8">
        <v>238</v>
      </c>
      <c r="I389" s="8">
        <v>37670</v>
      </c>
      <c r="J389" s="8">
        <v>36807</v>
      </c>
      <c r="K389" s="8">
        <v>226</v>
      </c>
      <c r="L389" s="9" t="s">
        <v>31</v>
      </c>
      <c r="M389" s="9" t="s">
        <v>18</v>
      </c>
      <c r="N389" s="18">
        <f t="shared" si="6"/>
        <v>0.12277555899692993</v>
      </c>
    </row>
    <row r="390" spans="1:14" x14ac:dyDescent="0.3">
      <c r="A390" s="5" t="s">
        <v>292</v>
      </c>
      <c r="B390" s="6" t="s">
        <v>34</v>
      </c>
      <c r="C390" s="7">
        <v>45750</v>
      </c>
      <c r="D390" s="6" t="s">
        <v>28</v>
      </c>
      <c r="E390" s="6" t="s">
        <v>29</v>
      </c>
      <c r="F390" s="8">
        <v>3767</v>
      </c>
      <c r="G390" s="8">
        <v>514</v>
      </c>
      <c r="H390" s="8">
        <v>238</v>
      </c>
      <c r="I390" s="8">
        <v>37670</v>
      </c>
      <c r="J390" s="8">
        <v>36807</v>
      </c>
      <c r="K390" s="8">
        <v>226</v>
      </c>
      <c r="L390" s="9" t="s">
        <v>52</v>
      </c>
      <c r="M390" s="9" t="s">
        <v>18</v>
      </c>
      <c r="N390" s="18">
        <f t="shared" si="6"/>
        <v>0.12277555899692993</v>
      </c>
    </row>
    <row r="391" spans="1:14" x14ac:dyDescent="0.3">
      <c r="A391" s="5" t="s">
        <v>293</v>
      </c>
      <c r="B391" s="6" t="s">
        <v>25</v>
      </c>
      <c r="C391" s="7">
        <v>45553</v>
      </c>
      <c r="D391" s="6" t="s">
        <v>35</v>
      </c>
      <c r="E391" s="6" t="s">
        <v>36</v>
      </c>
      <c r="F391" s="8">
        <v>2143</v>
      </c>
      <c r="G391" s="8">
        <v>12</v>
      </c>
      <c r="H391" s="8">
        <v>204</v>
      </c>
      <c r="I391" s="8">
        <v>40717</v>
      </c>
      <c r="J391" s="8">
        <v>40125</v>
      </c>
      <c r="K391" s="8">
        <v>248</v>
      </c>
      <c r="L391" s="9" t="s">
        <v>52</v>
      </c>
      <c r="M391" s="9" t="s">
        <v>44</v>
      </c>
      <c r="N391" s="18">
        <f t="shared" si="6"/>
        <v>5.8791277258566976E-2</v>
      </c>
    </row>
    <row r="392" spans="1:14" x14ac:dyDescent="0.3">
      <c r="A392" s="5" t="s">
        <v>293</v>
      </c>
      <c r="B392" s="6" t="s">
        <v>25</v>
      </c>
      <c r="C392" s="7">
        <v>45553</v>
      </c>
      <c r="D392" s="6" t="s">
        <v>35</v>
      </c>
      <c r="E392" s="6" t="s">
        <v>36</v>
      </c>
      <c r="F392" s="8">
        <v>2143</v>
      </c>
      <c r="G392" s="8">
        <v>12</v>
      </c>
      <c r="H392" s="8">
        <v>204</v>
      </c>
      <c r="I392" s="8">
        <v>40717</v>
      </c>
      <c r="J392" s="8">
        <v>40125</v>
      </c>
      <c r="K392" s="8">
        <v>248</v>
      </c>
      <c r="L392" s="9" t="s">
        <v>17</v>
      </c>
      <c r="M392" s="9" t="s">
        <v>44</v>
      </c>
      <c r="N392" s="18">
        <f t="shared" si="6"/>
        <v>5.8791277258566976E-2</v>
      </c>
    </row>
    <row r="393" spans="1:14" x14ac:dyDescent="0.3">
      <c r="A393" s="5" t="s">
        <v>294</v>
      </c>
      <c r="B393" s="6" t="s">
        <v>34</v>
      </c>
      <c r="C393" s="7">
        <v>45753</v>
      </c>
      <c r="D393" s="6" t="s">
        <v>40</v>
      </c>
      <c r="E393" s="6" t="s">
        <v>41</v>
      </c>
      <c r="F393" s="8">
        <v>3090</v>
      </c>
      <c r="G393" s="8">
        <v>697</v>
      </c>
      <c r="H393" s="8">
        <v>164</v>
      </c>
      <c r="I393" s="8">
        <v>49440</v>
      </c>
      <c r="J393" s="8">
        <v>48524</v>
      </c>
      <c r="K393" s="8">
        <v>25</v>
      </c>
      <c r="L393" s="9" t="s">
        <v>52</v>
      </c>
      <c r="M393" s="9" t="s">
        <v>44</v>
      </c>
      <c r="N393" s="18">
        <f t="shared" si="6"/>
        <v>8.1423625422471349E-2</v>
      </c>
    </row>
    <row r="394" spans="1:14" x14ac:dyDescent="0.3">
      <c r="A394" s="5" t="s">
        <v>294</v>
      </c>
      <c r="B394" s="6" t="s">
        <v>34</v>
      </c>
      <c r="C394" s="7">
        <v>45753</v>
      </c>
      <c r="D394" s="6" t="s">
        <v>40</v>
      </c>
      <c r="E394" s="6" t="s">
        <v>41</v>
      </c>
      <c r="F394" s="8">
        <v>3090</v>
      </c>
      <c r="G394" s="8">
        <v>697</v>
      </c>
      <c r="H394" s="8">
        <v>164</v>
      </c>
      <c r="I394" s="8">
        <v>49440</v>
      </c>
      <c r="J394" s="8">
        <v>48524</v>
      </c>
      <c r="K394" s="8">
        <v>25</v>
      </c>
      <c r="L394" s="9" t="s">
        <v>31</v>
      </c>
      <c r="M394" s="9" t="s">
        <v>44</v>
      </c>
      <c r="N394" s="18">
        <f t="shared" si="6"/>
        <v>8.1423625422471349E-2</v>
      </c>
    </row>
    <row r="395" spans="1:14" x14ac:dyDescent="0.3">
      <c r="A395" s="5" t="s">
        <v>295</v>
      </c>
      <c r="B395" s="6" t="s">
        <v>27</v>
      </c>
      <c r="C395" s="7">
        <v>45509</v>
      </c>
      <c r="D395" s="6" t="s">
        <v>28</v>
      </c>
      <c r="E395" s="6" t="s">
        <v>29</v>
      </c>
      <c r="F395" s="8">
        <v>3601</v>
      </c>
      <c r="G395" s="8">
        <v>695</v>
      </c>
      <c r="H395" s="8">
        <v>75</v>
      </c>
      <c r="I395" s="8">
        <v>21606</v>
      </c>
      <c r="J395" s="8">
        <v>21454</v>
      </c>
      <c r="K395" s="8">
        <v>172</v>
      </c>
      <c r="L395" s="9" t="s">
        <v>31</v>
      </c>
      <c r="M395" s="9" t="s">
        <v>23</v>
      </c>
      <c r="N395" s="18">
        <f t="shared" si="6"/>
        <v>0.20373823063298219</v>
      </c>
    </row>
    <row r="396" spans="1:14" x14ac:dyDescent="0.3">
      <c r="A396" s="5" t="s">
        <v>296</v>
      </c>
      <c r="B396" s="6" t="s">
        <v>34</v>
      </c>
      <c r="C396" s="7">
        <v>45698</v>
      </c>
      <c r="D396" s="6" t="s">
        <v>20</v>
      </c>
      <c r="E396" s="6" t="s">
        <v>21</v>
      </c>
      <c r="F396" s="8">
        <v>562</v>
      </c>
      <c r="G396" s="8">
        <v>158</v>
      </c>
      <c r="H396" s="8">
        <v>149</v>
      </c>
      <c r="I396" s="8">
        <v>3372</v>
      </c>
      <c r="J396" s="8">
        <v>2940</v>
      </c>
      <c r="K396" s="8">
        <v>93</v>
      </c>
      <c r="L396" s="9" t="s">
        <v>52</v>
      </c>
      <c r="M396" s="9" t="s">
        <v>44</v>
      </c>
      <c r="N396" s="18">
        <f t="shared" si="6"/>
        <v>0.29557823129251698</v>
      </c>
    </row>
    <row r="397" spans="1:14" x14ac:dyDescent="0.3">
      <c r="A397" s="5" t="s">
        <v>296</v>
      </c>
      <c r="B397" s="6" t="s">
        <v>34</v>
      </c>
      <c r="C397" s="7">
        <v>45698</v>
      </c>
      <c r="D397" s="6" t="s">
        <v>20</v>
      </c>
      <c r="E397" s="6" t="s">
        <v>21</v>
      </c>
      <c r="F397" s="8">
        <v>562</v>
      </c>
      <c r="G397" s="8">
        <v>158</v>
      </c>
      <c r="H397" s="8">
        <v>149</v>
      </c>
      <c r="I397" s="8">
        <v>3372</v>
      </c>
      <c r="J397" s="8">
        <v>2940</v>
      </c>
      <c r="K397" s="8">
        <v>93</v>
      </c>
      <c r="L397" s="9" t="s">
        <v>17</v>
      </c>
      <c r="M397" s="9" t="s">
        <v>44</v>
      </c>
      <c r="N397" s="18">
        <f t="shared" si="6"/>
        <v>0.29557823129251698</v>
      </c>
    </row>
    <row r="398" spans="1:14" x14ac:dyDescent="0.3">
      <c r="A398" s="5" t="s">
        <v>297</v>
      </c>
      <c r="B398" s="6" t="s">
        <v>27</v>
      </c>
      <c r="C398" s="7">
        <v>45700</v>
      </c>
      <c r="D398" s="6" t="s">
        <v>28</v>
      </c>
      <c r="E398" s="6" t="s">
        <v>29</v>
      </c>
      <c r="F398" s="8">
        <v>4332</v>
      </c>
      <c r="G398" s="8">
        <v>771</v>
      </c>
      <c r="H398" s="8">
        <v>219</v>
      </c>
      <c r="I398" s="8">
        <v>60648</v>
      </c>
      <c r="J398" s="8">
        <v>60397</v>
      </c>
      <c r="K398" s="8">
        <v>10</v>
      </c>
      <c r="L398" s="9" t="s">
        <v>22</v>
      </c>
      <c r="M398" s="9" t="s">
        <v>32</v>
      </c>
      <c r="N398" s="18">
        <f t="shared" si="6"/>
        <v>8.8116959451628396E-2</v>
      </c>
    </row>
    <row r="399" spans="1:14" x14ac:dyDescent="0.3">
      <c r="A399" s="5" t="s">
        <v>298</v>
      </c>
      <c r="B399" s="6" t="s">
        <v>27</v>
      </c>
      <c r="C399" s="7">
        <v>45592</v>
      </c>
      <c r="D399" s="6" t="s">
        <v>40</v>
      </c>
      <c r="E399" s="6" t="s">
        <v>41</v>
      </c>
      <c r="F399" s="8">
        <v>4853</v>
      </c>
      <c r="G399" s="8">
        <v>837</v>
      </c>
      <c r="H399" s="8">
        <v>340</v>
      </c>
      <c r="I399" s="8">
        <v>72795</v>
      </c>
      <c r="J399" s="8">
        <v>72237</v>
      </c>
      <c r="K399" s="8">
        <v>170</v>
      </c>
      <c r="L399" s="9" t="s">
        <v>17</v>
      </c>
      <c r="M399" s="9" t="s">
        <v>23</v>
      </c>
      <c r="N399" s="18">
        <f t="shared" si="6"/>
        <v>8.3475227376552177E-2</v>
      </c>
    </row>
    <row r="400" spans="1:14" x14ac:dyDescent="0.3">
      <c r="A400" s="5" t="s">
        <v>299</v>
      </c>
      <c r="B400" s="6" t="s">
        <v>25</v>
      </c>
      <c r="C400" s="7">
        <v>45675</v>
      </c>
      <c r="D400" s="6" t="s">
        <v>40</v>
      </c>
      <c r="E400" s="6" t="s">
        <v>41</v>
      </c>
      <c r="F400" s="8">
        <v>1206</v>
      </c>
      <c r="G400" s="8">
        <v>238</v>
      </c>
      <c r="H400" s="8">
        <v>36</v>
      </c>
      <c r="I400" s="8">
        <v>9648</v>
      </c>
      <c r="J400" s="8">
        <v>9417</v>
      </c>
      <c r="K400" s="8">
        <v>237</v>
      </c>
      <c r="L400" s="9" t="s">
        <v>17</v>
      </c>
      <c r="M400" s="9" t="s">
        <v>32</v>
      </c>
      <c r="N400" s="18">
        <f t="shared" si="6"/>
        <v>0.15716257831581182</v>
      </c>
    </row>
    <row r="401" spans="1:14" x14ac:dyDescent="0.3">
      <c r="A401" s="5" t="s">
        <v>299</v>
      </c>
      <c r="B401" s="6" t="s">
        <v>25</v>
      </c>
      <c r="C401" s="7">
        <v>45675</v>
      </c>
      <c r="D401" s="6" t="s">
        <v>40</v>
      </c>
      <c r="E401" s="6" t="s">
        <v>41</v>
      </c>
      <c r="F401" s="8">
        <v>1206</v>
      </c>
      <c r="G401" s="8">
        <v>238</v>
      </c>
      <c r="H401" s="8">
        <v>36</v>
      </c>
      <c r="I401" s="8">
        <v>9648</v>
      </c>
      <c r="J401" s="8">
        <v>9417</v>
      </c>
      <c r="K401" s="8">
        <v>237</v>
      </c>
      <c r="L401" s="9" t="s">
        <v>31</v>
      </c>
      <c r="M401" s="9" t="s">
        <v>32</v>
      </c>
      <c r="N401" s="18">
        <f t="shared" si="6"/>
        <v>0.15716257831581182</v>
      </c>
    </row>
    <row r="402" spans="1:14" x14ac:dyDescent="0.3">
      <c r="A402" s="5" t="s">
        <v>300</v>
      </c>
      <c r="B402" s="6" t="s">
        <v>27</v>
      </c>
      <c r="C402" s="7">
        <v>45524</v>
      </c>
      <c r="D402" s="6" t="s">
        <v>15</v>
      </c>
      <c r="E402" s="6" t="s">
        <v>16</v>
      </c>
      <c r="F402" s="8">
        <v>2603</v>
      </c>
      <c r="G402" s="8">
        <v>690</v>
      </c>
      <c r="H402" s="8">
        <v>205</v>
      </c>
      <c r="I402" s="8">
        <v>13015</v>
      </c>
      <c r="J402" s="8">
        <v>12130</v>
      </c>
      <c r="K402" s="8">
        <v>20</v>
      </c>
      <c r="L402" s="9" t="s">
        <v>37</v>
      </c>
      <c r="M402" s="9" t="s">
        <v>18</v>
      </c>
      <c r="N402" s="18">
        <f t="shared" si="6"/>
        <v>0.28837592745259688</v>
      </c>
    </row>
    <row r="403" spans="1:14" x14ac:dyDescent="0.3">
      <c r="A403" s="5" t="s">
        <v>301</v>
      </c>
      <c r="B403" s="6" t="s">
        <v>14</v>
      </c>
      <c r="C403" s="7">
        <v>45687</v>
      </c>
      <c r="D403" s="6" t="s">
        <v>40</v>
      </c>
      <c r="E403" s="6" t="s">
        <v>41</v>
      </c>
      <c r="F403" s="8">
        <v>59</v>
      </c>
      <c r="G403" s="8">
        <v>163</v>
      </c>
      <c r="H403" s="8">
        <v>93</v>
      </c>
      <c r="I403" s="8">
        <v>590</v>
      </c>
      <c r="J403" s="8">
        <v>475</v>
      </c>
      <c r="K403" s="8">
        <v>293</v>
      </c>
      <c r="L403" s="9" t="s">
        <v>37</v>
      </c>
      <c r="M403" s="9" t="s">
        <v>44</v>
      </c>
      <c r="N403" s="18">
        <f t="shared" si="6"/>
        <v>0.66315789473684206</v>
      </c>
    </row>
    <row r="404" spans="1:14" x14ac:dyDescent="0.3">
      <c r="A404" s="5" t="s">
        <v>302</v>
      </c>
      <c r="B404" s="6" t="s">
        <v>14</v>
      </c>
      <c r="C404" s="7">
        <v>45708</v>
      </c>
      <c r="D404" s="6" t="s">
        <v>35</v>
      </c>
      <c r="E404" s="6" t="s">
        <v>36</v>
      </c>
      <c r="F404" s="8">
        <v>1877</v>
      </c>
      <c r="G404" s="8">
        <v>745</v>
      </c>
      <c r="H404" s="8">
        <v>225</v>
      </c>
      <c r="I404" s="8">
        <v>11262</v>
      </c>
      <c r="J404" s="8">
        <v>10967</v>
      </c>
      <c r="K404" s="8">
        <v>41</v>
      </c>
      <c r="L404" s="9" t="s">
        <v>31</v>
      </c>
      <c r="M404" s="9" t="s">
        <v>18</v>
      </c>
      <c r="N404" s="18">
        <f t="shared" si="6"/>
        <v>0.25959697273639099</v>
      </c>
    </row>
    <row r="405" spans="1:14" x14ac:dyDescent="0.3">
      <c r="A405" s="5" t="s">
        <v>302</v>
      </c>
      <c r="B405" s="6" t="s">
        <v>14</v>
      </c>
      <c r="C405" s="7">
        <v>45708</v>
      </c>
      <c r="D405" s="6" t="s">
        <v>35</v>
      </c>
      <c r="E405" s="6" t="s">
        <v>36</v>
      </c>
      <c r="F405" s="8">
        <v>1877</v>
      </c>
      <c r="G405" s="8">
        <v>745</v>
      </c>
      <c r="H405" s="8">
        <v>225</v>
      </c>
      <c r="I405" s="8">
        <v>11262</v>
      </c>
      <c r="J405" s="8">
        <v>10967</v>
      </c>
      <c r="K405" s="8">
        <v>41</v>
      </c>
      <c r="L405" s="9" t="s">
        <v>17</v>
      </c>
      <c r="M405" s="9" t="s">
        <v>18</v>
      </c>
      <c r="N405" s="18">
        <f t="shared" si="6"/>
        <v>0.25959697273639099</v>
      </c>
    </row>
    <row r="406" spans="1:14" x14ac:dyDescent="0.3">
      <c r="A406" s="5" t="s">
        <v>303</v>
      </c>
      <c r="B406" s="6" t="s">
        <v>34</v>
      </c>
      <c r="C406" s="7">
        <v>45621</v>
      </c>
      <c r="D406" s="6" t="s">
        <v>28</v>
      </c>
      <c r="E406" s="6" t="s">
        <v>29</v>
      </c>
      <c r="F406" s="8">
        <v>4182</v>
      </c>
      <c r="G406" s="8">
        <v>640</v>
      </c>
      <c r="H406" s="8">
        <v>240</v>
      </c>
      <c r="I406" s="8">
        <v>50184</v>
      </c>
      <c r="J406" s="8">
        <v>49351</v>
      </c>
      <c r="K406" s="8">
        <v>10</v>
      </c>
      <c r="L406" s="9" t="s">
        <v>17</v>
      </c>
      <c r="M406" s="9" t="s">
        <v>32</v>
      </c>
      <c r="N406" s="18">
        <f t="shared" si="6"/>
        <v>0.10257137646653564</v>
      </c>
    </row>
    <row r="407" spans="1:14" x14ac:dyDescent="0.3">
      <c r="A407" s="5" t="s">
        <v>303</v>
      </c>
      <c r="B407" s="6" t="s">
        <v>34</v>
      </c>
      <c r="C407" s="7">
        <v>45621</v>
      </c>
      <c r="D407" s="6" t="s">
        <v>28</v>
      </c>
      <c r="E407" s="6" t="s">
        <v>29</v>
      </c>
      <c r="F407" s="8">
        <v>4182</v>
      </c>
      <c r="G407" s="8">
        <v>640</v>
      </c>
      <c r="H407" s="8">
        <v>240</v>
      </c>
      <c r="I407" s="8">
        <v>50184</v>
      </c>
      <c r="J407" s="8">
        <v>49351</v>
      </c>
      <c r="K407" s="8">
        <v>10</v>
      </c>
      <c r="L407" s="9" t="s">
        <v>31</v>
      </c>
      <c r="M407" s="9" t="s">
        <v>32</v>
      </c>
      <c r="N407" s="18">
        <f t="shared" si="6"/>
        <v>0.10257137646653564</v>
      </c>
    </row>
    <row r="408" spans="1:14" x14ac:dyDescent="0.3">
      <c r="A408" s="5" t="s">
        <v>304</v>
      </c>
      <c r="B408" s="6" t="s">
        <v>14</v>
      </c>
      <c r="C408" s="7">
        <v>45569</v>
      </c>
      <c r="D408" s="6" t="s">
        <v>15</v>
      </c>
      <c r="E408" s="6" t="s">
        <v>16</v>
      </c>
      <c r="F408" s="8">
        <v>4187</v>
      </c>
      <c r="G408" s="8">
        <v>66</v>
      </c>
      <c r="H408" s="8">
        <v>31</v>
      </c>
      <c r="I408" s="8">
        <v>66992</v>
      </c>
      <c r="J408" s="8">
        <v>66614</v>
      </c>
      <c r="K408" s="8">
        <v>62</v>
      </c>
      <c r="L408" s="9" t="s">
        <v>31</v>
      </c>
      <c r="M408" s="9" t="s">
        <v>44</v>
      </c>
      <c r="N408" s="18">
        <f t="shared" si="6"/>
        <v>6.4310805536373736E-2</v>
      </c>
    </row>
    <row r="409" spans="1:14" x14ac:dyDescent="0.3">
      <c r="A409" s="5" t="s">
        <v>305</v>
      </c>
      <c r="B409" s="6" t="s">
        <v>27</v>
      </c>
      <c r="C409" s="7">
        <v>45760</v>
      </c>
      <c r="D409" s="6" t="s">
        <v>15</v>
      </c>
      <c r="E409" s="6" t="s">
        <v>16</v>
      </c>
      <c r="F409" s="8">
        <v>4579</v>
      </c>
      <c r="G409" s="8">
        <v>125</v>
      </c>
      <c r="H409" s="8">
        <v>300</v>
      </c>
      <c r="I409" s="8">
        <v>59527</v>
      </c>
      <c r="J409" s="8">
        <v>59400</v>
      </c>
      <c r="K409" s="8">
        <v>269</v>
      </c>
      <c r="L409" s="9" t="s">
        <v>31</v>
      </c>
      <c r="M409" s="9" t="s">
        <v>18</v>
      </c>
      <c r="N409" s="18">
        <f t="shared" si="6"/>
        <v>8.4242424242424244E-2</v>
      </c>
    </row>
    <row r="410" spans="1:14" x14ac:dyDescent="0.3">
      <c r="A410" s="5" t="s">
        <v>305</v>
      </c>
      <c r="B410" s="6" t="s">
        <v>27</v>
      </c>
      <c r="C410" s="7">
        <v>45760</v>
      </c>
      <c r="D410" s="6" t="s">
        <v>15</v>
      </c>
      <c r="E410" s="6" t="s">
        <v>16</v>
      </c>
      <c r="F410" s="8">
        <v>4579</v>
      </c>
      <c r="G410" s="8">
        <v>125</v>
      </c>
      <c r="H410" s="8">
        <v>300</v>
      </c>
      <c r="I410" s="8">
        <v>59527</v>
      </c>
      <c r="J410" s="8">
        <v>59400</v>
      </c>
      <c r="K410" s="8">
        <v>269</v>
      </c>
      <c r="L410" s="9" t="s">
        <v>22</v>
      </c>
      <c r="M410" s="9" t="s">
        <v>18</v>
      </c>
      <c r="N410" s="18">
        <f t="shared" si="6"/>
        <v>8.4242424242424244E-2</v>
      </c>
    </row>
    <row r="411" spans="1:14" x14ac:dyDescent="0.3">
      <c r="A411" s="5" t="s">
        <v>306</v>
      </c>
      <c r="B411" s="6" t="s">
        <v>27</v>
      </c>
      <c r="C411" s="7">
        <v>45601</v>
      </c>
      <c r="D411" s="6" t="s">
        <v>50</v>
      </c>
      <c r="E411" s="6" t="s">
        <v>51</v>
      </c>
      <c r="F411" s="8">
        <v>4561</v>
      </c>
      <c r="G411" s="8">
        <v>51</v>
      </c>
      <c r="H411" s="8">
        <v>441</v>
      </c>
      <c r="I411" s="8">
        <v>22805</v>
      </c>
      <c r="J411" s="8">
        <v>21890</v>
      </c>
      <c r="K411" s="8">
        <v>45</v>
      </c>
      <c r="L411" s="9" t="s">
        <v>31</v>
      </c>
      <c r="M411" s="9" t="s">
        <v>23</v>
      </c>
      <c r="N411" s="18">
        <f t="shared" si="6"/>
        <v>0.23083599817268158</v>
      </c>
    </row>
    <row r="412" spans="1:14" x14ac:dyDescent="0.3">
      <c r="A412" s="5" t="s">
        <v>307</v>
      </c>
      <c r="B412" s="6" t="s">
        <v>25</v>
      </c>
      <c r="C412" s="7">
        <v>45672</v>
      </c>
      <c r="D412" s="6" t="s">
        <v>15</v>
      </c>
      <c r="E412" s="6" t="s">
        <v>16</v>
      </c>
      <c r="F412" s="8">
        <v>3774</v>
      </c>
      <c r="G412" s="8">
        <v>239</v>
      </c>
      <c r="H412" s="8">
        <v>39</v>
      </c>
      <c r="I412" s="8">
        <v>60384</v>
      </c>
      <c r="J412" s="8">
        <v>59490</v>
      </c>
      <c r="K412" s="8">
        <v>241</v>
      </c>
      <c r="L412" s="9" t="s">
        <v>52</v>
      </c>
      <c r="M412" s="9" t="s">
        <v>32</v>
      </c>
      <c r="N412" s="18">
        <f t="shared" si="6"/>
        <v>6.8112287779458727E-2</v>
      </c>
    </row>
    <row r="413" spans="1:14" x14ac:dyDescent="0.3">
      <c r="A413" s="5" t="s">
        <v>308</v>
      </c>
      <c r="B413" s="6" t="s">
        <v>27</v>
      </c>
      <c r="C413" s="7">
        <v>45582</v>
      </c>
      <c r="D413" s="6" t="s">
        <v>50</v>
      </c>
      <c r="E413" s="6" t="s">
        <v>51</v>
      </c>
      <c r="F413" s="8">
        <v>3575</v>
      </c>
      <c r="G413" s="8">
        <v>749</v>
      </c>
      <c r="H413" s="8">
        <v>111</v>
      </c>
      <c r="I413" s="8">
        <v>21450</v>
      </c>
      <c r="J413" s="8">
        <v>20785</v>
      </c>
      <c r="K413" s="8">
        <v>195</v>
      </c>
      <c r="L413" s="9" t="s">
        <v>52</v>
      </c>
      <c r="M413" s="9" t="s">
        <v>32</v>
      </c>
      <c r="N413" s="18">
        <f t="shared" si="6"/>
        <v>0.21337503006976186</v>
      </c>
    </row>
    <row r="414" spans="1:14" x14ac:dyDescent="0.3">
      <c r="A414" s="5" t="s">
        <v>309</v>
      </c>
      <c r="B414" s="6" t="s">
        <v>27</v>
      </c>
      <c r="C414" s="7">
        <v>45743</v>
      </c>
      <c r="D414" s="6" t="s">
        <v>20</v>
      </c>
      <c r="E414" s="6" t="s">
        <v>21</v>
      </c>
      <c r="F414" s="8">
        <v>4941</v>
      </c>
      <c r="G414" s="8">
        <v>414</v>
      </c>
      <c r="H414" s="8">
        <v>266</v>
      </c>
      <c r="I414" s="8">
        <v>39528</v>
      </c>
      <c r="J414" s="8">
        <v>39154</v>
      </c>
      <c r="K414" s="8">
        <v>217</v>
      </c>
      <c r="L414" s="9" t="s">
        <v>17</v>
      </c>
      <c r="M414" s="9" t="s">
        <v>23</v>
      </c>
      <c r="N414" s="18">
        <f t="shared" si="6"/>
        <v>0.14356132195944221</v>
      </c>
    </row>
    <row r="415" spans="1:14" x14ac:dyDescent="0.3">
      <c r="A415" s="5" t="s">
        <v>310</v>
      </c>
      <c r="B415" s="6" t="s">
        <v>25</v>
      </c>
      <c r="C415" s="7">
        <v>45577</v>
      </c>
      <c r="D415" s="6" t="s">
        <v>28</v>
      </c>
      <c r="E415" s="6" t="s">
        <v>29</v>
      </c>
      <c r="F415" s="8">
        <v>3641</v>
      </c>
      <c r="G415" s="8">
        <v>226</v>
      </c>
      <c r="H415" s="8">
        <v>46</v>
      </c>
      <c r="I415" s="8">
        <v>40051</v>
      </c>
      <c r="J415" s="8">
        <v>39319</v>
      </c>
      <c r="K415" s="8">
        <v>296</v>
      </c>
      <c r="L415" s="9" t="s">
        <v>37</v>
      </c>
      <c r="M415" s="9" t="s">
        <v>23</v>
      </c>
      <c r="N415" s="18">
        <f t="shared" si="6"/>
        <v>9.9519316361046828E-2</v>
      </c>
    </row>
    <row r="416" spans="1:14" x14ac:dyDescent="0.3">
      <c r="A416" s="5" t="s">
        <v>311</v>
      </c>
      <c r="B416" s="6" t="s">
        <v>14</v>
      </c>
      <c r="C416" s="7">
        <v>45658</v>
      </c>
      <c r="D416" s="6" t="s">
        <v>35</v>
      </c>
      <c r="E416" s="6" t="s">
        <v>36</v>
      </c>
      <c r="F416" s="8">
        <v>3535</v>
      </c>
      <c r="G416" s="8">
        <v>494</v>
      </c>
      <c r="H416" s="8">
        <v>152</v>
      </c>
      <c r="I416" s="8">
        <v>53025</v>
      </c>
      <c r="J416" s="8">
        <v>52791</v>
      </c>
      <c r="K416" s="8">
        <v>44</v>
      </c>
      <c r="L416" s="9" t="s">
        <v>37</v>
      </c>
      <c r="M416" s="9" t="s">
        <v>23</v>
      </c>
      <c r="N416" s="18">
        <f t="shared" si="6"/>
        <v>7.9199105908204046E-2</v>
      </c>
    </row>
    <row r="417" spans="1:14" x14ac:dyDescent="0.3">
      <c r="A417" s="5" t="s">
        <v>311</v>
      </c>
      <c r="B417" s="6" t="s">
        <v>14</v>
      </c>
      <c r="C417" s="7">
        <v>45658</v>
      </c>
      <c r="D417" s="6" t="s">
        <v>35</v>
      </c>
      <c r="E417" s="6" t="s">
        <v>36</v>
      </c>
      <c r="F417" s="8">
        <v>3535</v>
      </c>
      <c r="G417" s="8">
        <v>494</v>
      </c>
      <c r="H417" s="8">
        <v>152</v>
      </c>
      <c r="I417" s="8">
        <v>53025</v>
      </c>
      <c r="J417" s="8">
        <v>52791</v>
      </c>
      <c r="K417" s="8">
        <v>44</v>
      </c>
      <c r="L417" s="9" t="s">
        <v>31</v>
      </c>
      <c r="M417" s="9" t="s">
        <v>23</v>
      </c>
      <c r="N417" s="18">
        <f t="shared" si="6"/>
        <v>7.9199105908204046E-2</v>
      </c>
    </row>
    <row r="418" spans="1:14" x14ac:dyDescent="0.3">
      <c r="A418" s="5" t="s">
        <v>312</v>
      </c>
      <c r="B418" s="6" t="s">
        <v>34</v>
      </c>
      <c r="C418" s="7">
        <v>45509</v>
      </c>
      <c r="D418" s="6" t="s">
        <v>15</v>
      </c>
      <c r="E418" s="6" t="s">
        <v>16</v>
      </c>
      <c r="F418" s="8">
        <v>1741</v>
      </c>
      <c r="G418" s="8">
        <v>831</v>
      </c>
      <c r="H418" s="8">
        <v>345</v>
      </c>
      <c r="I418" s="8">
        <v>17410</v>
      </c>
      <c r="J418" s="8">
        <v>16844</v>
      </c>
      <c r="K418" s="8">
        <v>58</v>
      </c>
      <c r="L418" s="9" t="s">
        <v>22</v>
      </c>
      <c r="M418" s="9" t="s">
        <v>44</v>
      </c>
      <c r="N418" s="18">
        <f t="shared" si="6"/>
        <v>0.17317739254333889</v>
      </c>
    </row>
    <row r="419" spans="1:14" x14ac:dyDescent="0.3">
      <c r="A419" s="5" t="s">
        <v>312</v>
      </c>
      <c r="B419" s="6" t="s">
        <v>34</v>
      </c>
      <c r="C419" s="7">
        <v>45509</v>
      </c>
      <c r="D419" s="6" t="s">
        <v>15</v>
      </c>
      <c r="E419" s="6" t="s">
        <v>16</v>
      </c>
      <c r="F419" s="8">
        <v>1741</v>
      </c>
      <c r="G419" s="8">
        <v>831</v>
      </c>
      <c r="H419" s="8">
        <v>345</v>
      </c>
      <c r="I419" s="8">
        <v>17410</v>
      </c>
      <c r="J419" s="8">
        <v>16844</v>
      </c>
      <c r="K419" s="8">
        <v>58</v>
      </c>
      <c r="L419" s="9" t="s">
        <v>52</v>
      </c>
      <c r="M419" s="9" t="s">
        <v>44</v>
      </c>
      <c r="N419" s="18">
        <f t="shared" si="6"/>
        <v>0.17317739254333889</v>
      </c>
    </row>
    <row r="420" spans="1:14" x14ac:dyDescent="0.3">
      <c r="A420" s="5" t="s">
        <v>313</v>
      </c>
      <c r="B420" s="6" t="s">
        <v>14</v>
      </c>
      <c r="C420" s="7">
        <v>45450</v>
      </c>
      <c r="D420" s="6" t="s">
        <v>35</v>
      </c>
      <c r="E420" s="6" t="s">
        <v>36</v>
      </c>
      <c r="F420" s="8">
        <v>1556</v>
      </c>
      <c r="G420" s="8">
        <v>195</v>
      </c>
      <c r="H420" s="8">
        <v>131</v>
      </c>
      <c r="I420" s="8">
        <v>9336</v>
      </c>
      <c r="J420" s="8">
        <v>8875</v>
      </c>
      <c r="K420" s="8">
        <v>137</v>
      </c>
      <c r="L420" s="9" t="s">
        <v>22</v>
      </c>
      <c r="M420" s="9" t="s">
        <v>23</v>
      </c>
      <c r="N420" s="18">
        <f t="shared" si="6"/>
        <v>0.21205633802816901</v>
      </c>
    </row>
    <row r="421" spans="1:14" x14ac:dyDescent="0.3">
      <c r="A421" s="5" t="s">
        <v>314</v>
      </c>
      <c r="B421" s="6" t="s">
        <v>34</v>
      </c>
      <c r="C421" s="7">
        <v>45753</v>
      </c>
      <c r="D421" s="6" t="s">
        <v>40</v>
      </c>
      <c r="E421" s="6" t="s">
        <v>41</v>
      </c>
      <c r="F421" s="8">
        <v>4236</v>
      </c>
      <c r="G421" s="8">
        <v>711</v>
      </c>
      <c r="H421" s="8">
        <v>298</v>
      </c>
      <c r="I421" s="8">
        <v>21180</v>
      </c>
      <c r="J421" s="8">
        <v>20516</v>
      </c>
      <c r="K421" s="8">
        <v>238</v>
      </c>
      <c r="L421" s="9" t="s">
        <v>37</v>
      </c>
      <c r="M421" s="9" t="s">
        <v>44</v>
      </c>
      <c r="N421" s="18">
        <f t="shared" si="6"/>
        <v>0.25565412361084033</v>
      </c>
    </row>
    <row r="422" spans="1:14" x14ac:dyDescent="0.3">
      <c r="A422" s="5" t="s">
        <v>314</v>
      </c>
      <c r="B422" s="6" t="s">
        <v>34</v>
      </c>
      <c r="C422" s="7">
        <v>45753</v>
      </c>
      <c r="D422" s="6" t="s">
        <v>40</v>
      </c>
      <c r="E422" s="6" t="s">
        <v>41</v>
      </c>
      <c r="F422" s="8">
        <v>4236</v>
      </c>
      <c r="G422" s="8">
        <v>711</v>
      </c>
      <c r="H422" s="8">
        <v>298</v>
      </c>
      <c r="I422" s="8">
        <v>21180</v>
      </c>
      <c r="J422" s="8">
        <v>20516</v>
      </c>
      <c r="K422" s="8">
        <v>238</v>
      </c>
      <c r="L422" s="9" t="s">
        <v>17</v>
      </c>
      <c r="M422" s="9" t="s">
        <v>44</v>
      </c>
      <c r="N422" s="18">
        <f t="shared" si="6"/>
        <v>0.25565412361084033</v>
      </c>
    </row>
    <row r="423" spans="1:14" x14ac:dyDescent="0.3">
      <c r="A423" s="5" t="s">
        <v>315</v>
      </c>
      <c r="B423" s="6" t="s">
        <v>14</v>
      </c>
      <c r="C423" s="7">
        <v>45622</v>
      </c>
      <c r="D423" s="6" t="s">
        <v>20</v>
      </c>
      <c r="E423" s="6" t="s">
        <v>21</v>
      </c>
      <c r="F423" s="8">
        <v>4516</v>
      </c>
      <c r="G423" s="8">
        <v>836</v>
      </c>
      <c r="H423" s="8">
        <v>169</v>
      </c>
      <c r="I423" s="8">
        <v>49676</v>
      </c>
      <c r="J423" s="8">
        <v>49257</v>
      </c>
      <c r="K423" s="8">
        <v>282</v>
      </c>
      <c r="L423" s="9" t="s">
        <v>37</v>
      </c>
      <c r="M423" s="9" t="s">
        <v>18</v>
      </c>
      <c r="N423" s="18">
        <f t="shared" si="6"/>
        <v>0.11208559189556815</v>
      </c>
    </row>
    <row r="424" spans="1:14" x14ac:dyDescent="0.3">
      <c r="A424" s="5" t="s">
        <v>316</v>
      </c>
      <c r="B424" s="6" t="s">
        <v>25</v>
      </c>
      <c r="C424" s="7">
        <v>45537</v>
      </c>
      <c r="D424" s="6" t="s">
        <v>40</v>
      </c>
      <c r="E424" s="6" t="s">
        <v>41</v>
      </c>
      <c r="F424" s="8">
        <v>4905</v>
      </c>
      <c r="G424" s="8">
        <v>845</v>
      </c>
      <c r="H424" s="8">
        <v>129</v>
      </c>
      <c r="I424" s="8">
        <v>98100</v>
      </c>
      <c r="J424" s="8">
        <v>97772</v>
      </c>
      <c r="K424" s="8">
        <v>279</v>
      </c>
      <c r="L424" s="9" t="s">
        <v>37</v>
      </c>
      <c r="M424" s="9" t="s">
        <v>44</v>
      </c>
      <c r="N424" s="18">
        <f t="shared" si="6"/>
        <v>6.0129689481651191E-2</v>
      </c>
    </row>
    <row r="425" spans="1:14" x14ac:dyDescent="0.3">
      <c r="A425" s="5" t="s">
        <v>317</v>
      </c>
      <c r="B425" s="6" t="s">
        <v>25</v>
      </c>
      <c r="C425" s="7">
        <v>45586</v>
      </c>
      <c r="D425" s="6" t="s">
        <v>50</v>
      </c>
      <c r="E425" s="6" t="s">
        <v>51</v>
      </c>
      <c r="F425" s="8">
        <v>4275</v>
      </c>
      <c r="G425" s="8">
        <v>680</v>
      </c>
      <c r="H425" s="8">
        <v>385</v>
      </c>
      <c r="I425" s="8">
        <v>64125</v>
      </c>
      <c r="J425" s="8">
        <v>63650</v>
      </c>
      <c r="K425" s="8">
        <v>104</v>
      </c>
      <c r="L425" s="9" t="s">
        <v>31</v>
      </c>
      <c r="M425" s="9" t="s">
        <v>44</v>
      </c>
      <c r="N425" s="18">
        <f t="shared" si="6"/>
        <v>8.3896307934014133E-2</v>
      </c>
    </row>
    <row r="426" spans="1:14" x14ac:dyDescent="0.3">
      <c r="A426" s="5" t="s">
        <v>318</v>
      </c>
      <c r="B426" s="6" t="s">
        <v>25</v>
      </c>
      <c r="C426" s="7">
        <v>45738</v>
      </c>
      <c r="D426" s="6" t="s">
        <v>40</v>
      </c>
      <c r="E426" s="6" t="s">
        <v>41</v>
      </c>
      <c r="F426" s="8">
        <v>3166</v>
      </c>
      <c r="G426" s="8">
        <v>90</v>
      </c>
      <c r="H426" s="8">
        <v>341</v>
      </c>
      <c r="I426" s="8">
        <v>56988</v>
      </c>
      <c r="J426" s="8">
        <v>56125</v>
      </c>
      <c r="K426" s="8">
        <v>135</v>
      </c>
      <c r="L426" s="9" t="s">
        <v>22</v>
      </c>
      <c r="M426" s="9" t="s">
        <v>23</v>
      </c>
      <c r="N426" s="18">
        <f t="shared" si="6"/>
        <v>6.4089086859688199E-2</v>
      </c>
    </row>
    <row r="427" spans="1:14" x14ac:dyDescent="0.3">
      <c r="A427" s="5" t="s">
        <v>318</v>
      </c>
      <c r="B427" s="6" t="s">
        <v>25</v>
      </c>
      <c r="C427" s="7">
        <v>45738</v>
      </c>
      <c r="D427" s="6" t="s">
        <v>40</v>
      </c>
      <c r="E427" s="6" t="s">
        <v>41</v>
      </c>
      <c r="F427" s="8">
        <v>3166</v>
      </c>
      <c r="G427" s="8">
        <v>90</v>
      </c>
      <c r="H427" s="8">
        <v>341</v>
      </c>
      <c r="I427" s="8">
        <v>56988</v>
      </c>
      <c r="J427" s="8">
        <v>56125</v>
      </c>
      <c r="K427" s="8">
        <v>135</v>
      </c>
      <c r="L427" s="9" t="s">
        <v>31</v>
      </c>
      <c r="M427" s="9" t="s">
        <v>23</v>
      </c>
      <c r="N427" s="18">
        <f t="shared" si="6"/>
        <v>6.4089086859688199E-2</v>
      </c>
    </row>
    <row r="428" spans="1:14" x14ac:dyDescent="0.3">
      <c r="A428" s="5" t="s">
        <v>319</v>
      </c>
      <c r="B428" s="6" t="s">
        <v>27</v>
      </c>
      <c r="C428" s="7">
        <v>45568</v>
      </c>
      <c r="D428" s="6" t="s">
        <v>50</v>
      </c>
      <c r="E428" s="6" t="s">
        <v>51</v>
      </c>
      <c r="F428" s="8">
        <v>1488</v>
      </c>
      <c r="G428" s="8">
        <v>417</v>
      </c>
      <c r="H428" s="8">
        <v>168</v>
      </c>
      <c r="I428" s="8">
        <v>19344</v>
      </c>
      <c r="J428" s="8">
        <v>18395</v>
      </c>
      <c r="K428" s="8">
        <v>30</v>
      </c>
      <c r="L428" s="9" t="s">
        <v>17</v>
      </c>
      <c r="M428" s="9" t="s">
        <v>18</v>
      </c>
      <c r="N428" s="18">
        <f t="shared" si="6"/>
        <v>0.11269366675727099</v>
      </c>
    </row>
    <row r="429" spans="1:14" x14ac:dyDescent="0.3">
      <c r="A429" s="5" t="s">
        <v>320</v>
      </c>
      <c r="B429" s="6" t="s">
        <v>14</v>
      </c>
      <c r="C429" s="7">
        <v>45786</v>
      </c>
      <c r="D429" s="6" t="s">
        <v>15</v>
      </c>
      <c r="E429" s="6" t="s">
        <v>16</v>
      </c>
      <c r="F429" s="8">
        <v>3367</v>
      </c>
      <c r="G429" s="8">
        <v>302</v>
      </c>
      <c r="H429" s="8">
        <v>57</v>
      </c>
      <c r="I429" s="8">
        <v>63973</v>
      </c>
      <c r="J429" s="8">
        <v>63789</v>
      </c>
      <c r="K429" s="8">
        <v>157</v>
      </c>
      <c r="L429" s="9" t="s">
        <v>37</v>
      </c>
      <c r="M429" s="9" t="s">
        <v>32</v>
      </c>
      <c r="N429" s="18">
        <f t="shared" si="6"/>
        <v>5.841132483657057E-2</v>
      </c>
    </row>
    <row r="430" spans="1:14" x14ac:dyDescent="0.3">
      <c r="A430" s="5" t="s">
        <v>320</v>
      </c>
      <c r="B430" s="6" t="s">
        <v>14</v>
      </c>
      <c r="C430" s="7">
        <v>45786</v>
      </c>
      <c r="D430" s="6" t="s">
        <v>15</v>
      </c>
      <c r="E430" s="6" t="s">
        <v>16</v>
      </c>
      <c r="F430" s="8">
        <v>3367</v>
      </c>
      <c r="G430" s="8">
        <v>302</v>
      </c>
      <c r="H430" s="8">
        <v>57</v>
      </c>
      <c r="I430" s="8">
        <v>63973</v>
      </c>
      <c r="J430" s="8">
        <v>63789</v>
      </c>
      <c r="K430" s="8">
        <v>157</v>
      </c>
      <c r="L430" s="9" t="s">
        <v>22</v>
      </c>
      <c r="M430" s="9" t="s">
        <v>32</v>
      </c>
      <c r="N430" s="18">
        <f t="shared" si="6"/>
        <v>5.841132483657057E-2</v>
      </c>
    </row>
    <row r="431" spans="1:14" x14ac:dyDescent="0.3">
      <c r="A431" s="5" t="s">
        <v>321</v>
      </c>
      <c r="B431" s="6" t="s">
        <v>14</v>
      </c>
      <c r="C431" s="7">
        <v>45552</v>
      </c>
      <c r="D431" s="6" t="s">
        <v>20</v>
      </c>
      <c r="E431" s="6" t="s">
        <v>21</v>
      </c>
      <c r="F431" s="8">
        <v>571</v>
      </c>
      <c r="G431" s="8">
        <v>190</v>
      </c>
      <c r="H431" s="8">
        <v>352</v>
      </c>
      <c r="I431" s="8">
        <v>9707</v>
      </c>
      <c r="J431" s="8">
        <v>9418</v>
      </c>
      <c r="K431" s="8">
        <v>231</v>
      </c>
      <c r="L431" s="9" t="s">
        <v>52</v>
      </c>
      <c r="M431" s="9" t="s">
        <v>23</v>
      </c>
      <c r="N431" s="18">
        <f t="shared" si="6"/>
        <v>0.11817795710341898</v>
      </c>
    </row>
    <row r="432" spans="1:14" x14ac:dyDescent="0.3">
      <c r="A432" s="5" t="s">
        <v>322</v>
      </c>
      <c r="B432" s="6" t="s">
        <v>25</v>
      </c>
      <c r="C432" s="7">
        <v>45491</v>
      </c>
      <c r="D432" s="6" t="s">
        <v>20</v>
      </c>
      <c r="E432" s="6" t="s">
        <v>21</v>
      </c>
      <c r="F432" s="8">
        <v>4021</v>
      </c>
      <c r="G432" s="8">
        <v>794</v>
      </c>
      <c r="H432" s="8">
        <v>77</v>
      </c>
      <c r="I432" s="8">
        <v>36189</v>
      </c>
      <c r="J432" s="8">
        <v>35505</v>
      </c>
      <c r="K432" s="8">
        <v>174</v>
      </c>
      <c r="L432" s="9" t="s">
        <v>52</v>
      </c>
      <c r="M432" s="9" t="s">
        <v>18</v>
      </c>
      <c r="N432" s="18">
        <f t="shared" si="6"/>
        <v>0.13778341078721307</v>
      </c>
    </row>
    <row r="433" spans="1:14" x14ac:dyDescent="0.3">
      <c r="A433" s="5" t="s">
        <v>322</v>
      </c>
      <c r="B433" s="6" t="s">
        <v>25</v>
      </c>
      <c r="C433" s="7">
        <v>45491</v>
      </c>
      <c r="D433" s="6" t="s">
        <v>20</v>
      </c>
      <c r="E433" s="6" t="s">
        <v>21</v>
      </c>
      <c r="F433" s="8">
        <v>4021</v>
      </c>
      <c r="G433" s="8">
        <v>794</v>
      </c>
      <c r="H433" s="8">
        <v>77</v>
      </c>
      <c r="I433" s="8">
        <v>36189</v>
      </c>
      <c r="J433" s="8">
        <v>35505</v>
      </c>
      <c r="K433" s="8">
        <v>174</v>
      </c>
      <c r="L433" s="9" t="s">
        <v>31</v>
      </c>
      <c r="M433" s="9" t="s">
        <v>18</v>
      </c>
      <c r="N433" s="18">
        <f t="shared" si="6"/>
        <v>0.13778341078721307</v>
      </c>
    </row>
    <row r="434" spans="1:14" x14ac:dyDescent="0.3">
      <c r="A434" s="5" t="s">
        <v>323</v>
      </c>
      <c r="B434" s="6" t="s">
        <v>25</v>
      </c>
      <c r="C434" s="7">
        <v>45560</v>
      </c>
      <c r="D434" s="6" t="s">
        <v>50</v>
      </c>
      <c r="E434" s="6" t="s">
        <v>51</v>
      </c>
      <c r="F434" s="8">
        <v>3389</v>
      </c>
      <c r="G434" s="8">
        <v>344</v>
      </c>
      <c r="H434" s="8">
        <v>229</v>
      </c>
      <c r="I434" s="8">
        <v>20334</v>
      </c>
      <c r="J434" s="8">
        <v>19443</v>
      </c>
      <c r="K434" s="8">
        <v>228</v>
      </c>
      <c r="L434" s="9" t="s">
        <v>22</v>
      </c>
      <c r="M434" s="9" t="s">
        <v>23</v>
      </c>
      <c r="N434" s="18">
        <f t="shared" si="6"/>
        <v>0.20377513758164892</v>
      </c>
    </row>
    <row r="435" spans="1:14" x14ac:dyDescent="0.3">
      <c r="A435" s="5" t="s">
        <v>323</v>
      </c>
      <c r="B435" s="6" t="s">
        <v>25</v>
      </c>
      <c r="C435" s="7">
        <v>45560</v>
      </c>
      <c r="D435" s="6" t="s">
        <v>50</v>
      </c>
      <c r="E435" s="6" t="s">
        <v>51</v>
      </c>
      <c r="F435" s="8">
        <v>3389</v>
      </c>
      <c r="G435" s="8">
        <v>344</v>
      </c>
      <c r="H435" s="8">
        <v>229</v>
      </c>
      <c r="I435" s="8">
        <v>20334</v>
      </c>
      <c r="J435" s="8">
        <v>19443</v>
      </c>
      <c r="K435" s="8">
        <v>228</v>
      </c>
      <c r="L435" s="9" t="s">
        <v>17</v>
      </c>
      <c r="M435" s="9" t="s">
        <v>23</v>
      </c>
      <c r="N435" s="18">
        <f t="shared" si="6"/>
        <v>0.20377513758164892</v>
      </c>
    </row>
    <row r="436" spans="1:14" x14ac:dyDescent="0.3">
      <c r="A436" s="5" t="s">
        <v>324</v>
      </c>
      <c r="B436" s="6" t="s">
        <v>27</v>
      </c>
      <c r="C436" s="7">
        <v>45519</v>
      </c>
      <c r="D436" s="6" t="s">
        <v>15</v>
      </c>
      <c r="E436" s="6" t="s">
        <v>16</v>
      </c>
      <c r="F436" s="8">
        <v>1164</v>
      </c>
      <c r="G436" s="8">
        <v>616</v>
      </c>
      <c r="H436" s="8">
        <v>324</v>
      </c>
      <c r="I436" s="8">
        <v>6984</v>
      </c>
      <c r="J436" s="8">
        <v>6636</v>
      </c>
      <c r="K436" s="8">
        <v>82</v>
      </c>
      <c r="L436" s="9" t="s">
        <v>22</v>
      </c>
      <c r="M436" s="9" t="s">
        <v>32</v>
      </c>
      <c r="N436" s="18">
        <f t="shared" si="6"/>
        <v>0.31705846895720313</v>
      </c>
    </row>
    <row r="437" spans="1:14" x14ac:dyDescent="0.3">
      <c r="A437" s="5" t="s">
        <v>324</v>
      </c>
      <c r="B437" s="6" t="s">
        <v>27</v>
      </c>
      <c r="C437" s="7">
        <v>45519</v>
      </c>
      <c r="D437" s="6" t="s">
        <v>15</v>
      </c>
      <c r="E437" s="6" t="s">
        <v>16</v>
      </c>
      <c r="F437" s="8">
        <v>1164</v>
      </c>
      <c r="G437" s="8">
        <v>616</v>
      </c>
      <c r="H437" s="8">
        <v>324</v>
      </c>
      <c r="I437" s="8">
        <v>6984</v>
      </c>
      <c r="J437" s="8">
        <v>6636</v>
      </c>
      <c r="K437" s="8">
        <v>82</v>
      </c>
      <c r="L437" s="9" t="s">
        <v>37</v>
      </c>
      <c r="M437" s="9" t="s">
        <v>32</v>
      </c>
      <c r="N437" s="18">
        <f t="shared" si="6"/>
        <v>0.31705846895720313</v>
      </c>
    </row>
    <row r="438" spans="1:14" x14ac:dyDescent="0.3">
      <c r="A438" s="5" t="s">
        <v>325</v>
      </c>
      <c r="B438" s="6" t="s">
        <v>25</v>
      </c>
      <c r="C438" s="7">
        <v>45764</v>
      </c>
      <c r="D438" s="6" t="s">
        <v>35</v>
      </c>
      <c r="E438" s="6" t="s">
        <v>36</v>
      </c>
      <c r="F438" s="8">
        <v>4780</v>
      </c>
      <c r="G438" s="8">
        <v>691</v>
      </c>
      <c r="H438" s="8">
        <v>380</v>
      </c>
      <c r="I438" s="8">
        <v>86040</v>
      </c>
      <c r="J438" s="8">
        <v>85743</v>
      </c>
      <c r="K438" s="8">
        <v>262</v>
      </c>
      <c r="L438" s="9" t="s">
        <v>22</v>
      </c>
      <c r="M438" s="9" t="s">
        <v>32</v>
      </c>
      <c r="N438" s="18">
        <f t="shared" si="6"/>
        <v>6.8238806666433408E-2</v>
      </c>
    </row>
    <row r="439" spans="1:14" x14ac:dyDescent="0.3">
      <c r="A439" s="5" t="s">
        <v>325</v>
      </c>
      <c r="B439" s="6" t="s">
        <v>25</v>
      </c>
      <c r="C439" s="7">
        <v>45764</v>
      </c>
      <c r="D439" s="6" t="s">
        <v>35</v>
      </c>
      <c r="E439" s="6" t="s">
        <v>36</v>
      </c>
      <c r="F439" s="8">
        <v>4780</v>
      </c>
      <c r="G439" s="8">
        <v>691</v>
      </c>
      <c r="H439" s="8">
        <v>380</v>
      </c>
      <c r="I439" s="8">
        <v>86040</v>
      </c>
      <c r="J439" s="8">
        <v>85743</v>
      </c>
      <c r="K439" s="8">
        <v>262</v>
      </c>
      <c r="L439" s="9" t="s">
        <v>52</v>
      </c>
      <c r="M439" s="9" t="s">
        <v>32</v>
      </c>
      <c r="N439" s="18">
        <f t="shared" si="6"/>
        <v>6.8238806666433408E-2</v>
      </c>
    </row>
    <row r="440" spans="1:14" x14ac:dyDescent="0.3">
      <c r="A440" s="5" t="s">
        <v>326</v>
      </c>
      <c r="B440" s="6" t="s">
        <v>34</v>
      </c>
      <c r="C440" s="7">
        <v>45624</v>
      </c>
      <c r="D440" s="6" t="s">
        <v>35</v>
      </c>
      <c r="E440" s="6" t="s">
        <v>36</v>
      </c>
      <c r="F440" s="8">
        <v>2751</v>
      </c>
      <c r="G440" s="8">
        <v>33</v>
      </c>
      <c r="H440" s="8">
        <v>430</v>
      </c>
      <c r="I440" s="8">
        <v>44016</v>
      </c>
      <c r="J440" s="8">
        <v>43415</v>
      </c>
      <c r="K440" s="8">
        <v>129</v>
      </c>
      <c r="L440" s="9" t="s">
        <v>37</v>
      </c>
      <c r="M440" s="9" t="s">
        <v>23</v>
      </c>
      <c r="N440" s="18">
        <f t="shared" si="6"/>
        <v>7.4029713232753661E-2</v>
      </c>
    </row>
    <row r="441" spans="1:14" x14ac:dyDescent="0.3">
      <c r="A441" s="5" t="s">
        <v>326</v>
      </c>
      <c r="B441" s="6" t="s">
        <v>34</v>
      </c>
      <c r="C441" s="7">
        <v>45624</v>
      </c>
      <c r="D441" s="6" t="s">
        <v>35</v>
      </c>
      <c r="E441" s="6" t="s">
        <v>36</v>
      </c>
      <c r="F441" s="8">
        <v>2751</v>
      </c>
      <c r="G441" s="8">
        <v>33</v>
      </c>
      <c r="H441" s="8">
        <v>430</v>
      </c>
      <c r="I441" s="8">
        <v>44016</v>
      </c>
      <c r="J441" s="8">
        <v>43415</v>
      </c>
      <c r="K441" s="8">
        <v>129</v>
      </c>
      <c r="L441" s="9" t="s">
        <v>31</v>
      </c>
      <c r="M441" s="9" t="s">
        <v>23</v>
      </c>
      <c r="N441" s="18">
        <f t="shared" si="6"/>
        <v>7.4029713232753661E-2</v>
      </c>
    </row>
    <row r="442" spans="1:14" x14ac:dyDescent="0.3">
      <c r="A442" s="5" t="s">
        <v>327</v>
      </c>
      <c r="B442" s="6" t="s">
        <v>27</v>
      </c>
      <c r="C442" s="7">
        <v>45646</v>
      </c>
      <c r="D442" s="6" t="s">
        <v>35</v>
      </c>
      <c r="E442" s="6" t="s">
        <v>36</v>
      </c>
      <c r="F442" s="8">
        <v>2107</v>
      </c>
      <c r="G442" s="8">
        <v>550</v>
      </c>
      <c r="H442" s="8">
        <v>349</v>
      </c>
      <c r="I442" s="8">
        <v>35819</v>
      </c>
      <c r="J442" s="8">
        <v>35340</v>
      </c>
      <c r="K442" s="8">
        <v>191</v>
      </c>
      <c r="L442" s="9" t="s">
        <v>37</v>
      </c>
      <c r="M442" s="9" t="s">
        <v>32</v>
      </c>
      <c r="N442" s="18">
        <f t="shared" si="6"/>
        <v>8.5059422750424454E-2</v>
      </c>
    </row>
    <row r="443" spans="1:14" x14ac:dyDescent="0.3">
      <c r="A443" s="5" t="s">
        <v>328</v>
      </c>
      <c r="B443" s="6" t="s">
        <v>34</v>
      </c>
      <c r="C443" s="7">
        <v>45602</v>
      </c>
      <c r="D443" s="6" t="s">
        <v>50</v>
      </c>
      <c r="E443" s="6" t="s">
        <v>51</v>
      </c>
      <c r="F443" s="8">
        <v>4663</v>
      </c>
      <c r="G443" s="8">
        <v>145</v>
      </c>
      <c r="H443" s="8">
        <v>225</v>
      </c>
      <c r="I443" s="8">
        <v>69945</v>
      </c>
      <c r="J443" s="8">
        <v>69596</v>
      </c>
      <c r="K443" s="8">
        <v>35</v>
      </c>
      <c r="L443" s="9" t="s">
        <v>22</v>
      </c>
      <c r="M443" s="9" t="s">
        <v>23</v>
      </c>
      <c r="N443" s="18">
        <f t="shared" si="6"/>
        <v>7.2317374561756423E-2</v>
      </c>
    </row>
    <row r="444" spans="1:14" x14ac:dyDescent="0.3">
      <c r="A444" s="5" t="s">
        <v>329</v>
      </c>
      <c r="B444" s="6" t="s">
        <v>34</v>
      </c>
      <c r="C444" s="7">
        <v>45613</v>
      </c>
      <c r="D444" s="6" t="s">
        <v>20</v>
      </c>
      <c r="E444" s="6" t="s">
        <v>21</v>
      </c>
      <c r="F444" s="8">
        <v>880</v>
      </c>
      <c r="G444" s="8">
        <v>297</v>
      </c>
      <c r="H444" s="8">
        <v>345</v>
      </c>
      <c r="I444" s="8">
        <v>12320</v>
      </c>
      <c r="J444" s="8">
        <v>11978</v>
      </c>
      <c r="K444" s="8">
        <v>238</v>
      </c>
      <c r="L444" s="9" t="s">
        <v>17</v>
      </c>
      <c r="M444" s="9" t="s">
        <v>23</v>
      </c>
      <c r="N444" s="18">
        <f t="shared" si="6"/>
        <v>0.12706628819502422</v>
      </c>
    </row>
    <row r="445" spans="1:14" x14ac:dyDescent="0.3">
      <c r="A445" s="5" t="s">
        <v>330</v>
      </c>
      <c r="B445" s="6" t="s">
        <v>34</v>
      </c>
      <c r="C445" s="7">
        <v>45791</v>
      </c>
      <c r="D445" s="6" t="s">
        <v>20</v>
      </c>
      <c r="E445" s="6" t="s">
        <v>21</v>
      </c>
      <c r="F445" s="8">
        <v>2634</v>
      </c>
      <c r="G445" s="8">
        <v>726</v>
      </c>
      <c r="H445" s="8">
        <v>241</v>
      </c>
      <c r="I445" s="8">
        <v>28974</v>
      </c>
      <c r="J445" s="8">
        <v>28102</v>
      </c>
      <c r="K445" s="8">
        <v>277</v>
      </c>
      <c r="L445" s="9" t="s">
        <v>31</v>
      </c>
      <c r="M445" s="9" t="s">
        <v>32</v>
      </c>
      <c r="N445" s="18">
        <f t="shared" si="6"/>
        <v>0.12814034588285531</v>
      </c>
    </row>
    <row r="446" spans="1:14" x14ac:dyDescent="0.3">
      <c r="A446" s="5" t="s">
        <v>331</v>
      </c>
      <c r="B446" s="6" t="s">
        <v>34</v>
      </c>
      <c r="C446" s="7">
        <v>45462</v>
      </c>
      <c r="D446" s="6" t="s">
        <v>35</v>
      </c>
      <c r="E446" s="6" t="s">
        <v>36</v>
      </c>
      <c r="F446" s="8">
        <v>4731</v>
      </c>
      <c r="G446" s="8">
        <v>173</v>
      </c>
      <c r="H446" s="8">
        <v>276</v>
      </c>
      <c r="I446" s="8">
        <v>28386</v>
      </c>
      <c r="J446" s="8">
        <v>28185</v>
      </c>
      <c r="K446" s="8">
        <v>89</v>
      </c>
      <c r="L446" s="9" t="s">
        <v>37</v>
      </c>
      <c r="M446" s="9" t="s">
        <v>44</v>
      </c>
      <c r="N446" s="18">
        <f t="shared" si="6"/>
        <v>0.18378570161433386</v>
      </c>
    </row>
    <row r="447" spans="1:14" x14ac:dyDescent="0.3">
      <c r="A447" s="5" t="s">
        <v>331</v>
      </c>
      <c r="B447" s="6" t="s">
        <v>34</v>
      </c>
      <c r="C447" s="7">
        <v>45462</v>
      </c>
      <c r="D447" s="6" t="s">
        <v>35</v>
      </c>
      <c r="E447" s="6" t="s">
        <v>36</v>
      </c>
      <c r="F447" s="8">
        <v>4731</v>
      </c>
      <c r="G447" s="8">
        <v>173</v>
      </c>
      <c r="H447" s="8">
        <v>276</v>
      </c>
      <c r="I447" s="8">
        <v>28386</v>
      </c>
      <c r="J447" s="8">
        <v>28185</v>
      </c>
      <c r="K447" s="8">
        <v>89</v>
      </c>
      <c r="L447" s="9" t="s">
        <v>22</v>
      </c>
      <c r="M447" s="9" t="s">
        <v>44</v>
      </c>
      <c r="N447" s="18">
        <f t="shared" si="6"/>
        <v>0.18378570161433386</v>
      </c>
    </row>
    <row r="448" spans="1:14" x14ac:dyDescent="0.3">
      <c r="A448" s="5" t="s">
        <v>332</v>
      </c>
      <c r="B448" s="6" t="s">
        <v>14</v>
      </c>
      <c r="C448" s="7">
        <v>45783</v>
      </c>
      <c r="D448" s="6" t="s">
        <v>40</v>
      </c>
      <c r="E448" s="6" t="s">
        <v>41</v>
      </c>
      <c r="F448" s="8">
        <v>1952</v>
      </c>
      <c r="G448" s="8">
        <v>344</v>
      </c>
      <c r="H448" s="8">
        <v>287</v>
      </c>
      <c r="I448" s="8">
        <v>15616</v>
      </c>
      <c r="J448" s="8">
        <v>15403</v>
      </c>
      <c r="K448" s="8">
        <v>235</v>
      </c>
      <c r="L448" s="9" t="s">
        <v>17</v>
      </c>
      <c r="M448" s="9" t="s">
        <v>32</v>
      </c>
      <c r="N448" s="18">
        <f t="shared" si="6"/>
        <v>0.16769460494708824</v>
      </c>
    </row>
    <row r="449" spans="1:14" x14ac:dyDescent="0.3">
      <c r="A449" s="5" t="s">
        <v>332</v>
      </c>
      <c r="B449" s="6" t="s">
        <v>14</v>
      </c>
      <c r="C449" s="7">
        <v>45783</v>
      </c>
      <c r="D449" s="6" t="s">
        <v>40</v>
      </c>
      <c r="E449" s="6" t="s">
        <v>41</v>
      </c>
      <c r="F449" s="8">
        <v>1952</v>
      </c>
      <c r="G449" s="8">
        <v>344</v>
      </c>
      <c r="H449" s="8">
        <v>287</v>
      </c>
      <c r="I449" s="8">
        <v>15616</v>
      </c>
      <c r="J449" s="8">
        <v>15403</v>
      </c>
      <c r="K449" s="8">
        <v>235</v>
      </c>
      <c r="L449" s="9" t="s">
        <v>22</v>
      </c>
      <c r="M449" s="9" t="s">
        <v>32</v>
      </c>
      <c r="N449" s="18">
        <f t="shared" si="6"/>
        <v>0.16769460494708824</v>
      </c>
    </row>
    <row r="450" spans="1:14" x14ac:dyDescent="0.3">
      <c r="A450" s="5" t="s">
        <v>333</v>
      </c>
      <c r="B450" s="6" t="s">
        <v>14</v>
      </c>
      <c r="C450" s="7">
        <v>45699</v>
      </c>
      <c r="D450" s="6" t="s">
        <v>50</v>
      </c>
      <c r="E450" s="6" t="s">
        <v>51</v>
      </c>
      <c r="F450" s="8">
        <v>3440</v>
      </c>
      <c r="G450" s="8">
        <v>13</v>
      </c>
      <c r="H450" s="8">
        <v>20</v>
      </c>
      <c r="I450" s="8">
        <v>58480</v>
      </c>
      <c r="J450" s="8">
        <v>58146</v>
      </c>
      <c r="K450" s="8">
        <v>210</v>
      </c>
      <c r="L450" s="9" t="s">
        <v>22</v>
      </c>
      <c r="M450" s="9" t="s">
        <v>18</v>
      </c>
      <c r="N450" s="18">
        <f t="shared" si="6"/>
        <v>5.9728958139854849E-2</v>
      </c>
    </row>
    <row r="451" spans="1:14" x14ac:dyDescent="0.3">
      <c r="A451" s="5" t="s">
        <v>333</v>
      </c>
      <c r="B451" s="6" t="s">
        <v>14</v>
      </c>
      <c r="C451" s="7">
        <v>45699</v>
      </c>
      <c r="D451" s="6" t="s">
        <v>50</v>
      </c>
      <c r="E451" s="6" t="s">
        <v>51</v>
      </c>
      <c r="F451" s="8">
        <v>3440</v>
      </c>
      <c r="G451" s="8">
        <v>13</v>
      </c>
      <c r="H451" s="8">
        <v>20</v>
      </c>
      <c r="I451" s="8">
        <v>58480</v>
      </c>
      <c r="J451" s="8">
        <v>58146</v>
      </c>
      <c r="K451" s="8">
        <v>210</v>
      </c>
      <c r="L451" s="9" t="s">
        <v>52</v>
      </c>
      <c r="M451" s="9" t="s">
        <v>18</v>
      </c>
      <c r="N451" s="18">
        <f t="shared" ref="N451:N457" si="7">SUM(F451,G451,H451)/J451</f>
        <v>5.9728958139854849E-2</v>
      </c>
    </row>
    <row r="452" spans="1:14" x14ac:dyDescent="0.3">
      <c r="A452" s="5" t="s">
        <v>334</v>
      </c>
      <c r="B452" s="6" t="s">
        <v>14</v>
      </c>
      <c r="C452" s="7">
        <v>45650</v>
      </c>
      <c r="D452" s="6" t="s">
        <v>20</v>
      </c>
      <c r="E452" s="6" t="s">
        <v>21</v>
      </c>
      <c r="F452" s="8">
        <v>2166</v>
      </c>
      <c r="G452" s="8">
        <v>354</v>
      </c>
      <c r="H452" s="8">
        <v>117</v>
      </c>
      <c r="I452" s="8">
        <v>10830</v>
      </c>
      <c r="J452" s="8">
        <v>10245</v>
      </c>
      <c r="K452" s="8">
        <v>24</v>
      </c>
      <c r="L452" s="9" t="s">
        <v>31</v>
      </c>
      <c r="M452" s="9" t="s">
        <v>18</v>
      </c>
      <c r="N452" s="18">
        <f t="shared" si="7"/>
        <v>0.257393850658858</v>
      </c>
    </row>
    <row r="453" spans="1:14" x14ac:dyDescent="0.3">
      <c r="A453" s="5" t="s">
        <v>334</v>
      </c>
      <c r="B453" s="6" t="s">
        <v>14</v>
      </c>
      <c r="C453" s="7">
        <v>45650</v>
      </c>
      <c r="D453" s="6" t="s">
        <v>20</v>
      </c>
      <c r="E453" s="6" t="s">
        <v>21</v>
      </c>
      <c r="F453" s="8">
        <v>2166</v>
      </c>
      <c r="G453" s="8">
        <v>354</v>
      </c>
      <c r="H453" s="8">
        <v>117</v>
      </c>
      <c r="I453" s="8">
        <v>10830</v>
      </c>
      <c r="J453" s="8">
        <v>10245</v>
      </c>
      <c r="K453" s="8">
        <v>24</v>
      </c>
      <c r="L453" s="9" t="s">
        <v>37</v>
      </c>
      <c r="M453" s="9" t="s">
        <v>18</v>
      </c>
      <c r="N453" s="18">
        <f t="shared" si="7"/>
        <v>0.257393850658858</v>
      </c>
    </row>
    <row r="454" spans="1:14" x14ac:dyDescent="0.3">
      <c r="A454" s="5" t="s">
        <v>335</v>
      </c>
      <c r="B454" s="6" t="s">
        <v>34</v>
      </c>
      <c r="C454" s="7">
        <v>45589</v>
      </c>
      <c r="D454" s="6" t="s">
        <v>40</v>
      </c>
      <c r="E454" s="6" t="s">
        <v>41</v>
      </c>
      <c r="F454" s="8">
        <v>4303</v>
      </c>
      <c r="G454" s="8">
        <v>451</v>
      </c>
      <c r="H454" s="8">
        <v>286</v>
      </c>
      <c r="I454" s="8">
        <v>86060</v>
      </c>
      <c r="J454" s="8">
        <v>85823</v>
      </c>
      <c r="K454" s="8">
        <v>14</v>
      </c>
      <c r="L454" s="9" t="s">
        <v>17</v>
      </c>
      <c r="M454" s="9" t="s">
        <v>23</v>
      </c>
      <c r="N454" s="18">
        <f t="shared" si="7"/>
        <v>5.8725516469943957E-2</v>
      </c>
    </row>
    <row r="455" spans="1:14" x14ac:dyDescent="0.3">
      <c r="A455" s="5" t="s">
        <v>336</v>
      </c>
      <c r="B455" s="6" t="s">
        <v>34</v>
      </c>
      <c r="C455" s="7">
        <v>45530</v>
      </c>
      <c r="D455" s="6" t="s">
        <v>40</v>
      </c>
      <c r="E455" s="6" t="s">
        <v>41</v>
      </c>
      <c r="F455" s="8">
        <v>2581</v>
      </c>
      <c r="G455" s="8">
        <v>517</v>
      </c>
      <c r="H455" s="8">
        <v>117</v>
      </c>
      <c r="I455" s="8">
        <v>23229</v>
      </c>
      <c r="J455" s="8">
        <v>22331</v>
      </c>
      <c r="K455" s="8">
        <v>70</v>
      </c>
      <c r="L455" s="9" t="s">
        <v>17</v>
      </c>
      <c r="M455" s="9" t="s">
        <v>23</v>
      </c>
      <c r="N455" s="18">
        <f t="shared" si="7"/>
        <v>0.14397026555013209</v>
      </c>
    </row>
    <row r="456" spans="1:14" x14ac:dyDescent="0.3">
      <c r="A456" s="5" t="s">
        <v>336</v>
      </c>
      <c r="B456" s="6" t="s">
        <v>34</v>
      </c>
      <c r="C456" s="7">
        <v>45530</v>
      </c>
      <c r="D456" s="6" t="s">
        <v>40</v>
      </c>
      <c r="E456" s="6" t="s">
        <v>41</v>
      </c>
      <c r="F456" s="8">
        <v>2581</v>
      </c>
      <c r="G456" s="8">
        <v>517</v>
      </c>
      <c r="H456" s="8">
        <v>117</v>
      </c>
      <c r="I456" s="8">
        <v>23229</v>
      </c>
      <c r="J456" s="8">
        <v>22331</v>
      </c>
      <c r="K456" s="8">
        <v>70</v>
      </c>
      <c r="L456" s="9" t="s">
        <v>31</v>
      </c>
      <c r="M456" s="9" t="s">
        <v>23</v>
      </c>
      <c r="N456" s="18">
        <f t="shared" si="7"/>
        <v>0.14397026555013209</v>
      </c>
    </row>
    <row r="457" spans="1:14" x14ac:dyDescent="0.3">
      <c r="A457" s="10" t="s">
        <v>337</v>
      </c>
      <c r="B457" s="11" t="s">
        <v>14</v>
      </c>
      <c r="C457" s="12">
        <v>45535</v>
      </c>
      <c r="D457" s="11" t="s">
        <v>35</v>
      </c>
      <c r="E457" s="11" t="s">
        <v>36</v>
      </c>
      <c r="F457" s="13">
        <v>4494</v>
      </c>
      <c r="G457" s="13">
        <v>717</v>
      </c>
      <c r="H457" s="13">
        <v>45</v>
      </c>
      <c r="I457" s="13">
        <v>62916</v>
      </c>
      <c r="J457" s="13">
        <v>62688</v>
      </c>
      <c r="K457" s="13">
        <v>191</v>
      </c>
      <c r="L457" s="14" t="s">
        <v>22</v>
      </c>
      <c r="M457" s="14" t="s">
        <v>18</v>
      </c>
      <c r="N457" s="18">
        <f t="shared" si="7"/>
        <v>8.3843797856049007E-2</v>
      </c>
    </row>
  </sheetData>
  <mergeCells count="1">
    <mergeCell ref="P4:R4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D8ED-A641-42F8-8AA9-582C466B948E}">
  <dimension ref="A1:Q457"/>
  <sheetViews>
    <sheetView topLeftCell="F1" workbookViewId="0">
      <selection activeCell="Q25" sqref="Q25"/>
    </sheetView>
  </sheetViews>
  <sheetFormatPr defaultRowHeight="14.4" x14ac:dyDescent="0.3"/>
  <cols>
    <col min="3" max="3" width="12.21875" customWidth="1"/>
    <col min="5" max="5" width="14.109375" customWidth="1"/>
    <col min="11" max="11" width="10.5546875" customWidth="1"/>
    <col min="12" max="12" width="15.77734375" bestFit="1" customWidth="1"/>
    <col min="13" max="13" width="18.6640625" customWidth="1"/>
    <col min="14" max="14" width="20.109375" customWidth="1"/>
    <col min="16" max="16" width="12.5546875" bestFit="1" customWidth="1"/>
    <col min="17" max="17" width="19.109375" bestFit="1" customWidth="1"/>
  </cols>
  <sheetData>
    <row r="1" spans="1:17" x14ac:dyDescent="0.3">
      <c r="A1" s="1" t="s">
        <v>345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7" t="s">
        <v>341</v>
      </c>
    </row>
    <row r="2" spans="1:17" x14ac:dyDescent="0.3">
      <c r="A2" s="5" t="s">
        <v>13</v>
      </c>
      <c r="B2" s="6" t="s">
        <v>14</v>
      </c>
      <c r="C2" s="7">
        <v>45649</v>
      </c>
      <c r="D2" s="6" t="s">
        <v>15</v>
      </c>
      <c r="E2" s="6" t="s">
        <v>16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9" t="s">
        <v>17</v>
      </c>
      <c r="M2" s="9" t="s">
        <v>18</v>
      </c>
      <c r="N2" s="18">
        <f>SUM(F2,G2,H2)/J2</f>
        <v>9.1764705882352943E-2</v>
      </c>
    </row>
    <row r="3" spans="1:17" x14ac:dyDescent="0.3">
      <c r="A3" s="5" t="s">
        <v>19</v>
      </c>
      <c r="B3" s="6" t="s">
        <v>14</v>
      </c>
      <c r="C3" s="7">
        <v>45750</v>
      </c>
      <c r="D3" s="6" t="s">
        <v>20</v>
      </c>
      <c r="E3" s="6" t="s">
        <v>21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9" t="s">
        <v>22</v>
      </c>
      <c r="M3" s="9" t="s">
        <v>23</v>
      </c>
      <c r="N3" s="18">
        <f t="shared" ref="N3:N66" si="0">SUM(F3,G3,H3)/J3</f>
        <v>7.6666200705155091E-2</v>
      </c>
    </row>
    <row r="4" spans="1:17" x14ac:dyDescent="0.3">
      <c r="A4" s="5" t="s">
        <v>24</v>
      </c>
      <c r="B4" s="6" t="s">
        <v>25</v>
      </c>
      <c r="C4" s="7">
        <v>45789</v>
      </c>
      <c r="D4" s="6" t="s">
        <v>15</v>
      </c>
      <c r="E4" s="6" t="s">
        <v>16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9" t="s">
        <v>22</v>
      </c>
      <c r="M4" s="9" t="s">
        <v>18</v>
      </c>
      <c r="N4" s="18">
        <f t="shared" si="0"/>
        <v>5.6378687364979828E-2</v>
      </c>
      <c r="P4" s="28" t="s">
        <v>353</v>
      </c>
      <c r="Q4" s="28"/>
    </row>
    <row r="5" spans="1:17" x14ac:dyDescent="0.3">
      <c r="A5" s="5" t="s">
        <v>24</v>
      </c>
      <c r="B5" s="6" t="s">
        <v>25</v>
      </c>
      <c r="C5" s="7">
        <v>45789</v>
      </c>
      <c r="D5" s="6" t="s">
        <v>15</v>
      </c>
      <c r="E5" s="6" t="s">
        <v>16</v>
      </c>
      <c r="F5" s="8">
        <v>2795</v>
      </c>
      <c r="G5" s="8">
        <v>105</v>
      </c>
      <c r="H5" s="8">
        <v>49</v>
      </c>
      <c r="I5" s="8">
        <v>53105</v>
      </c>
      <c r="J5" s="8">
        <v>52307</v>
      </c>
      <c r="K5" s="8">
        <v>204</v>
      </c>
      <c r="L5" s="9" t="s">
        <v>17</v>
      </c>
      <c r="M5" s="9" t="s">
        <v>18</v>
      </c>
      <c r="N5" s="18">
        <f t="shared" si="0"/>
        <v>5.6378687364979828E-2</v>
      </c>
      <c r="P5" s="15" t="s">
        <v>338</v>
      </c>
      <c r="Q5" t="s">
        <v>344</v>
      </c>
    </row>
    <row r="6" spans="1:17" x14ac:dyDescent="0.3">
      <c r="A6" s="5" t="s">
        <v>26</v>
      </c>
      <c r="B6" s="9" t="s">
        <v>27</v>
      </c>
      <c r="C6" s="7">
        <v>45516</v>
      </c>
      <c r="D6" s="6" t="s">
        <v>28</v>
      </c>
      <c r="E6" s="6" t="s">
        <v>29</v>
      </c>
      <c r="F6" s="8">
        <v>2404</v>
      </c>
      <c r="G6" s="8">
        <v>363</v>
      </c>
      <c r="H6" s="8">
        <v>138</v>
      </c>
      <c r="I6" s="8">
        <v>19232</v>
      </c>
      <c r="J6" s="8">
        <v>18636</v>
      </c>
      <c r="K6" s="8">
        <v>128</v>
      </c>
      <c r="L6" s="9" t="s">
        <v>17</v>
      </c>
      <c r="M6" s="9" t="s">
        <v>18</v>
      </c>
      <c r="N6" s="18">
        <f t="shared" si="0"/>
        <v>0.15588109036273878</v>
      </c>
      <c r="P6" s="16" t="s">
        <v>35</v>
      </c>
      <c r="Q6" s="20">
        <v>0.97022076633209731</v>
      </c>
    </row>
    <row r="7" spans="1:17" x14ac:dyDescent="0.3">
      <c r="A7" s="5" t="s">
        <v>30</v>
      </c>
      <c r="B7" s="6" t="s">
        <v>25</v>
      </c>
      <c r="C7" s="7">
        <v>45469</v>
      </c>
      <c r="D7" s="6" t="s">
        <v>15</v>
      </c>
      <c r="E7" s="6" t="s">
        <v>16</v>
      </c>
      <c r="F7" s="8">
        <v>3557</v>
      </c>
      <c r="G7" s="8">
        <v>687</v>
      </c>
      <c r="H7" s="8">
        <v>424</v>
      </c>
      <c r="I7" s="8">
        <v>71140</v>
      </c>
      <c r="J7" s="8">
        <v>70701</v>
      </c>
      <c r="K7" s="8">
        <v>224</v>
      </c>
      <c r="L7" s="9" t="s">
        <v>31</v>
      </c>
      <c r="M7" s="9" t="s">
        <v>32</v>
      </c>
      <c r="N7" s="18">
        <f t="shared" si="0"/>
        <v>6.6024525820002553E-2</v>
      </c>
      <c r="P7" s="16" t="s">
        <v>40</v>
      </c>
      <c r="Q7" s="20">
        <v>0.14391468210270705</v>
      </c>
    </row>
    <row r="8" spans="1:17" x14ac:dyDescent="0.3">
      <c r="A8" s="5" t="s">
        <v>30</v>
      </c>
      <c r="B8" s="6" t="s">
        <v>25</v>
      </c>
      <c r="C8" s="7">
        <v>45469</v>
      </c>
      <c r="D8" s="6" t="s">
        <v>15</v>
      </c>
      <c r="E8" s="6" t="s">
        <v>16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9" t="s">
        <v>22</v>
      </c>
      <c r="M8" s="9" t="s">
        <v>32</v>
      </c>
      <c r="N8" s="18">
        <f t="shared" si="0"/>
        <v>6.6024525820002553E-2</v>
      </c>
      <c r="P8" s="16" t="s">
        <v>50</v>
      </c>
      <c r="Q8" s="20">
        <v>0.1709966835364663</v>
      </c>
    </row>
    <row r="9" spans="1:17" x14ac:dyDescent="0.3">
      <c r="A9" s="5" t="s">
        <v>33</v>
      </c>
      <c r="B9" s="6" t="s">
        <v>34</v>
      </c>
      <c r="C9" s="7">
        <v>45596</v>
      </c>
      <c r="D9" s="6" t="s">
        <v>35</v>
      </c>
      <c r="E9" s="6" t="s">
        <v>36</v>
      </c>
      <c r="F9" s="8">
        <v>2945</v>
      </c>
      <c r="G9" s="8">
        <v>930</v>
      </c>
      <c r="H9" s="8">
        <v>355</v>
      </c>
      <c r="I9" s="8">
        <v>23560</v>
      </c>
      <c r="J9" s="8">
        <v>23275</v>
      </c>
      <c r="K9" s="8">
        <v>256</v>
      </c>
      <c r="L9" s="9" t="s">
        <v>37</v>
      </c>
      <c r="M9" s="9" t="s">
        <v>23</v>
      </c>
      <c r="N9" s="18">
        <f t="shared" si="0"/>
        <v>0.18174006444683136</v>
      </c>
      <c r="P9" s="16" t="s">
        <v>339</v>
      </c>
      <c r="Q9" s="20">
        <v>0.45358131891318815</v>
      </c>
    </row>
    <row r="10" spans="1:17" x14ac:dyDescent="0.3">
      <c r="A10" s="5" t="s">
        <v>38</v>
      </c>
      <c r="B10" s="6" t="s">
        <v>14</v>
      </c>
      <c r="C10" s="7">
        <v>45467</v>
      </c>
      <c r="D10" s="6" t="s">
        <v>35</v>
      </c>
      <c r="E10" s="6" t="s">
        <v>36</v>
      </c>
      <c r="F10" s="8">
        <v>3860</v>
      </c>
      <c r="G10" s="8">
        <v>201</v>
      </c>
      <c r="H10" s="8">
        <v>279</v>
      </c>
      <c r="I10" s="8">
        <v>61760</v>
      </c>
      <c r="J10" s="8">
        <v>61660</v>
      </c>
      <c r="K10" s="8">
        <v>235</v>
      </c>
      <c r="L10" s="9" t="s">
        <v>37</v>
      </c>
      <c r="M10" s="9" t="s">
        <v>32</v>
      </c>
      <c r="N10" s="18">
        <f t="shared" si="0"/>
        <v>7.0385987674343176E-2</v>
      </c>
    </row>
    <row r="11" spans="1:17" x14ac:dyDescent="0.3">
      <c r="A11" s="5" t="s">
        <v>39</v>
      </c>
      <c r="B11" s="6" t="s">
        <v>25</v>
      </c>
      <c r="C11" s="7">
        <v>45486</v>
      </c>
      <c r="D11" s="6" t="s">
        <v>40</v>
      </c>
      <c r="E11" s="6" t="s">
        <v>41</v>
      </c>
      <c r="F11" s="8">
        <v>3929</v>
      </c>
      <c r="G11" s="8">
        <v>262</v>
      </c>
      <c r="H11" s="8">
        <v>278</v>
      </c>
      <c r="I11" s="8">
        <v>43219</v>
      </c>
      <c r="J11" s="8">
        <v>42841</v>
      </c>
      <c r="K11" s="8">
        <v>39</v>
      </c>
      <c r="L11" s="9" t="s">
        <v>22</v>
      </c>
      <c r="M11" s="9" t="s">
        <v>32</v>
      </c>
      <c r="N11" s="18">
        <f t="shared" si="0"/>
        <v>0.10431595901122756</v>
      </c>
    </row>
    <row r="12" spans="1:17" x14ac:dyDescent="0.3">
      <c r="A12" s="5" t="s">
        <v>39</v>
      </c>
      <c r="B12" s="6" t="s">
        <v>25</v>
      </c>
      <c r="C12" s="7">
        <v>45486</v>
      </c>
      <c r="D12" s="6" t="s">
        <v>40</v>
      </c>
      <c r="E12" s="6" t="s">
        <v>41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9" t="s">
        <v>17</v>
      </c>
      <c r="M12" s="9" t="s">
        <v>32</v>
      </c>
      <c r="N12" s="18">
        <f t="shared" si="0"/>
        <v>0.10431595901122756</v>
      </c>
    </row>
    <row r="13" spans="1:17" x14ac:dyDescent="0.3">
      <c r="A13" s="5" t="s">
        <v>42</v>
      </c>
      <c r="B13" s="6" t="s">
        <v>34</v>
      </c>
      <c r="C13" s="7">
        <v>45534</v>
      </c>
      <c r="D13" s="6" t="s">
        <v>20</v>
      </c>
      <c r="E13" s="6" t="s">
        <v>21</v>
      </c>
      <c r="F13" s="8">
        <v>3784</v>
      </c>
      <c r="G13" s="8">
        <v>808</v>
      </c>
      <c r="H13" s="8">
        <v>404</v>
      </c>
      <c r="I13" s="8">
        <v>56760</v>
      </c>
      <c r="J13" s="8">
        <v>56343</v>
      </c>
      <c r="K13" s="8">
        <v>131</v>
      </c>
      <c r="L13" s="9" t="s">
        <v>22</v>
      </c>
      <c r="M13" s="9" t="s">
        <v>32</v>
      </c>
      <c r="N13" s="18">
        <f t="shared" si="0"/>
        <v>8.8671174768826647E-2</v>
      </c>
    </row>
    <row r="14" spans="1:17" x14ac:dyDescent="0.3">
      <c r="A14" s="5" t="s">
        <v>42</v>
      </c>
      <c r="B14" s="6" t="s">
        <v>34</v>
      </c>
      <c r="C14" s="7">
        <v>45534</v>
      </c>
      <c r="D14" s="6" t="s">
        <v>20</v>
      </c>
      <c r="E14" s="6" t="s">
        <v>21</v>
      </c>
      <c r="F14" s="8">
        <v>3784</v>
      </c>
      <c r="G14" s="8">
        <v>808</v>
      </c>
      <c r="H14" s="8">
        <v>404</v>
      </c>
      <c r="I14" s="8">
        <v>56760</v>
      </c>
      <c r="J14" s="8">
        <v>56343</v>
      </c>
      <c r="K14" s="8">
        <v>131</v>
      </c>
      <c r="L14" s="9" t="s">
        <v>17</v>
      </c>
      <c r="M14" s="9" t="s">
        <v>32</v>
      </c>
      <c r="N14" s="18">
        <f t="shared" si="0"/>
        <v>8.8671174768826647E-2</v>
      </c>
    </row>
    <row r="15" spans="1:17" x14ac:dyDescent="0.3">
      <c r="A15" s="5" t="s">
        <v>43</v>
      </c>
      <c r="B15" s="6" t="s">
        <v>34</v>
      </c>
      <c r="C15" s="7">
        <v>45727</v>
      </c>
      <c r="D15" s="6" t="s">
        <v>40</v>
      </c>
      <c r="E15" s="6" t="s">
        <v>41</v>
      </c>
      <c r="F15" s="8">
        <v>4241</v>
      </c>
      <c r="G15" s="8">
        <v>902</v>
      </c>
      <c r="H15" s="8">
        <v>47</v>
      </c>
      <c r="I15" s="8">
        <v>72097</v>
      </c>
      <c r="J15" s="8">
        <v>71598</v>
      </c>
      <c r="K15" s="8">
        <v>167</v>
      </c>
      <c r="L15" s="9" t="s">
        <v>37</v>
      </c>
      <c r="M15" s="9" t="s">
        <v>44</v>
      </c>
      <c r="N15" s="18">
        <f t="shared" si="0"/>
        <v>7.2488058325651555E-2</v>
      </c>
    </row>
    <row r="16" spans="1:17" x14ac:dyDescent="0.3">
      <c r="A16" s="5" t="s">
        <v>45</v>
      </c>
      <c r="B16" s="6" t="s">
        <v>27</v>
      </c>
      <c r="C16" s="7">
        <v>45690</v>
      </c>
      <c r="D16" s="6" t="s">
        <v>28</v>
      </c>
      <c r="E16" s="6" t="s">
        <v>29</v>
      </c>
      <c r="F16" s="8">
        <v>1792</v>
      </c>
      <c r="G16" s="8">
        <v>614</v>
      </c>
      <c r="H16" s="8">
        <v>497</v>
      </c>
      <c r="I16" s="8">
        <v>25088</v>
      </c>
      <c r="J16" s="8">
        <v>24675</v>
      </c>
      <c r="K16" s="8">
        <v>65</v>
      </c>
      <c r="L16" s="9" t="s">
        <v>31</v>
      </c>
      <c r="M16" s="9" t="s">
        <v>18</v>
      </c>
      <c r="N16" s="18">
        <f t="shared" si="0"/>
        <v>0.11764944275582573</v>
      </c>
    </row>
    <row r="17" spans="1:14" x14ac:dyDescent="0.3">
      <c r="A17" s="5" t="s">
        <v>46</v>
      </c>
      <c r="B17" s="6" t="s">
        <v>34</v>
      </c>
      <c r="C17" s="7">
        <v>45494</v>
      </c>
      <c r="D17" s="6" t="s">
        <v>15</v>
      </c>
      <c r="E17" s="6" t="s">
        <v>16</v>
      </c>
      <c r="F17" s="8">
        <v>1946</v>
      </c>
      <c r="G17" s="8">
        <v>686</v>
      </c>
      <c r="H17" s="8">
        <v>377</v>
      </c>
      <c r="I17" s="8">
        <v>23352</v>
      </c>
      <c r="J17" s="8">
        <v>22982</v>
      </c>
      <c r="K17" s="8">
        <v>213</v>
      </c>
      <c r="L17" s="9" t="s">
        <v>31</v>
      </c>
      <c r="M17" s="9" t="s">
        <v>32</v>
      </c>
      <c r="N17" s="18">
        <f t="shared" si="0"/>
        <v>0.13092855278043686</v>
      </c>
    </row>
    <row r="18" spans="1:14" x14ac:dyDescent="0.3">
      <c r="A18" s="5" t="s">
        <v>46</v>
      </c>
      <c r="B18" s="6" t="s">
        <v>34</v>
      </c>
      <c r="C18" s="7">
        <v>45494</v>
      </c>
      <c r="D18" s="6" t="s">
        <v>15</v>
      </c>
      <c r="E18" s="6" t="s">
        <v>16</v>
      </c>
      <c r="F18" s="8">
        <v>1946</v>
      </c>
      <c r="G18" s="8">
        <v>686</v>
      </c>
      <c r="H18" s="8">
        <v>377</v>
      </c>
      <c r="I18" s="8">
        <v>23352</v>
      </c>
      <c r="J18" s="8">
        <v>22982</v>
      </c>
      <c r="K18" s="8">
        <v>213</v>
      </c>
      <c r="L18" s="9" t="s">
        <v>17</v>
      </c>
      <c r="M18" s="9" t="s">
        <v>32</v>
      </c>
      <c r="N18" s="18">
        <f t="shared" si="0"/>
        <v>0.13092855278043686</v>
      </c>
    </row>
    <row r="19" spans="1:14" x14ac:dyDescent="0.3">
      <c r="A19" s="5" t="s">
        <v>47</v>
      </c>
      <c r="B19" s="6" t="s">
        <v>25</v>
      </c>
      <c r="C19" s="7">
        <v>45614</v>
      </c>
      <c r="D19" s="6" t="s">
        <v>35</v>
      </c>
      <c r="E19" s="6" t="s">
        <v>36</v>
      </c>
      <c r="F19" s="8">
        <v>1171</v>
      </c>
      <c r="G19" s="8">
        <v>286</v>
      </c>
      <c r="H19" s="8">
        <v>231</v>
      </c>
      <c r="I19" s="8">
        <v>22249</v>
      </c>
      <c r="J19" s="8">
        <v>21282</v>
      </c>
      <c r="K19" s="8">
        <v>114</v>
      </c>
      <c r="L19" s="9" t="s">
        <v>22</v>
      </c>
      <c r="M19" s="9" t="s">
        <v>44</v>
      </c>
      <c r="N19" s="18">
        <f t="shared" si="0"/>
        <v>7.9315853773141626E-2</v>
      </c>
    </row>
    <row r="20" spans="1:14" x14ac:dyDescent="0.3">
      <c r="A20" s="5" t="s">
        <v>48</v>
      </c>
      <c r="B20" s="6" t="s">
        <v>34</v>
      </c>
      <c r="C20" s="7">
        <v>45704</v>
      </c>
      <c r="D20" s="6" t="s">
        <v>28</v>
      </c>
      <c r="E20" s="6" t="s">
        <v>29</v>
      </c>
      <c r="F20" s="8">
        <v>4242</v>
      </c>
      <c r="G20" s="8">
        <v>555</v>
      </c>
      <c r="H20" s="8">
        <v>131</v>
      </c>
      <c r="I20" s="8">
        <v>33936</v>
      </c>
      <c r="J20" s="8">
        <v>33802</v>
      </c>
      <c r="K20" s="8">
        <v>265</v>
      </c>
      <c r="L20" s="9" t="s">
        <v>17</v>
      </c>
      <c r="M20" s="9" t="s">
        <v>32</v>
      </c>
      <c r="N20" s="18">
        <f t="shared" si="0"/>
        <v>0.14579018992958998</v>
      </c>
    </row>
    <row r="21" spans="1:14" x14ac:dyDescent="0.3">
      <c r="A21" s="5" t="s">
        <v>48</v>
      </c>
      <c r="B21" s="6" t="s">
        <v>34</v>
      </c>
      <c r="C21" s="7">
        <v>45704</v>
      </c>
      <c r="D21" s="6" t="s">
        <v>28</v>
      </c>
      <c r="E21" s="6" t="s">
        <v>29</v>
      </c>
      <c r="F21" s="8">
        <v>4242</v>
      </c>
      <c r="G21" s="8">
        <v>555</v>
      </c>
      <c r="H21" s="8">
        <v>131</v>
      </c>
      <c r="I21" s="8">
        <v>33936</v>
      </c>
      <c r="J21" s="8">
        <v>33802</v>
      </c>
      <c r="K21" s="8">
        <v>265</v>
      </c>
      <c r="L21" s="9" t="s">
        <v>22</v>
      </c>
      <c r="M21" s="9" t="s">
        <v>32</v>
      </c>
      <c r="N21" s="18">
        <f t="shared" si="0"/>
        <v>0.14579018992958998</v>
      </c>
    </row>
    <row r="22" spans="1:14" x14ac:dyDescent="0.3">
      <c r="A22" s="5" t="s">
        <v>49</v>
      </c>
      <c r="B22" s="6" t="s">
        <v>34</v>
      </c>
      <c r="C22" s="7">
        <v>45589</v>
      </c>
      <c r="D22" s="6" t="s">
        <v>50</v>
      </c>
      <c r="E22" s="6" t="s">
        <v>51</v>
      </c>
      <c r="F22" s="8">
        <v>3888</v>
      </c>
      <c r="G22" s="8">
        <v>604</v>
      </c>
      <c r="H22" s="8">
        <v>128</v>
      </c>
      <c r="I22" s="8">
        <v>77760</v>
      </c>
      <c r="J22" s="8">
        <v>77167</v>
      </c>
      <c r="K22" s="8">
        <v>20</v>
      </c>
      <c r="L22" s="9" t="s">
        <v>22</v>
      </c>
      <c r="M22" s="9" t="s">
        <v>18</v>
      </c>
      <c r="N22" s="18">
        <f t="shared" si="0"/>
        <v>5.9870151748804543E-2</v>
      </c>
    </row>
    <row r="23" spans="1:14" x14ac:dyDescent="0.3">
      <c r="A23" s="5" t="s">
        <v>49</v>
      </c>
      <c r="B23" s="6" t="s">
        <v>34</v>
      </c>
      <c r="C23" s="7">
        <v>45589</v>
      </c>
      <c r="D23" s="6" t="s">
        <v>50</v>
      </c>
      <c r="E23" s="6" t="s">
        <v>51</v>
      </c>
      <c r="F23" s="8">
        <v>3888</v>
      </c>
      <c r="G23" s="8">
        <v>604</v>
      </c>
      <c r="H23" s="8">
        <v>128</v>
      </c>
      <c r="I23" s="8">
        <v>77760</v>
      </c>
      <c r="J23" s="8">
        <v>77167</v>
      </c>
      <c r="K23" s="8">
        <v>20</v>
      </c>
      <c r="L23" s="9" t="s">
        <v>52</v>
      </c>
      <c r="M23" s="9" t="s">
        <v>18</v>
      </c>
      <c r="N23" s="18">
        <f t="shared" si="0"/>
        <v>5.9870151748804543E-2</v>
      </c>
    </row>
    <row r="24" spans="1:14" x14ac:dyDescent="0.3">
      <c r="A24" s="5" t="s">
        <v>53</v>
      </c>
      <c r="B24" s="6" t="s">
        <v>34</v>
      </c>
      <c r="C24" s="7">
        <v>45530</v>
      </c>
      <c r="D24" s="6" t="s">
        <v>20</v>
      </c>
      <c r="E24" s="6" t="s">
        <v>21</v>
      </c>
      <c r="F24" s="8">
        <v>3452</v>
      </c>
      <c r="G24" s="8">
        <v>377</v>
      </c>
      <c r="H24" s="8">
        <v>360</v>
      </c>
      <c r="I24" s="8">
        <v>55232</v>
      </c>
      <c r="J24" s="8">
        <v>55075</v>
      </c>
      <c r="K24" s="8">
        <v>87</v>
      </c>
      <c r="L24" s="9" t="s">
        <v>17</v>
      </c>
      <c r="M24" s="9" t="s">
        <v>32</v>
      </c>
      <c r="N24" s="18">
        <f t="shared" si="0"/>
        <v>7.6059918293236495E-2</v>
      </c>
    </row>
    <row r="25" spans="1:14" x14ac:dyDescent="0.3">
      <c r="A25" s="5" t="s">
        <v>53</v>
      </c>
      <c r="B25" s="6" t="s">
        <v>34</v>
      </c>
      <c r="C25" s="7">
        <v>45530</v>
      </c>
      <c r="D25" s="6" t="s">
        <v>20</v>
      </c>
      <c r="E25" s="6" t="s">
        <v>21</v>
      </c>
      <c r="F25" s="8">
        <v>3452</v>
      </c>
      <c r="G25" s="8">
        <v>377</v>
      </c>
      <c r="H25" s="8">
        <v>360</v>
      </c>
      <c r="I25" s="8">
        <v>55232</v>
      </c>
      <c r="J25" s="8">
        <v>55075</v>
      </c>
      <c r="K25" s="8">
        <v>87</v>
      </c>
      <c r="L25" s="9" t="s">
        <v>52</v>
      </c>
      <c r="M25" s="9" t="s">
        <v>32</v>
      </c>
      <c r="N25" s="18">
        <f t="shared" si="0"/>
        <v>7.6059918293236495E-2</v>
      </c>
    </row>
    <row r="26" spans="1:14" x14ac:dyDescent="0.3">
      <c r="A26" s="5" t="s">
        <v>54</v>
      </c>
      <c r="B26" s="6" t="s">
        <v>34</v>
      </c>
      <c r="C26" s="7">
        <v>45782</v>
      </c>
      <c r="D26" s="6" t="s">
        <v>20</v>
      </c>
      <c r="E26" s="6" t="s">
        <v>21</v>
      </c>
      <c r="F26" s="8">
        <v>4441</v>
      </c>
      <c r="G26" s="8">
        <v>511</v>
      </c>
      <c r="H26" s="8">
        <v>70</v>
      </c>
      <c r="I26" s="8">
        <v>53292</v>
      </c>
      <c r="J26" s="8">
        <v>53082</v>
      </c>
      <c r="K26" s="8">
        <v>159</v>
      </c>
      <c r="L26" s="9" t="s">
        <v>52</v>
      </c>
      <c r="M26" s="9" t="s">
        <v>32</v>
      </c>
      <c r="N26" s="18">
        <f t="shared" si="0"/>
        <v>9.4608341810783314E-2</v>
      </c>
    </row>
    <row r="27" spans="1:14" x14ac:dyDescent="0.3">
      <c r="A27" s="5" t="s">
        <v>55</v>
      </c>
      <c r="B27" s="6" t="s">
        <v>27</v>
      </c>
      <c r="C27" s="7">
        <v>45523</v>
      </c>
      <c r="D27" s="6" t="s">
        <v>15</v>
      </c>
      <c r="E27" s="6" t="s">
        <v>16</v>
      </c>
      <c r="F27" s="8">
        <v>3000</v>
      </c>
      <c r="G27" s="8">
        <v>382</v>
      </c>
      <c r="H27" s="8">
        <v>325</v>
      </c>
      <c r="I27" s="8">
        <v>36000</v>
      </c>
      <c r="J27" s="8">
        <v>35819</v>
      </c>
      <c r="K27" s="8">
        <v>19</v>
      </c>
      <c r="L27" s="9" t="s">
        <v>31</v>
      </c>
      <c r="M27" s="9" t="s">
        <v>23</v>
      </c>
      <c r="N27" s="18">
        <f t="shared" si="0"/>
        <v>0.10349255981462352</v>
      </c>
    </row>
    <row r="28" spans="1:14" x14ac:dyDescent="0.3">
      <c r="A28" s="5" t="s">
        <v>56</v>
      </c>
      <c r="B28" s="6" t="s">
        <v>27</v>
      </c>
      <c r="C28" s="7">
        <v>45466</v>
      </c>
      <c r="D28" s="6" t="s">
        <v>50</v>
      </c>
      <c r="E28" s="6" t="s">
        <v>51</v>
      </c>
      <c r="F28" s="8">
        <v>1071</v>
      </c>
      <c r="G28" s="8">
        <v>519</v>
      </c>
      <c r="H28" s="8">
        <v>22</v>
      </c>
      <c r="I28" s="8">
        <v>16065</v>
      </c>
      <c r="J28" s="8">
        <v>15865</v>
      </c>
      <c r="K28" s="8">
        <v>103</v>
      </c>
      <c r="L28" s="9" t="s">
        <v>17</v>
      </c>
      <c r="M28" s="9" t="s">
        <v>32</v>
      </c>
      <c r="N28" s="18">
        <f t="shared" si="0"/>
        <v>0.10160731169240467</v>
      </c>
    </row>
    <row r="29" spans="1:14" x14ac:dyDescent="0.3">
      <c r="A29" s="5" t="s">
        <v>56</v>
      </c>
      <c r="B29" s="6" t="s">
        <v>27</v>
      </c>
      <c r="C29" s="7">
        <v>45466</v>
      </c>
      <c r="D29" s="6" t="s">
        <v>50</v>
      </c>
      <c r="E29" s="6" t="s">
        <v>51</v>
      </c>
      <c r="F29" s="8">
        <v>1071</v>
      </c>
      <c r="G29" s="8">
        <v>519</v>
      </c>
      <c r="H29" s="8">
        <v>22</v>
      </c>
      <c r="I29" s="8">
        <v>16065</v>
      </c>
      <c r="J29" s="8">
        <v>15865</v>
      </c>
      <c r="K29" s="8">
        <v>103</v>
      </c>
      <c r="L29" s="9" t="s">
        <v>31</v>
      </c>
      <c r="M29" s="9" t="s">
        <v>32</v>
      </c>
      <c r="N29" s="18">
        <f t="shared" si="0"/>
        <v>0.10160731169240467</v>
      </c>
    </row>
    <row r="30" spans="1:14" x14ac:dyDescent="0.3">
      <c r="A30" s="5" t="s">
        <v>57</v>
      </c>
      <c r="B30" s="6" t="s">
        <v>27</v>
      </c>
      <c r="C30" s="7">
        <v>45544</v>
      </c>
      <c r="D30" s="6" t="s">
        <v>35</v>
      </c>
      <c r="E30" s="6" t="s">
        <v>36</v>
      </c>
      <c r="F30" s="8">
        <v>4054</v>
      </c>
      <c r="G30" s="8">
        <v>488</v>
      </c>
      <c r="H30" s="8">
        <v>373</v>
      </c>
      <c r="I30" s="8">
        <v>77026</v>
      </c>
      <c r="J30" s="8">
        <v>76881</v>
      </c>
      <c r="K30" s="8">
        <v>25</v>
      </c>
      <c r="L30" s="9" t="s">
        <v>22</v>
      </c>
      <c r="M30" s="9" t="s">
        <v>32</v>
      </c>
      <c r="N30" s="18">
        <f t="shared" si="0"/>
        <v>6.3929969693422309E-2</v>
      </c>
    </row>
    <row r="31" spans="1:14" x14ac:dyDescent="0.3">
      <c r="A31" s="5" t="s">
        <v>57</v>
      </c>
      <c r="B31" s="6" t="s">
        <v>27</v>
      </c>
      <c r="C31" s="7">
        <v>45544</v>
      </c>
      <c r="D31" s="6" t="s">
        <v>35</v>
      </c>
      <c r="E31" s="6" t="s">
        <v>36</v>
      </c>
      <c r="F31" s="8">
        <v>4054</v>
      </c>
      <c r="G31" s="8">
        <v>488</v>
      </c>
      <c r="H31" s="8">
        <v>373</v>
      </c>
      <c r="I31" s="8">
        <v>77026</v>
      </c>
      <c r="J31" s="8">
        <v>76881</v>
      </c>
      <c r="K31" s="8">
        <v>25</v>
      </c>
      <c r="L31" s="9" t="s">
        <v>17</v>
      </c>
      <c r="M31" s="9" t="s">
        <v>32</v>
      </c>
      <c r="N31" s="18">
        <f t="shared" si="0"/>
        <v>6.3929969693422309E-2</v>
      </c>
    </row>
    <row r="32" spans="1:14" x14ac:dyDescent="0.3">
      <c r="A32" s="5" t="s">
        <v>58</v>
      </c>
      <c r="B32" s="6" t="s">
        <v>27</v>
      </c>
      <c r="C32" s="7">
        <v>45661</v>
      </c>
      <c r="D32" s="6" t="s">
        <v>15</v>
      </c>
      <c r="E32" s="6" t="s">
        <v>16</v>
      </c>
      <c r="F32" s="8">
        <v>4838</v>
      </c>
      <c r="G32" s="8">
        <v>640</v>
      </c>
      <c r="H32" s="8">
        <v>128</v>
      </c>
      <c r="I32" s="8">
        <v>72570</v>
      </c>
      <c r="J32" s="8">
        <v>72396</v>
      </c>
      <c r="K32" s="8">
        <v>83</v>
      </c>
      <c r="L32" s="9" t="s">
        <v>31</v>
      </c>
      <c r="M32" s="9" t="s">
        <v>32</v>
      </c>
      <c r="N32" s="18">
        <f t="shared" si="0"/>
        <v>7.7435217415326815E-2</v>
      </c>
    </row>
    <row r="33" spans="1:14" x14ac:dyDescent="0.3">
      <c r="A33" s="5" t="s">
        <v>58</v>
      </c>
      <c r="B33" s="6" t="s">
        <v>27</v>
      </c>
      <c r="C33" s="7">
        <v>45661</v>
      </c>
      <c r="D33" s="6" t="s">
        <v>15</v>
      </c>
      <c r="E33" s="6" t="s">
        <v>16</v>
      </c>
      <c r="F33" s="8">
        <v>4838</v>
      </c>
      <c r="G33" s="8">
        <v>640</v>
      </c>
      <c r="H33" s="8">
        <v>128</v>
      </c>
      <c r="I33" s="8">
        <v>72570</v>
      </c>
      <c r="J33" s="8">
        <v>72396</v>
      </c>
      <c r="K33" s="8">
        <v>83</v>
      </c>
      <c r="L33" s="9" t="s">
        <v>37</v>
      </c>
      <c r="M33" s="9" t="s">
        <v>32</v>
      </c>
      <c r="N33" s="18">
        <f t="shared" si="0"/>
        <v>7.7435217415326815E-2</v>
      </c>
    </row>
    <row r="34" spans="1:14" x14ac:dyDescent="0.3">
      <c r="A34" s="5" t="s">
        <v>59</v>
      </c>
      <c r="B34" s="6" t="s">
        <v>34</v>
      </c>
      <c r="C34" s="7">
        <v>45715</v>
      </c>
      <c r="D34" s="6" t="s">
        <v>20</v>
      </c>
      <c r="E34" s="6" t="s">
        <v>21</v>
      </c>
      <c r="F34" s="8">
        <v>1570</v>
      </c>
      <c r="G34" s="8">
        <v>187</v>
      </c>
      <c r="H34" s="8">
        <v>260</v>
      </c>
      <c r="I34" s="8">
        <v>25120</v>
      </c>
      <c r="J34" s="8">
        <v>24613</v>
      </c>
      <c r="K34" s="8">
        <v>133</v>
      </c>
      <c r="L34" s="9" t="s">
        <v>17</v>
      </c>
      <c r="M34" s="9" t="s">
        <v>44</v>
      </c>
      <c r="N34" s="18">
        <f t="shared" si="0"/>
        <v>8.1948563767114943E-2</v>
      </c>
    </row>
    <row r="35" spans="1:14" x14ac:dyDescent="0.3">
      <c r="A35" s="5" t="s">
        <v>60</v>
      </c>
      <c r="B35" s="6" t="s">
        <v>34</v>
      </c>
      <c r="C35" s="7">
        <v>45602</v>
      </c>
      <c r="D35" s="6" t="s">
        <v>50</v>
      </c>
      <c r="E35" s="6" t="s">
        <v>51</v>
      </c>
      <c r="F35" s="8">
        <v>1606</v>
      </c>
      <c r="G35" s="8">
        <v>547</v>
      </c>
      <c r="H35" s="8">
        <v>316</v>
      </c>
      <c r="I35" s="8">
        <v>32120</v>
      </c>
      <c r="J35" s="8">
        <v>31736</v>
      </c>
      <c r="K35" s="8">
        <v>225</v>
      </c>
      <c r="L35" s="9" t="s">
        <v>17</v>
      </c>
      <c r="M35" s="9" t="s">
        <v>32</v>
      </c>
      <c r="N35" s="18">
        <f t="shared" si="0"/>
        <v>7.7798084194605502E-2</v>
      </c>
    </row>
    <row r="36" spans="1:14" x14ac:dyDescent="0.3">
      <c r="A36" s="5" t="s">
        <v>61</v>
      </c>
      <c r="B36" s="6" t="s">
        <v>34</v>
      </c>
      <c r="C36" s="7">
        <v>45680</v>
      </c>
      <c r="D36" s="6" t="s">
        <v>50</v>
      </c>
      <c r="E36" s="6" t="s">
        <v>51</v>
      </c>
      <c r="F36" s="8">
        <v>3961</v>
      </c>
      <c r="G36" s="8">
        <v>761</v>
      </c>
      <c r="H36" s="8">
        <v>131</v>
      </c>
      <c r="I36" s="8">
        <v>67337</v>
      </c>
      <c r="J36" s="8">
        <v>66615</v>
      </c>
      <c r="K36" s="8">
        <v>161</v>
      </c>
      <c r="L36" s="9" t="s">
        <v>37</v>
      </c>
      <c r="M36" s="9" t="s">
        <v>23</v>
      </c>
      <c r="N36" s="18">
        <f t="shared" si="0"/>
        <v>7.2851459881408093E-2</v>
      </c>
    </row>
    <row r="37" spans="1:14" x14ac:dyDescent="0.3">
      <c r="A37" s="5" t="s">
        <v>62</v>
      </c>
      <c r="B37" s="6" t="s">
        <v>14</v>
      </c>
      <c r="C37" s="7">
        <v>45757</v>
      </c>
      <c r="D37" s="6" t="s">
        <v>35</v>
      </c>
      <c r="E37" s="6" t="s">
        <v>36</v>
      </c>
      <c r="F37" s="8">
        <v>3128</v>
      </c>
      <c r="G37" s="8">
        <v>211</v>
      </c>
      <c r="H37" s="8">
        <v>197</v>
      </c>
      <c r="I37" s="8">
        <v>59432</v>
      </c>
      <c r="J37" s="8">
        <v>59182</v>
      </c>
      <c r="K37" s="8">
        <v>238</v>
      </c>
      <c r="L37" s="9" t="s">
        <v>31</v>
      </c>
      <c r="M37" s="9" t="s">
        <v>18</v>
      </c>
      <c r="N37" s="18">
        <f t="shared" si="0"/>
        <v>5.9747896319826972E-2</v>
      </c>
    </row>
    <row r="38" spans="1:14" x14ac:dyDescent="0.3">
      <c r="A38" s="5" t="s">
        <v>62</v>
      </c>
      <c r="B38" s="6" t="s">
        <v>14</v>
      </c>
      <c r="C38" s="7">
        <v>45757</v>
      </c>
      <c r="D38" s="6" t="s">
        <v>35</v>
      </c>
      <c r="E38" s="6" t="s">
        <v>36</v>
      </c>
      <c r="F38" s="8">
        <v>3128</v>
      </c>
      <c r="G38" s="8">
        <v>211</v>
      </c>
      <c r="H38" s="8">
        <v>197</v>
      </c>
      <c r="I38" s="8">
        <v>59432</v>
      </c>
      <c r="J38" s="8">
        <v>59182</v>
      </c>
      <c r="K38" s="8">
        <v>238</v>
      </c>
      <c r="L38" s="9" t="s">
        <v>17</v>
      </c>
      <c r="M38" s="9" t="s">
        <v>18</v>
      </c>
      <c r="N38" s="18">
        <f t="shared" si="0"/>
        <v>5.9747896319826972E-2</v>
      </c>
    </row>
    <row r="39" spans="1:14" x14ac:dyDescent="0.3">
      <c r="A39" s="5" t="s">
        <v>63</v>
      </c>
      <c r="B39" s="6" t="s">
        <v>25</v>
      </c>
      <c r="C39" s="7">
        <v>45752</v>
      </c>
      <c r="D39" s="6" t="s">
        <v>15</v>
      </c>
      <c r="E39" s="6" t="s">
        <v>16</v>
      </c>
      <c r="F39" s="8">
        <v>3009</v>
      </c>
      <c r="G39" s="8">
        <v>413</v>
      </c>
      <c r="H39" s="8">
        <v>358</v>
      </c>
      <c r="I39" s="8">
        <v>42126</v>
      </c>
      <c r="J39" s="8">
        <v>41309</v>
      </c>
      <c r="K39" s="8">
        <v>211</v>
      </c>
      <c r="L39" s="9" t="s">
        <v>17</v>
      </c>
      <c r="M39" s="9" t="s">
        <v>23</v>
      </c>
      <c r="N39" s="18">
        <f t="shared" si="0"/>
        <v>9.1505483066644078E-2</v>
      </c>
    </row>
    <row r="40" spans="1:14" x14ac:dyDescent="0.3">
      <c r="A40" s="5" t="s">
        <v>64</v>
      </c>
      <c r="B40" s="6" t="s">
        <v>25</v>
      </c>
      <c r="C40" s="7">
        <v>45552</v>
      </c>
      <c r="D40" s="6" t="s">
        <v>20</v>
      </c>
      <c r="E40" s="6" t="s">
        <v>21</v>
      </c>
      <c r="F40" s="8">
        <v>2076</v>
      </c>
      <c r="G40" s="8">
        <v>195</v>
      </c>
      <c r="H40" s="8">
        <v>104</v>
      </c>
      <c r="I40" s="8">
        <v>33216</v>
      </c>
      <c r="J40" s="8">
        <v>32244</v>
      </c>
      <c r="K40" s="8">
        <v>51</v>
      </c>
      <c r="L40" s="9" t="s">
        <v>37</v>
      </c>
      <c r="M40" s="9" t="s">
        <v>44</v>
      </c>
      <c r="N40" s="18">
        <f t="shared" si="0"/>
        <v>7.3657114501922832E-2</v>
      </c>
    </row>
    <row r="41" spans="1:14" x14ac:dyDescent="0.3">
      <c r="A41" s="5" t="s">
        <v>65</v>
      </c>
      <c r="B41" s="6" t="s">
        <v>27</v>
      </c>
      <c r="C41" s="7">
        <v>45720</v>
      </c>
      <c r="D41" s="6" t="s">
        <v>50</v>
      </c>
      <c r="E41" s="6" t="s">
        <v>51</v>
      </c>
      <c r="F41" s="8">
        <v>432</v>
      </c>
      <c r="G41" s="8">
        <v>624</v>
      </c>
      <c r="H41" s="8">
        <v>123</v>
      </c>
      <c r="I41" s="8">
        <v>6912</v>
      </c>
      <c r="J41" s="8">
        <v>6259</v>
      </c>
      <c r="K41" s="8">
        <v>79</v>
      </c>
      <c r="L41" s="9" t="s">
        <v>17</v>
      </c>
      <c r="M41" s="9" t="s">
        <v>23</v>
      </c>
      <c r="N41" s="18">
        <f t="shared" si="0"/>
        <v>0.18836874900143794</v>
      </c>
    </row>
    <row r="42" spans="1:14" x14ac:dyDescent="0.3">
      <c r="A42" s="5" t="s">
        <v>65</v>
      </c>
      <c r="B42" s="6" t="s">
        <v>27</v>
      </c>
      <c r="C42" s="7">
        <v>45720</v>
      </c>
      <c r="D42" s="6" t="s">
        <v>50</v>
      </c>
      <c r="E42" s="6" t="s">
        <v>51</v>
      </c>
      <c r="F42" s="8">
        <v>432</v>
      </c>
      <c r="G42" s="8">
        <v>624</v>
      </c>
      <c r="H42" s="8">
        <v>123</v>
      </c>
      <c r="I42" s="8">
        <v>6912</v>
      </c>
      <c r="J42" s="8">
        <v>6259</v>
      </c>
      <c r="K42" s="8">
        <v>79</v>
      </c>
      <c r="L42" s="9" t="s">
        <v>37</v>
      </c>
      <c r="M42" s="9" t="s">
        <v>23</v>
      </c>
      <c r="N42" s="18">
        <f t="shared" si="0"/>
        <v>0.18836874900143794</v>
      </c>
    </row>
    <row r="43" spans="1:14" x14ac:dyDescent="0.3">
      <c r="A43" s="5" t="s">
        <v>66</v>
      </c>
      <c r="B43" s="6" t="s">
        <v>27</v>
      </c>
      <c r="C43" s="7">
        <v>45688</v>
      </c>
      <c r="D43" s="6" t="s">
        <v>35</v>
      </c>
      <c r="E43" s="6" t="s">
        <v>36</v>
      </c>
      <c r="F43" s="8">
        <v>2566</v>
      </c>
      <c r="G43" s="8">
        <v>118</v>
      </c>
      <c r="H43" s="8">
        <v>37</v>
      </c>
      <c r="I43" s="8">
        <v>12830</v>
      </c>
      <c r="J43" s="8">
        <v>12264</v>
      </c>
      <c r="K43" s="8">
        <v>221</v>
      </c>
      <c r="L43" s="9" t="s">
        <v>37</v>
      </c>
      <c r="M43" s="9" t="s">
        <v>32</v>
      </c>
      <c r="N43" s="18">
        <f t="shared" si="0"/>
        <v>0.22186888454011741</v>
      </c>
    </row>
    <row r="44" spans="1:14" x14ac:dyDescent="0.3">
      <c r="A44" s="5" t="s">
        <v>66</v>
      </c>
      <c r="B44" s="6" t="s">
        <v>27</v>
      </c>
      <c r="C44" s="7">
        <v>45688</v>
      </c>
      <c r="D44" s="6" t="s">
        <v>35</v>
      </c>
      <c r="E44" s="6" t="s">
        <v>36</v>
      </c>
      <c r="F44" s="8">
        <v>2566</v>
      </c>
      <c r="G44" s="8">
        <v>118</v>
      </c>
      <c r="H44" s="8">
        <v>37</v>
      </c>
      <c r="I44" s="8">
        <v>12830</v>
      </c>
      <c r="J44" s="8">
        <v>12264</v>
      </c>
      <c r="K44" s="8">
        <v>221</v>
      </c>
      <c r="L44" s="9" t="s">
        <v>22</v>
      </c>
      <c r="M44" s="9" t="s">
        <v>32</v>
      </c>
      <c r="N44" s="18">
        <f t="shared" si="0"/>
        <v>0.22186888454011741</v>
      </c>
    </row>
    <row r="45" spans="1:14" x14ac:dyDescent="0.3">
      <c r="A45" s="5" t="s">
        <v>67</v>
      </c>
      <c r="B45" s="6" t="s">
        <v>27</v>
      </c>
      <c r="C45" s="7">
        <v>45713</v>
      </c>
      <c r="D45" s="6" t="s">
        <v>50</v>
      </c>
      <c r="E45" s="6" t="s">
        <v>51</v>
      </c>
      <c r="F45" s="8">
        <v>3095</v>
      </c>
      <c r="G45" s="8">
        <v>39</v>
      </c>
      <c r="H45" s="8">
        <v>78</v>
      </c>
      <c r="I45" s="8">
        <v>55710</v>
      </c>
      <c r="J45" s="8">
        <v>54808</v>
      </c>
      <c r="K45" s="8">
        <v>93</v>
      </c>
      <c r="L45" s="9" t="s">
        <v>17</v>
      </c>
      <c r="M45" s="9" t="s">
        <v>44</v>
      </c>
      <c r="N45" s="18">
        <f t="shared" si="0"/>
        <v>5.8604583272514964E-2</v>
      </c>
    </row>
    <row r="46" spans="1:14" x14ac:dyDescent="0.3">
      <c r="A46" s="5" t="s">
        <v>68</v>
      </c>
      <c r="B46" s="6" t="s">
        <v>27</v>
      </c>
      <c r="C46" s="7">
        <v>45642</v>
      </c>
      <c r="D46" s="6" t="s">
        <v>20</v>
      </c>
      <c r="E46" s="6" t="s">
        <v>21</v>
      </c>
      <c r="F46" s="8">
        <v>438</v>
      </c>
      <c r="G46" s="8">
        <v>153</v>
      </c>
      <c r="H46" s="8">
        <v>275</v>
      </c>
      <c r="I46" s="8">
        <v>3066</v>
      </c>
      <c r="J46" s="8">
        <v>2701</v>
      </c>
      <c r="K46" s="8">
        <v>282</v>
      </c>
      <c r="L46" s="9" t="s">
        <v>37</v>
      </c>
      <c r="M46" s="9" t="s">
        <v>44</v>
      </c>
      <c r="N46" s="18">
        <f t="shared" si="0"/>
        <v>0.32062199185486856</v>
      </c>
    </row>
    <row r="47" spans="1:14" x14ac:dyDescent="0.3">
      <c r="A47" s="5" t="s">
        <v>69</v>
      </c>
      <c r="B47" s="6" t="s">
        <v>14</v>
      </c>
      <c r="C47" s="7">
        <v>45504</v>
      </c>
      <c r="D47" s="6" t="s">
        <v>35</v>
      </c>
      <c r="E47" s="6" t="s">
        <v>36</v>
      </c>
      <c r="F47" s="8">
        <v>2278</v>
      </c>
      <c r="G47" s="8">
        <v>10</v>
      </c>
      <c r="H47" s="8">
        <v>321</v>
      </c>
      <c r="I47" s="8">
        <v>13668</v>
      </c>
      <c r="J47" s="8">
        <v>12676</v>
      </c>
      <c r="K47" s="8">
        <v>275</v>
      </c>
      <c r="L47" s="9" t="s">
        <v>37</v>
      </c>
      <c r="M47" s="9" t="s">
        <v>44</v>
      </c>
      <c r="N47" s="18">
        <f t="shared" si="0"/>
        <v>0.20582202587567056</v>
      </c>
    </row>
    <row r="48" spans="1:14" x14ac:dyDescent="0.3">
      <c r="A48" s="5" t="s">
        <v>69</v>
      </c>
      <c r="B48" s="6" t="s">
        <v>14</v>
      </c>
      <c r="C48" s="7">
        <v>45504</v>
      </c>
      <c r="D48" s="6" t="s">
        <v>35</v>
      </c>
      <c r="E48" s="6" t="s">
        <v>36</v>
      </c>
      <c r="F48" s="8">
        <v>2278</v>
      </c>
      <c r="G48" s="8">
        <v>10</v>
      </c>
      <c r="H48" s="8">
        <v>321</v>
      </c>
      <c r="I48" s="8">
        <v>13668</v>
      </c>
      <c r="J48" s="8">
        <v>12676</v>
      </c>
      <c r="K48" s="8">
        <v>275</v>
      </c>
      <c r="L48" s="9" t="s">
        <v>22</v>
      </c>
      <c r="M48" s="9" t="s">
        <v>44</v>
      </c>
      <c r="N48" s="18">
        <f t="shared" si="0"/>
        <v>0.20582202587567056</v>
      </c>
    </row>
    <row r="49" spans="1:14" x14ac:dyDescent="0.3">
      <c r="A49" s="5" t="s">
        <v>70</v>
      </c>
      <c r="B49" s="6" t="s">
        <v>34</v>
      </c>
      <c r="C49" s="7">
        <v>45525</v>
      </c>
      <c r="D49" s="6" t="s">
        <v>40</v>
      </c>
      <c r="E49" s="6" t="s">
        <v>41</v>
      </c>
      <c r="F49" s="8">
        <v>1407</v>
      </c>
      <c r="G49" s="8">
        <v>400</v>
      </c>
      <c r="H49" s="8">
        <v>351</v>
      </c>
      <c r="I49" s="8">
        <v>16884</v>
      </c>
      <c r="J49" s="8">
        <v>15954</v>
      </c>
      <c r="K49" s="8">
        <v>113</v>
      </c>
      <c r="L49" s="9" t="s">
        <v>22</v>
      </c>
      <c r="M49" s="9" t="s">
        <v>32</v>
      </c>
      <c r="N49" s="18">
        <f t="shared" si="0"/>
        <v>0.13526388366553843</v>
      </c>
    </row>
    <row r="50" spans="1:14" x14ac:dyDescent="0.3">
      <c r="A50" s="5" t="s">
        <v>70</v>
      </c>
      <c r="B50" s="6" t="s">
        <v>34</v>
      </c>
      <c r="C50" s="7">
        <v>45525</v>
      </c>
      <c r="D50" s="6" t="s">
        <v>40</v>
      </c>
      <c r="E50" s="6" t="s">
        <v>41</v>
      </c>
      <c r="F50" s="8">
        <v>1407</v>
      </c>
      <c r="G50" s="8">
        <v>400</v>
      </c>
      <c r="H50" s="8">
        <v>351</v>
      </c>
      <c r="I50" s="8">
        <v>16884</v>
      </c>
      <c r="J50" s="8">
        <v>15954</v>
      </c>
      <c r="K50" s="8">
        <v>113</v>
      </c>
      <c r="L50" s="9" t="s">
        <v>52</v>
      </c>
      <c r="M50" s="9" t="s">
        <v>32</v>
      </c>
      <c r="N50" s="18">
        <f t="shared" si="0"/>
        <v>0.13526388366553843</v>
      </c>
    </row>
    <row r="51" spans="1:14" x14ac:dyDescent="0.3">
      <c r="A51" s="5" t="s">
        <v>71</v>
      </c>
      <c r="B51" s="6" t="s">
        <v>34</v>
      </c>
      <c r="C51" s="7">
        <v>45742</v>
      </c>
      <c r="D51" s="6" t="s">
        <v>20</v>
      </c>
      <c r="E51" s="6" t="s">
        <v>21</v>
      </c>
      <c r="F51" s="8">
        <v>1652</v>
      </c>
      <c r="G51" s="8">
        <v>89</v>
      </c>
      <c r="H51" s="8">
        <v>357</v>
      </c>
      <c r="I51" s="8">
        <v>29736</v>
      </c>
      <c r="J51" s="8">
        <v>28771</v>
      </c>
      <c r="K51" s="8">
        <v>215</v>
      </c>
      <c r="L51" s="9" t="s">
        <v>37</v>
      </c>
      <c r="M51" s="9" t="s">
        <v>23</v>
      </c>
      <c r="N51" s="18">
        <f t="shared" si="0"/>
        <v>7.2920649264884785E-2</v>
      </c>
    </row>
    <row r="52" spans="1:14" x14ac:dyDescent="0.3">
      <c r="A52" s="5" t="s">
        <v>71</v>
      </c>
      <c r="B52" s="6" t="s">
        <v>34</v>
      </c>
      <c r="C52" s="7">
        <v>45742</v>
      </c>
      <c r="D52" s="6" t="s">
        <v>20</v>
      </c>
      <c r="E52" s="6" t="s">
        <v>21</v>
      </c>
      <c r="F52" s="8">
        <v>1652</v>
      </c>
      <c r="G52" s="8">
        <v>89</v>
      </c>
      <c r="H52" s="8">
        <v>357</v>
      </c>
      <c r="I52" s="8">
        <v>29736</v>
      </c>
      <c r="J52" s="8">
        <v>28771</v>
      </c>
      <c r="K52" s="8">
        <v>215</v>
      </c>
      <c r="L52" s="9" t="s">
        <v>52</v>
      </c>
      <c r="M52" s="9" t="s">
        <v>23</v>
      </c>
      <c r="N52" s="18">
        <f t="shared" si="0"/>
        <v>7.2920649264884785E-2</v>
      </c>
    </row>
    <row r="53" spans="1:14" x14ac:dyDescent="0.3">
      <c r="A53" s="5" t="s">
        <v>72</v>
      </c>
      <c r="B53" s="6" t="s">
        <v>27</v>
      </c>
      <c r="C53" s="7">
        <v>45626</v>
      </c>
      <c r="D53" s="6" t="s">
        <v>50</v>
      </c>
      <c r="E53" s="6" t="s">
        <v>51</v>
      </c>
      <c r="F53" s="8">
        <v>3775</v>
      </c>
      <c r="G53" s="8">
        <v>16</v>
      </c>
      <c r="H53" s="8">
        <v>239</v>
      </c>
      <c r="I53" s="8">
        <v>33975</v>
      </c>
      <c r="J53" s="8">
        <v>33310</v>
      </c>
      <c r="K53" s="8">
        <v>271</v>
      </c>
      <c r="L53" s="9" t="s">
        <v>31</v>
      </c>
      <c r="M53" s="9" t="s">
        <v>32</v>
      </c>
      <c r="N53" s="18">
        <f t="shared" si="0"/>
        <v>0.12098468928249775</v>
      </c>
    </row>
    <row r="54" spans="1:14" x14ac:dyDescent="0.3">
      <c r="A54" s="5" t="s">
        <v>72</v>
      </c>
      <c r="B54" s="6" t="s">
        <v>27</v>
      </c>
      <c r="C54" s="7">
        <v>45626</v>
      </c>
      <c r="D54" s="6" t="s">
        <v>50</v>
      </c>
      <c r="E54" s="6" t="s">
        <v>51</v>
      </c>
      <c r="F54" s="8">
        <v>3775</v>
      </c>
      <c r="G54" s="8">
        <v>16</v>
      </c>
      <c r="H54" s="8">
        <v>239</v>
      </c>
      <c r="I54" s="8">
        <v>33975</v>
      </c>
      <c r="J54" s="8">
        <v>33310</v>
      </c>
      <c r="K54" s="8">
        <v>271</v>
      </c>
      <c r="L54" s="9" t="s">
        <v>17</v>
      </c>
      <c r="M54" s="9" t="s">
        <v>32</v>
      </c>
      <c r="N54" s="18">
        <f t="shared" si="0"/>
        <v>0.12098468928249775</v>
      </c>
    </row>
    <row r="55" spans="1:14" x14ac:dyDescent="0.3">
      <c r="A55" s="5" t="s">
        <v>73</v>
      </c>
      <c r="B55" s="6" t="s">
        <v>27</v>
      </c>
      <c r="C55" s="7">
        <v>45766</v>
      </c>
      <c r="D55" s="6" t="s">
        <v>28</v>
      </c>
      <c r="E55" s="6" t="s">
        <v>29</v>
      </c>
      <c r="F55" s="8">
        <v>4518</v>
      </c>
      <c r="G55" s="8">
        <v>285</v>
      </c>
      <c r="H55" s="8">
        <v>383</v>
      </c>
      <c r="I55" s="8">
        <v>67770</v>
      </c>
      <c r="J55" s="8">
        <v>67621</v>
      </c>
      <c r="K55" s="8">
        <v>31</v>
      </c>
      <c r="L55" s="9" t="s">
        <v>52</v>
      </c>
      <c r="M55" s="9" t="s">
        <v>23</v>
      </c>
      <c r="N55" s="18">
        <f t="shared" si="0"/>
        <v>7.6692151846319931E-2</v>
      </c>
    </row>
    <row r="56" spans="1:14" x14ac:dyDescent="0.3">
      <c r="A56" s="5" t="s">
        <v>74</v>
      </c>
      <c r="B56" s="6" t="s">
        <v>34</v>
      </c>
      <c r="C56" s="7">
        <v>45663</v>
      </c>
      <c r="D56" s="6" t="s">
        <v>35</v>
      </c>
      <c r="E56" s="6" t="s">
        <v>36</v>
      </c>
      <c r="F56" s="8">
        <v>3024</v>
      </c>
      <c r="G56" s="8">
        <v>925</v>
      </c>
      <c r="H56" s="8">
        <v>350</v>
      </c>
      <c r="I56" s="8">
        <v>24192</v>
      </c>
      <c r="J56" s="8">
        <v>23518</v>
      </c>
      <c r="K56" s="8">
        <v>36</v>
      </c>
      <c r="L56" s="9" t="s">
        <v>17</v>
      </c>
      <c r="M56" s="9" t="s">
        <v>32</v>
      </c>
      <c r="N56" s="18">
        <f t="shared" si="0"/>
        <v>0.18279615613572583</v>
      </c>
    </row>
    <row r="57" spans="1:14" x14ac:dyDescent="0.3">
      <c r="A57" s="5" t="s">
        <v>75</v>
      </c>
      <c r="B57" s="6" t="s">
        <v>25</v>
      </c>
      <c r="C57" s="7">
        <v>45705</v>
      </c>
      <c r="D57" s="6" t="s">
        <v>15</v>
      </c>
      <c r="E57" s="6" t="s">
        <v>16</v>
      </c>
      <c r="F57" s="8">
        <v>3138</v>
      </c>
      <c r="G57" s="8">
        <v>123</v>
      </c>
      <c r="H57" s="8">
        <v>291</v>
      </c>
      <c r="I57" s="8">
        <v>28242</v>
      </c>
      <c r="J57" s="8">
        <v>27550</v>
      </c>
      <c r="K57" s="8">
        <v>87</v>
      </c>
      <c r="L57" s="9" t="s">
        <v>52</v>
      </c>
      <c r="M57" s="9" t="s">
        <v>44</v>
      </c>
      <c r="N57" s="18">
        <f t="shared" si="0"/>
        <v>0.12892921960072595</v>
      </c>
    </row>
    <row r="58" spans="1:14" x14ac:dyDescent="0.3">
      <c r="A58" s="5" t="s">
        <v>76</v>
      </c>
      <c r="B58" s="6" t="s">
        <v>34</v>
      </c>
      <c r="C58" s="7">
        <v>45621</v>
      </c>
      <c r="D58" s="6" t="s">
        <v>40</v>
      </c>
      <c r="E58" s="6" t="s">
        <v>41</v>
      </c>
      <c r="F58" s="8">
        <v>3564</v>
      </c>
      <c r="G58" s="8">
        <v>629</v>
      </c>
      <c r="H58" s="8">
        <v>177</v>
      </c>
      <c r="I58" s="8">
        <v>60588</v>
      </c>
      <c r="J58" s="8">
        <v>59627</v>
      </c>
      <c r="K58" s="8">
        <v>92</v>
      </c>
      <c r="L58" s="9" t="s">
        <v>52</v>
      </c>
      <c r="M58" s="9" t="s">
        <v>32</v>
      </c>
      <c r="N58" s="18">
        <f t="shared" si="0"/>
        <v>7.3288946282724268E-2</v>
      </c>
    </row>
    <row r="59" spans="1:14" x14ac:dyDescent="0.3">
      <c r="A59" s="5" t="s">
        <v>76</v>
      </c>
      <c r="B59" s="6" t="s">
        <v>34</v>
      </c>
      <c r="C59" s="7">
        <v>45621</v>
      </c>
      <c r="D59" s="6" t="s">
        <v>40</v>
      </c>
      <c r="E59" s="6" t="s">
        <v>41</v>
      </c>
      <c r="F59" s="8">
        <v>3564</v>
      </c>
      <c r="G59" s="8">
        <v>629</v>
      </c>
      <c r="H59" s="8">
        <v>177</v>
      </c>
      <c r="I59" s="8">
        <v>60588</v>
      </c>
      <c r="J59" s="8">
        <v>59627</v>
      </c>
      <c r="K59" s="8">
        <v>92</v>
      </c>
      <c r="L59" s="9" t="s">
        <v>17</v>
      </c>
      <c r="M59" s="9" t="s">
        <v>32</v>
      </c>
      <c r="N59" s="18">
        <f t="shared" si="0"/>
        <v>7.3288946282724268E-2</v>
      </c>
    </row>
    <row r="60" spans="1:14" x14ac:dyDescent="0.3">
      <c r="A60" s="5" t="s">
        <v>77</v>
      </c>
      <c r="B60" s="6" t="s">
        <v>14</v>
      </c>
      <c r="C60" s="7">
        <v>45723</v>
      </c>
      <c r="D60" s="6" t="s">
        <v>40</v>
      </c>
      <c r="E60" s="6" t="s">
        <v>41</v>
      </c>
      <c r="F60" s="8">
        <v>4750</v>
      </c>
      <c r="G60" s="8">
        <v>151</v>
      </c>
      <c r="H60" s="8">
        <v>415</v>
      </c>
      <c r="I60" s="8">
        <v>38000</v>
      </c>
      <c r="J60" s="8">
        <v>37792</v>
      </c>
      <c r="K60" s="8">
        <v>299</v>
      </c>
      <c r="L60" s="9" t="s">
        <v>31</v>
      </c>
      <c r="M60" s="9" t="s">
        <v>23</v>
      </c>
      <c r="N60" s="18">
        <f t="shared" si="0"/>
        <v>0.14066469093988146</v>
      </c>
    </row>
    <row r="61" spans="1:14" x14ac:dyDescent="0.3">
      <c r="A61" s="5" t="s">
        <v>77</v>
      </c>
      <c r="B61" s="6" t="s">
        <v>14</v>
      </c>
      <c r="C61" s="7">
        <v>45723</v>
      </c>
      <c r="D61" s="6" t="s">
        <v>40</v>
      </c>
      <c r="E61" s="6" t="s">
        <v>41</v>
      </c>
      <c r="F61" s="8">
        <v>4750</v>
      </c>
      <c r="G61" s="8">
        <v>151</v>
      </c>
      <c r="H61" s="8">
        <v>415</v>
      </c>
      <c r="I61" s="8">
        <v>38000</v>
      </c>
      <c r="J61" s="8">
        <v>37792</v>
      </c>
      <c r="K61" s="8">
        <v>299</v>
      </c>
      <c r="L61" s="9" t="s">
        <v>17</v>
      </c>
      <c r="M61" s="9" t="s">
        <v>23</v>
      </c>
      <c r="N61" s="18">
        <f t="shared" si="0"/>
        <v>0.14066469093988146</v>
      </c>
    </row>
    <row r="62" spans="1:14" x14ac:dyDescent="0.3">
      <c r="A62" s="5" t="s">
        <v>78</v>
      </c>
      <c r="B62" s="6" t="s">
        <v>27</v>
      </c>
      <c r="C62" s="7">
        <v>45724</v>
      </c>
      <c r="D62" s="6" t="s">
        <v>15</v>
      </c>
      <c r="E62" s="6" t="s">
        <v>16</v>
      </c>
      <c r="F62" s="8">
        <v>456</v>
      </c>
      <c r="G62" s="8">
        <v>629</v>
      </c>
      <c r="H62" s="8">
        <v>428</v>
      </c>
      <c r="I62" s="8">
        <v>8208</v>
      </c>
      <c r="J62" s="8">
        <v>7377</v>
      </c>
      <c r="K62" s="8">
        <v>205</v>
      </c>
      <c r="L62" s="9" t="s">
        <v>17</v>
      </c>
      <c r="M62" s="9" t="s">
        <v>32</v>
      </c>
      <c r="N62" s="18">
        <f t="shared" si="0"/>
        <v>0.20509692286837466</v>
      </c>
    </row>
    <row r="63" spans="1:14" x14ac:dyDescent="0.3">
      <c r="A63" s="5" t="s">
        <v>78</v>
      </c>
      <c r="B63" s="6" t="s">
        <v>27</v>
      </c>
      <c r="C63" s="7">
        <v>45724</v>
      </c>
      <c r="D63" s="6" t="s">
        <v>15</v>
      </c>
      <c r="E63" s="6" t="s">
        <v>16</v>
      </c>
      <c r="F63" s="8">
        <v>456</v>
      </c>
      <c r="G63" s="8">
        <v>629</v>
      </c>
      <c r="H63" s="8">
        <v>428</v>
      </c>
      <c r="I63" s="8">
        <v>8208</v>
      </c>
      <c r="J63" s="8">
        <v>7377</v>
      </c>
      <c r="K63" s="8">
        <v>205</v>
      </c>
      <c r="L63" s="9" t="s">
        <v>52</v>
      </c>
      <c r="M63" s="9" t="s">
        <v>32</v>
      </c>
      <c r="N63" s="18">
        <f t="shared" si="0"/>
        <v>0.20509692286837466</v>
      </c>
    </row>
    <row r="64" spans="1:14" x14ac:dyDescent="0.3">
      <c r="A64" s="5" t="s">
        <v>79</v>
      </c>
      <c r="B64" s="6" t="s">
        <v>25</v>
      </c>
      <c r="C64" s="7">
        <v>45721</v>
      </c>
      <c r="D64" s="6" t="s">
        <v>15</v>
      </c>
      <c r="E64" s="6" t="s">
        <v>16</v>
      </c>
      <c r="F64" s="8">
        <v>1543</v>
      </c>
      <c r="G64" s="8">
        <v>820</v>
      </c>
      <c r="H64" s="8">
        <v>333</v>
      </c>
      <c r="I64" s="8">
        <v>12344</v>
      </c>
      <c r="J64" s="8">
        <v>11496</v>
      </c>
      <c r="K64" s="8">
        <v>241</v>
      </c>
      <c r="L64" s="9" t="s">
        <v>31</v>
      </c>
      <c r="M64" s="9" t="s">
        <v>32</v>
      </c>
      <c r="N64" s="18">
        <f t="shared" si="0"/>
        <v>0.23451635351426584</v>
      </c>
    </row>
    <row r="65" spans="1:14" x14ac:dyDescent="0.3">
      <c r="A65" s="5" t="s">
        <v>80</v>
      </c>
      <c r="B65" s="6" t="s">
        <v>27</v>
      </c>
      <c r="C65" s="7">
        <v>45640</v>
      </c>
      <c r="D65" s="6" t="s">
        <v>35</v>
      </c>
      <c r="E65" s="6" t="s">
        <v>36</v>
      </c>
      <c r="F65" s="8">
        <v>2174</v>
      </c>
      <c r="G65" s="8">
        <v>658</v>
      </c>
      <c r="H65" s="8">
        <v>15</v>
      </c>
      <c r="I65" s="8">
        <v>13044</v>
      </c>
      <c r="J65" s="8">
        <v>12206</v>
      </c>
      <c r="K65" s="8">
        <v>137</v>
      </c>
      <c r="L65" s="9" t="s">
        <v>17</v>
      </c>
      <c r="M65" s="9" t="s">
        <v>44</v>
      </c>
      <c r="N65" s="18">
        <f t="shared" si="0"/>
        <v>0.23324594461740128</v>
      </c>
    </row>
    <row r="66" spans="1:14" x14ac:dyDescent="0.3">
      <c r="A66" s="5" t="s">
        <v>80</v>
      </c>
      <c r="B66" s="6" t="s">
        <v>27</v>
      </c>
      <c r="C66" s="7">
        <v>45640</v>
      </c>
      <c r="D66" s="6" t="s">
        <v>35</v>
      </c>
      <c r="E66" s="6" t="s">
        <v>36</v>
      </c>
      <c r="F66" s="8">
        <v>2174</v>
      </c>
      <c r="G66" s="8">
        <v>658</v>
      </c>
      <c r="H66" s="8">
        <v>15</v>
      </c>
      <c r="I66" s="8">
        <v>13044</v>
      </c>
      <c r="J66" s="8">
        <v>12206</v>
      </c>
      <c r="K66" s="8">
        <v>137</v>
      </c>
      <c r="L66" s="9" t="s">
        <v>22</v>
      </c>
      <c r="M66" s="9" t="s">
        <v>44</v>
      </c>
      <c r="N66" s="18">
        <f t="shared" si="0"/>
        <v>0.23324594461740128</v>
      </c>
    </row>
    <row r="67" spans="1:14" x14ac:dyDescent="0.3">
      <c r="A67" s="5" t="s">
        <v>81</v>
      </c>
      <c r="B67" s="6" t="s">
        <v>14</v>
      </c>
      <c r="C67" s="7">
        <v>45718</v>
      </c>
      <c r="D67" s="6" t="s">
        <v>40</v>
      </c>
      <c r="E67" s="6" t="s">
        <v>41</v>
      </c>
      <c r="F67" s="8">
        <v>2358</v>
      </c>
      <c r="G67" s="8">
        <v>784</v>
      </c>
      <c r="H67" s="8">
        <v>344</v>
      </c>
      <c r="I67" s="8">
        <v>35370</v>
      </c>
      <c r="J67" s="8">
        <v>34475</v>
      </c>
      <c r="K67" s="8">
        <v>216</v>
      </c>
      <c r="L67" s="9" t="s">
        <v>17</v>
      </c>
      <c r="M67" s="9" t="s">
        <v>18</v>
      </c>
      <c r="N67" s="18">
        <f t="shared" ref="N67:N130" si="1">SUM(F67,G67,H67)/J67</f>
        <v>0.10111675126903553</v>
      </c>
    </row>
    <row r="68" spans="1:14" x14ac:dyDescent="0.3">
      <c r="A68" s="5" t="s">
        <v>81</v>
      </c>
      <c r="B68" s="6" t="s">
        <v>14</v>
      </c>
      <c r="C68" s="7">
        <v>45718</v>
      </c>
      <c r="D68" s="6" t="s">
        <v>40</v>
      </c>
      <c r="E68" s="6" t="s">
        <v>41</v>
      </c>
      <c r="F68" s="8">
        <v>2358</v>
      </c>
      <c r="G68" s="8">
        <v>784</v>
      </c>
      <c r="H68" s="8">
        <v>344</v>
      </c>
      <c r="I68" s="8">
        <v>35370</v>
      </c>
      <c r="J68" s="8">
        <v>34475</v>
      </c>
      <c r="K68" s="8">
        <v>216</v>
      </c>
      <c r="L68" s="9" t="s">
        <v>31</v>
      </c>
      <c r="M68" s="9" t="s">
        <v>18</v>
      </c>
      <c r="N68" s="18">
        <f t="shared" si="1"/>
        <v>0.10111675126903553</v>
      </c>
    </row>
    <row r="69" spans="1:14" x14ac:dyDescent="0.3">
      <c r="A69" s="5" t="s">
        <v>82</v>
      </c>
      <c r="B69" s="6" t="s">
        <v>34</v>
      </c>
      <c r="C69" s="7">
        <v>45597</v>
      </c>
      <c r="D69" s="6" t="s">
        <v>50</v>
      </c>
      <c r="E69" s="6" t="s">
        <v>51</v>
      </c>
      <c r="F69" s="8">
        <v>3371</v>
      </c>
      <c r="G69" s="8">
        <v>106</v>
      </c>
      <c r="H69" s="8">
        <v>327</v>
      </c>
      <c r="I69" s="8">
        <v>50565</v>
      </c>
      <c r="J69" s="8">
        <v>49816</v>
      </c>
      <c r="K69" s="8">
        <v>176</v>
      </c>
      <c r="L69" s="9" t="s">
        <v>52</v>
      </c>
      <c r="M69" s="9" t="s">
        <v>44</v>
      </c>
      <c r="N69" s="18">
        <f t="shared" si="1"/>
        <v>7.636100851132166E-2</v>
      </c>
    </row>
    <row r="70" spans="1:14" x14ac:dyDescent="0.3">
      <c r="A70" s="5" t="s">
        <v>83</v>
      </c>
      <c r="B70" s="6" t="s">
        <v>14</v>
      </c>
      <c r="C70" s="7">
        <v>45779</v>
      </c>
      <c r="D70" s="6" t="s">
        <v>50</v>
      </c>
      <c r="E70" s="6" t="s">
        <v>51</v>
      </c>
      <c r="F70" s="8">
        <v>1108</v>
      </c>
      <c r="G70" s="8">
        <v>177</v>
      </c>
      <c r="H70" s="8">
        <v>212</v>
      </c>
      <c r="I70" s="8">
        <v>8864</v>
      </c>
      <c r="J70" s="8">
        <v>8710</v>
      </c>
      <c r="K70" s="8">
        <v>97</v>
      </c>
      <c r="L70" s="9" t="s">
        <v>22</v>
      </c>
      <c r="M70" s="9" t="s">
        <v>44</v>
      </c>
      <c r="N70" s="18">
        <f t="shared" si="1"/>
        <v>0.17187141216991964</v>
      </c>
    </row>
    <row r="71" spans="1:14" x14ac:dyDescent="0.3">
      <c r="A71" s="5" t="s">
        <v>84</v>
      </c>
      <c r="B71" s="6" t="s">
        <v>14</v>
      </c>
      <c r="C71" s="7">
        <v>45712</v>
      </c>
      <c r="D71" s="6" t="s">
        <v>35</v>
      </c>
      <c r="E71" s="6" t="s">
        <v>36</v>
      </c>
      <c r="F71" s="8">
        <v>2704</v>
      </c>
      <c r="G71" s="8">
        <v>752</v>
      </c>
      <c r="H71" s="8">
        <v>153</v>
      </c>
      <c r="I71" s="8">
        <v>21632</v>
      </c>
      <c r="J71" s="8">
        <v>20792</v>
      </c>
      <c r="K71" s="8">
        <v>127</v>
      </c>
      <c r="L71" s="9" t="s">
        <v>52</v>
      </c>
      <c r="M71" s="9" t="s">
        <v>18</v>
      </c>
      <c r="N71" s="18">
        <f t="shared" si="1"/>
        <v>0.17357637552904964</v>
      </c>
    </row>
    <row r="72" spans="1:14" x14ac:dyDescent="0.3">
      <c r="A72" s="5" t="s">
        <v>84</v>
      </c>
      <c r="B72" s="6" t="s">
        <v>14</v>
      </c>
      <c r="C72" s="7">
        <v>45712</v>
      </c>
      <c r="D72" s="6" t="s">
        <v>35</v>
      </c>
      <c r="E72" s="6" t="s">
        <v>36</v>
      </c>
      <c r="F72" s="8">
        <v>2704</v>
      </c>
      <c r="G72" s="8">
        <v>752</v>
      </c>
      <c r="H72" s="8">
        <v>153</v>
      </c>
      <c r="I72" s="8">
        <v>21632</v>
      </c>
      <c r="J72" s="8">
        <v>20792</v>
      </c>
      <c r="K72" s="8">
        <v>127</v>
      </c>
      <c r="L72" s="9" t="s">
        <v>22</v>
      </c>
      <c r="M72" s="9" t="s">
        <v>18</v>
      </c>
      <c r="N72" s="18">
        <f t="shared" si="1"/>
        <v>0.17357637552904964</v>
      </c>
    </row>
    <row r="73" spans="1:14" x14ac:dyDescent="0.3">
      <c r="A73" s="5" t="s">
        <v>85</v>
      </c>
      <c r="B73" s="6" t="s">
        <v>14</v>
      </c>
      <c r="C73" s="7">
        <v>45727</v>
      </c>
      <c r="D73" s="6" t="s">
        <v>28</v>
      </c>
      <c r="E73" s="6" t="s">
        <v>29</v>
      </c>
      <c r="F73" s="8">
        <v>1950</v>
      </c>
      <c r="G73" s="8">
        <v>295</v>
      </c>
      <c r="H73" s="8">
        <v>478</v>
      </c>
      <c r="I73" s="8">
        <v>37050</v>
      </c>
      <c r="J73" s="8">
        <v>36272</v>
      </c>
      <c r="K73" s="8">
        <v>119</v>
      </c>
      <c r="L73" s="9" t="s">
        <v>22</v>
      </c>
      <c r="M73" s="9" t="s">
        <v>44</v>
      </c>
      <c r="N73" s="18">
        <f t="shared" si="1"/>
        <v>7.5071680635200699E-2</v>
      </c>
    </row>
    <row r="74" spans="1:14" x14ac:dyDescent="0.3">
      <c r="A74" s="5" t="s">
        <v>85</v>
      </c>
      <c r="B74" s="6" t="s">
        <v>14</v>
      </c>
      <c r="C74" s="7">
        <v>45727</v>
      </c>
      <c r="D74" s="6" t="s">
        <v>28</v>
      </c>
      <c r="E74" s="6" t="s">
        <v>29</v>
      </c>
      <c r="F74" s="8">
        <v>1950</v>
      </c>
      <c r="G74" s="8">
        <v>295</v>
      </c>
      <c r="H74" s="8">
        <v>478</v>
      </c>
      <c r="I74" s="8">
        <v>37050</v>
      </c>
      <c r="J74" s="8">
        <v>36272</v>
      </c>
      <c r="K74" s="8">
        <v>119</v>
      </c>
      <c r="L74" s="9" t="s">
        <v>31</v>
      </c>
      <c r="M74" s="9" t="s">
        <v>44</v>
      </c>
      <c r="N74" s="18">
        <f t="shared" si="1"/>
        <v>7.5071680635200699E-2</v>
      </c>
    </row>
    <row r="75" spans="1:14" x14ac:dyDescent="0.3">
      <c r="A75" s="5" t="s">
        <v>86</v>
      </c>
      <c r="B75" s="6" t="s">
        <v>14</v>
      </c>
      <c r="C75" s="7">
        <v>45453</v>
      </c>
      <c r="D75" s="6" t="s">
        <v>28</v>
      </c>
      <c r="E75" s="6" t="s">
        <v>29</v>
      </c>
      <c r="F75" s="8">
        <v>2164</v>
      </c>
      <c r="G75" s="8">
        <v>549</v>
      </c>
      <c r="H75" s="8">
        <v>274</v>
      </c>
      <c r="I75" s="8">
        <v>28132</v>
      </c>
      <c r="J75" s="8">
        <v>27361</v>
      </c>
      <c r="K75" s="8">
        <v>177</v>
      </c>
      <c r="L75" s="9" t="s">
        <v>31</v>
      </c>
      <c r="M75" s="9" t="s">
        <v>18</v>
      </c>
      <c r="N75" s="18">
        <f t="shared" si="1"/>
        <v>0.10916998647710245</v>
      </c>
    </row>
    <row r="76" spans="1:14" x14ac:dyDescent="0.3">
      <c r="A76" s="5" t="s">
        <v>87</v>
      </c>
      <c r="B76" s="6" t="s">
        <v>25</v>
      </c>
      <c r="C76" s="7">
        <v>45476</v>
      </c>
      <c r="D76" s="6" t="s">
        <v>28</v>
      </c>
      <c r="E76" s="6" t="s">
        <v>29</v>
      </c>
      <c r="F76" s="8">
        <v>2754</v>
      </c>
      <c r="G76" s="8">
        <v>130</v>
      </c>
      <c r="H76" s="8">
        <v>90</v>
      </c>
      <c r="I76" s="8">
        <v>22032</v>
      </c>
      <c r="J76" s="8">
        <v>21288</v>
      </c>
      <c r="K76" s="8">
        <v>112</v>
      </c>
      <c r="L76" s="9" t="s">
        <v>22</v>
      </c>
      <c r="M76" s="9" t="s">
        <v>18</v>
      </c>
      <c r="N76" s="18">
        <f t="shared" si="1"/>
        <v>0.13970311912814731</v>
      </c>
    </row>
    <row r="77" spans="1:14" x14ac:dyDescent="0.3">
      <c r="A77" s="5" t="s">
        <v>88</v>
      </c>
      <c r="B77" s="6" t="s">
        <v>34</v>
      </c>
      <c r="C77" s="7">
        <v>45456</v>
      </c>
      <c r="D77" s="6" t="s">
        <v>35</v>
      </c>
      <c r="E77" s="6" t="s">
        <v>36</v>
      </c>
      <c r="F77" s="8">
        <v>2200</v>
      </c>
      <c r="G77" s="8">
        <v>504</v>
      </c>
      <c r="H77" s="8">
        <v>239</v>
      </c>
      <c r="I77" s="8">
        <v>37400</v>
      </c>
      <c r="J77" s="8">
        <v>36938</v>
      </c>
      <c r="K77" s="8">
        <v>225</v>
      </c>
      <c r="L77" s="9" t="s">
        <v>17</v>
      </c>
      <c r="M77" s="9" t="s">
        <v>32</v>
      </c>
      <c r="N77" s="18">
        <f t="shared" si="1"/>
        <v>7.967404840543614E-2</v>
      </c>
    </row>
    <row r="78" spans="1:14" x14ac:dyDescent="0.3">
      <c r="A78" s="5" t="s">
        <v>89</v>
      </c>
      <c r="B78" s="6" t="s">
        <v>34</v>
      </c>
      <c r="C78" s="7">
        <v>45660</v>
      </c>
      <c r="D78" s="6" t="s">
        <v>40</v>
      </c>
      <c r="E78" s="6" t="s">
        <v>41</v>
      </c>
      <c r="F78" s="8">
        <v>947</v>
      </c>
      <c r="G78" s="8">
        <v>338</v>
      </c>
      <c r="H78" s="8">
        <v>350</v>
      </c>
      <c r="I78" s="8">
        <v>10417</v>
      </c>
      <c r="J78" s="8">
        <v>9730</v>
      </c>
      <c r="K78" s="8">
        <v>34</v>
      </c>
      <c r="L78" s="9" t="s">
        <v>22</v>
      </c>
      <c r="M78" s="9" t="s">
        <v>32</v>
      </c>
      <c r="N78" s="18">
        <f t="shared" si="1"/>
        <v>0.16803699897225077</v>
      </c>
    </row>
    <row r="79" spans="1:14" x14ac:dyDescent="0.3">
      <c r="A79" s="5" t="s">
        <v>89</v>
      </c>
      <c r="B79" s="6" t="s">
        <v>34</v>
      </c>
      <c r="C79" s="7">
        <v>45660</v>
      </c>
      <c r="D79" s="6" t="s">
        <v>40</v>
      </c>
      <c r="E79" s="6" t="s">
        <v>41</v>
      </c>
      <c r="F79" s="8">
        <v>947</v>
      </c>
      <c r="G79" s="8">
        <v>338</v>
      </c>
      <c r="H79" s="8">
        <v>350</v>
      </c>
      <c r="I79" s="8">
        <v>10417</v>
      </c>
      <c r="J79" s="8">
        <v>9730</v>
      </c>
      <c r="K79" s="8">
        <v>34</v>
      </c>
      <c r="L79" s="9" t="s">
        <v>17</v>
      </c>
      <c r="M79" s="9" t="s">
        <v>32</v>
      </c>
      <c r="N79" s="18">
        <f t="shared" si="1"/>
        <v>0.16803699897225077</v>
      </c>
    </row>
    <row r="80" spans="1:14" x14ac:dyDescent="0.3">
      <c r="A80" s="5" t="s">
        <v>90</v>
      </c>
      <c r="B80" s="6" t="s">
        <v>25</v>
      </c>
      <c r="C80" s="7">
        <v>45712</v>
      </c>
      <c r="D80" s="6" t="s">
        <v>35</v>
      </c>
      <c r="E80" s="6" t="s">
        <v>36</v>
      </c>
      <c r="F80" s="8">
        <v>804</v>
      </c>
      <c r="G80" s="8">
        <v>639</v>
      </c>
      <c r="H80" s="8">
        <v>43</v>
      </c>
      <c r="I80" s="8">
        <v>4020</v>
      </c>
      <c r="J80" s="8">
        <v>3144</v>
      </c>
      <c r="K80" s="8">
        <v>11</v>
      </c>
      <c r="L80" s="9" t="s">
        <v>31</v>
      </c>
      <c r="M80" s="9" t="s">
        <v>44</v>
      </c>
      <c r="N80" s="18">
        <f t="shared" si="1"/>
        <v>0.47264631043256999</v>
      </c>
    </row>
    <row r="81" spans="1:14" x14ac:dyDescent="0.3">
      <c r="A81" s="5" t="s">
        <v>90</v>
      </c>
      <c r="B81" s="6" t="s">
        <v>25</v>
      </c>
      <c r="C81" s="7">
        <v>45712</v>
      </c>
      <c r="D81" s="6" t="s">
        <v>35</v>
      </c>
      <c r="E81" s="6" t="s">
        <v>36</v>
      </c>
      <c r="F81" s="8">
        <v>804</v>
      </c>
      <c r="G81" s="8">
        <v>639</v>
      </c>
      <c r="H81" s="8">
        <v>43</v>
      </c>
      <c r="I81" s="8">
        <v>4020</v>
      </c>
      <c r="J81" s="8">
        <v>3144</v>
      </c>
      <c r="K81" s="8">
        <v>11</v>
      </c>
      <c r="L81" s="9" t="s">
        <v>37</v>
      </c>
      <c r="M81" s="9" t="s">
        <v>44</v>
      </c>
      <c r="N81" s="18">
        <f t="shared" si="1"/>
        <v>0.47264631043256999</v>
      </c>
    </row>
    <row r="82" spans="1:14" x14ac:dyDescent="0.3">
      <c r="A82" s="5" t="s">
        <v>91</v>
      </c>
      <c r="B82" s="6" t="s">
        <v>25</v>
      </c>
      <c r="C82" s="7">
        <v>45729</v>
      </c>
      <c r="D82" s="6" t="s">
        <v>35</v>
      </c>
      <c r="E82" s="6" t="s">
        <v>36</v>
      </c>
      <c r="F82" s="8">
        <v>1686</v>
      </c>
      <c r="G82" s="8">
        <v>904</v>
      </c>
      <c r="H82" s="8">
        <v>472</v>
      </c>
      <c r="I82" s="8">
        <v>18546</v>
      </c>
      <c r="J82" s="8">
        <v>18171</v>
      </c>
      <c r="K82" s="8">
        <v>52</v>
      </c>
      <c r="L82" s="9" t="s">
        <v>22</v>
      </c>
      <c r="M82" s="9" t="s">
        <v>23</v>
      </c>
      <c r="N82" s="18">
        <f t="shared" si="1"/>
        <v>0.16851026360684607</v>
      </c>
    </row>
    <row r="83" spans="1:14" x14ac:dyDescent="0.3">
      <c r="A83" s="5" t="s">
        <v>91</v>
      </c>
      <c r="B83" s="6" t="s">
        <v>25</v>
      </c>
      <c r="C83" s="7">
        <v>45729</v>
      </c>
      <c r="D83" s="6" t="s">
        <v>35</v>
      </c>
      <c r="E83" s="6" t="s">
        <v>36</v>
      </c>
      <c r="F83" s="8">
        <v>1686</v>
      </c>
      <c r="G83" s="8">
        <v>904</v>
      </c>
      <c r="H83" s="8">
        <v>472</v>
      </c>
      <c r="I83" s="8">
        <v>18546</v>
      </c>
      <c r="J83" s="8">
        <v>18171</v>
      </c>
      <c r="K83" s="8">
        <v>52</v>
      </c>
      <c r="L83" s="9" t="s">
        <v>52</v>
      </c>
      <c r="M83" s="9" t="s">
        <v>23</v>
      </c>
      <c r="N83" s="18">
        <f t="shared" si="1"/>
        <v>0.16851026360684607</v>
      </c>
    </row>
    <row r="84" spans="1:14" x14ac:dyDescent="0.3">
      <c r="A84" s="5" t="s">
        <v>92</v>
      </c>
      <c r="B84" s="6" t="s">
        <v>34</v>
      </c>
      <c r="C84" s="7">
        <v>45460</v>
      </c>
      <c r="D84" s="6" t="s">
        <v>40</v>
      </c>
      <c r="E84" s="6" t="s">
        <v>41</v>
      </c>
      <c r="F84" s="8">
        <v>1226</v>
      </c>
      <c r="G84" s="8">
        <v>119</v>
      </c>
      <c r="H84" s="8">
        <v>7</v>
      </c>
      <c r="I84" s="8">
        <v>14712</v>
      </c>
      <c r="J84" s="8">
        <v>14049</v>
      </c>
      <c r="K84" s="8">
        <v>123</v>
      </c>
      <c r="L84" s="9" t="s">
        <v>17</v>
      </c>
      <c r="M84" s="9" t="s">
        <v>44</v>
      </c>
      <c r="N84" s="18">
        <f t="shared" si="1"/>
        <v>9.6234607445369783E-2</v>
      </c>
    </row>
    <row r="85" spans="1:14" x14ac:dyDescent="0.3">
      <c r="A85" s="5" t="s">
        <v>92</v>
      </c>
      <c r="B85" s="6" t="s">
        <v>34</v>
      </c>
      <c r="C85" s="7">
        <v>45460</v>
      </c>
      <c r="D85" s="6" t="s">
        <v>40</v>
      </c>
      <c r="E85" s="6" t="s">
        <v>41</v>
      </c>
      <c r="F85" s="8">
        <v>1226</v>
      </c>
      <c r="G85" s="8">
        <v>119</v>
      </c>
      <c r="H85" s="8">
        <v>7</v>
      </c>
      <c r="I85" s="8">
        <v>14712</v>
      </c>
      <c r="J85" s="8">
        <v>14049</v>
      </c>
      <c r="K85" s="8">
        <v>123</v>
      </c>
      <c r="L85" s="9" t="s">
        <v>37</v>
      </c>
      <c r="M85" s="9" t="s">
        <v>44</v>
      </c>
      <c r="N85" s="18">
        <f t="shared" si="1"/>
        <v>9.6234607445369783E-2</v>
      </c>
    </row>
    <row r="86" spans="1:14" x14ac:dyDescent="0.3">
      <c r="A86" s="5" t="s">
        <v>93</v>
      </c>
      <c r="B86" s="6" t="s">
        <v>34</v>
      </c>
      <c r="C86" s="7">
        <v>45644</v>
      </c>
      <c r="D86" s="6" t="s">
        <v>35</v>
      </c>
      <c r="E86" s="6" t="s">
        <v>36</v>
      </c>
      <c r="F86" s="8">
        <v>2946</v>
      </c>
      <c r="G86" s="8">
        <v>498</v>
      </c>
      <c r="H86" s="8">
        <v>367</v>
      </c>
      <c r="I86" s="8">
        <v>29460</v>
      </c>
      <c r="J86" s="8">
        <v>28527</v>
      </c>
      <c r="K86" s="8">
        <v>60</v>
      </c>
      <c r="L86" s="9" t="s">
        <v>31</v>
      </c>
      <c r="M86" s="9" t="s">
        <v>23</v>
      </c>
      <c r="N86" s="18">
        <f t="shared" si="1"/>
        <v>0.13359273670557717</v>
      </c>
    </row>
    <row r="87" spans="1:14" x14ac:dyDescent="0.3">
      <c r="A87" s="5" t="s">
        <v>93</v>
      </c>
      <c r="B87" s="6" t="s">
        <v>34</v>
      </c>
      <c r="C87" s="7">
        <v>45644</v>
      </c>
      <c r="D87" s="6" t="s">
        <v>35</v>
      </c>
      <c r="E87" s="6" t="s">
        <v>36</v>
      </c>
      <c r="F87" s="8">
        <v>2946</v>
      </c>
      <c r="G87" s="8">
        <v>498</v>
      </c>
      <c r="H87" s="8">
        <v>367</v>
      </c>
      <c r="I87" s="8">
        <v>29460</v>
      </c>
      <c r="J87" s="8">
        <v>28527</v>
      </c>
      <c r="K87" s="8">
        <v>60</v>
      </c>
      <c r="L87" s="9" t="s">
        <v>52</v>
      </c>
      <c r="M87" s="9" t="s">
        <v>23</v>
      </c>
      <c r="N87" s="18">
        <f t="shared" si="1"/>
        <v>0.13359273670557717</v>
      </c>
    </row>
    <row r="88" spans="1:14" x14ac:dyDescent="0.3">
      <c r="A88" s="5" t="s">
        <v>94</v>
      </c>
      <c r="B88" s="6" t="s">
        <v>14</v>
      </c>
      <c r="C88" s="7">
        <v>45586</v>
      </c>
      <c r="D88" s="6" t="s">
        <v>50</v>
      </c>
      <c r="E88" s="6" t="s">
        <v>51</v>
      </c>
      <c r="F88" s="8">
        <v>2825</v>
      </c>
      <c r="G88" s="8">
        <v>535</v>
      </c>
      <c r="H88" s="8">
        <v>295</v>
      </c>
      <c r="I88" s="8">
        <v>45200</v>
      </c>
      <c r="J88" s="8">
        <v>44739</v>
      </c>
      <c r="K88" s="8">
        <v>169</v>
      </c>
      <c r="L88" s="9" t="s">
        <v>31</v>
      </c>
      <c r="M88" s="9" t="s">
        <v>23</v>
      </c>
      <c r="N88" s="18">
        <f t="shared" si="1"/>
        <v>8.1696059366548196E-2</v>
      </c>
    </row>
    <row r="89" spans="1:14" x14ac:dyDescent="0.3">
      <c r="A89" s="5" t="s">
        <v>95</v>
      </c>
      <c r="B89" s="6" t="s">
        <v>27</v>
      </c>
      <c r="C89" s="7">
        <v>45762</v>
      </c>
      <c r="D89" s="6" t="s">
        <v>15</v>
      </c>
      <c r="E89" s="6" t="s">
        <v>16</v>
      </c>
      <c r="F89" s="8">
        <v>103</v>
      </c>
      <c r="G89" s="8">
        <v>770</v>
      </c>
      <c r="H89" s="8">
        <v>19</v>
      </c>
      <c r="I89" s="8">
        <v>1030</v>
      </c>
      <c r="J89" s="8">
        <v>410</v>
      </c>
      <c r="K89" s="8">
        <v>262</v>
      </c>
      <c r="L89" s="9" t="s">
        <v>17</v>
      </c>
      <c r="M89" s="9" t="s">
        <v>32</v>
      </c>
      <c r="N89" s="18">
        <f t="shared" si="1"/>
        <v>2.1756097560975611</v>
      </c>
    </row>
    <row r="90" spans="1:14" x14ac:dyDescent="0.3">
      <c r="A90" s="5" t="s">
        <v>96</v>
      </c>
      <c r="B90" s="6" t="s">
        <v>27</v>
      </c>
      <c r="C90" s="7">
        <v>45465</v>
      </c>
      <c r="D90" s="6" t="s">
        <v>20</v>
      </c>
      <c r="E90" s="6" t="s">
        <v>21</v>
      </c>
      <c r="F90" s="8">
        <v>2180</v>
      </c>
      <c r="G90" s="8">
        <v>263</v>
      </c>
      <c r="H90" s="8">
        <v>387</v>
      </c>
      <c r="I90" s="8">
        <v>30520</v>
      </c>
      <c r="J90" s="8">
        <v>30059</v>
      </c>
      <c r="K90" s="8">
        <v>174</v>
      </c>
      <c r="L90" s="9" t="s">
        <v>52</v>
      </c>
      <c r="M90" s="9" t="s">
        <v>18</v>
      </c>
      <c r="N90" s="18">
        <f t="shared" si="1"/>
        <v>9.4148175255331187E-2</v>
      </c>
    </row>
    <row r="91" spans="1:14" x14ac:dyDescent="0.3">
      <c r="A91" s="5" t="s">
        <v>97</v>
      </c>
      <c r="B91" s="6" t="s">
        <v>27</v>
      </c>
      <c r="C91" s="7">
        <v>45685</v>
      </c>
      <c r="D91" s="6" t="s">
        <v>50</v>
      </c>
      <c r="E91" s="6" t="s">
        <v>51</v>
      </c>
      <c r="F91" s="8">
        <v>904</v>
      </c>
      <c r="G91" s="8">
        <v>973</v>
      </c>
      <c r="H91" s="8">
        <v>63</v>
      </c>
      <c r="I91" s="8">
        <v>11752</v>
      </c>
      <c r="J91" s="8">
        <v>11580</v>
      </c>
      <c r="K91" s="8">
        <v>84</v>
      </c>
      <c r="L91" s="9" t="s">
        <v>31</v>
      </c>
      <c r="M91" s="9" t="s">
        <v>18</v>
      </c>
      <c r="N91" s="18">
        <f t="shared" si="1"/>
        <v>0.16753022452504318</v>
      </c>
    </row>
    <row r="92" spans="1:14" x14ac:dyDescent="0.3">
      <c r="A92" s="5" t="s">
        <v>98</v>
      </c>
      <c r="B92" s="6" t="s">
        <v>14</v>
      </c>
      <c r="C92" s="7">
        <v>45540</v>
      </c>
      <c r="D92" s="6" t="s">
        <v>50</v>
      </c>
      <c r="E92" s="6" t="s">
        <v>51</v>
      </c>
      <c r="F92" s="8">
        <v>4886</v>
      </c>
      <c r="G92" s="8">
        <v>983</v>
      </c>
      <c r="H92" s="8">
        <v>409</v>
      </c>
      <c r="I92" s="8">
        <v>43974</v>
      </c>
      <c r="J92" s="8">
        <v>43239</v>
      </c>
      <c r="K92" s="8">
        <v>65</v>
      </c>
      <c r="L92" s="9" t="s">
        <v>22</v>
      </c>
      <c r="M92" s="9" t="s">
        <v>18</v>
      </c>
      <c r="N92" s="18">
        <f t="shared" si="1"/>
        <v>0.14519299706283678</v>
      </c>
    </row>
    <row r="93" spans="1:14" x14ac:dyDescent="0.3">
      <c r="A93" s="5" t="s">
        <v>99</v>
      </c>
      <c r="B93" s="6" t="s">
        <v>14</v>
      </c>
      <c r="C93" s="7">
        <v>45618</v>
      </c>
      <c r="D93" s="6" t="s">
        <v>35</v>
      </c>
      <c r="E93" s="6" t="s">
        <v>36</v>
      </c>
      <c r="F93" s="8">
        <v>53</v>
      </c>
      <c r="G93" s="8">
        <v>81</v>
      </c>
      <c r="H93" s="8">
        <v>379</v>
      </c>
      <c r="I93" s="8">
        <v>954</v>
      </c>
      <c r="J93" s="8">
        <v>7</v>
      </c>
      <c r="K93" s="8">
        <v>148</v>
      </c>
      <c r="L93" s="9" t="s">
        <v>52</v>
      </c>
      <c r="M93" s="9" t="s">
        <v>32</v>
      </c>
      <c r="N93" s="18">
        <f t="shared" si="1"/>
        <v>73.285714285714292</v>
      </c>
    </row>
    <row r="94" spans="1:14" x14ac:dyDescent="0.3">
      <c r="A94" s="5" t="s">
        <v>100</v>
      </c>
      <c r="B94" s="6" t="s">
        <v>14</v>
      </c>
      <c r="C94" s="7">
        <v>45504</v>
      </c>
      <c r="D94" s="6" t="s">
        <v>35</v>
      </c>
      <c r="E94" s="6" t="s">
        <v>36</v>
      </c>
      <c r="F94" s="8">
        <v>4507</v>
      </c>
      <c r="G94" s="8">
        <v>217</v>
      </c>
      <c r="H94" s="8">
        <v>13</v>
      </c>
      <c r="I94" s="8">
        <v>90140</v>
      </c>
      <c r="J94" s="8">
        <v>89591</v>
      </c>
      <c r="K94" s="8">
        <v>125</v>
      </c>
      <c r="L94" s="9" t="s">
        <v>17</v>
      </c>
      <c r="M94" s="9" t="s">
        <v>18</v>
      </c>
      <c r="N94" s="18">
        <f t="shared" si="1"/>
        <v>5.2873614537174492E-2</v>
      </c>
    </row>
    <row r="95" spans="1:14" x14ac:dyDescent="0.3">
      <c r="A95" s="5" t="s">
        <v>101</v>
      </c>
      <c r="B95" s="6" t="s">
        <v>34</v>
      </c>
      <c r="C95" s="7">
        <v>45521</v>
      </c>
      <c r="D95" s="6" t="s">
        <v>40</v>
      </c>
      <c r="E95" s="6" t="s">
        <v>41</v>
      </c>
      <c r="F95" s="8">
        <v>2878</v>
      </c>
      <c r="G95" s="8">
        <v>248</v>
      </c>
      <c r="H95" s="8">
        <v>416</v>
      </c>
      <c r="I95" s="8">
        <v>43170</v>
      </c>
      <c r="J95" s="8">
        <v>42667</v>
      </c>
      <c r="K95" s="8">
        <v>75</v>
      </c>
      <c r="L95" s="9" t="s">
        <v>52</v>
      </c>
      <c r="M95" s="9" t="s">
        <v>23</v>
      </c>
      <c r="N95" s="18">
        <f t="shared" si="1"/>
        <v>8.3014976445496519E-2</v>
      </c>
    </row>
    <row r="96" spans="1:14" x14ac:dyDescent="0.3">
      <c r="A96" s="5" t="s">
        <v>101</v>
      </c>
      <c r="B96" s="6" t="s">
        <v>34</v>
      </c>
      <c r="C96" s="7">
        <v>45521</v>
      </c>
      <c r="D96" s="6" t="s">
        <v>40</v>
      </c>
      <c r="E96" s="6" t="s">
        <v>41</v>
      </c>
      <c r="F96" s="8">
        <v>2878</v>
      </c>
      <c r="G96" s="8">
        <v>248</v>
      </c>
      <c r="H96" s="8">
        <v>416</v>
      </c>
      <c r="I96" s="8">
        <v>43170</v>
      </c>
      <c r="J96" s="8">
        <v>42667</v>
      </c>
      <c r="K96" s="8">
        <v>75</v>
      </c>
      <c r="L96" s="9" t="s">
        <v>37</v>
      </c>
      <c r="M96" s="9" t="s">
        <v>23</v>
      </c>
      <c r="N96" s="18">
        <f t="shared" si="1"/>
        <v>8.3014976445496519E-2</v>
      </c>
    </row>
    <row r="97" spans="1:14" x14ac:dyDescent="0.3">
      <c r="A97" s="5" t="s">
        <v>102</v>
      </c>
      <c r="B97" s="6" t="s">
        <v>27</v>
      </c>
      <c r="C97" s="7">
        <v>45744</v>
      </c>
      <c r="D97" s="6" t="s">
        <v>28</v>
      </c>
      <c r="E97" s="6" t="s">
        <v>29</v>
      </c>
      <c r="F97" s="8">
        <v>1881</v>
      </c>
      <c r="G97" s="8">
        <v>501</v>
      </c>
      <c r="H97" s="8">
        <v>99</v>
      </c>
      <c r="I97" s="8">
        <v>20691</v>
      </c>
      <c r="J97" s="8">
        <v>19987</v>
      </c>
      <c r="K97" s="8">
        <v>289</v>
      </c>
      <c r="L97" s="9" t="s">
        <v>52</v>
      </c>
      <c r="M97" s="9" t="s">
        <v>23</v>
      </c>
      <c r="N97" s="18">
        <f t="shared" si="1"/>
        <v>0.12413068494521438</v>
      </c>
    </row>
    <row r="98" spans="1:14" x14ac:dyDescent="0.3">
      <c r="A98" s="5" t="s">
        <v>103</v>
      </c>
      <c r="B98" s="6" t="s">
        <v>14</v>
      </c>
      <c r="C98" s="7">
        <v>45499</v>
      </c>
      <c r="D98" s="6" t="s">
        <v>35</v>
      </c>
      <c r="E98" s="6" t="s">
        <v>36</v>
      </c>
      <c r="F98" s="8">
        <v>432</v>
      </c>
      <c r="G98" s="8">
        <v>171</v>
      </c>
      <c r="H98" s="8">
        <v>280</v>
      </c>
      <c r="I98" s="8">
        <v>3024</v>
      </c>
      <c r="J98" s="8">
        <v>2285</v>
      </c>
      <c r="K98" s="8">
        <v>184</v>
      </c>
      <c r="L98" s="9" t="s">
        <v>22</v>
      </c>
      <c r="M98" s="9" t="s">
        <v>32</v>
      </c>
      <c r="N98" s="18">
        <f t="shared" si="1"/>
        <v>0.3864332603938731</v>
      </c>
    </row>
    <row r="99" spans="1:14" x14ac:dyDescent="0.3">
      <c r="A99" s="5" t="s">
        <v>104</v>
      </c>
      <c r="B99" s="6" t="s">
        <v>34</v>
      </c>
      <c r="C99" s="7">
        <v>45745</v>
      </c>
      <c r="D99" s="6" t="s">
        <v>35</v>
      </c>
      <c r="E99" s="6" t="s">
        <v>36</v>
      </c>
      <c r="F99" s="8">
        <v>4712</v>
      </c>
      <c r="G99" s="8">
        <v>568</v>
      </c>
      <c r="H99" s="8">
        <v>127</v>
      </c>
      <c r="I99" s="8">
        <v>84816</v>
      </c>
      <c r="J99" s="8">
        <v>84691</v>
      </c>
      <c r="K99" s="8">
        <v>100</v>
      </c>
      <c r="L99" s="9" t="s">
        <v>52</v>
      </c>
      <c r="M99" s="9" t="s">
        <v>18</v>
      </c>
      <c r="N99" s="18">
        <f t="shared" si="1"/>
        <v>6.3843855899682375E-2</v>
      </c>
    </row>
    <row r="100" spans="1:14" x14ac:dyDescent="0.3">
      <c r="A100" s="5" t="s">
        <v>105</v>
      </c>
      <c r="B100" s="6" t="s">
        <v>27</v>
      </c>
      <c r="C100" s="7">
        <v>45634</v>
      </c>
      <c r="D100" s="6" t="s">
        <v>28</v>
      </c>
      <c r="E100" s="6" t="s">
        <v>29</v>
      </c>
      <c r="F100" s="8">
        <v>2610</v>
      </c>
      <c r="G100" s="8">
        <v>126</v>
      </c>
      <c r="H100" s="8">
        <v>288</v>
      </c>
      <c r="I100" s="8">
        <v>15660</v>
      </c>
      <c r="J100" s="8">
        <v>15145</v>
      </c>
      <c r="K100" s="8">
        <v>73</v>
      </c>
      <c r="L100" s="9" t="s">
        <v>22</v>
      </c>
      <c r="M100" s="9" t="s">
        <v>18</v>
      </c>
      <c r="N100" s="18">
        <f t="shared" si="1"/>
        <v>0.19966985803895676</v>
      </c>
    </row>
    <row r="101" spans="1:14" x14ac:dyDescent="0.3">
      <c r="A101" s="5" t="s">
        <v>106</v>
      </c>
      <c r="B101" s="6" t="s">
        <v>14</v>
      </c>
      <c r="C101" s="7">
        <v>45724</v>
      </c>
      <c r="D101" s="6" t="s">
        <v>20</v>
      </c>
      <c r="E101" s="6" t="s">
        <v>21</v>
      </c>
      <c r="F101" s="8">
        <v>1292</v>
      </c>
      <c r="G101" s="8">
        <v>626</v>
      </c>
      <c r="H101" s="8">
        <v>496</v>
      </c>
      <c r="I101" s="8">
        <v>25840</v>
      </c>
      <c r="J101" s="8">
        <v>24916</v>
      </c>
      <c r="K101" s="8">
        <v>149</v>
      </c>
      <c r="L101" s="9" t="s">
        <v>31</v>
      </c>
      <c r="M101" s="9" t="s">
        <v>44</v>
      </c>
      <c r="N101" s="18">
        <f t="shared" si="1"/>
        <v>9.6885535398940445E-2</v>
      </c>
    </row>
    <row r="102" spans="1:14" x14ac:dyDescent="0.3">
      <c r="A102" s="5" t="s">
        <v>106</v>
      </c>
      <c r="B102" s="6" t="s">
        <v>14</v>
      </c>
      <c r="C102" s="7">
        <v>45724</v>
      </c>
      <c r="D102" s="6" t="s">
        <v>20</v>
      </c>
      <c r="E102" s="6" t="s">
        <v>21</v>
      </c>
      <c r="F102" s="8">
        <v>1292</v>
      </c>
      <c r="G102" s="8">
        <v>626</v>
      </c>
      <c r="H102" s="8">
        <v>496</v>
      </c>
      <c r="I102" s="8">
        <v>25840</v>
      </c>
      <c r="J102" s="8">
        <v>24916</v>
      </c>
      <c r="K102" s="8">
        <v>149</v>
      </c>
      <c r="L102" s="9" t="s">
        <v>37</v>
      </c>
      <c r="M102" s="9" t="s">
        <v>44</v>
      </c>
      <c r="N102" s="18">
        <f t="shared" si="1"/>
        <v>9.6885535398940445E-2</v>
      </c>
    </row>
    <row r="103" spans="1:14" x14ac:dyDescent="0.3">
      <c r="A103" s="5" t="s">
        <v>107</v>
      </c>
      <c r="B103" s="6" t="s">
        <v>34</v>
      </c>
      <c r="C103" s="7">
        <v>45749</v>
      </c>
      <c r="D103" s="6" t="s">
        <v>50</v>
      </c>
      <c r="E103" s="6" t="s">
        <v>51</v>
      </c>
      <c r="F103" s="8">
        <v>199</v>
      </c>
      <c r="G103" s="8">
        <v>772</v>
      </c>
      <c r="H103" s="8">
        <v>400</v>
      </c>
      <c r="I103" s="8">
        <v>3582</v>
      </c>
      <c r="J103" s="8">
        <v>2988</v>
      </c>
      <c r="K103" s="8">
        <v>43</v>
      </c>
      <c r="L103" s="9" t="s">
        <v>37</v>
      </c>
      <c r="M103" s="9" t="s">
        <v>18</v>
      </c>
      <c r="N103" s="18">
        <f t="shared" si="1"/>
        <v>0.45883534136546184</v>
      </c>
    </row>
    <row r="104" spans="1:14" x14ac:dyDescent="0.3">
      <c r="A104" s="5" t="s">
        <v>108</v>
      </c>
      <c r="B104" s="6" t="s">
        <v>25</v>
      </c>
      <c r="C104" s="7">
        <v>45537</v>
      </c>
      <c r="D104" s="6" t="s">
        <v>35</v>
      </c>
      <c r="E104" s="6" t="s">
        <v>36</v>
      </c>
      <c r="F104" s="8">
        <v>2551</v>
      </c>
      <c r="G104" s="8">
        <v>915</v>
      </c>
      <c r="H104" s="8">
        <v>205</v>
      </c>
      <c r="I104" s="8">
        <v>30612</v>
      </c>
      <c r="J104" s="8">
        <v>30360</v>
      </c>
      <c r="K104" s="8">
        <v>227</v>
      </c>
      <c r="L104" s="9" t="s">
        <v>17</v>
      </c>
      <c r="M104" s="9" t="s">
        <v>23</v>
      </c>
      <c r="N104" s="18">
        <f t="shared" si="1"/>
        <v>0.12091567852437418</v>
      </c>
    </row>
    <row r="105" spans="1:14" x14ac:dyDescent="0.3">
      <c r="A105" s="5" t="s">
        <v>108</v>
      </c>
      <c r="B105" s="6" t="s">
        <v>25</v>
      </c>
      <c r="C105" s="7">
        <v>45537</v>
      </c>
      <c r="D105" s="6" t="s">
        <v>35</v>
      </c>
      <c r="E105" s="6" t="s">
        <v>36</v>
      </c>
      <c r="F105" s="8">
        <v>2551</v>
      </c>
      <c r="G105" s="8">
        <v>915</v>
      </c>
      <c r="H105" s="8">
        <v>205</v>
      </c>
      <c r="I105" s="8">
        <v>30612</v>
      </c>
      <c r="J105" s="8">
        <v>30360</v>
      </c>
      <c r="K105" s="8">
        <v>227</v>
      </c>
      <c r="L105" s="9" t="s">
        <v>52</v>
      </c>
      <c r="M105" s="9" t="s">
        <v>23</v>
      </c>
      <c r="N105" s="18">
        <f t="shared" si="1"/>
        <v>0.12091567852437418</v>
      </c>
    </row>
    <row r="106" spans="1:14" x14ac:dyDescent="0.3">
      <c r="A106" s="5" t="s">
        <v>109</v>
      </c>
      <c r="B106" s="6" t="s">
        <v>25</v>
      </c>
      <c r="C106" s="7">
        <v>45719</v>
      </c>
      <c r="D106" s="6" t="s">
        <v>15</v>
      </c>
      <c r="E106" s="6" t="s">
        <v>16</v>
      </c>
      <c r="F106" s="8">
        <v>296</v>
      </c>
      <c r="G106" s="8">
        <v>60</v>
      </c>
      <c r="H106" s="8">
        <v>141</v>
      </c>
      <c r="I106" s="8">
        <v>5624</v>
      </c>
      <c r="J106" s="8">
        <v>5239</v>
      </c>
      <c r="K106" s="8">
        <v>88</v>
      </c>
      <c r="L106" s="9" t="s">
        <v>37</v>
      </c>
      <c r="M106" s="9" t="s">
        <v>44</v>
      </c>
      <c r="N106" s="18">
        <f t="shared" si="1"/>
        <v>9.4865432334414967E-2</v>
      </c>
    </row>
    <row r="107" spans="1:14" x14ac:dyDescent="0.3">
      <c r="A107" s="5" t="s">
        <v>110</v>
      </c>
      <c r="B107" s="6" t="s">
        <v>34</v>
      </c>
      <c r="C107" s="7">
        <v>45583</v>
      </c>
      <c r="D107" s="6" t="s">
        <v>28</v>
      </c>
      <c r="E107" s="6" t="s">
        <v>29</v>
      </c>
      <c r="F107" s="8">
        <v>4126</v>
      </c>
      <c r="G107" s="8">
        <v>426</v>
      </c>
      <c r="H107" s="8">
        <v>486</v>
      </c>
      <c r="I107" s="8">
        <v>78394</v>
      </c>
      <c r="J107" s="8">
        <v>77798</v>
      </c>
      <c r="K107" s="8">
        <v>88</v>
      </c>
      <c r="L107" s="9" t="s">
        <v>22</v>
      </c>
      <c r="M107" s="9" t="s">
        <v>18</v>
      </c>
      <c r="N107" s="18">
        <f t="shared" si="1"/>
        <v>6.4757448777603532E-2</v>
      </c>
    </row>
    <row r="108" spans="1:14" x14ac:dyDescent="0.3">
      <c r="A108" s="5" t="s">
        <v>111</v>
      </c>
      <c r="B108" s="6" t="s">
        <v>25</v>
      </c>
      <c r="C108" s="7">
        <v>45593</v>
      </c>
      <c r="D108" s="6" t="s">
        <v>15</v>
      </c>
      <c r="E108" s="6" t="s">
        <v>16</v>
      </c>
      <c r="F108" s="8">
        <v>1855</v>
      </c>
      <c r="G108" s="8">
        <v>200</v>
      </c>
      <c r="H108" s="8">
        <v>174</v>
      </c>
      <c r="I108" s="8">
        <v>16695</v>
      </c>
      <c r="J108" s="8">
        <v>16330</v>
      </c>
      <c r="K108" s="8">
        <v>123</v>
      </c>
      <c r="L108" s="9" t="s">
        <v>22</v>
      </c>
      <c r="M108" s="9" t="s">
        <v>32</v>
      </c>
      <c r="N108" s="18">
        <f t="shared" si="1"/>
        <v>0.13649724433557869</v>
      </c>
    </row>
    <row r="109" spans="1:14" x14ac:dyDescent="0.3">
      <c r="A109" s="5" t="s">
        <v>112</v>
      </c>
      <c r="B109" s="6" t="s">
        <v>27</v>
      </c>
      <c r="C109" s="7">
        <v>45505</v>
      </c>
      <c r="D109" s="6" t="s">
        <v>15</v>
      </c>
      <c r="E109" s="6" t="s">
        <v>16</v>
      </c>
      <c r="F109" s="8">
        <v>1674</v>
      </c>
      <c r="G109" s="8">
        <v>929</v>
      </c>
      <c r="H109" s="8">
        <v>37</v>
      </c>
      <c r="I109" s="8">
        <v>21762</v>
      </c>
      <c r="J109" s="8">
        <v>20998</v>
      </c>
      <c r="K109" s="8">
        <v>255</v>
      </c>
      <c r="L109" s="9" t="s">
        <v>31</v>
      </c>
      <c r="M109" s="9" t="s">
        <v>32</v>
      </c>
      <c r="N109" s="18">
        <f t="shared" si="1"/>
        <v>0.1257262596437756</v>
      </c>
    </row>
    <row r="110" spans="1:14" x14ac:dyDescent="0.3">
      <c r="A110" s="5" t="s">
        <v>112</v>
      </c>
      <c r="B110" s="6" t="s">
        <v>27</v>
      </c>
      <c r="C110" s="7">
        <v>45505</v>
      </c>
      <c r="D110" s="6" t="s">
        <v>15</v>
      </c>
      <c r="E110" s="6" t="s">
        <v>16</v>
      </c>
      <c r="F110" s="8">
        <v>1674</v>
      </c>
      <c r="G110" s="8">
        <v>929</v>
      </c>
      <c r="H110" s="8">
        <v>37</v>
      </c>
      <c r="I110" s="8">
        <v>21762</v>
      </c>
      <c r="J110" s="8">
        <v>20998</v>
      </c>
      <c r="K110" s="8">
        <v>255</v>
      </c>
      <c r="L110" s="9" t="s">
        <v>52</v>
      </c>
      <c r="M110" s="9" t="s">
        <v>32</v>
      </c>
      <c r="N110" s="18">
        <f t="shared" si="1"/>
        <v>0.1257262596437756</v>
      </c>
    </row>
    <row r="111" spans="1:14" x14ac:dyDescent="0.3">
      <c r="A111" s="5" t="s">
        <v>113</v>
      </c>
      <c r="B111" s="6" t="s">
        <v>14</v>
      </c>
      <c r="C111" s="7">
        <v>45603</v>
      </c>
      <c r="D111" s="6" t="s">
        <v>28</v>
      </c>
      <c r="E111" s="6" t="s">
        <v>29</v>
      </c>
      <c r="F111" s="8">
        <v>1121</v>
      </c>
      <c r="G111" s="8">
        <v>135</v>
      </c>
      <c r="H111" s="8">
        <v>18</v>
      </c>
      <c r="I111" s="8">
        <v>15694</v>
      </c>
      <c r="J111" s="8">
        <v>14957</v>
      </c>
      <c r="K111" s="8">
        <v>99</v>
      </c>
      <c r="L111" s="9" t="s">
        <v>17</v>
      </c>
      <c r="M111" s="9" t="s">
        <v>44</v>
      </c>
      <c r="N111" s="18">
        <f t="shared" si="1"/>
        <v>8.5177508858728351E-2</v>
      </c>
    </row>
    <row r="112" spans="1:14" x14ac:dyDescent="0.3">
      <c r="A112" s="5" t="s">
        <v>113</v>
      </c>
      <c r="B112" s="6" t="s">
        <v>14</v>
      </c>
      <c r="C112" s="7">
        <v>45603</v>
      </c>
      <c r="D112" s="6" t="s">
        <v>28</v>
      </c>
      <c r="E112" s="6" t="s">
        <v>29</v>
      </c>
      <c r="F112" s="8">
        <v>1121</v>
      </c>
      <c r="G112" s="8">
        <v>135</v>
      </c>
      <c r="H112" s="8">
        <v>18</v>
      </c>
      <c r="I112" s="8">
        <v>15694</v>
      </c>
      <c r="J112" s="8">
        <v>14957</v>
      </c>
      <c r="K112" s="8">
        <v>99</v>
      </c>
      <c r="L112" s="9" t="s">
        <v>22</v>
      </c>
      <c r="M112" s="9" t="s">
        <v>44</v>
      </c>
      <c r="N112" s="18">
        <f t="shared" si="1"/>
        <v>8.5177508858728351E-2</v>
      </c>
    </row>
    <row r="113" spans="1:14" x14ac:dyDescent="0.3">
      <c r="A113" s="5" t="s">
        <v>114</v>
      </c>
      <c r="B113" s="6" t="s">
        <v>34</v>
      </c>
      <c r="C113" s="7">
        <v>45720</v>
      </c>
      <c r="D113" s="6" t="s">
        <v>28</v>
      </c>
      <c r="E113" s="6" t="s">
        <v>29</v>
      </c>
      <c r="F113" s="8">
        <v>1249</v>
      </c>
      <c r="G113" s="8">
        <v>116</v>
      </c>
      <c r="H113" s="8">
        <v>420</v>
      </c>
      <c r="I113" s="8">
        <v>8743</v>
      </c>
      <c r="J113" s="8">
        <v>8538</v>
      </c>
      <c r="K113" s="8">
        <v>63</v>
      </c>
      <c r="L113" s="9" t="s">
        <v>22</v>
      </c>
      <c r="M113" s="9" t="s">
        <v>32</v>
      </c>
      <c r="N113" s="18">
        <f t="shared" si="1"/>
        <v>0.20906535488404779</v>
      </c>
    </row>
    <row r="114" spans="1:14" x14ac:dyDescent="0.3">
      <c r="A114" s="5" t="s">
        <v>114</v>
      </c>
      <c r="B114" s="6" t="s">
        <v>34</v>
      </c>
      <c r="C114" s="7">
        <v>45720</v>
      </c>
      <c r="D114" s="6" t="s">
        <v>28</v>
      </c>
      <c r="E114" s="6" t="s">
        <v>29</v>
      </c>
      <c r="F114" s="8">
        <v>1249</v>
      </c>
      <c r="G114" s="8">
        <v>116</v>
      </c>
      <c r="H114" s="8">
        <v>420</v>
      </c>
      <c r="I114" s="8">
        <v>8743</v>
      </c>
      <c r="J114" s="8">
        <v>8538</v>
      </c>
      <c r="K114" s="8">
        <v>63</v>
      </c>
      <c r="L114" s="9" t="s">
        <v>52</v>
      </c>
      <c r="M114" s="9" t="s">
        <v>32</v>
      </c>
      <c r="N114" s="18">
        <f t="shared" si="1"/>
        <v>0.20906535488404779</v>
      </c>
    </row>
    <row r="115" spans="1:14" x14ac:dyDescent="0.3">
      <c r="A115" s="5" t="s">
        <v>115</v>
      </c>
      <c r="B115" s="6" t="s">
        <v>14</v>
      </c>
      <c r="C115" s="7">
        <v>45460</v>
      </c>
      <c r="D115" s="6" t="s">
        <v>40</v>
      </c>
      <c r="E115" s="6" t="s">
        <v>41</v>
      </c>
      <c r="F115" s="8">
        <v>954</v>
      </c>
      <c r="G115" s="8">
        <v>324</v>
      </c>
      <c r="H115" s="8">
        <v>288</v>
      </c>
      <c r="I115" s="8">
        <v>19080</v>
      </c>
      <c r="J115" s="8">
        <v>18859</v>
      </c>
      <c r="K115" s="8">
        <v>21</v>
      </c>
      <c r="L115" s="9" t="s">
        <v>37</v>
      </c>
      <c r="M115" s="9" t="s">
        <v>32</v>
      </c>
      <c r="N115" s="18">
        <f t="shared" si="1"/>
        <v>8.303727663184686E-2</v>
      </c>
    </row>
    <row r="116" spans="1:14" x14ac:dyDescent="0.3">
      <c r="A116" s="5" t="s">
        <v>116</v>
      </c>
      <c r="B116" s="6" t="s">
        <v>27</v>
      </c>
      <c r="C116" s="7">
        <v>45574</v>
      </c>
      <c r="D116" s="6" t="s">
        <v>35</v>
      </c>
      <c r="E116" s="6" t="s">
        <v>36</v>
      </c>
      <c r="F116" s="8">
        <v>3068</v>
      </c>
      <c r="G116" s="8">
        <v>137</v>
      </c>
      <c r="H116" s="8">
        <v>329</v>
      </c>
      <c r="I116" s="8">
        <v>39884</v>
      </c>
      <c r="J116" s="8">
        <v>39404</v>
      </c>
      <c r="K116" s="8">
        <v>266</v>
      </c>
      <c r="L116" s="9" t="s">
        <v>17</v>
      </c>
      <c r="M116" s="9" t="s">
        <v>32</v>
      </c>
      <c r="N116" s="18">
        <f t="shared" si="1"/>
        <v>8.9686326261293275E-2</v>
      </c>
    </row>
    <row r="117" spans="1:14" x14ac:dyDescent="0.3">
      <c r="A117" s="5" t="s">
        <v>116</v>
      </c>
      <c r="B117" s="6" t="s">
        <v>27</v>
      </c>
      <c r="C117" s="7">
        <v>45574</v>
      </c>
      <c r="D117" s="6" t="s">
        <v>35</v>
      </c>
      <c r="E117" s="6" t="s">
        <v>36</v>
      </c>
      <c r="F117" s="8">
        <v>3068</v>
      </c>
      <c r="G117" s="8">
        <v>137</v>
      </c>
      <c r="H117" s="8">
        <v>329</v>
      </c>
      <c r="I117" s="8">
        <v>39884</v>
      </c>
      <c r="J117" s="8">
        <v>39404</v>
      </c>
      <c r="K117" s="8">
        <v>266</v>
      </c>
      <c r="L117" s="9" t="s">
        <v>37</v>
      </c>
      <c r="M117" s="9" t="s">
        <v>32</v>
      </c>
      <c r="N117" s="18">
        <f t="shared" si="1"/>
        <v>8.9686326261293275E-2</v>
      </c>
    </row>
    <row r="118" spans="1:14" x14ac:dyDescent="0.3">
      <c r="A118" s="5" t="s">
        <v>117</v>
      </c>
      <c r="B118" s="6" t="s">
        <v>27</v>
      </c>
      <c r="C118" s="7">
        <v>45456</v>
      </c>
      <c r="D118" s="6" t="s">
        <v>28</v>
      </c>
      <c r="E118" s="6" t="s">
        <v>29</v>
      </c>
      <c r="F118" s="8">
        <v>2103</v>
      </c>
      <c r="G118" s="8">
        <v>892</v>
      </c>
      <c r="H118" s="8">
        <v>103</v>
      </c>
      <c r="I118" s="8">
        <v>39957</v>
      </c>
      <c r="J118" s="8">
        <v>39466</v>
      </c>
      <c r="K118" s="8">
        <v>28</v>
      </c>
      <c r="L118" s="9" t="s">
        <v>52</v>
      </c>
      <c r="M118" s="9" t="s">
        <v>23</v>
      </c>
      <c r="N118" s="18">
        <f t="shared" si="1"/>
        <v>7.8497947600466231E-2</v>
      </c>
    </row>
    <row r="119" spans="1:14" x14ac:dyDescent="0.3">
      <c r="A119" s="5" t="s">
        <v>117</v>
      </c>
      <c r="B119" s="6" t="s">
        <v>27</v>
      </c>
      <c r="C119" s="7">
        <v>45456</v>
      </c>
      <c r="D119" s="6" t="s">
        <v>28</v>
      </c>
      <c r="E119" s="6" t="s">
        <v>29</v>
      </c>
      <c r="F119" s="8">
        <v>2103</v>
      </c>
      <c r="G119" s="8">
        <v>892</v>
      </c>
      <c r="H119" s="8">
        <v>103</v>
      </c>
      <c r="I119" s="8">
        <v>39957</v>
      </c>
      <c r="J119" s="8">
        <v>39466</v>
      </c>
      <c r="K119" s="8">
        <v>28</v>
      </c>
      <c r="L119" s="9" t="s">
        <v>22</v>
      </c>
      <c r="M119" s="9" t="s">
        <v>23</v>
      </c>
      <c r="N119" s="18">
        <f t="shared" si="1"/>
        <v>7.8497947600466231E-2</v>
      </c>
    </row>
    <row r="120" spans="1:14" x14ac:dyDescent="0.3">
      <c r="A120" s="5" t="s">
        <v>118</v>
      </c>
      <c r="B120" s="6" t="s">
        <v>27</v>
      </c>
      <c r="C120" s="7">
        <v>45584</v>
      </c>
      <c r="D120" s="6" t="s">
        <v>28</v>
      </c>
      <c r="E120" s="6" t="s">
        <v>29</v>
      </c>
      <c r="F120" s="8">
        <v>1816</v>
      </c>
      <c r="G120" s="8">
        <v>29</v>
      </c>
      <c r="H120" s="8">
        <v>41</v>
      </c>
      <c r="I120" s="8">
        <v>19976</v>
      </c>
      <c r="J120" s="8">
        <v>19262</v>
      </c>
      <c r="K120" s="8">
        <v>283</v>
      </c>
      <c r="L120" s="9" t="s">
        <v>37</v>
      </c>
      <c r="M120" s="9" t="s">
        <v>32</v>
      </c>
      <c r="N120" s="18">
        <f t="shared" si="1"/>
        <v>9.7912989305368084E-2</v>
      </c>
    </row>
    <row r="121" spans="1:14" x14ac:dyDescent="0.3">
      <c r="A121" s="5" t="s">
        <v>118</v>
      </c>
      <c r="B121" s="6" t="s">
        <v>27</v>
      </c>
      <c r="C121" s="7">
        <v>45584</v>
      </c>
      <c r="D121" s="6" t="s">
        <v>28</v>
      </c>
      <c r="E121" s="6" t="s">
        <v>29</v>
      </c>
      <c r="F121" s="8">
        <v>1816</v>
      </c>
      <c r="G121" s="8">
        <v>29</v>
      </c>
      <c r="H121" s="8">
        <v>41</v>
      </c>
      <c r="I121" s="8">
        <v>19976</v>
      </c>
      <c r="J121" s="8">
        <v>19262</v>
      </c>
      <c r="K121" s="8">
        <v>283</v>
      </c>
      <c r="L121" s="9" t="s">
        <v>17</v>
      </c>
      <c r="M121" s="9" t="s">
        <v>32</v>
      </c>
      <c r="N121" s="18">
        <f t="shared" si="1"/>
        <v>9.7912989305368084E-2</v>
      </c>
    </row>
    <row r="122" spans="1:14" x14ac:dyDescent="0.3">
      <c r="A122" s="5" t="s">
        <v>119</v>
      </c>
      <c r="B122" s="6" t="s">
        <v>27</v>
      </c>
      <c r="C122" s="7">
        <v>45497</v>
      </c>
      <c r="D122" s="6" t="s">
        <v>40</v>
      </c>
      <c r="E122" s="6" t="s">
        <v>41</v>
      </c>
      <c r="F122" s="8">
        <v>725</v>
      </c>
      <c r="G122" s="8">
        <v>88</v>
      </c>
      <c r="H122" s="8">
        <v>428</v>
      </c>
      <c r="I122" s="8">
        <v>14500</v>
      </c>
      <c r="J122" s="8">
        <v>13637</v>
      </c>
      <c r="K122" s="8">
        <v>200</v>
      </c>
      <c r="L122" s="9" t="s">
        <v>37</v>
      </c>
      <c r="M122" s="9" t="s">
        <v>32</v>
      </c>
      <c r="N122" s="18">
        <f t="shared" si="1"/>
        <v>9.1002419887071931E-2</v>
      </c>
    </row>
    <row r="123" spans="1:14" x14ac:dyDescent="0.3">
      <c r="A123" s="5" t="s">
        <v>120</v>
      </c>
      <c r="B123" s="6" t="s">
        <v>25</v>
      </c>
      <c r="C123" s="7">
        <v>45580</v>
      </c>
      <c r="D123" s="6" t="s">
        <v>50</v>
      </c>
      <c r="E123" s="6" t="s">
        <v>51</v>
      </c>
      <c r="F123" s="8">
        <v>1094</v>
      </c>
      <c r="G123" s="8">
        <v>472</v>
      </c>
      <c r="H123" s="8">
        <v>21</v>
      </c>
      <c r="I123" s="8">
        <v>9846</v>
      </c>
      <c r="J123" s="8">
        <v>9609</v>
      </c>
      <c r="K123" s="8">
        <v>112</v>
      </c>
      <c r="L123" s="9" t="s">
        <v>37</v>
      </c>
      <c r="M123" s="9" t="s">
        <v>32</v>
      </c>
      <c r="N123" s="18">
        <f t="shared" si="1"/>
        <v>0.16515766468935372</v>
      </c>
    </row>
    <row r="124" spans="1:14" x14ac:dyDescent="0.3">
      <c r="A124" s="5" t="s">
        <v>120</v>
      </c>
      <c r="B124" s="6" t="s">
        <v>25</v>
      </c>
      <c r="C124" s="7">
        <v>45580</v>
      </c>
      <c r="D124" s="6" t="s">
        <v>50</v>
      </c>
      <c r="E124" s="6" t="s">
        <v>51</v>
      </c>
      <c r="F124" s="8">
        <v>1094</v>
      </c>
      <c r="G124" s="8">
        <v>472</v>
      </c>
      <c r="H124" s="8">
        <v>21</v>
      </c>
      <c r="I124" s="8">
        <v>9846</v>
      </c>
      <c r="J124" s="8">
        <v>9609</v>
      </c>
      <c r="K124" s="8">
        <v>112</v>
      </c>
      <c r="L124" s="9" t="s">
        <v>31</v>
      </c>
      <c r="M124" s="9" t="s">
        <v>32</v>
      </c>
      <c r="N124" s="18">
        <f t="shared" si="1"/>
        <v>0.16515766468935372</v>
      </c>
    </row>
    <row r="125" spans="1:14" x14ac:dyDescent="0.3">
      <c r="A125" s="5" t="s">
        <v>121</v>
      </c>
      <c r="B125" s="6" t="s">
        <v>34</v>
      </c>
      <c r="C125" s="7">
        <v>45635</v>
      </c>
      <c r="D125" s="6" t="s">
        <v>40</v>
      </c>
      <c r="E125" s="6" t="s">
        <v>41</v>
      </c>
      <c r="F125" s="8">
        <v>1841</v>
      </c>
      <c r="G125" s="8">
        <v>851</v>
      </c>
      <c r="H125" s="8">
        <v>342</v>
      </c>
      <c r="I125" s="8">
        <v>34979</v>
      </c>
      <c r="J125" s="8">
        <v>34154</v>
      </c>
      <c r="K125" s="8">
        <v>255</v>
      </c>
      <c r="L125" s="9" t="s">
        <v>22</v>
      </c>
      <c r="M125" s="9" t="s">
        <v>18</v>
      </c>
      <c r="N125" s="18">
        <f t="shared" si="1"/>
        <v>8.8832933184985655E-2</v>
      </c>
    </row>
    <row r="126" spans="1:14" x14ac:dyDescent="0.3">
      <c r="A126" s="5" t="s">
        <v>121</v>
      </c>
      <c r="B126" s="6" t="s">
        <v>34</v>
      </c>
      <c r="C126" s="7">
        <v>45635</v>
      </c>
      <c r="D126" s="6" t="s">
        <v>40</v>
      </c>
      <c r="E126" s="6" t="s">
        <v>41</v>
      </c>
      <c r="F126" s="8">
        <v>1841</v>
      </c>
      <c r="G126" s="8">
        <v>851</v>
      </c>
      <c r="H126" s="8">
        <v>342</v>
      </c>
      <c r="I126" s="8">
        <v>34979</v>
      </c>
      <c r="J126" s="8">
        <v>34154</v>
      </c>
      <c r="K126" s="8">
        <v>255</v>
      </c>
      <c r="L126" s="9" t="s">
        <v>52</v>
      </c>
      <c r="M126" s="9" t="s">
        <v>18</v>
      </c>
      <c r="N126" s="18">
        <f t="shared" si="1"/>
        <v>8.8832933184985655E-2</v>
      </c>
    </row>
    <row r="127" spans="1:14" x14ac:dyDescent="0.3">
      <c r="A127" s="5" t="s">
        <v>122</v>
      </c>
      <c r="B127" s="6" t="s">
        <v>27</v>
      </c>
      <c r="C127" s="7">
        <v>45766</v>
      </c>
      <c r="D127" s="6" t="s">
        <v>40</v>
      </c>
      <c r="E127" s="6" t="s">
        <v>41</v>
      </c>
      <c r="F127" s="8">
        <v>4177</v>
      </c>
      <c r="G127" s="8">
        <v>569</v>
      </c>
      <c r="H127" s="8">
        <v>55</v>
      </c>
      <c r="I127" s="8">
        <v>25062</v>
      </c>
      <c r="J127" s="8">
        <v>24847</v>
      </c>
      <c r="K127" s="8">
        <v>230</v>
      </c>
      <c r="L127" s="9" t="s">
        <v>22</v>
      </c>
      <c r="M127" s="9" t="s">
        <v>18</v>
      </c>
      <c r="N127" s="18">
        <f t="shared" si="1"/>
        <v>0.19322252183362176</v>
      </c>
    </row>
    <row r="128" spans="1:14" x14ac:dyDescent="0.3">
      <c r="A128" s="5" t="s">
        <v>123</v>
      </c>
      <c r="B128" s="6" t="s">
        <v>25</v>
      </c>
      <c r="C128" s="7">
        <v>45684</v>
      </c>
      <c r="D128" s="6" t="s">
        <v>20</v>
      </c>
      <c r="E128" s="6" t="s">
        <v>21</v>
      </c>
      <c r="F128" s="8">
        <v>3428</v>
      </c>
      <c r="G128" s="8">
        <v>305</v>
      </c>
      <c r="H128" s="8">
        <v>85</v>
      </c>
      <c r="I128" s="8">
        <v>58276</v>
      </c>
      <c r="J128" s="8">
        <v>58052</v>
      </c>
      <c r="K128" s="8">
        <v>242</v>
      </c>
      <c r="L128" s="9" t="s">
        <v>37</v>
      </c>
      <c r="M128" s="9" t="s">
        <v>32</v>
      </c>
      <c r="N128" s="18">
        <f t="shared" si="1"/>
        <v>6.5768621236133126E-2</v>
      </c>
    </row>
    <row r="129" spans="1:14" x14ac:dyDescent="0.3">
      <c r="A129" s="5" t="s">
        <v>123</v>
      </c>
      <c r="B129" s="6" t="s">
        <v>25</v>
      </c>
      <c r="C129" s="7">
        <v>45684</v>
      </c>
      <c r="D129" s="6" t="s">
        <v>20</v>
      </c>
      <c r="E129" s="6" t="s">
        <v>21</v>
      </c>
      <c r="F129" s="8">
        <v>3428</v>
      </c>
      <c r="G129" s="8">
        <v>305</v>
      </c>
      <c r="H129" s="8">
        <v>85</v>
      </c>
      <c r="I129" s="8">
        <v>58276</v>
      </c>
      <c r="J129" s="8">
        <v>58052</v>
      </c>
      <c r="K129" s="8">
        <v>242</v>
      </c>
      <c r="L129" s="9" t="s">
        <v>31</v>
      </c>
      <c r="M129" s="9" t="s">
        <v>32</v>
      </c>
      <c r="N129" s="18">
        <f t="shared" si="1"/>
        <v>6.5768621236133126E-2</v>
      </c>
    </row>
    <row r="130" spans="1:14" x14ac:dyDescent="0.3">
      <c r="A130" s="5" t="s">
        <v>124</v>
      </c>
      <c r="B130" s="6" t="s">
        <v>14</v>
      </c>
      <c r="C130" s="7">
        <v>45449</v>
      </c>
      <c r="D130" s="6" t="s">
        <v>50</v>
      </c>
      <c r="E130" s="6" t="s">
        <v>51</v>
      </c>
      <c r="F130" s="8">
        <v>1436</v>
      </c>
      <c r="G130" s="8">
        <v>765</v>
      </c>
      <c r="H130" s="8">
        <v>496</v>
      </c>
      <c r="I130" s="8">
        <v>12924</v>
      </c>
      <c r="J130" s="8">
        <v>12701</v>
      </c>
      <c r="K130" s="8">
        <v>197</v>
      </c>
      <c r="L130" s="9" t="s">
        <v>37</v>
      </c>
      <c r="M130" s="9" t="s">
        <v>23</v>
      </c>
      <c r="N130" s="18">
        <f t="shared" si="1"/>
        <v>0.21234548460751121</v>
      </c>
    </row>
    <row r="131" spans="1:14" x14ac:dyDescent="0.3">
      <c r="A131" s="5" t="s">
        <v>124</v>
      </c>
      <c r="B131" s="6" t="s">
        <v>14</v>
      </c>
      <c r="C131" s="7">
        <v>45449</v>
      </c>
      <c r="D131" s="6" t="s">
        <v>50</v>
      </c>
      <c r="E131" s="6" t="s">
        <v>51</v>
      </c>
      <c r="F131" s="8">
        <v>1436</v>
      </c>
      <c r="G131" s="8">
        <v>765</v>
      </c>
      <c r="H131" s="8">
        <v>496</v>
      </c>
      <c r="I131" s="8">
        <v>12924</v>
      </c>
      <c r="J131" s="8">
        <v>12701</v>
      </c>
      <c r="K131" s="8">
        <v>197</v>
      </c>
      <c r="L131" s="9" t="s">
        <v>17</v>
      </c>
      <c r="M131" s="9" t="s">
        <v>23</v>
      </c>
      <c r="N131" s="18">
        <f t="shared" ref="N131:N194" si="2">SUM(F131,G131,H131)/J131</f>
        <v>0.21234548460751121</v>
      </c>
    </row>
    <row r="132" spans="1:14" x14ac:dyDescent="0.3">
      <c r="A132" s="5" t="s">
        <v>125</v>
      </c>
      <c r="B132" s="6" t="s">
        <v>34</v>
      </c>
      <c r="C132" s="7">
        <v>45480</v>
      </c>
      <c r="D132" s="6" t="s">
        <v>28</v>
      </c>
      <c r="E132" s="6" t="s">
        <v>29</v>
      </c>
      <c r="F132" s="8">
        <v>302</v>
      </c>
      <c r="G132" s="8">
        <v>47</v>
      </c>
      <c r="H132" s="8">
        <v>430</v>
      </c>
      <c r="I132" s="8">
        <v>5738</v>
      </c>
      <c r="J132" s="8">
        <v>4890</v>
      </c>
      <c r="K132" s="8">
        <v>25</v>
      </c>
      <c r="L132" s="9" t="s">
        <v>22</v>
      </c>
      <c r="M132" s="9" t="s">
        <v>23</v>
      </c>
      <c r="N132" s="18">
        <f t="shared" si="2"/>
        <v>0.15930470347648262</v>
      </c>
    </row>
    <row r="133" spans="1:14" x14ac:dyDescent="0.3">
      <c r="A133" s="5" t="s">
        <v>125</v>
      </c>
      <c r="B133" s="6" t="s">
        <v>34</v>
      </c>
      <c r="C133" s="7">
        <v>45480</v>
      </c>
      <c r="D133" s="6" t="s">
        <v>28</v>
      </c>
      <c r="E133" s="6" t="s">
        <v>29</v>
      </c>
      <c r="F133" s="8">
        <v>302</v>
      </c>
      <c r="G133" s="8">
        <v>47</v>
      </c>
      <c r="H133" s="8">
        <v>430</v>
      </c>
      <c r="I133" s="8">
        <v>5738</v>
      </c>
      <c r="J133" s="8">
        <v>4890</v>
      </c>
      <c r="K133" s="8">
        <v>25</v>
      </c>
      <c r="L133" s="9" t="s">
        <v>17</v>
      </c>
      <c r="M133" s="9" t="s">
        <v>23</v>
      </c>
      <c r="N133" s="18">
        <f t="shared" si="2"/>
        <v>0.15930470347648262</v>
      </c>
    </row>
    <row r="134" spans="1:14" x14ac:dyDescent="0.3">
      <c r="A134" s="5" t="s">
        <v>126</v>
      </c>
      <c r="B134" s="6" t="s">
        <v>14</v>
      </c>
      <c r="C134" s="7">
        <v>45667</v>
      </c>
      <c r="D134" s="6" t="s">
        <v>40</v>
      </c>
      <c r="E134" s="6" t="s">
        <v>41</v>
      </c>
      <c r="F134" s="8">
        <v>2214</v>
      </c>
      <c r="G134" s="8">
        <v>249</v>
      </c>
      <c r="H134" s="8">
        <v>152</v>
      </c>
      <c r="I134" s="8">
        <v>15498</v>
      </c>
      <c r="J134" s="8">
        <v>14800</v>
      </c>
      <c r="K134" s="8">
        <v>180</v>
      </c>
      <c r="L134" s="9" t="s">
        <v>17</v>
      </c>
      <c r="M134" s="9" t="s">
        <v>23</v>
      </c>
      <c r="N134" s="18">
        <f t="shared" si="2"/>
        <v>0.17668918918918919</v>
      </c>
    </row>
    <row r="135" spans="1:14" x14ac:dyDescent="0.3">
      <c r="A135" s="5" t="s">
        <v>127</v>
      </c>
      <c r="B135" s="6" t="s">
        <v>27</v>
      </c>
      <c r="C135" s="7">
        <v>45446</v>
      </c>
      <c r="D135" s="6" t="s">
        <v>40</v>
      </c>
      <c r="E135" s="6" t="s">
        <v>41</v>
      </c>
      <c r="F135" s="8">
        <v>3861</v>
      </c>
      <c r="G135" s="8">
        <v>960</v>
      </c>
      <c r="H135" s="8">
        <v>101</v>
      </c>
      <c r="I135" s="8">
        <v>69498</v>
      </c>
      <c r="J135" s="8">
        <v>68817</v>
      </c>
      <c r="K135" s="8">
        <v>297</v>
      </c>
      <c r="L135" s="9" t="s">
        <v>22</v>
      </c>
      <c r="M135" s="9" t="s">
        <v>23</v>
      </c>
      <c r="N135" s="18">
        <f t="shared" si="2"/>
        <v>7.1523024833979973E-2</v>
      </c>
    </row>
    <row r="136" spans="1:14" x14ac:dyDescent="0.3">
      <c r="A136" s="5" t="s">
        <v>128</v>
      </c>
      <c r="B136" s="6" t="s">
        <v>34</v>
      </c>
      <c r="C136" s="7">
        <v>45740</v>
      </c>
      <c r="D136" s="6" t="s">
        <v>40</v>
      </c>
      <c r="E136" s="6" t="s">
        <v>41</v>
      </c>
      <c r="F136" s="8">
        <v>1263</v>
      </c>
      <c r="G136" s="8">
        <v>397</v>
      </c>
      <c r="H136" s="8">
        <v>357</v>
      </c>
      <c r="I136" s="8">
        <v>25260</v>
      </c>
      <c r="J136" s="8">
        <v>24615</v>
      </c>
      <c r="K136" s="8">
        <v>137</v>
      </c>
      <c r="L136" s="9" t="s">
        <v>17</v>
      </c>
      <c r="M136" s="9" t="s">
        <v>23</v>
      </c>
      <c r="N136" s="18">
        <f t="shared" si="2"/>
        <v>8.1941905342270971E-2</v>
      </c>
    </row>
    <row r="137" spans="1:14" x14ac:dyDescent="0.3">
      <c r="A137" s="5" t="s">
        <v>129</v>
      </c>
      <c r="B137" s="6" t="s">
        <v>14</v>
      </c>
      <c r="C137" s="7">
        <v>45586</v>
      </c>
      <c r="D137" s="6" t="s">
        <v>28</v>
      </c>
      <c r="E137" s="6" t="s">
        <v>29</v>
      </c>
      <c r="F137" s="8">
        <v>3801</v>
      </c>
      <c r="G137" s="8">
        <v>967</v>
      </c>
      <c r="H137" s="8">
        <v>401</v>
      </c>
      <c r="I137" s="8">
        <v>38010</v>
      </c>
      <c r="J137" s="8">
        <v>37625</v>
      </c>
      <c r="K137" s="8">
        <v>236</v>
      </c>
      <c r="L137" s="9" t="s">
        <v>31</v>
      </c>
      <c r="M137" s="9" t="s">
        <v>44</v>
      </c>
      <c r="N137" s="18">
        <f t="shared" si="2"/>
        <v>0.13738205980066445</v>
      </c>
    </row>
    <row r="138" spans="1:14" x14ac:dyDescent="0.3">
      <c r="A138" s="5" t="s">
        <v>130</v>
      </c>
      <c r="B138" s="6" t="s">
        <v>27</v>
      </c>
      <c r="C138" s="7">
        <v>45637</v>
      </c>
      <c r="D138" s="6" t="s">
        <v>50</v>
      </c>
      <c r="E138" s="6" t="s">
        <v>51</v>
      </c>
      <c r="F138" s="8">
        <v>1431</v>
      </c>
      <c r="G138" s="8">
        <v>951</v>
      </c>
      <c r="H138" s="8">
        <v>26</v>
      </c>
      <c r="I138" s="8">
        <v>8586</v>
      </c>
      <c r="J138" s="8">
        <v>8396</v>
      </c>
      <c r="K138" s="8">
        <v>150</v>
      </c>
      <c r="L138" s="9" t="s">
        <v>37</v>
      </c>
      <c r="M138" s="9" t="s">
        <v>18</v>
      </c>
      <c r="N138" s="18">
        <f t="shared" si="2"/>
        <v>0.28680323963792281</v>
      </c>
    </row>
    <row r="139" spans="1:14" x14ac:dyDescent="0.3">
      <c r="A139" s="5" t="s">
        <v>130</v>
      </c>
      <c r="B139" s="6" t="s">
        <v>27</v>
      </c>
      <c r="C139" s="7">
        <v>45637</v>
      </c>
      <c r="D139" s="6" t="s">
        <v>50</v>
      </c>
      <c r="E139" s="6" t="s">
        <v>51</v>
      </c>
      <c r="F139" s="8">
        <v>1431</v>
      </c>
      <c r="G139" s="8">
        <v>951</v>
      </c>
      <c r="H139" s="8">
        <v>26</v>
      </c>
      <c r="I139" s="8">
        <v>8586</v>
      </c>
      <c r="J139" s="8">
        <v>8396</v>
      </c>
      <c r="K139" s="8">
        <v>150</v>
      </c>
      <c r="L139" s="9" t="s">
        <v>52</v>
      </c>
      <c r="M139" s="9" t="s">
        <v>18</v>
      </c>
      <c r="N139" s="18">
        <f t="shared" si="2"/>
        <v>0.28680323963792281</v>
      </c>
    </row>
    <row r="140" spans="1:14" x14ac:dyDescent="0.3">
      <c r="A140" s="5" t="s">
        <v>131</v>
      </c>
      <c r="B140" s="6" t="s">
        <v>27</v>
      </c>
      <c r="C140" s="7">
        <v>45603</v>
      </c>
      <c r="D140" s="6" t="s">
        <v>40</v>
      </c>
      <c r="E140" s="6" t="s">
        <v>41</v>
      </c>
      <c r="F140" s="8">
        <v>2647</v>
      </c>
      <c r="G140" s="8">
        <v>304</v>
      </c>
      <c r="H140" s="8">
        <v>170</v>
      </c>
      <c r="I140" s="8">
        <v>18529</v>
      </c>
      <c r="J140" s="8">
        <v>17841</v>
      </c>
      <c r="K140" s="8">
        <v>46</v>
      </c>
      <c r="L140" s="9" t="s">
        <v>31</v>
      </c>
      <c r="M140" s="9" t="s">
        <v>23</v>
      </c>
      <c r="N140" s="18">
        <f t="shared" si="2"/>
        <v>0.17493414046297853</v>
      </c>
    </row>
    <row r="141" spans="1:14" x14ac:dyDescent="0.3">
      <c r="A141" s="5" t="s">
        <v>132</v>
      </c>
      <c r="B141" s="6" t="s">
        <v>27</v>
      </c>
      <c r="C141" s="7">
        <v>45604</v>
      </c>
      <c r="D141" s="6" t="s">
        <v>20</v>
      </c>
      <c r="E141" s="6" t="s">
        <v>21</v>
      </c>
      <c r="F141" s="8">
        <v>3182</v>
      </c>
      <c r="G141" s="8">
        <v>559</v>
      </c>
      <c r="H141" s="8">
        <v>160</v>
      </c>
      <c r="I141" s="8">
        <v>57276</v>
      </c>
      <c r="J141" s="8">
        <v>56890</v>
      </c>
      <c r="K141" s="8">
        <v>163</v>
      </c>
      <c r="L141" s="9" t="s">
        <v>31</v>
      </c>
      <c r="M141" s="9" t="s">
        <v>23</v>
      </c>
      <c r="N141" s="18">
        <f t="shared" si="2"/>
        <v>6.8570926349094743E-2</v>
      </c>
    </row>
    <row r="142" spans="1:14" x14ac:dyDescent="0.3">
      <c r="A142" s="5" t="s">
        <v>132</v>
      </c>
      <c r="B142" s="6" t="s">
        <v>27</v>
      </c>
      <c r="C142" s="7">
        <v>45604</v>
      </c>
      <c r="D142" s="6" t="s">
        <v>20</v>
      </c>
      <c r="E142" s="6" t="s">
        <v>21</v>
      </c>
      <c r="F142" s="8">
        <v>3182</v>
      </c>
      <c r="G142" s="8">
        <v>559</v>
      </c>
      <c r="H142" s="8">
        <v>160</v>
      </c>
      <c r="I142" s="8">
        <v>57276</v>
      </c>
      <c r="J142" s="8">
        <v>56890</v>
      </c>
      <c r="K142" s="8">
        <v>163</v>
      </c>
      <c r="L142" s="9" t="s">
        <v>37</v>
      </c>
      <c r="M142" s="9" t="s">
        <v>23</v>
      </c>
      <c r="N142" s="18">
        <f t="shared" si="2"/>
        <v>6.8570926349094743E-2</v>
      </c>
    </row>
    <row r="143" spans="1:14" x14ac:dyDescent="0.3">
      <c r="A143" s="5" t="s">
        <v>133</v>
      </c>
      <c r="B143" s="6" t="s">
        <v>14</v>
      </c>
      <c r="C143" s="7">
        <v>45545</v>
      </c>
      <c r="D143" s="6" t="s">
        <v>40</v>
      </c>
      <c r="E143" s="6" t="s">
        <v>41</v>
      </c>
      <c r="F143" s="8">
        <v>1238</v>
      </c>
      <c r="G143" s="8">
        <v>366</v>
      </c>
      <c r="H143" s="8">
        <v>444</v>
      </c>
      <c r="I143" s="8">
        <v>19808</v>
      </c>
      <c r="J143" s="8">
        <v>19334</v>
      </c>
      <c r="K143" s="8">
        <v>123</v>
      </c>
      <c r="L143" s="9" t="s">
        <v>52</v>
      </c>
      <c r="M143" s="9" t="s">
        <v>32</v>
      </c>
      <c r="N143" s="18">
        <f t="shared" si="2"/>
        <v>0.1059273818144202</v>
      </c>
    </row>
    <row r="144" spans="1:14" x14ac:dyDescent="0.3">
      <c r="A144" s="5" t="s">
        <v>134</v>
      </c>
      <c r="B144" s="6" t="s">
        <v>27</v>
      </c>
      <c r="C144" s="7">
        <v>45517</v>
      </c>
      <c r="D144" s="6" t="s">
        <v>40</v>
      </c>
      <c r="E144" s="6" t="s">
        <v>41</v>
      </c>
      <c r="F144" s="8">
        <v>4739</v>
      </c>
      <c r="G144" s="8">
        <v>527</v>
      </c>
      <c r="H144" s="8">
        <v>135</v>
      </c>
      <c r="I144" s="8">
        <v>61607</v>
      </c>
      <c r="J144" s="8">
        <v>61333</v>
      </c>
      <c r="K144" s="8">
        <v>36</v>
      </c>
      <c r="L144" s="9" t="s">
        <v>31</v>
      </c>
      <c r="M144" s="9" t="s">
        <v>23</v>
      </c>
      <c r="N144" s="18">
        <f t="shared" si="2"/>
        <v>8.8060261197071721E-2</v>
      </c>
    </row>
    <row r="145" spans="1:14" x14ac:dyDescent="0.3">
      <c r="A145" s="5" t="s">
        <v>134</v>
      </c>
      <c r="B145" s="6" t="s">
        <v>27</v>
      </c>
      <c r="C145" s="7">
        <v>45517</v>
      </c>
      <c r="D145" s="6" t="s">
        <v>40</v>
      </c>
      <c r="E145" s="6" t="s">
        <v>41</v>
      </c>
      <c r="F145" s="8">
        <v>4739</v>
      </c>
      <c r="G145" s="8">
        <v>527</v>
      </c>
      <c r="H145" s="8">
        <v>135</v>
      </c>
      <c r="I145" s="8">
        <v>61607</v>
      </c>
      <c r="J145" s="8">
        <v>61333</v>
      </c>
      <c r="K145" s="8">
        <v>36</v>
      </c>
      <c r="L145" s="9" t="s">
        <v>17</v>
      </c>
      <c r="M145" s="9" t="s">
        <v>23</v>
      </c>
      <c r="N145" s="18">
        <f t="shared" si="2"/>
        <v>8.8060261197071721E-2</v>
      </c>
    </row>
    <row r="146" spans="1:14" x14ac:dyDescent="0.3">
      <c r="A146" s="5" t="s">
        <v>135</v>
      </c>
      <c r="B146" s="6" t="s">
        <v>14</v>
      </c>
      <c r="C146" s="7">
        <v>45453</v>
      </c>
      <c r="D146" s="6" t="s">
        <v>28</v>
      </c>
      <c r="E146" s="6" t="s">
        <v>29</v>
      </c>
      <c r="F146" s="8">
        <v>1575</v>
      </c>
      <c r="G146" s="8">
        <v>771</v>
      </c>
      <c r="H146" s="8">
        <v>486</v>
      </c>
      <c r="I146" s="8">
        <v>25200</v>
      </c>
      <c r="J146" s="8">
        <v>24826</v>
      </c>
      <c r="K146" s="8">
        <v>17</v>
      </c>
      <c r="L146" s="9" t="s">
        <v>31</v>
      </c>
      <c r="M146" s="9" t="s">
        <v>32</v>
      </c>
      <c r="N146" s="18">
        <f t="shared" si="2"/>
        <v>0.1140739547248852</v>
      </c>
    </row>
    <row r="147" spans="1:14" x14ac:dyDescent="0.3">
      <c r="A147" s="5" t="s">
        <v>136</v>
      </c>
      <c r="B147" s="6" t="s">
        <v>25</v>
      </c>
      <c r="C147" s="7">
        <v>45475</v>
      </c>
      <c r="D147" s="6" t="s">
        <v>35</v>
      </c>
      <c r="E147" s="6" t="s">
        <v>36</v>
      </c>
      <c r="F147" s="8">
        <v>4171</v>
      </c>
      <c r="G147" s="8">
        <v>548</v>
      </c>
      <c r="H147" s="8">
        <v>86</v>
      </c>
      <c r="I147" s="8">
        <v>66736</v>
      </c>
      <c r="J147" s="8">
        <v>66634</v>
      </c>
      <c r="K147" s="8">
        <v>173</v>
      </c>
      <c r="L147" s="9" t="s">
        <v>31</v>
      </c>
      <c r="M147" s="9" t="s">
        <v>32</v>
      </c>
      <c r="N147" s="18">
        <f t="shared" si="2"/>
        <v>7.2110334063691203E-2</v>
      </c>
    </row>
    <row r="148" spans="1:14" x14ac:dyDescent="0.3">
      <c r="A148" s="5" t="s">
        <v>137</v>
      </c>
      <c r="B148" s="6" t="s">
        <v>25</v>
      </c>
      <c r="C148" s="7">
        <v>45698</v>
      </c>
      <c r="D148" s="6" t="s">
        <v>50</v>
      </c>
      <c r="E148" s="6" t="s">
        <v>51</v>
      </c>
      <c r="F148" s="8">
        <v>1766</v>
      </c>
      <c r="G148" s="8">
        <v>92</v>
      </c>
      <c r="H148" s="8">
        <v>424</v>
      </c>
      <c r="I148" s="8">
        <v>24724</v>
      </c>
      <c r="J148" s="8">
        <v>24333</v>
      </c>
      <c r="K148" s="8">
        <v>52</v>
      </c>
      <c r="L148" s="9" t="s">
        <v>31</v>
      </c>
      <c r="M148" s="9" t="s">
        <v>18</v>
      </c>
      <c r="N148" s="18">
        <f t="shared" si="2"/>
        <v>9.3782106604200055E-2</v>
      </c>
    </row>
    <row r="149" spans="1:14" x14ac:dyDescent="0.3">
      <c r="A149" s="5" t="s">
        <v>138</v>
      </c>
      <c r="B149" s="6" t="s">
        <v>25</v>
      </c>
      <c r="C149" s="7">
        <v>45583</v>
      </c>
      <c r="D149" s="6" t="s">
        <v>50</v>
      </c>
      <c r="E149" s="6" t="s">
        <v>51</v>
      </c>
      <c r="F149" s="8">
        <v>4450</v>
      </c>
      <c r="G149" s="8">
        <v>983</v>
      </c>
      <c r="H149" s="8">
        <v>143</v>
      </c>
      <c r="I149" s="8">
        <v>75650</v>
      </c>
      <c r="J149" s="8">
        <v>75008</v>
      </c>
      <c r="K149" s="8">
        <v>12</v>
      </c>
      <c r="L149" s="9" t="s">
        <v>17</v>
      </c>
      <c r="M149" s="9" t="s">
        <v>23</v>
      </c>
      <c r="N149" s="18">
        <f t="shared" si="2"/>
        <v>7.433873720136519E-2</v>
      </c>
    </row>
    <row r="150" spans="1:14" x14ac:dyDescent="0.3">
      <c r="A150" s="5" t="s">
        <v>138</v>
      </c>
      <c r="B150" s="6" t="s">
        <v>25</v>
      </c>
      <c r="C150" s="7">
        <v>45583</v>
      </c>
      <c r="D150" s="6" t="s">
        <v>50</v>
      </c>
      <c r="E150" s="6" t="s">
        <v>51</v>
      </c>
      <c r="F150" s="8">
        <v>4450</v>
      </c>
      <c r="G150" s="8">
        <v>983</v>
      </c>
      <c r="H150" s="8">
        <v>143</v>
      </c>
      <c r="I150" s="8">
        <v>75650</v>
      </c>
      <c r="J150" s="8">
        <v>75008</v>
      </c>
      <c r="K150" s="8">
        <v>12</v>
      </c>
      <c r="L150" s="9" t="s">
        <v>31</v>
      </c>
      <c r="M150" s="9" t="s">
        <v>23</v>
      </c>
      <c r="N150" s="18">
        <f t="shared" si="2"/>
        <v>7.433873720136519E-2</v>
      </c>
    </row>
    <row r="151" spans="1:14" x14ac:dyDescent="0.3">
      <c r="A151" s="5" t="s">
        <v>139</v>
      </c>
      <c r="B151" s="6" t="s">
        <v>14</v>
      </c>
      <c r="C151" s="7">
        <v>45553</v>
      </c>
      <c r="D151" s="6" t="s">
        <v>15</v>
      </c>
      <c r="E151" s="6" t="s">
        <v>16</v>
      </c>
      <c r="F151" s="8">
        <v>1000</v>
      </c>
      <c r="G151" s="8">
        <v>978</v>
      </c>
      <c r="H151" s="8">
        <v>162</v>
      </c>
      <c r="I151" s="8">
        <v>6000</v>
      </c>
      <c r="J151" s="8">
        <v>5221</v>
      </c>
      <c r="K151" s="8">
        <v>223</v>
      </c>
      <c r="L151" s="9" t="s">
        <v>37</v>
      </c>
      <c r="M151" s="9" t="s">
        <v>32</v>
      </c>
      <c r="N151" s="18">
        <f t="shared" si="2"/>
        <v>0.40988316414479986</v>
      </c>
    </row>
    <row r="152" spans="1:14" x14ac:dyDescent="0.3">
      <c r="A152" s="5" t="s">
        <v>139</v>
      </c>
      <c r="B152" s="6" t="s">
        <v>14</v>
      </c>
      <c r="C152" s="7">
        <v>45553</v>
      </c>
      <c r="D152" s="6" t="s">
        <v>15</v>
      </c>
      <c r="E152" s="6" t="s">
        <v>16</v>
      </c>
      <c r="F152" s="8">
        <v>1000</v>
      </c>
      <c r="G152" s="8">
        <v>978</v>
      </c>
      <c r="H152" s="8">
        <v>162</v>
      </c>
      <c r="I152" s="8">
        <v>6000</v>
      </c>
      <c r="J152" s="8">
        <v>5221</v>
      </c>
      <c r="K152" s="8">
        <v>223</v>
      </c>
      <c r="L152" s="9" t="s">
        <v>22</v>
      </c>
      <c r="M152" s="9" t="s">
        <v>32</v>
      </c>
      <c r="N152" s="18">
        <f t="shared" si="2"/>
        <v>0.40988316414479986</v>
      </c>
    </row>
    <row r="153" spans="1:14" x14ac:dyDescent="0.3">
      <c r="A153" s="5" t="s">
        <v>140</v>
      </c>
      <c r="B153" s="6" t="s">
        <v>34</v>
      </c>
      <c r="C153" s="7">
        <v>45454</v>
      </c>
      <c r="D153" s="6" t="s">
        <v>40</v>
      </c>
      <c r="E153" s="6" t="s">
        <v>41</v>
      </c>
      <c r="F153" s="8">
        <v>3689</v>
      </c>
      <c r="G153" s="8">
        <v>48</v>
      </c>
      <c r="H153" s="8">
        <v>306</v>
      </c>
      <c r="I153" s="8">
        <v>40579</v>
      </c>
      <c r="J153" s="8">
        <v>39588</v>
      </c>
      <c r="K153" s="8">
        <v>212</v>
      </c>
      <c r="L153" s="9" t="s">
        <v>37</v>
      </c>
      <c r="M153" s="9" t="s">
        <v>18</v>
      </c>
      <c r="N153" s="18">
        <f t="shared" si="2"/>
        <v>0.10212690714357886</v>
      </c>
    </row>
    <row r="154" spans="1:14" x14ac:dyDescent="0.3">
      <c r="A154" s="5" t="s">
        <v>141</v>
      </c>
      <c r="B154" s="6" t="s">
        <v>25</v>
      </c>
      <c r="C154" s="7">
        <v>45739</v>
      </c>
      <c r="D154" s="6" t="s">
        <v>28</v>
      </c>
      <c r="E154" s="6" t="s">
        <v>29</v>
      </c>
      <c r="F154" s="8">
        <v>3655</v>
      </c>
      <c r="G154" s="8">
        <v>568</v>
      </c>
      <c r="H154" s="8">
        <v>286</v>
      </c>
      <c r="I154" s="8">
        <v>32895</v>
      </c>
      <c r="J154" s="8">
        <v>32015</v>
      </c>
      <c r="K154" s="8">
        <v>199</v>
      </c>
      <c r="L154" s="9" t="s">
        <v>37</v>
      </c>
      <c r="M154" s="9" t="s">
        <v>44</v>
      </c>
      <c r="N154" s="18">
        <f t="shared" si="2"/>
        <v>0.14084023114165234</v>
      </c>
    </row>
    <row r="155" spans="1:14" x14ac:dyDescent="0.3">
      <c r="A155" s="5" t="s">
        <v>142</v>
      </c>
      <c r="B155" s="6" t="s">
        <v>27</v>
      </c>
      <c r="C155" s="7">
        <v>45457</v>
      </c>
      <c r="D155" s="6" t="s">
        <v>35</v>
      </c>
      <c r="E155" s="6" t="s">
        <v>36</v>
      </c>
      <c r="F155" s="8">
        <v>498</v>
      </c>
      <c r="G155" s="8">
        <v>38</v>
      </c>
      <c r="H155" s="8">
        <v>42</v>
      </c>
      <c r="I155" s="8">
        <v>4482</v>
      </c>
      <c r="J155" s="8">
        <v>3647</v>
      </c>
      <c r="K155" s="8">
        <v>32</v>
      </c>
      <c r="L155" s="9" t="s">
        <v>31</v>
      </c>
      <c r="M155" s="9" t="s">
        <v>44</v>
      </c>
      <c r="N155" s="18">
        <f t="shared" si="2"/>
        <v>0.15848642720043871</v>
      </c>
    </row>
    <row r="156" spans="1:14" x14ac:dyDescent="0.3">
      <c r="A156" s="5" t="s">
        <v>142</v>
      </c>
      <c r="B156" s="6" t="s">
        <v>27</v>
      </c>
      <c r="C156" s="7">
        <v>45457</v>
      </c>
      <c r="D156" s="6" t="s">
        <v>35</v>
      </c>
      <c r="E156" s="6" t="s">
        <v>36</v>
      </c>
      <c r="F156" s="8">
        <v>498</v>
      </c>
      <c r="G156" s="8">
        <v>38</v>
      </c>
      <c r="H156" s="8">
        <v>42</v>
      </c>
      <c r="I156" s="8">
        <v>4482</v>
      </c>
      <c r="J156" s="8">
        <v>3647</v>
      </c>
      <c r="K156" s="8">
        <v>32</v>
      </c>
      <c r="L156" s="9" t="s">
        <v>52</v>
      </c>
      <c r="M156" s="9" t="s">
        <v>44</v>
      </c>
      <c r="N156" s="18">
        <f t="shared" si="2"/>
        <v>0.15848642720043871</v>
      </c>
    </row>
    <row r="157" spans="1:14" x14ac:dyDescent="0.3">
      <c r="A157" s="5" t="s">
        <v>143</v>
      </c>
      <c r="B157" s="6" t="s">
        <v>27</v>
      </c>
      <c r="C157" s="7">
        <v>45692</v>
      </c>
      <c r="D157" s="6" t="s">
        <v>40</v>
      </c>
      <c r="E157" s="6" t="s">
        <v>41</v>
      </c>
      <c r="F157" s="8">
        <v>4619</v>
      </c>
      <c r="G157" s="8">
        <v>821</v>
      </c>
      <c r="H157" s="8">
        <v>499</v>
      </c>
      <c r="I157" s="8">
        <v>69285</v>
      </c>
      <c r="J157" s="8">
        <v>69141</v>
      </c>
      <c r="K157" s="8">
        <v>298</v>
      </c>
      <c r="L157" s="9" t="s">
        <v>22</v>
      </c>
      <c r="M157" s="9" t="s">
        <v>18</v>
      </c>
      <c r="N157" s="18">
        <f t="shared" si="2"/>
        <v>8.5896935248260795E-2</v>
      </c>
    </row>
    <row r="158" spans="1:14" x14ac:dyDescent="0.3">
      <c r="A158" s="5" t="s">
        <v>144</v>
      </c>
      <c r="B158" s="6" t="s">
        <v>25</v>
      </c>
      <c r="C158" s="7">
        <v>45464</v>
      </c>
      <c r="D158" s="6" t="s">
        <v>40</v>
      </c>
      <c r="E158" s="6" t="s">
        <v>41</v>
      </c>
      <c r="F158" s="8">
        <v>4832</v>
      </c>
      <c r="G158" s="8">
        <v>893</v>
      </c>
      <c r="H158" s="8">
        <v>10</v>
      </c>
      <c r="I158" s="8">
        <v>91808</v>
      </c>
      <c r="J158" s="8">
        <v>91296</v>
      </c>
      <c r="K158" s="8">
        <v>182</v>
      </c>
      <c r="L158" s="9" t="s">
        <v>17</v>
      </c>
      <c r="M158" s="9" t="s">
        <v>32</v>
      </c>
      <c r="N158" s="18">
        <f t="shared" si="2"/>
        <v>6.2817648089730102E-2</v>
      </c>
    </row>
    <row r="159" spans="1:14" x14ac:dyDescent="0.3">
      <c r="A159" s="5" t="s">
        <v>144</v>
      </c>
      <c r="B159" s="6" t="s">
        <v>25</v>
      </c>
      <c r="C159" s="7">
        <v>45464</v>
      </c>
      <c r="D159" s="6" t="s">
        <v>40</v>
      </c>
      <c r="E159" s="6" t="s">
        <v>41</v>
      </c>
      <c r="F159" s="8">
        <v>4832</v>
      </c>
      <c r="G159" s="8">
        <v>893</v>
      </c>
      <c r="H159" s="8">
        <v>10</v>
      </c>
      <c r="I159" s="8">
        <v>91808</v>
      </c>
      <c r="J159" s="8">
        <v>91296</v>
      </c>
      <c r="K159" s="8">
        <v>182</v>
      </c>
      <c r="L159" s="9" t="s">
        <v>31</v>
      </c>
      <c r="M159" s="9" t="s">
        <v>32</v>
      </c>
      <c r="N159" s="18">
        <f t="shared" si="2"/>
        <v>6.2817648089730102E-2</v>
      </c>
    </row>
    <row r="160" spans="1:14" x14ac:dyDescent="0.3">
      <c r="A160" s="5" t="s">
        <v>145</v>
      </c>
      <c r="B160" s="6" t="s">
        <v>14</v>
      </c>
      <c r="C160" s="7">
        <v>45741</v>
      </c>
      <c r="D160" s="6" t="s">
        <v>50</v>
      </c>
      <c r="E160" s="6" t="s">
        <v>51</v>
      </c>
      <c r="F160" s="8">
        <v>4050</v>
      </c>
      <c r="G160" s="8">
        <v>871</v>
      </c>
      <c r="H160" s="8">
        <v>347</v>
      </c>
      <c r="I160" s="8">
        <v>52650</v>
      </c>
      <c r="J160" s="8">
        <v>51755</v>
      </c>
      <c r="K160" s="8">
        <v>209</v>
      </c>
      <c r="L160" s="9" t="s">
        <v>31</v>
      </c>
      <c r="M160" s="9" t="s">
        <v>18</v>
      </c>
      <c r="N160" s="18">
        <f t="shared" si="2"/>
        <v>0.10178726693073133</v>
      </c>
    </row>
    <row r="161" spans="1:14" x14ac:dyDescent="0.3">
      <c r="A161" s="5" t="s">
        <v>145</v>
      </c>
      <c r="B161" s="6" t="s">
        <v>14</v>
      </c>
      <c r="C161" s="7">
        <v>45741</v>
      </c>
      <c r="D161" s="6" t="s">
        <v>50</v>
      </c>
      <c r="E161" s="6" t="s">
        <v>51</v>
      </c>
      <c r="F161" s="8">
        <v>4050</v>
      </c>
      <c r="G161" s="8">
        <v>871</v>
      </c>
      <c r="H161" s="8">
        <v>347</v>
      </c>
      <c r="I161" s="8">
        <v>52650</v>
      </c>
      <c r="J161" s="8">
        <v>51755</v>
      </c>
      <c r="K161" s="8">
        <v>209</v>
      </c>
      <c r="L161" s="9" t="s">
        <v>52</v>
      </c>
      <c r="M161" s="9" t="s">
        <v>18</v>
      </c>
      <c r="N161" s="18">
        <f t="shared" si="2"/>
        <v>0.10178726693073133</v>
      </c>
    </row>
    <row r="162" spans="1:14" x14ac:dyDescent="0.3">
      <c r="A162" s="5" t="s">
        <v>146</v>
      </c>
      <c r="B162" s="6" t="s">
        <v>14</v>
      </c>
      <c r="C162" s="7">
        <v>45512</v>
      </c>
      <c r="D162" s="6" t="s">
        <v>28</v>
      </c>
      <c r="E162" s="6" t="s">
        <v>29</v>
      </c>
      <c r="F162" s="8">
        <v>3649</v>
      </c>
      <c r="G162" s="8">
        <v>215</v>
      </c>
      <c r="H162" s="8">
        <v>413</v>
      </c>
      <c r="I162" s="8">
        <v>25543</v>
      </c>
      <c r="J162" s="8">
        <v>24963</v>
      </c>
      <c r="K162" s="8">
        <v>167</v>
      </c>
      <c r="L162" s="9" t="s">
        <v>22</v>
      </c>
      <c r="M162" s="9" t="s">
        <v>18</v>
      </c>
      <c r="N162" s="18">
        <f t="shared" si="2"/>
        <v>0.1713335736890598</v>
      </c>
    </row>
    <row r="163" spans="1:14" x14ac:dyDescent="0.3">
      <c r="A163" s="5" t="s">
        <v>146</v>
      </c>
      <c r="B163" s="6" t="s">
        <v>14</v>
      </c>
      <c r="C163" s="7">
        <v>45512</v>
      </c>
      <c r="D163" s="6" t="s">
        <v>28</v>
      </c>
      <c r="E163" s="6" t="s">
        <v>29</v>
      </c>
      <c r="F163" s="8">
        <v>3649</v>
      </c>
      <c r="G163" s="8">
        <v>215</v>
      </c>
      <c r="H163" s="8">
        <v>413</v>
      </c>
      <c r="I163" s="8">
        <v>25543</v>
      </c>
      <c r="J163" s="8">
        <v>24963</v>
      </c>
      <c r="K163" s="8">
        <v>167</v>
      </c>
      <c r="L163" s="9" t="s">
        <v>31</v>
      </c>
      <c r="M163" s="9" t="s">
        <v>18</v>
      </c>
      <c r="N163" s="18">
        <f t="shared" si="2"/>
        <v>0.1713335736890598</v>
      </c>
    </row>
    <row r="164" spans="1:14" x14ac:dyDescent="0.3">
      <c r="A164" s="5" t="s">
        <v>147</v>
      </c>
      <c r="B164" s="6" t="s">
        <v>27</v>
      </c>
      <c r="C164" s="7">
        <v>45502</v>
      </c>
      <c r="D164" s="6" t="s">
        <v>15</v>
      </c>
      <c r="E164" s="6" t="s">
        <v>16</v>
      </c>
      <c r="F164" s="8">
        <v>3523</v>
      </c>
      <c r="G164" s="8">
        <v>753</v>
      </c>
      <c r="H164" s="8">
        <v>482</v>
      </c>
      <c r="I164" s="8">
        <v>38753</v>
      </c>
      <c r="J164" s="8">
        <v>38579</v>
      </c>
      <c r="K164" s="8">
        <v>270</v>
      </c>
      <c r="L164" s="9" t="s">
        <v>52</v>
      </c>
      <c r="M164" s="9" t="s">
        <v>23</v>
      </c>
      <c r="N164" s="18">
        <f t="shared" si="2"/>
        <v>0.12333134606910495</v>
      </c>
    </row>
    <row r="165" spans="1:14" x14ac:dyDescent="0.3">
      <c r="A165" s="5" t="s">
        <v>147</v>
      </c>
      <c r="B165" s="6" t="s">
        <v>27</v>
      </c>
      <c r="C165" s="7">
        <v>45502</v>
      </c>
      <c r="D165" s="6" t="s">
        <v>15</v>
      </c>
      <c r="E165" s="6" t="s">
        <v>16</v>
      </c>
      <c r="F165" s="8">
        <v>3523</v>
      </c>
      <c r="G165" s="8">
        <v>753</v>
      </c>
      <c r="H165" s="8">
        <v>482</v>
      </c>
      <c r="I165" s="8">
        <v>38753</v>
      </c>
      <c r="J165" s="8">
        <v>38579</v>
      </c>
      <c r="K165" s="8">
        <v>270</v>
      </c>
      <c r="L165" s="9" t="s">
        <v>31</v>
      </c>
      <c r="M165" s="9" t="s">
        <v>23</v>
      </c>
      <c r="N165" s="18">
        <f t="shared" si="2"/>
        <v>0.12333134606910495</v>
      </c>
    </row>
    <row r="166" spans="1:14" x14ac:dyDescent="0.3">
      <c r="A166" s="5" t="s">
        <v>148</v>
      </c>
      <c r="B166" s="6" t="s">
        <v>25</v>
      </c>
      <c r="C166" s="7">
        <v>45619</v>
      </c>
      <c r="D166" s="6" t="s">
        <v>40</v>
      </c>
      <c r="E166" s="6" t="s">
        <v>41</v>
      </c>
      <c r="F166" s="8">
        <v>2719</v>
      </c>
      <c r="G166" s="8">
        <v>17</v>
      </c>
      <c r="H166" s="8">
        <v>285</v>
      </c>
      <c r="I166" s="8">
        <v>40785</v>
      </c>
      <c r="J166" s="8">
        <v>40281</v>
      </c>
      <c r="K166" s="8">
        <v>40</v>
      </c>
      <c r="L166" s="9" t="s">
        <v>22</v>
      </c>
      <c r="M166" s="9" t="s">
        <v>32</v>
      </c>
      <c r="N166" s="18">
        <f t="shared" si="2"/>
        <v>7.4998138079988078E-2</v>
      </c>
    </row>
    <row r="167" spans="1:14" x14ac:dyDescent="0.3">
      <c r="A167" s="5" t="s">
        <v>148</v>
      </c>
      <c r="B167" s="6" t="s">
        <v>25</v>
      </c>
      <c r="C167" s="7">
        <v>45619</v>
      </c>
      <c r="D167" s="6" t="s">
        <v>40</v>
      </c>
      <c r="E167" s="6" t="s">
        <v>41</v>
      </c>
      <c r="F167" s="8">
        <v>2719</v>
      </c>
      <c r="G167" s="8">
        <v>17</v>
      </c>
      <c r="H167" s="8">
        <v>285</v>
      </c>
      <c r="I167" s="8">
        <v>40785</v>
      </c>
      <c r="J167" s="8">
        <v>40281</v>
      </c>
      <c r="K167" s="8">
        <v>40</v>
      </c>
      <c r="L167" s="9" t="s">
        <v>31</v>
      </c>
      <c r="M167" s="9" t="s">
        <v>32</v>
      </c>
      <c r="N167" s="18">
        <f t="shared" si="2"/>
        <v>7.4998138079988078E-2</v>
      </c>
    </row>
    <row r="168" spans="1:14" x14ac:dyDescent="0.3">
      <c r="A168" s="5" t="s">
        <v>149</v>
      </c>
      <c r="B168" s="6" t="s">
        <v>14</v>
      </c>
      <c r="C168" s="7">
        <v>45570</v>
      </c>
      <c r="D168" s="6" t="s">
        <v>28</v>
      </c>
      <c r="E168" s="6" t="s">
        <v>29</v>
      </c>
      <c r="F168" s="8">
        <v>1957</v>
      </c>
      <c r="G168" s="8">
        <v>877</v>
      </c>
      <c r="H168" s="8">
        <v>238</v>
      </c>
      <c r="I168" s="8">
        <v>17613</v>
      </c>
      <c r="J168" s="8">
        <v>16865</v>
      </c>
      <c r="K168" s="8">
        <v>297</v>
      </c>
      <c r="L168" s="9" t="s">
        <v>22</v>
      </c>
      <c r="M168" s="9" t="s">
        <v>32</v>
      </c>
      <c r="N168" s="18">
        <f t="shared" si="2"/>
        <v>0.18215238659946634</v>
      </c>
    </row>
    <row r="169" spans="1:14" x14ac:dyDescent="0.3">
      <c r="A169" s="5" t="s">
        <v>149</v>
      </c>
      <c r="B169" s="6" t="s">
        <v>14</v>
      </c>
      <c r="C169" s="7">
        <v>45570</v>
      </c>
      <c r="D169" s="6" t="s">
        <v>28</v>
      </c>
      <c r="E169" s="6" t="s">
        <v>29</v>
      </c>
      <c r="F169" s="8">
        <v>1957</v>
      </c>
      <c r="G169" s="8">
        <v>877</v>
      </c>
      <c r="H169" s="8">
        <v>238</v>
      </c>
      <c r="I169" s="8">
        <v>17613</v>
      </c>
      <c r="J169" s="8">
        <v>16865</v>
      </c>
      <c r="K169" s="8">
        <v>297</v>
      </c>
      <c r="L169" s="9" t="s">
        <v>17</v>
      </c>
      <c r="M169" s="9" t="s">
        <v>32</v>
      </c>
      <c r="N169" s="18">
        <f t="shared" si="2"/>
        <v>0.18215238659946634</v>
      </c>
    </row>
    <row r="170" spans="1:14" x14ac:dyDescent="0.3">
      <c r="A170" s="5" t="s">
        <v>150</v>
      </c>
      <c r="B170" s="6" t="s">
        <v>14</v>
      </c>
      <c r="C170" s="7">
        <v>45567</v>
      </c>
      <c r="D170" s="6" t="s">
        <v>35</v>
      </c>
      <c r="E170" s="6" t="s">
        <v>36</v>
      </c>
      <c r="F170" s="8">
        <v>4419</v>
      </c>
      <c r="G170" s="8">
        <v>236</v>
      </c>
      <c r="H170" s="8">
        <v>369</v>
      </c>
      <c r="I170" s="8">
        <v>44190</v>
      </c>
      <c r="J170" s="8">
        <v>43582</v>
      </c>
      <c r="K170" s="8">
        <v>10</v>
      </c>
      <c r="L170" s="9" t="s">
        <v>37</v>
      </c>
      <c r="M170" s="9" t="s">
        <v>44</v>
      </c>
      <c r="N170" s="18">
        <f t="shared" si="2"/>
        <v>0.11527694919921068</v>
      </c>
    </row>
    <row r="171" spans="1:14" x14ac:dyDescent="0.3">
      <c r="A171" s="5" t="s">
        <v>151</v>
      </c>
      <c r="B171" s="6" t="s">
        <v>14</v>
      </c>
      <c r="C171" s="7">
        <v>45610</v>
      </c>
      <c r="D171" s="6" t="s">
        <v>28</v>
      </c>
      <c r="E171" s="6" t="s">
        <v>29</v>
      </c>
      <c r="F171" s="8">
        <v>4000</v>
      </c>
      <c r="G171" s="8">
        <v>689</v>
      </c>
      <c r="H171" s="8">
        <v>488</v>
      </c>
      <c r="I171" s="8">
        <v>40000</v>
      </c>
      <c r="J171" s="8">
        <v>39569</v>
      </c>
      <c r="K171" s="8">
        <v>44</v>
      </c>
      <c r="L171" s="9" t="s">
        <v>52</v>
      </c>
      <c r="M171" s="9" t="s">
        <v>32</v>
      </c>
      <c r="N171" s="18">
        <f t="shared" si="2"/>
        <v>0.13083474437059314</v>
      </c>
    </row>
    <row r="172" spans="1:14" x14ac:dyDescent="0.3">
      <c r="A172" s="5" t="s">
        <v>151</v>
      </c>
      <c r="B172" s="6" t="s">
        <v>14</v>
      </c>
      <c r="C172" s="7">
        <v>45610</v>
      </c>
      <c r="D172" s="6" t="s">
        <v>28</v>
      </c>
      <c r="E172" s="6" t="s">
        <v>29</v>
      </c>
      <c r="F172" s="8">
        <v>4000</v>
      </c>
      <c r="G172" s="8">
        <v>689</v>
      </c>
      <c r="H172" s="8">
        <v>488</v>
      </c>
      <c r="I172" s="8">
        <v>40000</v>
      </c>
      <c r="J172" s="8">
        <v>39569</v>
      </c>
      <c r="K172" s="8">
        <v>44</v>
      </c>
      <c r="L172" s="9" t="s">
        <v>22</v>
      </c>
      <c r="M172" s="9" t="s">
        <v>32</v>
      </c>
      <c r="N172" s="18">
        <f t="shared" si="2"/>
        <v>0.13083474437059314</v>
      </c>
    </row>
    <row r="173" spans="1:14" x14ac:dyDescent="0.3">
      <c r="A173" s="5" t="s">
        <v>152</v>
      </c>
      <c r="B173" s="6" t="s">
        <v>14</v>
      </c>
      <c r="C173" s="7">
        <v>45788</v>
      </c>
      <c r="D173" s="6" t="s">
        <v>40</v>
      </c>
      <c r="E173" s="6" t="s">
        <v>41</v>
      </c>
      <c r="F173" s="8">
        <v>2493</v>
      </c>
      <c r="G173" s="8">
        <v>97</v>
      </c>
      <c r="H173" s="8">
        <v>44</v>
      </c>
      <c r="I173" s="8">
        <v>42381</v>
      </c>
      <c r="J173" s="8">
        <v>41991</v>
      </c>
      <c r="K173" s="8">
        <v>242</v>
      </c>
      <c r="L173" s="9" t="s">
        <v>17</v>
      </c>
      <c r="M173" s="9" t="s">
        <v>18</v>
      </c>
      <c r="N173" s="18">
        <f t="shared" si="2"/>
        <v>6.272772737015074E-2</v>
      </c>
    </row>
    <row r="174" spans="1:14" x14ac:dyDescent="0.3">
      <c r="A174" s="5" t="s">
        <v>152</v>
      </c>
      <c r="B174" s="6" t="s">
        <v>14</v>
      </c>
      <c r="C174" s="7">
        <v>45788</v>
      </c>
      <c r="D174" s="6" t="s">
        <v>40</v>
      </c>
      <c r="E174" s="6" t="s">
        <v>41</v>
      </c>
      <c r="F174" s="8">
        <v>2493</v>
      </c>
      <c r="G174" s="8">
        <v>97</v>
      </c>
      <c r="H174" s="8">
        <v>44</v>
      </c>
      <c r="I174" s="8">
        <v>42381</v>
      </c>
      <c r="J174" s="8">
        <v>41991</v>
      </c>
      <c r="K174" s="8">
        <v>242</v>
      </c>
      <c r="L174" s="9" t="s">
        <v>31</v>
      </c>
      <c r="M174" s="9" t="s">
        <v>18</v>
      </c>
      <c r="N174" s="18">
        <f t="shared" si="2"/>
        <v>6.272772737015074E-2</v>
      </c>
    </row>
    <row r="175" spans="1:14" x14ac:dyDescent="0.3">
      <c r="A175" s="5" t="s">
        <v>153</v>
      </c>
      <c r="B175" s="6" t="s">
        <v>25</v>
      </c>
      <c r="C175" s="7">
        <v>45734</v>
      </c>
      <c r="D175" s="6" t="s">
        <v>15</v>
      </c>
      <c r="E175" s="6" t="s">
        <v>16</v>
      </c>
      <c r="F175" s="8">
        <v>3704</v>
      </c>
      <c r="G175" s="8">
        <v>186</v>
      </c>
      <c r="H175" s="8">
        <v>458</v>
      </c>
      <c r="I175" s="8">
        <v>25928</v>
      </c>
      <c r="J175" s="8">
        <v>25081</v>
      </c>
      <c r="K175" s="8">
        <v>131</v>
      </c>
      <c r="L175" s="9" t="s">
        <v>31</v>
      </c>
      <c r="M175" s="9" t="s">
        <v>18</v>
      </c>
      <c r="N175" s="18">
        <f t="shared" si="2"/>
        <v>0.17335831904629001</v>
      </c>
    </row>
    <row r="176" spans="1:14" x14ac:dyDescent="0.3">
      <c r="A176" s="5" t="s">
        <v>154</v>
      </c>
      <c r="B176" s="6" t="s">
        <v>14</v>
      </c>
      <c r="C176" s="7">
        <v>45600</v>
      </c>
      <c r="D176" s="6" t="s">
        <v>40</v>
      </c>
      <c r="E176" s="6" t="s">
        <v>41</v>
      </c>
      <c r="F176" s="8">
        <v>1606</v>
      </c>
      <c r="G176" s="8">
        <v>451</v>
      </c>
      <c r="H176" s="8">
        <v>405</v>
      </c>
      <c r="I176" s="8">
        <v>20878</v>
      </c>
      <c r="J176" s="8">
        <v>20190</v>
      </c>
      <c r="K176" s="8">
        <v>219</v>
      </c>
      <c r="L176" s="9" t="s">
        <v>17</v>
      </c>
      <c r="M176" s="9" t="s">
        <v>23</v>
      </c>
      <c r="N176" s="18">
        <f t="shared" si="2"/>
        <v>0.12194155522535909</v>
      </c>
    </row>
    <row r="177" spans="1:14" x14ac:dyDescent="0.3">
      <c r="A177" s="5" t="s">
        <v>154</v>
      </c>
      <c r="B177" s="6" t="s">
        <v>14</v>
      </c>
      <c r="C177" s="7">
        <v>45600</v>
      </c>
      <c r="D177" s="6" t="s">
        <v>40</v>
      </c>
      <c r="E177" s="6" t="s">
        <v>41</v>
      </c>
      <c r="F177" s="8">
        <v>1606</v>
      </c>
      <c r="G177" s="8">
        <v>451</v>
      </c>
      <c r="H177" s="8">
        <v>405</v>
      </c>
      <c r="I177" s="8">
        <v>20878</v>
      </c>
      <c r="J177" s="8">
        <v>20190</v>
      </c>
      <c r="K177" s="8">
        <v>219</v>
      </c>
      <c r="L177" s="9" t="s">
        <v>31</v>
      </c>
      <c r="M177" s="9" t="s">
        <v>23</v>
      </c>
      <c r="N177" s="18">
        <f t="shared" si="2"/>
        <v>0.12194155522535909</v>
      </c>
    </row>
    <row r="178" spans="1:14" x14ac:dyDescent="0.3">
      <c r="A178" s="5" t="s">
        <v>155</v>
      </c>
      <c r="B178" s="6" t="s">
        <v>34</v>
      </c>
      <c r="C178" s="7">
        <v>45600</v>
      </c>
      <c r="D178" s="6" t="s">
        <v>40</v>
      </c>
      <c r="E178" s="6" t="s">
        <v>41</v>
      </c>
      <c r="F178" s="8">
        <v>4551</v>
      </c>
      <c r="G178" s="8">
        <v>714</v>
      </c>
      <c r="H178" s="8">
        <v>207</v>
      </c>
      <c r="I178" s="8">
        <v>68265</v>
      </c>
      <c r="J178" s="8">
        <v>67754</v>
      </c>
      <c r="K178" s="8">
        <v>57</v>
      </c>
      <c r="L178" s="9" t="s">
        <v>37</v>
      </c>
      <c r="M178" s="9" t="s">
        <v>23</v>
      </c>
      <c r="N178" s="18">
        <f t="shared" si="2"/>
        <v>8.0762759394279307E-2</v>
      </c>
    </row>
    <row r="179" spans="1:14" x14ac:dyDescent="0.3">
      <c r="A179" s="5" t="s">
        <v>156</v>
      </c>
      <c r="B179" s="6" t="s">
        <v>27</v>
      </c>
      <c r="C179" s="7">
        <v>45695</v>
      </c>
      <c r="D179" s="6" t="s">
        <v>15</v>
      </c>
      <c r="E179" s="6" t="s">
        <v>16</v>
      </c>
      <c r="F179" s="8">
        <v>1970</v>
      </c>
      <c r="G179" s="8">
        <v>675</v>
      </c>
      <c r="H179" s="8">
        <v>478</v>
      </c>
      <c r="I179" s="8">
        <v>9850</v>
      </c>
      <c r="J179" s="8">
        <v>8924</v>
      </c>
      <c r="K179" s="8">
        <v>117</v>
      </c>
      <c r="L179" s="9" t="s">
        <v>37</v>
      </c>
      <c r="M179" s="9" t="s">
        <v>44</v>
      </c>
      <c r="N179" s="18">
        <f t="shared" si="2"/>
        <v>0.34995517705064993</v>
      </c>
    </row>
    <row r="180" spans="1:14" x14ac:dyDescent="0.3">
      <c r="A180" s="5" t="s">
        <v>157</v>
      </c>
      <c r="B180" s="6" t="s">
        <v>34</v>
      </c>
      <c r="C180" s="7">
        <v>45586</v>
      </c>
      <c r="D180" s="6" t="s">
        <v>28</v>
      </c>
      <c r="E180" s="6" t="s">
        <v>29</v>
      </c>
      <c r="F180" s="8">
        <v>780</v>
      </c>
      <c r="G180" s="8">
        <v>928</v>
      </c>
      <c r="H180" s="8">
        <v>301</v>
      </c>
      <c r="I180" s="8">
        <v>8580</v>
      </c>
      <c r="J180" s="8">
        <v>8081</v>
      </c>
      <c r="K180" s="8">
        <v>91</v>
      </c>
      <c r="L180" s="9" t="s">
        <v>17</v>
      </c>
      <c r="M180" s="9" t="s">
        <v>44</v>
      </c>
      <c r="N180" s="18">
        <f t="shared" si="2"/>
        <v>0.24860784556366786</v>
      </c>
    </row>
    <row r="181" spans="1:14" x14ac:dyDescent="0.3">
      <c r="A181" s="5" t="s">
        <v>157</v>
      </c>
      <c r="B181" s="6" t="s">
        <v>34</v>
      </c>
      <c r="C181" s="7">
        <v>45586</v>
      </c>
      <c r="D181" s="6" t="s">
        <v>28</v>
      </c>
      <c r="E181" s="6" t="s">
        <v>29</v>
      </c>
      <c r="F181" s="8">
        <v>780</v>
      </c>
      <c r="G181" s="8">
        <v>928</v>
      </c>
      <c r="H181" s="8">
        <v>301</v>
      </c>
      <c r="I181" s="8">
        <v>8580</v>
      </c>
      <c r="J181" s="8">
        <v>8081</v>
      </c>
      <c r="K181" s="8">
        <v>91</v>
      </c>
      <c r="L181" s="9" t="s">
        <v>22</v>
      </c>
      <c r="M181" s="9" t="s">
        <v>44</v>
      </c>
      <c r="N181" s="18">
        <f t="shared" si="2"/>
        <v>0.24860784556366786</v>
      </c>
    </row>
    <row r="182" spans="1:14" x14ac:dyDescent="0.3">
      <c r="A182" s="5" t="s">
        <v>158</v>
      </c>
      <c r="B182" s="6" t="s">
        <v>27</v>
      </c>
      <c r="C182" s="7">
        <v>45502</v>
      </c>
      <c r="D182" s="6" t="s">
        <v>28</v>
      </c>
      <c r="E182" s="6" t="s">
        <v>29</v>
      </c>
      <c r="F182" s="8">
        <v>498</v>
      </c>
      <c r="G182" s="8">
        <v>701</v>
      </c>
      <c r="H182" s="8">
        <v>412</v>
      </c>
      <c r="I182" s="8">
        <v>4980</v>
      </c>
      <c r="J182" s="8">
        <v>4185</v>
      </c>
      <c r="K182" s="8">
        <v>185</v>
      </c>
      <c r="L182" s="9" t="s">
        <v>52</v>
      </c>
      <c r="M182" s="9" t="s">
        <v>44</v>
      </c>
      <c r="N182" s="18">
        <f t="shared" si="2"/>
        <v>0.38494623655913979</v>
      </c>
    </row>
    <row r="183" spans="1:14" x14ac:dyDescent="0.3">
      <c r="A183" s="5" t="s">
        <v>158</v>
      </c>
      <c r="B183" s="6" t="s">
        <v>27</v>
      </c>
      <c r="C183" s="7">
        <v>45502</v>
      </c>
      <c r="D183" s="6" t="s">
        <v>28</v>
      </c>
      <c r="E183" s="6" t="s">
        <v>29</v>
      </c>
      <c r="F183" s="8">
        <v>498</v>
      </c>
      <c r="G183" s="8">
        <v>701</v>
      </c>
      <c r="H183" s="8">
        <v>412</v>
      </c>
      <c r="I183" s="8">
        <v>4980</v>
      </c>
      <c r="J183" s="8">
        <v>4185</v>
      </c>
      <c r="K183" s="8">
        <v>185</v>
      </c>
      <c r="L183" s="9" t="s">
        <v>31</v>
      </c>
      <c r="M183" s="9" t="s">
        <v>44</v>
      </c>
      <c r="N183" s="18">
        <f t="shared" si="2"/>
        <v>0.38494623655913979</v>
      </c>
    </row>
    <row r="184" spans="1:14" x14ac:dyDescent="0.3">
      <c r="A184" s="5" t="s">
        <v>159</v>
      </c>
      <c r="B184" s="6" t="s">
        <v>27</v>
      </c>
      <c r="C184" s="7">
        <v>45567</v>
      </c>
      <c r="D184" s="6" t="s">
        <v>20</v>
      </c>
      <c r="E184" s="6" t="s">
        <v>21</v>
      </c>
      <c r="F184" s="8">
        <v>3432</v>
      </c>
      <c r="G184" s="8">
        <v>869</v>
      </c>
      <c r="H184" s="8">
        <v>123</v>
      </c>
      <c r="I184" s="8">
        <v>54912</v>
      </c>
      <c r="J184" s="8">
        <v>53916</v>
      </c>
      <c r="K184" s="8">
        <v>264</v>
      </c>
      <c r="L184" s="9" t="s">
        <v>22</v>
      </c>
      <c r="M184" s="9" t="s">
        <v>23</v>
      </c>
      <c r="N184" s="18">
        <f t="shared" si="2"/>
        <v>8.2053564804510717E-2</v>
      </c>
    </row>
    <row r="185" spans="1:14" x14ac:dyDescent="0.3">
      <c r="A185" s="5" t="s">
        <v>159</v>
      </c>
      <c r="B185" s="6" t="s">
        <v>27</v>
      </c>
      <c r="C185" s="7">
        <v>45567</v>
      </c>
      <c r="D185" s="6" t="s">
        <v>20</v>
      </c>
      <c r="E185" s="6" t="s">
        <v>21</v>
      </c>
      <c r="F185" s="8">
        <v>3432</v>
      </c>
      <c r="G185" s="8">
        <v>869</v>
      </c>
      <c r="H185" s="8">
        <v>123</v>
      </c>
      <c r="I185" s="8">
        <v>54912</v>
      </c>
      <c r="J185" s="8">
        <v>53916</v>
      </c>
      <c r="K185" s="8">
        <v>264</v>
      </c>
      <c r="L185" s="9" t="s">
        <v>37</v>
      </c>
      <c r="M185" s="9" t="s">
        <v>23</v>
      </c>
      <c r="N185" s="18">
        <f t="shared" si="2"/>
        <v>8.2053564804510717E-2</v>
      </c>
    </row>
    <row r="186" spans="1:14" x14ac:dyDescent="0.3">
      <c r="A186" s="5" t="s">
        <v>160</v>
      </c>
      <c r="B186" s="6" t="s">
        <v>27</v>
      </c>
      <c r="C186" s="7">
        <v>45457</v>
      </c>
      <c r="D186" s="6" t="s">
        <v>28</v>
      </c>
      <c r="E186" s="6" t="s">
        <v>29</v>
      </c>
      <c r="F186" s="8">
        <v>4363</v>
      </c>
      <c r="G186" s="8">
        <v>649</v>
      </c>
      <c r="H186" s="8">
        <v>140</v>
      </c>
      <c r="I186" s="8">
        <v>21815</v>
      </c>
      <c r="J186" s="8">
        <v>21481</v>
      </c>
      <c r="K186" s="8">
        <v>157</v>
      </c>
      <c r="L186" s="9" t="s">
        <v>17</v>
      </c>
      <c r="M186" s="9" t="s">
        <v>23</v>
      </c>
      <c r="N186" s="18">
        <f t="shared" si="2"/>
        <v>0.23983985847958661</v>
      </c>
    </row>
    <row r="187" spans="1:14" x14ac:dyDescent="0.3">
      <c r="A187" s="5" t="s">
        <v>160</v>
      </c>
      <c r="B187" s="6" t="s">
        <v>27</v>
      </c>
      <c r="C187" s="7">
        <v>45457</v>
      </c>
      <c r="D187" s="6" t="s">
        <v>28</v>
      </c>
      <c r="E187" s="6" t="s">
        <v>29</v>
      </c>
      <c r="F187" s="8">
        <v>4363</v>
      </c>
      <c r="G187" s="8">
        <v>649</v>
      </c>
      <c r="H187" s="8">
        <v>140</v>
      </c>
      <c r="I187" s="8">
        <v>21815</v>
      </c>
      <c r="J187" s="8">
        <v>21481</v>
      </c>
      <c r="K187" s="8">
        <v>157</v>
      </c>
      <c r="L187" s="9" t="s">
        <v>22</v>
      </c>
      <c r="M187" s="9" t="s">
        <v>23</v>
      </c>
      <c r="N187" s="18">
        <f t="shared" si="2"/>
        <v>0.23983985847958661</v>
      </c>
    </row>
    <row r="188" spans="1:14" x14ac:dyDescent="0.3">
      <c r="A188" s="5" t="s">
        <v>161</v>
      </c>
      <c r="B188" s="6" t="s">
        <v>25</v>
      </c>
      <c r="C188" s="7">
        <v>45753</v>
      </c>
      <c r="D188" s="6" t="s">
        <v>35</v>
      </c>
      <c r="E188" s="6" t="s">
        <v>36</v>
      </c>
      <c r="F188" s="8">
        <v>736</v>
      </c>
      <c r="G188" s="8">
        <v>771</v>
      </c>
      <c r="H188" s="8">
        <v>225</v>
      </c>
      <c r="I188" s="8">
        <v>5152</v>
      </c>
      <c r="J188" s="8">
        <v>4706</v>
      </c>
      <c r="K188" s="8">
        <v>19</v>
      </c>
      <c r="L188" s="9" t="s">
        <v>31</v>
      </c>
      <c r="M188" s="9" t="s">
        <v>32</v>
      </c>
      <c r="N188" s="18">
        <f t="shared" si="2"/>
        <v>0.36804079898002551</v>
      </c>
    </row>
    <row r="189" spans="1:14" x14ac:dyDescent="0.3">
      <c r="A189" s="5" t="s">
        <v>162</v>
      </c>
      <c r="B189" s="6" t="s">
        <v>14</v>
      </c>
      <c r="C189" s="7">
        <v>45543</v>
      </c>
      <c r="D189" s="6" t="s">
        <v>35</v>
      </c>
      <c r="E189" s="6" t="s">
        <v>36</v>
      </c>
      <c r="F189" s="8">
        <v>3811</v>
      </c>
      <c r="G189" s="8">
        <v>866</v>
      </c>
      <c r="H189" s="8">
        <v>216</v>
      </c>
      <c r="I189" s="8">
        <v>34299</v>
      </c>
      <c r="J189" s="8">
        <v>34088</v>
      </c>
      <c r="K189" s="8">
        <v>233</v>
      </c>
      <c r="L189" s="9" t="s">
        <v>31</v>
      </c>
      <c r="M189" s="9" t="s">
        <v>32</v>
      </c>
      <c r="N189" s="18">
        <f t="shared" si="2"/>
        <v>0.14354024876789487</v>
      </c>
    </row>
    <row r="190" spans="1:14" x14ac:dyDescent="0.3">
      <c r="A190" s="5" t="s">
        <v>163</v>
      </c>
      <c r="B190" s="6" t="s">
        <v>27</v>
      </c>
      <c r="C190" s="7">
        <v>45744</v>
      </c>
      <c r="D190" s="6" t="s">
        <v>35</v>
      </c>
      <c r="E190" s="6" t="s">
        <v>36</v>
      </c>
      <c r="F190" s="8">
        <v>4158</v>
      </c>
      <c r="G190" s="8">
        <v>167</v>
      </c>
      <c r="H190" s="8">
        <v>241</v>
      </c>
      <c r="I190" s="8">
        <v>45738</v>
      </c>
      <c r="J190" s="8">
        <v>45183</v>
      </c>
      <c r="K190" s="8">
        <v>142</v>
      </c>
      <c r="L190" s="9" t="s">
        <v>22</v>
      </c>
      <c r="M190" s="9" t="s">
        <v>23</v>
      </c>
      <c r="N190" s="18">
        <f t="shared" si="2"/>
        <v>0.10105570679237766</v>
      </c>
    </row>
    <row r="191" spans="1:14" x14ac:dyDescent="0.3">
      <c r="A191" s="5" t="s">
        <v>164</v>
      </c>
      <c r="B191" s="6" t="s">
        <v>34</v>
      </c>
      <c r="C191" s="7">
        <v>45684</v>
      </c>
      <c r="D191" s="6" t="s">
        <v>15</v>
      </c>
      <c r="E191" s="6" t="s">
        <v>16</v>
      </c>
      <c r="F191" s="8">
        <v>3452</v>
      </c>
      <c r="G191" s="8">
        <v>652</v>
      </c>
      <c r="H191" s="8">
        <v>442</v>
      </c>
      <c r="I191" s="8">
        <v>65588</v>
      </c>
      <c r="J191" s="8">
        <v>65049</v>
      </c>
      <c r="K191" s="8">
        <v>158</v>
      </c>
      <c r="L191" s="9" t="s">
        <v>17</v>
      </c>
      <c r="M191" s="9" t="s">
        <v>18</v>
      </c>
      <c r="N191" s="18">
        <f t="shared" si="2"/>
        <v>6.9885778413196209E-2</v>
      </c>
    </row>
    <row r="192" spans="1:14" x14ac:dyDescent="0.3">
      <c r="A192" s="5" t="s">
        <v>164</v>
      </c>
      <c r="B192" s="6" t="s">
        <v>34</v>
      </c>
      <c r="C192" s="7">
        <v>45684</v>
      </c>
      <c r="D192" s="6" t="s">
        <v>15</v>
      </c>
      <c r="E192" s="6" t="s">
        <v>16</v>
      </c>
      <c r="F192" s="8">
        <v>3452</v>
      </c>
      <c r="G192" s="8">
        <v>652</v>
      </c>
      <c r="H192" s="8">
        <v>442</v>
      </c>
      <c r="I192" s="8">
        <v>65588</v>
      </c>
      <c r="J192" s="8">
        <v>65049</v>
      </c>
      <c r="K192" s="8">
        <v>158</v>
      </c>
      <c r="L192" s="9" t="s">
        <v>31</v>
      </c>
      <c r="M192" s="9" t="s">
        <v>18</v>
      </c>
      <c r="N192" s="18">
        <f t="shared" si="2"/>
        <v>6.9885778413196209E-2</v>
      </c>
    </row>
    <row r="193" spans="1:14" x14ac:dyDescent="0.3">
      <c r="A193" s="5" t="s">
        <v>165</v>
      </c>
      <c r="B193" s="6" t="s">
        <v>14</v>
      </c>
      <c r="C193" s="7">
        <v>45667</v>
      </c>
      <c r="D193" s="6" t="s">
        <v>40</v>
      </c>
      <c r="E193" s="6" t="s">
        <v>41</v>
      </c>
      <c r="F193" s="8">
        <v>3092</v>
      </c>
      <c r="G193" s="8">
        <v>106</v>
      </c>
      <c r="H193" s="8">
        <v>291</v>
      </c>
      <c r="I193" s="8">
        <v>27828</v>
      </c>
      <c r="J193" s="8">
        <v>27217</v>
      </c>
      <c r="K193" s="8">
        <v>102</v>
      </c>
      <c r="L193" s="9" t="s">
        <v>31</v>
      </c>
      <c r="M193" s="9" t="s">
        <v>44</v>
      </c>
      <c r="N193" s="18">
        <f t="shared" si="2"/>
        <v>0.12819193886174082</v>
      </c>
    </row>
    <row r="194" spans="1:14" x14ac:dyDescent="0.3">
      <c r="A194" s="5" t="s">
        <v>166</v>
      </c>
      <c r="B194" s="6" t="s">
        <v>14</v>
      </c>
      <c r="C194" s="7">
        <v>45494</v>
      </c>
      <c r="D194" s="6" t="s">
        <v>20</v>
      </c>
      <c r="E194" s="6" t="s">
        <v>21</v>
      </c>
      <c r="F194" s="8">
        <v>2147</v>
      </c>
      <c r="G194" s="8">
        <v>430</v>
      </c>
      <c r="H194" s="8">
        <v>393</v>
      </c>
      <c r="I194" s="8">
        <v>17176</v>
      </c>
      <c r="J194" s="8">
        <v>16483</v>
      </c>
      <c r="K194" s="8">
        <v>170</v>
      </c>
      <c r="L194" s="9" t="s">
        <v>52</v>
      </c>
      <c r="M194" s="9" t="s">
        <v>44</v>
      </c>
      <c r="N194" s="18">
        <f t="shared" si="2"/>
        <v>0.18018564581690227</v>
      </c>
    </row>
    <row r="195" spans="1:14" x14ac:dyDescent="0.3">
      <c r="A195" s="5" t="s">
        <v>167</v>
      </c>
      <c r="B195" s="6" t="s">
        <v>25</v>
      </c>
      <c r="C195" s="7">
        <v>45564</v>
      </c>
      <c r="D195" s="6" t="s">
        <v>15</v>
      </c>
      <c r="E195" s="6" t="s">
        <v>16</v>
      </c>
      <c r="F195" s="8">
        <v>2936</v>
      </c>
      <c r="G195" s="8">
        <v>439</v>
      </c>
      <c r="H195" s="8">
        <v>44</v>
      </c>
      <c r="I195" s="8">
        <v>38168</v>
      </c>
      <c r="J195" s="8">
        <v>37571</v>
      </c>
      <c r="K195" s="8">
        <v>22</v>
      </c>
      <c r="L195" s="9" t="s">
        <v>17</v>
      </c>
      <c r="M195" s="9" t="s">
        <v>32</v>
      </c>
      <c r="N195" s="18">
        <f t="shared" ref="N195:N258" si="3">SUM(F195,G195,H195)/J195</f>
        <v>9.1001038034654383E-2</v>
      </c>
    </row>
    <row r="196" spans="1:14" x14ac:dyDescent="0.3">
      <c r="A196" s="5" t="s">
        <v>168</v>
      </c>
      <c r="B196" s="6" t="s">
        <v>27</v>
      </c>
      <c r="C196" s="7">
        <v>45586</v>
      </c>
      <c r="D196" s="6" t="s">
        <v>15</v>
      </c>
      <c r="E196" s="6" t="s">
        <v>16</v>
      </c>
      <c r="F196" s="8">
        <v>4840</v>
      </c>
      <c r="G196" s="8">
        <v>658</v>
      </c>
      <c r="H196" s="8">
        <v>211</v>
      </c>
      <c r="I196" s="8">
        <v>43560</v>
      </c>
      <c r="J196" s="8">
        <v>43225</v>
      </c>
      <c r="K196" s="8">
        <v>57</v>
      </c>
      <c r="L196" s="9" t="s">
        <v>17</v>
      </c>
      <c r="M196" s="9" t="s">
        <v>23</v>
      </c>
      <c r="N196" s="18">
        <f t="shared" si="3"/>
        <v>0.13207634470792365</v>
      </c>
    </row>
    <row r="197" spans="1:14" x14ac:dyDescent="0.3">
      <c r="A197" s="5" t="s">
        <v>168</v>
      </c>
      <c r="B197" s="6" t="s">
        <v>27</v>
      </c>
      <c r="C197" s="7">
        <v>45586</v>
      </c>
      <c r="D197" s="6" t="s">
        <v>15</v>
      </c>
      <c r="E197" s="6" t="s">
        <v>16</v>
      </c>
      <c r="F197" s="8">
        <v>4840</v>
      </c>
      <c r="G197" s="8">
        <v>658</v>
      </c>
      <c r="H197" s="8">
        <v>211</v>
      </c>
      <c r="I197" s="8">
        <v>43560</v>
      </c>
      <c r="J197" s="8">
        <v>43225</v>
      </c>
      <c r="K197" s="8">
        <v>57</v>
      </c>
      <c r="L197" s="9" t="s">
        <v>22</v>
      </c>
      <c r="M197" s="9" t="s">
        <v>23</v>
      </c>
      <c r="N197" s="18">
        <f t="shared" si="3"/>
        <v>0.13207634470792365</v>
      </c>
    </row>
    <row r="198" spans="1:14" x14ac:dyDescent="0.3">
      <c r="A198" s="5" t="s">
        <v>169</v>
      </c>
      <c r="B198" s="6" t="s">
        <v>27</v>
      </c>
      <c r="C198" s="7">
        <v>45720</v>
      </c>
      <c r="D198" s="6" t="s">
        <v>28</v>
      </c>
      <c r="E198" s="6" t="s">
        <v>29</v>
      </c>
      <c r="F198" s="8">
        <v>1947</v>
      </c>
      <c r="G198" s="8">
        <v>842</v>
      </c>
      <c r="H198" s="8">
        <v>101</v>
      </c>
      <c r="I198" s="8">
        <v>21417</v>
      </c>
      <c r="J198" s="8">
        <v>20967</v>
      </c>
      <c r="K198" s="8">
        <v>186</v>
      </c>
      <c r="L198" s="9" t="s">
        <v>22</v>
      </c>
      <c r="M198" s="9" t="s">
        <v>23</v>
      </c>
      <c r="N198" s="18">
        <f t="shared" si="3"/>
        <v>0.13783564649210664</v>
      </c>
    </row>
    <row r="199" spans="1:14" x14ac:dyDescent="0.3">
      <c r="A199" s="5" t="s">
        <v>170</v>
      </c>
      <c r="B199" s="6" t="s">
        <v>34</v>
      </c>
      <c r="C199" s="7">
        <v>45694</v>
      </c>
      <c r="D199" s="6" t="s">
        <v>40</v>
      </c>
      <c r="E199" s="6" t="s">
        <v>41</v>
      </c>
      <c r="F199" s="8">
        <v>2072</v>
      </c>
      <c r="G199" s="8">
        <v>532</v>
      </c>
      <c r="H199" s="8">
        <v>71</v>
      </c>
      <c r="I199" s="8">
        <v>37296</v>
      </c>
      <c r="J199" s="8">
        <v>36467</v>
      </c>
      <c r="K199" s="8">
        <v>25</v>
      </c>
      <c r="L199" s="9" t="s">
        <v>17</v>
      </c>
      <c r="M199" s="9" t="s">
        <v>32</v>
      </c>
      <c r="N199" s="18">
        <f t="shared" si="3"/>
        <v>7.3353991279787201E-2</v>
      </c>
    </row>
    <row r="200" spans="1:14" x14ac:dyDescent="0.3">
      <c r="A200" s="5" t="s">
        <v>171</v>
      </c>
      <c r="B200" s="6" t="s">
        <v>14</v>
      </c>
      <c r="C200" s="7">
        <v>45771</v>
      </c>
      <c r="D200" s="6" t="s">
        <v>15</v>
      </c>
      <c r="E200" s="6" t="s">
        <v>16</v>
      </c>
      <c r="F200" s="8">
        <v>3731</v>
      </c>
      <c r="G200" s="8">
        <v>115</v>
      </c>
      <c r="H200" s="8">
        <v>135</v>
      </c>
      <c r="I200" s="8">
        <v>55965</v>
      </c>
      <c r="J200" s="8">
        <v>55436</v>
      </c>
      <c r="K200" s="8">
        <v>103</v>
      </c>
      <c r="L200" s="9" t="s">
        <v>52</v>
      </c>
      <c r="M200" s="9" t="s">
        <v>44</v>
      </c>
      <c r="N200" s="18">
        <f t="shared" si="3"/>
        <v>7.1812540587343959E-2</v>
      </c>
    </row>
    <row r="201" spans="1:14" x14ac:dyDescent="0.3">
      <c r="A201" s="5" t="s">
        <v>172</v>
      </c>
      <c r="B201" s="6" t="s">
        <v>34</v>
      </c>
      <c r="C201" s="7">
        <v>45624</v>
      </c>
      <c r="D201" s="6" t="s">
        <v>20</v>
      </c>
      <c r="E201" s="6" t="s">
        <v>21</v>
      </c>
      <c r="F201" s="8">
        <v>4213</v>
      </c>
      <c r="G201" s="8">
        <v>253</v>
      </c>
      <c r="H201" s="8">
        <v>434</v>
      </c>
      <c r="I201" s="8">
        <v>75834</v>
      </c>
      <c r="J201" s="8">
        <v>75437</v>
      </c>
      <c r="K201" s="8">
        <v>272</v>
      </c>
      <c r="L201" s="9" t="s">
        <v>37</v>
      </c>
      <c r="M201" s="9" t="s">
        <v>32</v>
      </c>
      <c r="N201" s="18">
        <f t="shared" si="3"/>
        <v>6.4954862998263446E-2</v>
      </c>
    </row>
    <row r="202" spans="1:14" x14ac:dyDescent="0.3">
      <c r="A202" s="5" t="s">
        <v>173</v>
      </c>
      <c r="B202" s="6" t="s">
        <v>27</v>
      </c>
      <c r="C202" s="7">
        <v>45484</v>
      </c>
      <c r="D202" s="6" t="s">
        <v>20</v>
      </c>
      <c r="E202" s="6" t="s">
        <v>21</v>
      </c>
      <c r="F202" s="8">
        <v>3134</v>
      </c>
      <c r="G202" s="8">
        <v>888</v>
      </c>
      <c r="H202" s="8">
        <v>444</v>
      </c>
      <c r="I202" s="8">
        <v>21938</v>
      </c>
      <c r="J202" s="8">
        <v>21337</v>
      </c>
      <c r="K202" s="8">
        <v>130</v>
      </c>
      <c r="L202" s="9" t="s">
        <v>17</v>
      </c>
      <c r="M202" s="9" t="s">
        <v>44</v>
      </c>
      <c r="N202" s="18">
        <f t="shared" si="3"/>
        <v>0.209307775226133</v>
      </c>
    </row>
    <row r="203" spans="1:14" x14ac:dyDescent="0.3">
      <c r="A203" s="5" t="s">
        <v>173</v>
      </c>
      <c r="B203" s="6" t="s">
        <v>27</v>
      </c>
      <c r="C203" s="7">
        <v>45484</v>
      </c>
      <c r="D203" s="6" t="s">
        <v>20</v>
      </c>
      <c r="E203" s="6" t="s">
        <v>21</v>
      </c>
      <c r="F203" s="8">
        <v>3134</v>
      </c>
      <c r="G203" s="8">
        <v>888</v>
      </c>
      <c r="H203" s="8">
        <v>444</v>
      </c>
      <c r="I203" s="8">
        <v>21938</v>
      </c>
      <c r="J203" s="8">
        <v>21337</v>
      </c>
      <c r="K203" s="8">
        <v>130</v>
      </c>
      <c r="L203" s="9" t="s">
        <v>22</v>
      </c>
      <c r="M203" s="9" t="s">
        <v>44</v>
      </c>
      <c r="N203" s="18">
        <f t="shared" si="3"/>
        <v>0.209307775226133</v>
      </c>
    </row>
    <row r="204" spans="1:14" x14ac:dyDescent="0.3">
      <c r="A204" s="5" t="s">
        <v>174</v>
      </c>
      <c r="B204" s="6" t="s">
        <v>34</v>
      </c>
      <c r="C204" s="7">
        <v>45504</v>
      </c>
      <c r="D204" s="6" t="s">
        <v>50</v>
      </c>
      <c r="E204" s="6" t="s">
        <v>51</v>
      </c>
      <c r="F204" s="8">
        <v>3008</v>
      </c>
      <c r="G204" s="8">
        <v>94</v>
      </c>
      <c r="H204" s="8">
        <v>37</v>
      </c>
      <c r="I204" s="8">
        <v>15040</v>
      </c>
      <c r="J204" s="8">
        <v>14639</v>
      </c>
      <c r="K204" s="8">
        <v>277</v>
      </c>
      <c r="L204" s="9" t="s">
        <v>52</v>
      </c>
      <c r="M204" s="9" t="s">
        <v>18</v>
      </c>
      <c r="N204" s="18">
        <f t="shared" si="3"/>
        <v>0.2144272149737004</v>
      </c>
    </row>
    <row r="205" spans="1:14" x14ac:dyDescent="0.3">
      <c r="A205" s="5" t="s">
        <v>175</v>
      </c>
      <c r="B205" s="6" t="s">
        <v>14</v>
      </c>
      <c r="C205" s="7">
        <v>45745</v>
      </c>
      <c r="D205" s="6" t="s">
        <v>40</v>
      </c>
      <c r="E205" s="6" t="s">
        <v>41</v>
      </c>
      <c r="F205" s="8">
        <v>305</v>
      </c>
      <c r="G205" s="8">
        <v>187</v>
      </c>
      <c r="H205" s="8">
        <v>243</v>
      </c>
      <c r="I205" s="8">
        <v>4575</v>
      </c>
      <c r="J205" s="8">
        <v>3704</v>
      </c>
      <c r="K205" s="8">
        <v>234</v>
      </c>
      <c r="L205" s="9" t="s">
        <v>22</v>
      </c>
      <c r="M205" s="9" t="s">
        <v>44</v>
      </c>
      <c r="N205" s="18">
        <f t="shared" si="3"/>
        <v>0.19843412526997839</v>
      </c>
    </row>
    <row r="206" spans="1:14" x14ac:dyDescent="0.3">
      <c r="A206" s="5" t="s">
        <v>175</v>
      </c>
      <c r="B206" s="6" t="s">
        <v>14</v>
      </c>
      <c r="C206" s="7">
        <v>45745</v>
      </c>
      <c r="D206" s="6" t="s">
        <v>40</v>
      </c>
      <c r="E206" s="6" t="s">
        <v>41</v>
      </c>
      <c r="F206" s="8">
        <v>305</v>
      </c>
      <c r="G206" s="8">
        <v>187</v>
      </c>
      <c r="H206" s="8">
        <v>243</v>
      </c>
      <c r="I206" s="8">
        <v>4575</v>
      </c>
      <c r="J206" s="8">
        <v>3704</v>
      </c>
      <c r="K206" s="8">
        <v>234</v>
      </c>
      <c r="L206" s="9" t="s">
        <v>37</v>
      </c>
      <c r="M206" s="9" t="s">
        <v>44</v>
      </c>
      <c r="N206" s="18">
        <f t="shared" si="3"/>
        <v>0.19843412526997839</v>
      </c>
    </row>
    <row r="207" spans="1:14" x14ac:dyDescent="0.3">
      <c r="A207" s="5" t="s">
        <v>176</v>
      </c>
      <c r="B207" s="6" t="s">
        <v>25</v>
      </c>
      <c r="C207" s="7">
        <v>45594</v>
      </c>
      <c r="D207" s="6" t="s">
        <v>20</v>
      </c>
      <c r="E207" s="6" t="s">
        <v>21</v>
      </c>
      <c r="F207" s="8">
        <v>2746</v>
      </c>
      <c r="G207" s="8">
        <v>156</v>
      </c>
      <c r="H207" s="8">
        <v>203</v>
      </c>
      <c r="I207" s="8">
        <v>32952</v>
      </c>
      <c r="J207" s="8">
        <v>32147</v>
      </c>
      <c r="K207" s="8">
        <v>147</v>
      </c>
      <c r="L207" s="9" t="s">
        <v>22</v>
      </c>
      <c r="M207" s="9" t="s">
        <v>23</v>
      </c>
      <c r="N207" s="18">
        <f t="shared" si="3"/>
        <v>9.6587550937879116E-2</v>
      </c>
    </row>
    <row r="208" spans="1:14" x14ac:dyDescent="0.3">
      <c r="A208" s="5" t="s">
        <v>176</v>
      </c>
      <c r="B208" s="6" t="s">
        <v>25</v>
      </c>
      <c r="C208" s="7">
        <v>45594</v>
      </c>
      <c r="D208" s="6" t="s">
        <v>20</v>
      </c>
      <c r="E208" s="6" t="s">
        <v>21</v>
      </c>
      <c r="F208" s="8">
        <v>2746</v>
      </c>
      <c r="G208" s="8">
        <v>156</v>
      </c>
      <c r="H208" s="8">
        <v>203</v>
      </c>
      <c r="I208" s="8">
        <v>32952</v>
      </c>
      <c r="J208" s="8">
        <v>32147</v>
      </c>
      <c r="K208" s="8">
        <v>147</v>
      </c>
      <c r="L208" s="9" t="s">
        <v>31</v>
      </c>
      <c r="M208" s="9" t="s">
        <v>23</v>
      </c>
      <c r="N208" s="18">
        <f t="shared" si="3"/>
        <v>9.6587550937879116E-2</v>
      </c>
    </row>
    <row r="209" spans="1:14" x14ac:dyDescent="0.3">
      <c r="A209" s="5" t="s">
        <v>177</v>
      </c>
      <c r="B209" s="6" t="s">
        <v>34</v>
      </c>
      <c r="C209" s="7">
        <v>45488</v>
      </c>
      <c r="D209" s="6" t="s">
        <v>40</v>
      </c>
      <c r="E209" s="6" t="s">
        <v>41</v>
      </c>
      <c r="F209" s="8">
        <v>2291</v>
      </c>
      <c r="G209" s="8">
        <v>78</v>
      </c>
      <c r="H209" s="8">
        <v>485</v>
      </c>
      <c r="I209" s="8">
        <v>18328</v>
      </c>
      <c r="J209" s="8">
        <v>18101</v>
      </c>
      <c r="K209" s="8">
        <v>10</v>
      </c>
      <c r="L209" s="9" t="s">
        <v>52</v>
      </c>
      <c r="M209" s="9" t="s">
        <v>18</v>
      </c>
      <c r="N209" s="18">
        <f t="shared" si="3"/>
        <v>0.15767084691453512</v>
      </c>
    </row>
    <row r="210" spans="1:14" x14ac:dyDescent="0.3">
      <c r="A210" s="5" t="s">
        <v>178</v>
      </c>
      <c r="B210" s="6" t="s">
        <v>14</v>
      </c>
      <c r="C210" s="7">
        <v>45535</v>
      </c>
      <c r="D210" s="6" t="s">
        <v>40</v>
      </c>
      <c r="E210" s="6" t="s">
        <v>41</v>
      </c>
      <c r="F210" s="8">
        <v>3170</v>
      </c>
      <c r="G210" s="8">
        <v>857</v>
      </c>
      <c r="H210" s="8">
        <v>379</v>
      </c>
      <c r="I210" s="8">
        <v>19020</v>
      </c>
      <c r="J210" s="8">
        <v>18559</v>
      </c>
      <c r="K210" s="8">
        <v>240</v>
      </c>
      <c r="L210" s="9" t="s">
        <v>17</v>
      </c>
      <c r="M210" s="9" t="s">
        <v>32</v>
      </c>
      <c r="N210" s="18">
        <f t="shared" si="3"/>
        <v>0.23740503259873916</v>
      </c>
    </row>
    <row r="211" spans="1:14" x14ac:dyDescent="0.3">
      <c r="A211" s="5" t="s">
        <v>179</v>
      </c>
      <c r="B211" s="6" t="s">
        <v>25</v>
      </c>
      <c r="C211" s="7">
        <v>45741</v>
      </c>
      <c r="D211" s="6" t="s">
        <v>28</v>
      </c>
      <c r="E211" s="6" t="s">
        <v>29</v>
      </c>
      <c r="F211" s="8">
        <v>2070</v>
      </c>
      <c r="G211" s="8">
        <v>275</v>
      </c>
      <c r="H211" s="8">
        <v>386</v>
      </c>
      <c r="I211" s="8">
        <v>39330</v>
      </c>
      <c r="J211" s="8">
        <v>38627</v>
      </c>
      <c r="K211" s="8">
        <v>114</v>
      </c>
      <c r="L211" s="9" t="s">
        <v>17</v>
      </c>
      <c r="M211" s="9" t="s">
        <v>44</v>
      </c>
      <c r="N211" s="18">
        <f t="shared" si="3"/>
        <v>7.070184068138867E-2</v>
      </c>
    </row>
    <row r="212" spans="1:14" x14ac:dyDescent="0.3">
      <c r="A212" s="5" t="s">
        <v>180</v>
      </c>
      <c r="B212" s="6" t="s">
        <v>25</v>
      </c>
      <c r="C212" s="7">
        <v>45567</v>
      </c>
      <c r="D212" s="6" t="s">
        <v>35</v>
      </c>
      <c r="E212" s="6" t="s">
        <v>36</v>
      </c>
      <c r="F212" s="8">
        <v>80</v>
      </c>
      <c r="G212" s="8">
        <v>362</v>
      </c>
      <c r="H212" s="8">
        <v>80</v>
      </c>
      <c r="I212" s="8">
        <v>1040</v>
      </c>
      <c r="J212" s="8">
        <v>349</v>
      </c>
      <c r="K212" s="8">
        <v>117</v>
      </c>
      <c r="L212" s="9" t="s">
        <v>22</v>
      </c>
      <c r="M212" s="9" t="s">
        <v>23</v>
      </c>
      <c r="N212" s="18">
        <f t="shared" si="3"/>
        <v>1.4957020057306589</v>
      </c>
    </row>
    <row r="213" spans="1:14" x14ac:dyDescent="0.3">
      <c r="A213" s="5" t="s">
        <v>180</v>
      </c>
      <c r="B213" s="6" t="s">
        <v>25</v>
      </c>
      <c r="C213" s="7">
        <v>45567</v>
      </c>
      <c r="D213" s="6" t="s">
        <v>35</v>
      </c>
      <c r="E213" s="6" t="s">
        <v>36</v>
      </c>
      <c r="F213" s="8">
        <v>80</v>
      </c>
      <c r="G213" s="8">
        <v>362</v>
      </c>
      <c r="H213" s="8">
        <v>80</v>
      </c>
      <c r="I213" s="8">
        <v>1040</v>
      </c>
      <c r="J213" s="8">
        <v>349</v>
      </c>
      <c r="K213" s="8">
        <v>117</v>
      </c>
      <c r="L213" s="9" t="s">
        <v>31</v>
      </c>
      <c r="M213" s="9" t="s">
        <v>23</v>
      </c>
      <c r="N213" s="18">
        <f t="shared" si="3"/>
        <v>1.4957020057306589</v>
      </c>
    </row>
    <row r="214" spans="1:14" x14ac:dyDescent="0.3">
      <c r="A214" s="5" t="s">
        <v>181</v>
      </c>
      <c r="B214" s="6" t="s">
        <v>25</v>
      </c>
      <c r="C214" s="7">
        <v>45593</v>
      </c>
      <c r="D214" s="6" t="s">
        <v>28</v>
      </c>
      <c r="E214" s="6" t="s">
        <v>29</v>
      </c>
      <c r="F214" s="8">
        <v>4929</v>
      </c>
      <c r="G214" s="8">
        <v>749</v>
      </c>
      <c r="H214" s="8">
        <v>452</v>
      </c>
      <c r="I214" s="8">
        <v>93651</v>
      </c>
      <c r="J214" s="8">
        <v>92810</v>
      </c>
      <c r="K214" s="8">
        <v>66</v>
      </c>
      <c r="L214" s="9" t="s">
        <v>37</v>
      </c>
      <c r="M214" s="9" t="s">
        <v>18</v>
      </c>
      <c r="N214" s="18">
        <f t="shared" si="3"/>
        <v>6.604891714254929E-2</v>
      </c>
    </row>
    <row r="215" spans="1:14" x14ac:dyDescent="0.3">
      <c r="A215" s="5" t="s">
        <v>181</v>
      </c>
      <c r="B215" s="6" t="s">
        <v>25</v>
      </c>
      <c r="C215" s="7">
        <v>45593</v>
      </c>
      <c r="D215" s="6" t="s">
        <v>28</v>
      </c>
      <c r="E215" s="6" t="s">
        <v>29</v>
      </c>
      <c r="F215" s="8">
        <v>4929</v>
      </c>
      <c r="G215" s="8">
        <v>749</v>
      </c>
      <c r="H215" s="8">
        <v>452</v>
      </c>
      <c r="I215" s="8">
        <v>93651</v>
      </c>
      <c r="J215" s="8">
        <v>92810</v>
      </c>
      <c r="K215" s="8">
        <v>66</v>
      </c>
      <c r="L215" s="9" t="s">
        <v>31</v>
      </c>
      <c r="M215" s="9" t="s">
        <v>18</v>
      </c>
      <c r="N215" s="18">
        <f t="shared" si="3"/>
        <v>6.604891714254929E-2</v>
      </c>
    </row>
    <row r="216" spans="1:14" x14ac:dyDescent="0.3">
      <c r="A216" s="5" t="s">
        <v>182</v>
      </c>
      <c r="B216" s="6" t="s">
        <v>27</v>
      </c>
      <c r="C216" s="7">
        <v>45516</v>
      </c>
      <c r="D216" s="6" t="s">
        <v>35</v>
      </c>
      <c r="E216" s="6" t="s">
        <v>36</v>
      </c>
      <c r="F216" s="8">
        <v>1878</v>
      </c>
      <c r="G216" s="8">
        <v>62</v>
      </c>
      <c r="H216" s="8">
        <v>179</v>
      </c>
      <c r="I216" s="8">
        <v>37560</v>
      </c>
      <c r="J216" s="8">
        <v>36874</v>
      </c>
      <c r="K216" s="8">
        <v>142</v>
      </c>
      <c r="L216" s="9" t="s">
        <v>52</v>
      </c>
      <c r="M216" s="9" t="s">
        <v>18</v>
      </c>
      <c r="N216" s="18">
        <f t="shared" si="3"/>
        <v>5.7465965178716709E-2</v>
      </c>
    </row>
    <row r="217" spans="1:14" x14ac:dyDescent="0.3">
      <c r="A217" s="5" t="s">
        <v>182</v>
      </c>
      <c r="B217" s="6" t="s">
        <v>27</v>
      </c>
      <c r="C217" s="7">
        <v>45516</v>
      </c>
      <c r="D217" s="6" t="s">
        <v>35</v>
      </c>
      <c r="E217" s="6" t="s">
        <v>36</v>
      </c>
      <c r="F217" s="8">
        <v>1878</v>
      </c>
      <c r="G217" s="8">
        <v>62</v>
      </c>
      <c r="H217" s="8">
        <v>179</v>
      </c>
      <c r="I217" s="8">
        <v>37560</v>
      </c>
      <c r="J217" s="8">
        <v>36874</v>
      </c>
      <c r="K217" s="8">
        <v>142</v>
      </c>
      <c r="L217" s="9" t="s">
        <v>37</v>
      </c>
      <c r="M217" s="9" t="s">
        <v>18</v>
      </c>
      <c r="N217" s="18">
        <f t="shared" si="3"/>
        <v>5.7465965178716709E-2</v>
      </c>
    </row>
    <row r="218" spans="1:14" x14ac:dyDescent="0.3">
      <c r="A218" s="5" t="s">
        <v>183</v>
      </c>
      <c r="B218" s="6" t="s">
        <v>25</v>
      </c>
      <c r="C218" s="7">
        <v>45448</v>
      </c>
      <c r="D218" s="6" t="s">
        <v>15</v>
      </c>
      <c r="E218" s="6" t="s">
        <v>16</v>
      </c>
      <c r="F218" s="8">
        <v>3065</v>
      </c>
      <c r="G218" s="8">
        <v>772</v>
      </c>
      <c r="H218" s="8">
        <v>142</v>
      </c>
      <c r="I218" s="8">
        <v>18390</v>
      </c>
      <c r="J218" s="8">
        <v>17875</v>
      </c>
      <c r="K218" s="8">
        <v>200</v>
      </c>
      <c r="L218" s="9" t="s">
        <v>31</v>
      </c>
      <c r="M218" s="9" t="s">
        <v>18</v>
      </c>
      <c r="N218" s="18">
        <f t="shared" si="3"/>
        <v>0.2226013986013986</v>
      </c>
    </row>
    <row r="219" spans="1:14" x14ac:dyDescent="0.3">
      <c r="A219" s="5" t="s">
        <v>184</v>
      </c>
      <c r="B219" s="6" t="s">
        <v>27</v>
      </c>
      <c r="C219" s="7">
        <v>45586</v>
      </c>
      <c r="D219" s="6" t="s">
        <v>15</v>
      </c>
      <c r="E219" s="6" t="s">
        <v>16</v>
      </c>
      <c r="F219" s="8">
        <v>3256</v>
      </c>
      <c r="G219" s="8">
        <v>459</v>
      </c>
      <c r="H219" s="8">
        <v>266</v>
      </c>
      <c r="I219" s="8">
        <v>26048</v>
      </c>
      <c r="J219" s="8">
        <v>25529</v>
      </c>
      <c r="K219" s="8">
        <v>143</v>
      </c>
      <c r="L219" s="9" t="s">
        <v>17</v>
      </c>
      <c r="M219" s="9" t="s">
        <v>32</v>
      </c>
      <c r="N219" s="18">
        <f t="shared" si="3"/>
        <v>0.15594030318461358</v>
      </c>
    </row>
    <row r="220" spans="1:14" x14ac:dyDescent="0.3">
      <c r="A220" s="5" t="s">
        <v>184</v>
      </c>
      <c r="B220" s="6" t="s">
        <v>27</v>
      </c>
      <c r="C220" s="7">
        <v>45586</v>
      </c>
      <c r="D220" s="6" t="s">
        <v>15</v>
      </c>
      <c r="E220" s="6" t="s">
        <v>16</v>
      </c>
      <c r="F220" s="8">
        <v>3256</v>
      </c>
      <c r="G220" s="8">
        <v>459</v>
      </c>
      <c r="H220" s="8">
        <v>266</v>
      </c>
      <c r="I220" s="8">
        <v>26048</v>
      </c>
      <c r="J220" s="8">
        <v>25529</v>
      </c>
      <c r="K220" s="8">
        <v>143</v>
      </c>
      <c r="L220" s="9" t="s">
        <v>31</v>
      </c>
      <c r="M220" s="9" t="s">
        <v>32</v>
      </c>
      <c r="N220" s="18">
        <f t="shared" si="3"/>
        <v>0.15594030318461358</v>
      </c>
    </row>
    <row r="221" spans="1:14" x14ac:dyDescent="0.3">
      <c r="A221" s="5" t="s">
        <v>185</v>
      </c>
      <c r="B221" s="6" t="s">
        <v>27</v>
      </c>
      <c r="C221" s="7">
        <v>45762</v>
      </c>
      <c r="D221" s="6" t="s">
        <v>50</v>
      </c>
      <c r="E221" s="6" t="s">
        <v>51</v>
      </c>
      <c r="F221" s="8">
        <v>4133</v>
      </c>
      <c r="G221" s="8">
        <v>466</v>
      </c>
      <c r="H221" s="8">
        <v>327</v>
      </c>
      <c r="I221" s="8">
        <v>24798</v>
      </c>
      <c r="J221" s="8">
        <v>24620</v>
      </c>
      <c r="K221" s="8">
        <v>176</v>
      </c>
      <c r="L221" s="9" t="s">
        <v>31</v>
      </c>
      <c r="M221" s="9" t="s">
        <v>23</v>
      </c>
      <c r="N221" s="18">
        <f t="shared" si="3"/>
        <v>0.20008123476848091</v>
      </c>
    </row>
    <row r="222" spans="1:14" x14ac:dyDescent="0.3">
      <c r="A222" s="5" t="s">
        <v>186</v>
      </c>
      <c r="B222" s="6" t="s">
        <v>14</v>
      </c>
      <c r="C222" s="7">
        <v>45459</v>
      </c>
      <c r="D222" s="6" t="s">
        <v>50</v>
      </c>
      <c r="E222" s="6" t="s">
        <v>51</v>
      </c>
      <c r="F222" s="8">
        <v>1702</v>
      </c>
      <c r="G222" s="8">
        <v>750</v>
      </c>
      <c r="H222" s="8">
        <v>179</v>
      </c>
      <c r="I222" s="8">
        <v>34040</v>
      </c>
      <c r="J222" s="8">
        <v>33174</v>
      </c>
      <c r="K222" s="8">
        <v>76</v>
      </c>
      <c r="L222" s="9" t="s">
        <v>37</v>
      </c>
      <c r="M222" s="9" t="s">
        <v>32</v>
      </c>
      <c r="N222" s="18">
        <f t="shared" si="3"/>
        <v>7.9309097485982999E-2</v>
      </c>
    </row>
    <row r="223" spans="1:14" x14ac:dyDescent="0.3">
      <c r="A223" s="5" t="s">
        <v>187</v>
      </c>
      <c r="B223" s="6" t="s">
        <v>25</v>
      </c>
      <c r="C223" s="7">
        <v>45526</v>
      </c>
      <c r="D223" s="6" t="s">
        <v>35</v>
      </c>
      <c r="E223" s="6" t="s">
        <v>36</v>
      </c>
      <c r="F223" s="8">
        <v>4295</v>
      </c>
      <c r="G223" s="8">
        <v>853</v>
      </c>
      <c r="H223" s="8">
        <v>325</v>
      </c>
      <c r="I223" s="8">
        <v>85900</v>
      </c>
      <c r="J223" s="8">
        <v>85788</v>
      </c>
      <c r="K223" s="8">
        <v>290</v>
      </c>
      <c r="L223" s="9" t="s">
        <v>37</v>
      </c>
      <c r="M223" s="9" t="s">
        <v>23</v>
      </c>
      <c r="N223" s="18">
        <f t="shared" si="3"/>
        <v>6.379680141744766E-2</v>
      </c>
    </row>
    <row r="224" spans="1:14" x14ac:dyDescent="0.3">
      <c r="A224" s="5" t="s">
        <v>187</v>
      </c>
      <c r="B224" s="6" t="s">
        <v>25</v>
      </c>
      <c r="C224" s="7">
        <v>45526</v>
      </c>
      <c r="D224" s="6" t="s">
        <v>35</v>
      </c>
      <c r="E224" s="6" t="s">
        <v>36</v>
      </c>
      <c r="F224" s="8">
        <v>4295</v>
      </c>
      <c r="G224" s="8">
        <v>853</v>
      </c>
      <c r="H224" s="8">
        <v>325</v>
      </c>
      <c r="I224" s="8">
        <v>85900</v>
      </c>
      <c r="J224" s="8">
        <v>85788</v>
      </c>
      <c r="K224" s="8">
        <v>290</v>
      </c>
      <c r="L224" s="9" t="s">
        <v>17</v>
      </c>
      <c r="M224" s="9" t="s">
        <v>23</v>
      </c>
      <c r="N224" s="18">
        <f t="shared" si="3"/>
        <v>6.379680141744766E-2</v>
      </c>
    </row>
    <row r="225" spans="1:14" x14ac:dyDescent="0.3">
      <c r="A225" s="5" t="s">
        <v>188</v>
      </c>
      <c r="B225" s="6" t="s">
        <v>27</v>
      </c>
      <c r="C225" s="7">
        <v>45499</v>
      </c>
      <c r="D225" s="6" t="s">
        <v>40</v>
      </c>
      <c r="E225" s="6" t="s">
        <v>41</v>
      </c>
      <c r="F225" s="8">
        <v>3559</v>
      </c>
      <c r="G225" s="8">
        <v>59</v>
      </c>
      <c r="H225" s="8">
        <v>289</v>
      </c>
      <c r="I225" s="8">
        <v>35590</v>
      </c>
      <c r="J225" s="8">
        <v>35105</v>
      </c>
      <c r="K225" s="8">
        <v>122</v>
      </c>
      <c r="L225" s="9" t="s">
        <v>37</v>
      </c>
      <c r="M225" s="9" t="s">
        <v>32</v>
      </c>
      <c r="N225" s="18">
        <f t="shared" si="3"/>
        <v>0.11129468736647201</v>
      </c>
    </row>
    <row r="226" spans="1:14" x14ac:dyDescent="0.3">
      <c r="A226" s="5" t="s">
        <v>188</v>
      </c>
      <c r="B226" s="6" t="s">
        <v>27</v>
      </c>
      <c r="C226" s="7">
        <v>45499</v>
      </c>
      <c r="D226" s="6" t="s">
        <v>40</v>
      </c>
      <c r="E226" s="6" t="s">
        <v>41</v>
      </c>
      <c r="F226" s="8">
        <v>3559</v>
      </c>
      <c r="G226" s="8">
        <v>59</v>
      </c>
      <c r="H226" s="8">
        <v>289</v>
      </c>
      <c r="I226" s="8">
        <v>35590</v>
      </c>
      <c r="J226" s="8">
        <v>35105</v>
      </c>
      <c r="K226" s="8">
        <v>122</v>
      </c>
      <c r="L226" s="9" t="s">
        <v>31</v>
      </c>
      <c r="M226" s="9" t="s">
        <v>32</v>
      </c>
      <c r="N226" s="18">
        <f t="shared" si="3"/>
        <v>0.11129468736647201</v>
      </c>
    </row>
    <row r="227" spans="1:14" x14ac:dyDescent="0.3">
      <c r="A227" s="5" t="s">
        <v>189</v>
      </c>
      <c r="B227" s="6" t="s">
        <v>34</v>
      </c>
      <c r="C227" s="7">
        <v>45769</v>
      </c>
      <c r="D227" s="6" t="s">
        <v>40</v>
      </c>
      <c r="E227" s="6" t="s">
        <v>41</v>
      </c>
      <c r="F227" s="8">
        <v>4804</v>
      </c>
      <c r="G227" s="8">
        <v>550</v>
      </c>
      <c r="H227" s="8">
        <v>270</v>
      </c>
      <c r="I227" s="8">
        <v>28824</v>
      </c>
      <c r="J227" s="8">
        <v>28370</v>
      </c>
      <c r="K227" s="8">
        <v>47</v>
      </c>
      <c r="L227" s="9" t="s">
        <v>17</v>
      </c>
      <c r="M227" s="9" t="s">
        <v>44</v>
      </c>
      <c r="N227" s="18">
        <f t="shared" si="3"/>
        <v>0.19823757490306662</v>
      </c>
    </row>
    <row r="228" spans="1:14" x14ac:dyDescent="0.3">
      <c r="A228" s="5" t="s">
        <v>189</v>
      </c>
      <c r="B228" s="6" t="s">
        <v>34</v>
      </c>
      <c r="C228" s="7">
        <v>45769</v>
      </c>
      <c r="D228" s="6" t="s">
        <v>40</v>
      </c>
      <c r="E228" s="6" t="s">
        <v>41</v>
      </c>
      <c r="F228" s="8">
        <v>4804</v>
      </c>
      <c r="G228" s="8">
        <v>550</v>
      </c>
      <c r="H228" s="8">
        <v>270</v>
      </c>
      <c r="I228" s="8">
        <v>28824</v>
      </c>
      <c r="J228" s="8">
        <v>28370</v>
      </c>
      <c r="K228" s="8">
        <v>47</v>
      </c>
      <c r="L228" s="9" t="s">
        <v>31</v>
      </c>
      <c r="M228" s="9" t="s">
        <v>44</v>
      </c>
      <c r="N228" s="18">
        <f t="shared" si="3"/>
        <v>0.19823757490306662</v>
      </c>
    </row>
    <row r="229" spans="1:14" x14ac:dyDescent="0.3">
      <c r="A229" s="5" t="s">
        <v>190</v>
      </c>
      <c r="B229" s="6" t="s">
        <v>14</v>
      </c>
      <c r="C229" s="7">
        <v>45658</v>
      </c>
      <c r="D229" s="6" t="s">
        <v>50</v>
      </c>
      <c r="E229" s="6" t="s">
        <v>51</v>
      </c>
      <c r="F229" s="8">
        <v>754</v>
      </c>
      <c r="G229" s="8">
        <v>197</v>
      </c>
      <c r="H229" s="8">
        <v>257</v>
      </c>
      <c r="I229" s="8">
        <v>6786</v>
      </c>
      <c r="J229" s="8">
        <v>6221</v>
      </c>
      <c r="K229" s="8">
        <v>212</v>
      </c>
      <c r="L229" s="9" t="s">
        <v>52</v>
      </c>
      <c r="M229" s="9" t="s">
        <v>32</v>
      </c>
      <c r="N229" s="18">
        <f t="shared" si="3"/>
        <v>0.19418099983925413</v>
      </c>
    </row>
    <row r="230" spans="1:14" x14ac:dyDescent="0.3">
      <c r="A230" s="5" t="s">
        <v>190</v>
      </c>
      <c r="B230" s="6" t="s">
        <v>14</v>
      </c>
      <c r="C230" s="7">
        <v>45658</v>
      </c>
      <c r="D230" s="6" t="s">
        <v>50</v>
      </c>
      <c r="E230" s="6" t="s">
        <v>51</v>
      </c>
      <c r="F230" s="8">
        <v>754</v>
      </c>
      <c r="G230" s="8">
        <v>197</v>
      </c>
      <c r="H230" s="8">
        <v>257</v>
      </c>
      <c r="I230" s="8">
        <v>6786</v>
      </c>
      <c r="J230" s="8">
        <v>6221</v>
      </c>
      <c r="K230" s="8">
        <v>212</v>
      </c>
      <c r="L230" s="9" t="s">
        <v>37</v>
      </c>
      <c r="M230" s="9" t="s">
        <v>32</v>
      </c>
      <c r="N230" s="18">
        <f t="shared" si="3"/>
        <v>0.19418099983925413</v>
      </c>
    </row>
    <row r="231" spans="1:14" x14ac:dyDescent="0.3">
      <c r="A231" s="5" t="s">
        <v>191</v>
      </c>
      <c r="B231" s="6" t="s">
        <v>27</v>
      </c>
      <c r="C231" s="7">
        <v>45574</v>
      </c>
      <c r="D231" s="6" t="s">
        <v>35</v>
      </c>
      <c r="E231" s="6" t="s">
        <v>36</v>
      </c>
      <c r="F231" s="8">
        <v>985</v>
      </c>
      <c r="G231" s="8">
        <v>932</v>
      </c>
      <c r="H231" s="8">
        <v>287</v>
      </c>
      <c r="I231" s="8">
        <v>6895</v>
      </c>
      <c r="J231" s="8">
        <v>6757</v>
      </c>
      <c r="K231" s="8">
        <v>64</v>
      </c>
      <c r="L231" s="9" t="s">
        <v>17</v>
      </c>
      <c r="M231" s="9" t="s">
        <v>23</v>
      </c>
      <c r="N231" s="18">
        <f t="shared" si="3"/>
        <v>0.3261802575107296</v>
      </c>
    </row>
    <row r="232" spans="1:14" x14ac:dyDescent="0.3">
      <c r="A232" s="5" t="s">
        <v>191</v>
      </c>
      <c r="B232" s="6" t="s">
        <v>27</v>
      </c>
      <c r="C232" s="7">
        <v>45574</v>
      </c>
      <c r="D232" s="6" t="s">
        <v>35</v>
      </c>
      <c r="E232" s="6" t="s">
        <v>36</v>
      </c>
      <c r="F232" s="8">
        <v>985</v>
      </c>
      <c r="G232" s="8">
        <v>932</v>
      </c>
      <c r="H232" s="8">
        <v>287</v>
      </c>
      <c r="I232" s="8">
        <v>6895</v>
      </c>
      <c r="J232" s="8">
        <v>6757</v>
      </c>
      <c r="K232" s="8">
        <v>64</v>
      </c>
      <c r="L232" s="9" t="s">
        <v>22</v>
      </c>
      <c r="M232" s="9" t="s">
        <v>23</v>
      </c>
      <c r="N232" s="18">
        <f t="shared" si="3"/>
        <v>0.3261802575107296</v>
      </c>
    </row>
    <row r="233" spans="1:14" x14ac:dyDescent="0.3">
      <c r="A233" s="5" t="s">
        <v>192</v>
      </c>
      <c r="B233" s="6" t="s">
        <v>25</v>
      </c>
      <c r="C233" s="7">
        <v>45647</v>
      </c>
      <c r="D233" s="6" t="s">
        <v>40</v>
      </c>
      <c r="E233" s="6" t="s">
        <v>41</v>
      </c>
      <c r="F233" s="8">
        <v>2283</v>
      </c>
      <c r="G233" s="8">
        <v>210</v>
      </c>
      <c r="H233" s="8">
        <v>130</v>
      </c>
      <c r="I233" s="8">
        <v>22830</v>
      </c>
      <c r="J233" s="8">
        <v>22617</v>
      </c>
      <c r="K233" s="8">
        <v>143</v>
      </c>
      <c r="L233" s="9" t="s">
        <v>22</v>
      </c>
      <c r="M233" s="9" t="s">
        <v>32</v>
      </c>
      <c r="N233" s="18">
        <f t="shared" si="3"/>
        <v>0.11597470928947252</v>
      </c>
    </row>
    <row r="234" spans="1:14" x14ac:dyDescent="0.3">
      <c r="A234" s="5" t="s">
        <v>192</v>
      </c>
      <c r="B234" s="6" t="s">
        <v>25</v>
      </c>
      <c r="C234" s="7">
        <v>45647</v>
      </c>
      <c r="D234" s="6" t="s">
        <v>40</v>
      </c>
      <c r="E234" s="6" t="s">
        <v>41</v>
      </c>
      <c r="F234" s="8">
        <v>2283</v>
      </c>
      <c r="G234" s="8">
        <v>210</v>
      </c>
      <c r="H234" s="8">
        <v>130</v>
      </c>
      <c r="I234" s="8">
        <v>22830</v>
      </c>
      <c r="J234" s="8">
        <v>22617</v>
      </c>
      <c r="K234" s="8">
        <v>143</v>
      </c>
      <c r="L234" s="9" t="s">
        <v>31</v>
      </c>
      <c r="M234" s="9" t="s">
        <v>32</v>
      </c>
      <c r="N234" s="18">
        <f t="shared" si="3"/>
        <v>0.11597470928947252</v>
      </c>
    </row>
    <row r="235" spans="1:14" x14ac:dyDescent="0.3">
      <c r="A235" s="5" t="s">
        <v>193</v>
      </c>
      <c r="B235" s="6" t="s">
        <v>34</v>
      </c>
      <c r="C235" s="7">
        <v>45587</v>
      </c>
      <c r="D235" s="6" t="s">
        <v>35</v>
      </c>
      <c r="E235" s="6" t="s">
        <v>36</v>
      </c>
      <c r="F235" s="8">
        <v>3352</v>
      </c>
      <c r="G235" s="8">
        <v>941</v>
      </c>
      <c r="H235" s="8">
        <v>482</v>
      </c>
      <c r="I235" s="8">
        <v>43576</v>
      </c>
      <c r="J235" s="8">
        <v>43338</v>
      </c>
      <c r="K235" s="8">
        <v>240</v>
      </c>
      <c r="L235" s="9" t="s">
        <v>37</v>
      </c>
      <c r="M235" s="9" t="s">
        <v>32</v>
      </c>
      <c r="N235" s="18">
        <f t="shared" si="3"/>
        <v>0.11018044210623472</v>
      </c>
    </row>
    <row r="236" spans="1:14" x14ac:dyDescent="0.3">
      <c r="A236" s="5" t="s">
        <v>194</v>
      </c>
      <c r="B236" s="6" t="s">
        <v>25</v>
      </c>
      <c r="C236" s="7">
        <v>45496</v>
      </c>
      <c r="D236" s="6" t="s">
        <v>28</v>
      </c>
      <c r="E236" s="6" t="s">
        <v>29</v>
      </c>
      <c r="F236" s="8">
        <v>4775</v>
      </c>
      <c r="G236" s="8">
        <v>173</v>
      </c>
      <c r="H236" s="8">
        <v>206</v>
      </c>
      <c r="I236" s="8">
        <v>47750</v>
      </c>
      <c r="J236" s="8">
        <v>47544</v>
      </c>
      <c r="K236" s="8">
        <v>187</v>
      </c>
      <c r="L236" s="9" t="s">
        <v>31</v>
      </c>
      <c r="M236" s="9" t="s">
        <v>44</v>
      </c>
      <c r="N236" s="18">
        <f t="shared" si="3"/>
        <v>0.10840484603735487</v>
      </c>
    </row>
    <row r="237" spans="1:14" x14ac:dyDescent="0.3">
      <c r="A237" s="5" t="s">
        <v>194</v>
      </c>
      <c r="B237" s="6" t="s">
        <v>25</v>
      </c>
      <c r="C237" s="7">
        <v>45496</v>
      </c>
      <c r="D237" s="6" t="s">
        <v>28</v>
      </c>
      <c r="E237" s="6" t="s">
        <v>29</v>
      </c>
      <c r="F237" s="8">
        <v>4775</v>
      </c>
      <c r="G237" s="8">
        <v>173</v>
      </c>
      <c r="H237" s="8">
        <v>206</v>
      </c>
      <c r="I237" s="8">
        <v>47750</v>
      </c>
      <c r="J237" s="8">
        <v>47544</v>
      </c>
      <c r="K237" s="8">
        <v>187</v>
      </c>
      <c r="L237" s="9" t="s">
        <v>37</v>
      </c>
      <c r="M237" s="9" t="s">
        <v>44</v>
      </c>
      <c r="N237" s="18">
        <f t="shared" si="3"/>
        <v>0.10840484603735487</v>
      </c>
    </row>
    <row r="238" spans="1:14" x14ac:dyDescent="0.3">
      <c r="A238" s="5" t="s">
        <v>195</v>
      </c>
      <c r="B238" s="6" t="s">
        <v>27</v>
      </c>
      <c r="C238" s="7">
        <v>45515</v>
      </c>
      <c r="D238" s="6" t="s">
        <v>28</v>
      </c>
      <c r="E238" s="6" t="s">
        <v>29</v>
      </c>
      <c r="F238" s="8">
        <v>1762</v>
      </c>
      <c r="G238" s="8">
        <v>405</v>
      </c>
      <c r="H238" s="8">
        <v>423</v>
      </c>
      <c r="I238" s="8">
        <v>22906</v>
      </c>
      <c r="J238" s="8">
        <v>21925</v>
      </c>
      <c r="K238" s="8">
        <v>25</v>
      </c>
      <c r="L238" s="9" t="s">
        <v>52</v>
      </c>
      <c r="M238" s="9" t="s">
        <v>23</v>
      </c>
      <c r="N238" s="18">
        <f t="shared" si="3"/>
        <v>0.11812998859749145</v>
      </c>
    </row>
    <row r="239" spans="1:14" x14ac:dyDescent="0.3">
      <c r="A239" s="5" t="s">
        <v>196</v>
      </c>
      <c r="B239" s="6" t="s">
        <v>34</v>
      </c>
      <c r="C239" s="7">
        <v>45621</v>
      </c>
      <c r="D239" s="6" t="s">
        <v>28</v>
      </c>
      <c r="E239" s="6" t="s">
        <v>29</v>
      </c>
      <c r="F239" s="8">
        <v>2120</v>
      </c>
      <c r="G239" s="8">
        <v>158</v>
      </c>
      <c r="H239" s="8">
        <v>488</v>
      </c>
      <c r="I239" s="8">
        <v>12720</v>
      </c>
      <c r="J239" s="8">
        <v>12085</v>
      </c>
      <c r="K239" s="8">
        <v>17</v>
      </c>
      <c r="L239" s="9" t="s">
        <v>31</v>
      </c>
      <c r="M239" s="9" t="s">
        <v>23</v>
      </c>
      <c r="N239" s="18">
        <f t="shared" si="3"/>
        <v>0.22887877534133222</v>
      </c>
    </row>
    <row r="240" spans="1:14" x14ac:dyDescent="0.3">
      <c r="A240" s="5" t="s">
        <v>196</v>
      </c>
      <c r="B240" s="6" t="s">
        <v>34</v>
      </c>
      <c r="C240" s="7">
        <v>45621</v>
      </c>
      <c r="D240" s="6" t="s">
        <v>28</v>
      </c>
      <c r="E240" s="6" t="s">
        <v>29</v>
      </c>
      <c r="F240" s="8">
        <v>2120</v>
      </c>
      <c r="G240" s="8">
        <v>158</v>
      </c>
      <c r="H240" s="8">
        <v>488</v>
      </c>
      <c r="I240" s="8">
        <v>12720</v>
      </c>
      <c r="J240" s="8">
        <v>12085</v>
      </c>
      <c r="K240" s="8">
        <v>17</v>
      </c>
      <c r="L240" s="9" t="s">
        <v>37</v>
      </c>
      <c r="M240" s="9" t="s">
        <v>23</v>
      </c>
      <c r="N240" s="18">
        <f t="shared" si="3"/>
        <v>0.22887877534133222</v>
      </c>
    </row>
    <row r="241" spans="1:14" x14ac:dyDescent="0.3">
      <c r="A241" s="5" t="s">
        <v>197</v>
      </c>
      <c r="B241" s="6" t="s">
        <v>14</v>
      </c>
      <c r="C241" s="7">
        <v>45528</v>
      </c>
      <c r="D241" s="6" t="s">
        <v>50</v>
      </c>
      <c r="E241" s="6" t="s">
        <v>51</v>
      </c>
      <c r="F241" s="8">
        <v>1082</v>
      </c>
      <c r="G241" s="8">
        <v>209</v>
      </c>
      <c r="H241" s="8">
        <v>484</v>
      </c>
      <c r="I241" s="8">
        <v>19476</v>
      </c>
      <c r="J241" s="8">
        <v>18654</v>
      </c>
      <c r="K241" s="8">
        <v>20</v>
      </c>
      <c r="L241" s="9" t="s">
        <v>31</v>
      </c>
      <c r="M241" s="9" t="s">
        <v>44</v>
      </c>
      <c r="N241" s="18">
        <f t="shared" si="3"/>
        <v>9.5153854401200819E-2</v>
      </c>
    </row>
    <row r="242" spans="1:14" x14ac:dyDescent="0.3">
      <c r="A242" s="5" t="s">
        <v>198</v>
      </c>
      <c r="B242" s="6" t="s">
        <v>14</v>
      </c>
      <c r="C242" s="7">
        <v>45707</v>
      </c>
      <c r="D242" s="6" t="s">
        <v>20</v>
      </c>
      <c r="E242" s="6" t="s">
        <v>21</v>
      </c>
      <c r="F242" s="8">
        <v>4671</v>
      </c>
      <c r="G242" s="8">
        <v>876</v>
      </c>
      <c r="H242" s="8">
        <v>366</v>
      </c>
      <c r="I242" s="8">
        <v>51381</v>
      </c>
      <c r="J242" s="8">
        <v>50565</v>
      </c>
      <c r="K242" s="8">
        <v>245</v>
      </c>
      <c r="L242" s="9" t="s">
        <v>17</v>
      </c>
      <c r="M242" s="9" t="s">
        <v>23</v>
      </c>
      <c r="N242" s="18">
        <f t="shared" si="3"/>
        <v>0.1169385938890537</v>
      </c>
    </row>
    <row r="243" spans="1:14" x14ac:dyDescent="0.3">
      <c r="A243" s="5" t="s">
        <v>199</v>
      </c>
      <c r="B243" s="6" t="s">
        <v>34</v>
      </c>
      <c r="C243" s="7">
        <v>45748</v>
      </c>
      <c r="D243" s="6" t="s">
        <v>28</v>
      </c>
      <c r="E243" s="6" t="s">
        <v>29</v>
      </c>
      <c r="F243" s="8">
        <v>3430</v>
      </c>
      <c r="G243" s="8">
        <v>566</v>
      </c>
      <c r="H243" s="8">
        <v>164</v>
      </c>
      <c r="I243" s="8">
        <v>48020</v>
      </c>
      <c r="J243" s="8">
        <v>47305</v>
      </c>
      <c r="K243" s="8">
        <v>120</v>
      </c>
      <c r="L243" s="9" t="s">
        <v>37</v>
      </c>
      <c r="M243" s="9" t="s">
        <v>23</v>
      </c>
      <c r="N243" s="18">
        <f t="shared" si="3"/>
        <v>8.7939964062995452E-2</v>
      </c>
    </row>
    <row r="244" spans="1:14" x14ac:dyDescent="0.3">
      <c r="A244" s="5" t="s">
        <v>200</v>
      </c>
      <c r="B244" s="6" t="s">
        <v>27</v>
      </c>
      <c r="C244" s="7">
        <v>45755</v>
      </c>
      <c r="D244" s="6" t="s">
        <v>40</v>
      </c>
      <c r="E244" s="6" t="s">
        <v>41</v>
      </c>
      <c r="F244" s="8">
        <v>4501</v>
      </c>
      <c r="G244" s="8">
        <v>375</v>
      </c>
      <c r="H244" s="8">
        <v>323</v>
      </c>
      <c r="I244" s="8">
        <v>22505</v>
      </c>
      <c r="J244" s="8">
        <v>21836</v>
      </c>
      <c r="K244" s="8">
        <v>132</v>
      </c>
      <c r="L244" s="9" t="s">
        <v>22</v>
      </c>
      <c r="M244" s="9" t="s">
        <v>44</v>
      </c>
      <c r="N244" s="18">
        <f t="shared" si="3"/>
        <v>0.23809305733650851</v>
      </c>
    </row>
    <row r="245" spans="1:14" x14ac:dyDescent="0.3">
      <c r="A245" s="5" t="s">
        <v>201</v>
      </c>
      <c r="B245" s="6" t="s">
        <v>25</v>
      </c>
      <c r="C245" s="7">
        <v>45715</v>
      </c>
      <c r="D245" s="6" t="s">
        <v>20</v>
      </c>
      <c r="E245" s="6" t="s">
        <v>21</v>
      </c>
      <c r="F245" s="8">
        <v>4934</v>
      </c>
      <c r="G245" s="8">
        <v>971</v>
      </c>
      <c r="H245" s="8">
        <v>156</v>
      </c>
      <c r="I245" s="8">
        <v>39472</v>
      </c>
      <c r="J245" s="8">
        <v>39025</v>
      </c>
      <c r="K245" s="8">
        <v>169</v>
      </c>
      <c r="L245" s="9" t="s">
        <v>52</v>
      </c>
      <c r="M245" s="9" t="s">
        <v>23</v>
      </c>
      <c r="N245" s="18">
        <f t="shared" si="3"/>
        <v>0.15531069827033953</v>
      </c>
    </row>
    <row r="246" spans="1:14" x14ac:dyDescent="0.3">
      <c r="A246" s="5" t="s">
        <v>201</v>
      </c>
      <c r="B246" s="6" t="s">
        <v>25</v>
      </c>
      <c r="C246" s="7">
        <v>45715</v>
      </c>
      <c r="D246" s="6" t="s">
        <v>20</v>
      </c>
      <c r="E246" s="6" t="s">
        <v>21</v>
      </c>
      <c r="F246" s="8">
        <v>4934</v>
      </c>
      <c r="G246" s="8">
        <v>971</v>
      </c>
      <c r="H246" s="8">
        <v>156</v>
      </c>
      <c r="I246" s="8">
        <v>39472</v>
      </c>
      <c r="J246" s="8">
        <v>39025</v>
      </c>
      <c r="K246" s="8">
        <v>169</v>
      </c>
      <c r="L246" s="9" t="s">
        <v>31</v>
      </c>
      <c r="M246" s="9" t="s">
        <v>23</v>
      </c>
      <c r="N246" s="18">
        <f t="shared" si="3"/>
        <v>0.15531069827033953</v>
      </c>
    </row>
    <row r="247" spans="1:14" x14ac:dyDescent="0.3">
      <c r="A247" s="5" t="s">
        <v>202</v>
      </c>
      <c r="B247" s="6" t="s">
        <v>14</v>
      </c>
      <c r="C247" s="7">
        <v>45637</v>
      </c>
      <c r="D247" s="6" t="s">
        <v>20</v>
      </c>
      <c r="E247" s="6" t="s">
        <v>21</v>
      </c>
      <c r="F247" s="8">
        <v>3239</v>
      </c>
      <c r="G247" s="8">
        <v>43</v>
      </c>
      <c r="H247" s="8">
        <v>211</v>
      </c>
      <c r="I247" s="8">
        <v>22673</v>
      </c>
      <c r="J247" s="8">
        <v>22171</v>
      </c>
      <c r="K247" s="8">
        <v>230</v>
      </c>
      <c r="L247" s="9" t="s">
        <v>37</v>
      </c>
      <c r="M247" s="9" t="s">
        <v>23</v>
      </c>
      <c r="N247" s="18">
        <f t="shared" si="3"/>
        <v>0.1575481484822516</v>
      </c>
    </row>
    <row r="248" spans="1:14" x14ac:dyDescent="0.3">
      <c r="A248" s="5" t="s">
        <v>202</v>
      </c>
      <c r="B248" s="6" t="s">
        <v>14</v>
      </c>
      <c r="C248" s="7">
        <v>45637</v>
      </c>
      <c r="D248" s="6" t="s">
        <v>20</v>
      </c>
      <c r="E248" s="6" t="s">
        <v>21</v>
      </c>
      <c r="F248" s="8">
        <v>3239</v>
      </c>
      <c r="G248" s="8">
        <v>43</v>
      </c>
      <c r="H248" s="8">
        <v>211</v>
      </c>
      <c r="I248" s="8">
        <v>22673</v>
      </c>
      <c r="J248" s="8">
        <v>22171</v>
      </c>
      <c r="K248" s="8">
        <v>230</v>
      </c>
      <c r="L248" s="9" t="s">
        <v>31</v>
      </c>
      <c r="M248" s="9" t="s">
        <v>23</v>
      </c>
      <c r="N248" s="18">
        <f t="shared" si="3"/>
        <v>0.1575481484822516</v>
      </c>
    </row>
    <row r="249" spans="1:14" x14ac:dyDescent="0.3">
      <c r="A249" s="5" t="s">
        <v>203</v>
      </c>
      <c r="B249" s="6" t="s">
        <v>14</v>
      </c>
      <c r="C249" s="7">
        <v>45704</v>
      </c>
      <c r="D249" s="6" t="s">
        <v>15</v>
      </c>
      <c r="E249" s="6" t="s">
        <v>16</v>
      </c>
      <c r="F249" s="8">
        <v>1076</v>
      </c>
      <c r="G249" s="8">
        <v>313</v>
      </c>
      <c r="H249" s="8">
        <v>306</v>
      </c>
      <c r="I249" s="8">
        <v>11836</v>
      </c>
      <c r="J249" s="8">
        <v>11596</v>
      </c>
      <c r="K249" s="8">
        <v>104</v>
      </c>
      <c r="L249" s="9" t="s">
        <v>52</v>
      </c>
      <c r="M249" s="9" t="s">
        <v>23</v>
      </c>
      <c r="N249" s="18">
        <f t="shared" si="3"/>
        <v>0.14617109348051052</v>
      </c>
    </row>
    <row r="250" spans="1:14" x14ac:dyDescent="0.3">
      <c r="A250" s="5" t="s">
        <v>204</v>
      </c>
      <c r="B250" s="6" t="s">
        <v>27</v>
      </c>
      <c r="C250" s="7">
        <v>45624</v>
      </c>
      <c r="D250" s="6" t="s">
        <v>20</v>
      </c>
      <c r="E250" s="6" t="s">
        <v>21</v>
      </c>
      <c r="F250" s="8">
        <v>4771</v>
      </c>
      <c r="G250" s="8">
        <v>818</v>
      </c>
      <c r="H250" s="8">
        <v>56</v>
      </c>
      <c r="I250" s="8">
        <v>57252</v>
      </c>
      <c r="J250" s="8">
        <v>56378</v>
      </c>
      <c r="K250" s="8">
        <v>150</v>
      </c>
      <c r="L250" s="9" t="s">
        <v>17</v>
      </c>
      <c r="M250" s="9" t="s">
        <v>23</v>
      </c>
      <c r="N250" s="18">
        <f t="shared" si="3"/>
        <v>0.10012770939018766</v>
      </c>
    </row>
    <row r="251" spans="1:14" x14ac:dyDescent="0.3">
      <c r="A251" s="5" t="s">
        <v>205</v>
      </c>
      <c r="B251" s="6" t="s">
        <v>34</v>
      </c>
      <c r="C251" s="7">
        <v>45608</v>
      </c>
      <c r="D251" s="6" t="s">
        <v>20</v>
      </c>
      <c r="E251" s="6" t="s">
        <v>21</v>
      </c>
      <c r="F251" s="8">
        <v>2418</v>
      </c>
      <c r="G251" s="8">
        <v>754</v>
      </c>
      <c r="H251" s="8">
        <v>54</v>
      </c>
      <c r="I251" s="8">
        <v>43524</v>
      </c>
      <c r="J251" s="8">
        <v>42743</v>
      </c>
      <c r="K251" s="8">
        <v>182</v>
      </c>
      <c r="L251" s="9" t="s">
        <v>22</v>
      </c>
      <c r="M251" s="9" t="s">
        <v>44</v>
      </c>
      <c r="N251" s="18">
        <f t="shared" si="3"/>
        <v>7.5474346676648804E-2</v>
      </c>
    </row>
    <row r="252" spans="1:14" x14ac:dyDescent="0.3">
      <c r="A252" s="5" t="s">
        <v>205</v>
      </c>
      <c r="B252" s="6" t="s">
        <v>34</v>
      </c>
      <c r="C252" s="7">
        <v>45608</v>
      </c>
      <c r="D252" s="6" t="s">
        <v>20</v>
      </c>
      <c r="E252" s="6" t="s">
        <v>21</v>
      </c>
      <c r="F252" s="8">
        <v>2418</v>
      </c>
      <c r="G252" s="8">
        <v>754</v>
      </c>
      <c r="H252" s="8">
        <v>54</v>
      </c>
      <c r="I252" s="8">
        <v>43524</v>
      </c>
      <c r="J252" s="8">
        <v>42743</v>
      </c>
      <c r="K252" s="8">
        <v>182</v>
      </c>
      <c r="L252" s="9" t="s">
        <v>37</v>
      </c>
      <c r="M252" s="9" t="s">
        <v>44</v>
      </c>
      <c r="N252" s="18">
        <f t="shared" si="3"/>
        <v>7.5474346676648804E-2</v>
      </c>
    </row>
    <row r="253" spans="1:14" x14ac:dyDescent="0.3">
      <c r="A253" s="5" t="s">
        <v>206</v>
      </c>
      <c r="B253" s="6" t="s">
        <v>25</v>
      </c>
      <c r="C253" s="7">
        <v>45629</v>
      </c>
      <c r="D253" s="6" t="s">
        <v>50</v>
      </c>
      <c r="E253" s="6" t="s">
        <v>51</v>
      </c>
      <c r="F253" s="8">
        <v>3809</v>
      </c>
      <c r="G253" s="8">
        <v>273</v>
      </c>
      <c r="H253" s="8">
        <v>200</v>
      </c>
      <c r="I253" s="8">
        <v>34281</v>
      </c>
      <c r="J253" s="8">
        <v>33534</v>
      </c>
      <c r="K253" s="8">
        <v>83</v>
      </c>
      <c r="L253" s="9" t="s">
        <v>37</v>
      </c>
      <c r="M253" s="9" t="s">
        <v>32</v>
      </c>
      <c r="N253" s="18">
        <f t="shared" si="3"/>
        <v>0.12769129838372995</v>
      </c>
    </row>
    <row r="254" spans="1:14" x14ac:dyDescent="0.3">
      <c r="A254" s="5" t="s">
        <v>207</v>
      </c>
      <c r="B254" s="6" t="s">
        <v>14</v>
      </c>
      <c r="C254" s="7">
        <v>45775</v>
      </c>
      <c r="D254" s="6" t="s">
        <v>20</v>
      </c>
      <c r="E254" s="6" t="s">
        <v>21</v>
      </c>
      <c r="F254" s="8">
        <v>3577</v>
      </c>
      <c r="G254" s="8">
        <v>596</v>
      </c>
      <c r="H254" s="8">
        <v>493</v>
      </c>
      <c r="I254" s="8">
        <v>67963</v>
      </c>
      <c r="J254" s="8">
        <v>67839</v>
      </c>
      <c r="K254" s="8">
        <v>53</v>
      </c>
      <c r="L254" s="9" t="s">
        <v>31</v>
      </c>
      <c r="M254" s="9" t="s">
        <v>44</v>
      </c>
      <c r="N254" s="18">
        <f t="shared" si="3"/>
        <v>6.8780494995504066E-2</v>
      </c>
    </row>
    <row r="255" spans="1:14" x14ac:dyDescent="0.3">
      <c r="A255" s="5" t="s">
        <v>207</v>
      </c>
      <c r="B255" s="6" t="s">
        <v>14</v>
      </c>
      <c r="C255" s="7">
        <v>45775</v>
      </c>
      <c r="D255" s="6" t="s">
        <v>20</v>
      </c>
      <c r="E255" s="6" t="s">
        <v>21</v>
      </c>
      <c r="F255" s="8">
        <v>3577</v>
      </c>
      <c r="G255" s="8">
        <v>596</v>
      </c>
      <c r="H255" s="8">
        <v>493</v>
      </c>
      <c r="I255" s="8">
        <v>67963</v>
      </c>
      <c r="J255" s="8">
        <v>67839</v>
      </c>
      <c r="K255" s="8">
        <v>53</v>
      </c>
      <c r="L255" s="9" t="s">
        <v>37</v>
      </c>
      <c r="M255" s="9" t="s">
        <v>44</v>
      </c>
      <c r="N255" s="18">
        <f t="shared" si="3"/>
        <v>6.8780494995504066E-2</v>
      </c>
    </row>
    <row r="256" spans="1:14" x14ac:dyDescent="0.3">
      <c r="A256" s="5" t="s">
        <v>208</v>
      </c>
      <c r="B256" s="6" t="s">
        <v>25</v>
      </c>
      <c r="C256" s="7">
        <v>45657</v>
      </c>
      <c r="D256" s="6" t="s">
        <v>50</v>
      </c>
      <c r="E256" s="6" t="s">
        <v>51</v>
      </c>
      <c r="F256" s="8">
        <v>1018</v>
      </c>
      <c r="G256" s="8">
        <v>447</v>
      </c>
      <c r="H256" s="8">
        <v>332</v>
      </c>
      <c r="I256" s="8">
        <v>18324</v>
      </c>
      <c r="J256" s="8">
        <v>18164</v>
      </c>
      <c r="K256" s="8">
        <v>38</v>
      </c>
      <c r="L256" s="9" t="s">
        <v>17</v>
      </c>
      <c r="M256" s="9" t="s">
        <v>44</v>
      </c>
      <c r="N256" s="18">
        <f t="shared" si="3"/>
        <v>9.8931953314247964E-2</v>
      </c>
    </row>
    <row r="257" spans="1:14" x14ac:dyDescent="0.3">
      <c r="A257" s="5" t="s">
        <v>208</v>
      </c>
      <c r="B257" s="6" t="s">
        <v>25</v>
      </c>
      <c r="C257" s="7">
        <v>45657</v>
      </c>
      <c r="D257" s="6" t="s">
        <v>50</v>
      </c>
      <c r="E257" s="6" t="s">
        <v>51</v>
      </c>
      <c r="F257" s="8">
        <v>1018</v>
      </c>
      <c r="G257" s="8">
        <v>447</v>
      </c>
      <c r="H257" s="8">
        <v>332</v>
      </c>
      <c r="I257" s="8">
        <v>18324</v>
      </c>
      <c r="J257" s="8">
        <v>18164</v>
      </c>
      <c r="K257" s="8">
        <v>38</v>
      </c>
      <c r="L257" s="9" t="s">
        <v>22</v>
      </c>
      <c r="M257" s="9" t="s">
        <v>44</v>
      </c>
      <c r="N257" s="18">
        <f t="shared" si="3"/>
        <v>9.8931953314247964E-2</v>
      </c>
    </row>
    <row r="258" spans="1:14" x14ac:dyDescent="0.3">
      <c r="A258" s="5" t="s">
        <v>209</v>
      </c>
      <c r="B258" s="6" t="s">
        <v>34</v>
      </c>
      <c r="C258" s="7">
        <v>45518</v>
      </c>
      <c r="D258" s="6" t="s">
        <v>35</v>
      </c>
      <c r="E258" s="6" t="s">
        <v>36</v>
      </c>
      <c r="F258" s="8">
        <v>3073</v>
      </c>
      <c r="G258" s="8">
        <v>553</v>
      </c>
      <c r="H258" s="8">
        <v>174</v>
      </c>
      <c r="I258" s="8">
        <v>52241</v>
      </c>
      <c r="J258" s="8">
        <v>51605</v>
      </c>
      <c r="K258" s="8">
        <v>246</v>
      </c>
      <c r="L258" s="9" t="s">
        <v>22</v>
      </c>
      <c r="M258" s="9" t="s">
        <v>44</v>
      </c>
      <c r="N258" s="18">
        <f t="shared" si="3"/>
        <v>7.3636275554694319E-2</v>
      </c>
    </row>
    <row r="259" spans="1:14" x14ac:dyDescent="0.3">
      <c r="A259" s="5" t="s">
        <v>209</v>
      </c>
      <c r="B259" s="6" t="s">
        <v>34</v>
      </c>
      <c r="C259" s="7">
        <v>45518</v>
      </c>
      <c r="D259" s="6" t="s">
        <v>35</v>
      </c>
      <c r="E259" s="6" t="s">
        <v>36</v>
      </c>
      <c r="F259" s="8">
        <v>3073</v>
      </c>
      <c r="G259" s="8">
        <v>553</v>
      </c>
      <c r="H259" s="8">
        <v>174</v>
      </c>
      <c r="I259" s="8">
        <v>52241</v>
      </c>
      <c r="J259" s="8">
        <v>51605</v>
      </c>
      <c r="K259" s="8">
        <v>246</v>
      </c>
      <c r="L259" s="9" t="s">
        <v>31</v>
      </c>
      <c r="M259" s="9" t="s">
        <v>44</v>
      </c>
      <c r="N259" s="18">
        <f t="shared" ref="N259:N322" si="4">SUM(F259,G259,H259)/J259</f>
        <v>7.3636275554694319E-2</v>
      </c>
    </row>
    <row r="260" spans="1:14" x14ac:dyDescent="0.3">
      <c r="A260" s="5" t="s">
        <v>210</v>
      </c>
      <c r="B260" s="6" t="s">
        <v>14</v>
      </c>
      <c r="C260" s="7">
        <v>45631</v>
      </c>
      <c r="D260" s="6" t="s">
        <v>50</v>
      </c>
      <c r="E260" s="6" t="s">
        <v>51</v>
      </c>
      <c r="F260" s="8">
        <v>1330</v>
      </c>
      <c r="G260" s="8">
        <v>925</v>
      </c>
      <c r="H260" s="8">
        <v>35</v>
      </c>
      <c r="I260" s="8">
        <v>15960</v>
      </c>
      <c r="J260" s="8">
        <v>15379</v>
      </c>
      <c r="K260" s="8">
        <v>229</v>
      </c>
      <c r="L260" s="9" t="s">
        <v>52</v>
      </c>
      <c r="M260" s="9" t="s">
        <v>44</v>
      </c>
      <c r="N260" s="18">
        <f t="shared" si="4"/>
        <v>0.14890435008778205</v>
      </c>
    </row>
    <row r="261" spans="1:14" x14ac:dyDescent="0.3">
      <c r="A261" s="5" t="s">
        <v>210</v>
      </c>
      <c r="B261" s="6" t="s">
        <v>14</v>
      </c>
      <c r="C261" s="7">
        <v>45631</v>
      </c>
      <c r="D261" s="6" t="s">
        <v>50</v>
      </c>
      <c r="E261" s="6" t="s">
        <v>51</v>
      </c>
      <c r="F261" s="8">
        <v>1330</v>
      </c>
      <c r="G261" s="8">
        <v>925</v>
      </c>
      <c r="H261" s="8">
        <v>35</v>
      </c>
      <c r="I261" s="8">
        <v>15960</v>
      </c>
      <c r="J261" s="8">
        <v>15379</v>
      </c>
      <c r="K261" s="8">
        <v>229</v>
      </c>
      <c r="L261" s="9" t="s">
        <v>37</v>
      </c>
      <c r="M261" s="9" t="s">
        <v>44</v>
      </c>
      <c r="N261" s="18">
        <f t="shared" si="4"/>
        <v>0.14890435008778205</v>
      </c>
    </row>
    <row r="262" spans="1:14" x14ac:dyDescent="0.3">
      <c r="A262" s="5" t="s">
        <v>211</v>
      </c>
      <c r="B262" s="6" t="s">
        <v>34</v>
      </c>
      <c r="C262" s="7">
        <v>45465</v>
      </c>
      <c r="D262" s="6" t="s">
        <v>20</v>
      </c>
      <c r="E262" s="6" t="s">
        <v>21</v>
      </c>
      <c r="F262" s="8">
        <v>3828</v>
      </c>
      <c r="G262" s="8">
        <v>148</v>
      </c>
      <c r="H262" s="8">
        <v>253</v>
      </c>
      <c r="I262" s="8">
        <v>30624</v>
      </c>
      <c r="J262" s="8">
        <v>30229</v>
      </c>
      <c r="K262" s="8">
        <v>235</v>
      </c>
      <c r="L262" s="9" t="s">
        <v>17</v>
      </c>
      <c r="M262" s="9" t="s">
        <v>44</v>
      </c>
      <c r="N262" s="18">
        <f t="shared" si="4"/>
        <v>0.13989877270171028</v>
      </c>
    </row>
    <row r="263" spans="1:14" x14ac:dyDescent="0.3">
      <c r="A263" s="5" t="s">
        <v>211</v>
      </c>
      <c r="B263" s="6" t="s">
        <v>34</v>
      </c>
      <c r="C263" s="7">
        <v>45465</v>
      </c>
      <c r="D263" s="6" t="s">
        <v>20</v>
      </c>
      <c r="E263" s="6" t="s">
        <v>21</v>
      </c>
      <c r="F263" s="8">
        <v>3828</v>
      </c>
      <c r="G263" s="8">
        <v>148</v>
      </c>
      <c r="H263" s="8">
        <v>253</v>
      </c>
      <c r="I263" s="8">
        <v>30624</v>
      </c>
      <c r="J263" s="8">
        <v>30229</v>
      </c>
      <c r="K263" s="8">
        <v>235</v>
      </c>
      <c r="L263" s="9" t="s">
        <v>31</v>
      </c>
      <c r="M263" s="9" t="s">
        <v>44</v>
      </c>
      <c r="N263" s="18">
        <f t="shared" si="4"/>
        <v>0.13989877270171028</v>
      </c>
    </row>
    <row r="264" spans="1:14" x14ac:dyDescent="0.3">
      <c r="A264" s="5" t="s">
        <v>212</v>
      </c>
      <c r="B264" s="6" t="s">
        <v>27</v>
      </c>
      <c r="C264" s="7">
        <v>45674</v>
      </c>
      <c r="D264" s="6" t="s">
        <v>15</v>
      </c>
      <c r="E264" s="6" t="s">
        <v>16</v>
      </c>
      <c r="F264" s="8">
        <v>142</v>
      </c>
      <c r="G264" s="8">
        <v>784</v>
      </c>
      <c r="H264" s="8">
        <v>183</v>
      </c>
      <c r="I264" s="8">
        <v>1704</v>
      </c>
      <c r="J264" s="8">
        <v>995</v>
      </c>
      <c r="K264" s="8">
        <v>154</v>
      </c>
      <c r="L264" s="9" t="s">
        <v>17</v>
      </c>
      <c r="M264" s="9" t="s">
        <v>18</v>
      </c>
      <c r="N264" s="18">
        <f t="shared" si="4"/>
        <v>1.114572864321608</v>
      </c>
    </row>
    <row r="265" spans="1:14" x14ac:dyDescent="0.3">
      <c r="A265" s="5" t="s">
        <v>213</v>
      </c>
      <c r="B265" s="6" t="s">
        <v>34</v>
      </c>
      <c r="C265" s="7">
        <v>45463</v>
      </c>
      <c r="D265" s="6" t="s">
        <v>50</v>
      </c>
      <c r="E265" s="6" t="s">
        <v>51</v>
      </c>
      <c r="F265" s="8">
        <v>3798</v>
      </c>
      <c r="G265" s="8">
        <v>31</v>
      </c>
      <c r="H265" s="8">
        <v>279</v>
      </c>
      <c r="I265" s="8">
        <v>75960</v>
      </c>
      <c r="J265" s="8">
        <v>75813</v>
      </c>
      <c r="K265" s="8">
        <v>266</v>
      </c>
      <c r="L265" s="9" t="s">
        <v>22</v>
      </c>
      <c r="M265" s="9" t="s">
        <v>23</v>
      </c>
      <c r="N265" s="18">
        <f t="shared" si="4"/>
        <v>5.4185957553453894E-2</v>
      </c>
    </row>
    <row r="266" spans="1:14" x14ac:dyDescent="0.3">
      <c r="A266" s="5" t="s">
        <v>214</v>
      </c>
      <c r="B266" s="6" t="s">
        <v>27</v>
      </c>
      <c r="C266" s="7">
        <v>45483</v>
      </c>
      <c r="D266" s="6" t="s">
        <v>35</v>
      </c>
      <c r="E266" s="6" t="s">
        <v>36</v>
      </c>
      <c r="F266" s="8">
        <v>3099</v>
      </c>
      <c r="G266" s="8">
        <v>694</v>
      </c>
      <c r="H266" s="8">
        <v>171</v>
      </c>
      <c r="I266" s="8">
        <v>43386</v>
      </c>
      <c r="J266" s="8">
        <v>42921</v>
      </c>
      <c r="K266" s="8">
        <v>52</v>
      </c>
      <c r="L266" s="9" t="s">
        <v>52</v>
      </c>
      <c r="M266" s="9" t="s">
        <v>44</v>
      </c>
      <c r="N266" s="18">
        <f t="shared" si="4"/>
        <v>9.2355723305607984E-2</v>
      </c>
    </row>
    <row r="267" spans="1:14" x14ac:dyDescent="0.3">
      <c r="A267" s="5" t="s">
        <v>215</v>
      </c>
      <c r="B267" s="6" t="s">
        <v>27</v>
      </c>
      <c r="C267" s="7">
        <v>45603</v>
      </c>
      <c r="D267" s="6" t="s">
        <v>50</v>
      </c>
      <c r="E267" s="6" t="s">
        <v>51</v>
      </c>
      <c r="F267" s="8">
        <v>129</v>
      </c>
      <c r="G267" s="8">
        <v>643</v>
      </c>
      <c r="H267" s="8">
        <v>136</v>
      </c>
      <c r="I267" s="8">
        <v>1290</v>
      </c>
      <c r="J267" s="8">
        <v>839</v>
      </c>
      <c r="K267" s="8">
        <v>238</v>
      </c>
      <c r="L267" s="9" t="s">
        <v>31</v>
      </c>
      <c r="M267" s="9" t="s">
        <v>44</v>
      </c>
      <c r="N267" s="18">
        <f t="shared" si="4"/>
        <v>1.0822407628128725</v>
      </c>
    </row>
    <row r="268" spans="1:14" x14ac:dyDescent="0.3">
      <c r="A268" s="5" t="s">
        <v>215</v>
      </c>
      <c r="B268" s="6" t="s">
        <v>27</v>
      </c>
      <c r="C268" s="7">
        <v>45603</v>
      </c>
      <c r="D268" s="6" t="s">
        <v>50</v>
      </c>
      <c r="E268" s="6" t="s">
        <v>51</v>
      </c>
      <c r="F268" s="8">
        <v>129</v>
      </c>
      <c r="G268" s="8">
        <v>643</v>
      </c>
      <c r="H268" s="8">
        <v>136</v>
      </c>
      <c r="I268" s="8">
        <v>1290</v>
      </c>
      <c r="J268" s="8">
        <v>839</v>
      </c>
      <c r="K268" s="8">
        <v>238</v>
      </c>
      <c r="L268" s="9" t="s">
        <v>52</v>
      </c>
      <c r="M268" s="9" t="s">
        <v>44</v>
      </c>
      <c r="N268" s="18">
        <f t="shared" si="4"/>
        <v>1.0822407628128725</v>
      </c>
    </row>
    <row r="269" spans="1:14" x14ac:dyDescent="0.3">
      <c r="A269" s="5" t="s">
        <v>216</v>
      </c>
      <c r="B269" s="6" t="s">
        <v>34</v>
      </c>
      <c r="C269" s="7">
        <v>45488</v>
      </c>
      <c r="D269" s="6" t="s">
        <v>35</v>
      </c>
      <c r="E269" s="6" t="s">
        <v>36</v>
      </c>
      <c r="F269" s="8">
        <v>3796</v>
      </c>
      <c r="G269" s="8">
        <v>667</v>
      </c>
      <c r="H269" s="8">
        <v>395</v>
      </c>
      <c r="I269" s="8">
        <v>64532</v>
      </c>
      <c r="J269" s="8">
        <v>63550</v>
      </c>
      <c r="K269" s="8">
        <v>292</v>
      </c>
      <c r="L269" s="9" t="s">
        <v>31</v>
      </c>
      <c r="M269" s="9" t="s">
        <v>18</v>
      </c>
      <c r="N269" s="18">
        <f t="shared" si="4"/>
        <v>7.6443745082612119E-2</v>
      </c>
    </row>
    <row r="270" spans="1:14" x14ac:dyDescent="0.3">
      <c r="A270" s="5" t="s">
        <v>217</v>
      </c>
      <c r="B270" s="6" t="s">
        <v>25</v>
      </c>
      <c r="C270" s="7">
        <v>45629</v>
      </c>
      <c r="D270" s="6" t="s">
        <v>20</v>
      </c>
      <c r="E270" s="6" t="s">
        <v>21</v>
      </c>
      <c r="F270" s="8">
        <v>3711</v>
      </c>
      <c r="G270" s="8">
        <v>352</v>
      </c>
      <c r="H270" s="8">
        <v>290</v>
      </c>
      <c r="I270" s="8">
        <v>48243</v>
      </c>
      <c r="J270" s="8">
        <v>47579</v>
      </c>
      <c r="K270" s="8">
        <v>11</v>
      </c>
      <c r="L270" s="9" t="s">
        <v>31</v>
      </c>
      <c r="M270" s="9" t="s">
        <v>44</v>
      </c>
      <c r="N270" s="18">
        <f t="shared" si="4"/>
        <v>9.1489943042098398E-2</v>
      </c>
    </row>
    <row r="271" spans="1:14" x14ac:dyDescent="0.3">
      <c r="A271" s="5" t="s">
        <v>217</v>
      </c>
      <c r="B271" s="6" t="s">
        <v>25</v>
      </c>
      <c r="C271" s="7">
        <v>45629</v>
      </c>
      <c r="D271" s="6" t="s">
        <v>20</v>
      </c>
      <c r="E271" s="6" t="s">
        <v>21</v>
      </c>
      <c r="F271" s="8">
        <v>3711</v>
      </c>
      <c r="G271" s="8">
        <v>352</v>
      </c>
      <c r="H271" s="8">
        <v>290</v>
      </c>
      <c r="I271" s="8">
        <v>48243</v>
      </c>
      <c r="J271" s="8">
        <v>47579</v>
      </c>
      <c r="K271" s="8">
        <v>11</v>
      </c>
      <c r="L271" s="9" t="s">
        <v>52</v>
      </c>
      <c r="M271" s="9" t="s">
        <v>44</v>
      </c>
      <c r="N271" s="18">
        <f t="shared" si="4"/>
        <v>9.1489943042098398E-2</v>
      </c>
    </row>
    <row r="272" spans="1:14" x14ac:dyDescent="0.3">
      <c r="A272" s="5" t="s">
        <v>218</v>
      </c>
      <c r="B272" s="6" t="s">
        <v>25</v>
      </c>
      <c r="C272" s="7">
        <v>45737</v>
      </c>
      <c r="D272" s="6" t="s">
        <v>40</v>
      </c>
      <c r="E272" s="6" t="s">
        <v>41</v>
      </c>
      <c r="F272" s="8">
        <v>606</v>
      </c>
      <c r="G272" s="8">
        <v>789</v>
      </c>
      <c r="H272" s="8">
        <v>470</v>
      </c>
      <c r="I272" s="8">
        <v>7878</v>
      </c>
      <c r="J272" s="8">
        <v>7389</v>
      </c>
      <c r="K272" s="8">
        <v>239</v>
      </c>
      <c r="L272" s="9" t="s">
        <v>17</v>
      </c>
      <c r="M272" s="9" t="s">
        <v>23</v>
      </c>
      <c r="N272" s="18">
        <f t="shared" si="4"/>
        <v>0.25240221951549602</v>
      </c>
    </row>
    <row r="273" spans="1:14" x14ac:dyDescent="0.3">
      <c r="A273" s="5" t="s">
        <v>219</v>
      </c>
      <c r="B273" s="6" t="s">
        <v>34</v>
      </c>
      <c r="C273" s="7">
        <v>45504</v>
      </c>
      <c r="D273" s="6" t="s">
        <v>40</v>
      </c>
      <c r="E273" s="6" t="s">
        <v>41</v>
      </c>
      <c r="F273" s="8">
        <v>4689</v>
      </c>
      <c r="G273" s="8">
        <v>134</v>
      </c>
      <c r="H273" s="8">
        <v>403</v>
      </c>
      <c r="I273" s="8">
        <v>51579</v>
      </c>
      <c r="J273" s="8">
        <v>50924</v>
      </c>
      <c r="K273" s="8">
        <v>173</v>
      </c>
      <c r="L273" s="9" t="s">
        <v>52</v>
      </c>
      <c r="M273" s="9" t="s">
        <v>18</v>
      </c>
      <c r="N273" s="18">
        <f t="shared" si="4"/>
        <v>0.10262351739847617</v>
      </c>
    </row>
    <row r="274" spans="1:14" x14ac:dyDescent="0.3">
      <c r="A274" s="5" t="s">
        <v>220</v>
      </c>
      <c r="B274" s="6" t="s">
        <v>27</v>
      </c>
      <c r="C274" s="7">
        <v>45643</v>
      </c>
      <c r="D274" s="6" t="s">
        <v>28</v>
      </c>
      <c r="E274" s="6" t="s">
        <v>29</v>
      </c>
      <c r="F274" s="8">
        <v>360</v>
      </c>
      <c r="G274" s="8">
        <v>590</v>
      </c>
      <c r="H274" s="8">
        <v>393</v>
      </c>
      <c r="I274" s="8">
        <v>4680</v>
      </c>
      <c r="J274" s="8">
        <v>4322</v>
      </c>
      <c r="K274" s="8">
        <v>208</v>
      </c>
      <c r="L274" s="9" t="s">
        <v>31</v>
      </c>
      <c r="M274" s="9" t="s">
        <v>23</v>
      </c>
      <c r="N274" s="18">
        <f t="shared" si="4"/>
        <v>0.3107357704766312</v>
      </c>
    </row>
    <row r="275" spans="1:14" x14ac:dyDescent="0.3">
      <c r="A275" s="5" t="s">
        <v>220</v>
      </c>
      <c r="B275" s="6" t="s">
        <v>27</v>
      </c>
      <c r="C275" s="7">
        <v>45643</v>
      </c>
      <c r="D275" s="6" t="s">
        <v>28</v>
      </c>
      <c r="E275" s="6" t="s">
        <v>29</v>
      </c>
      <c r="F275" s="8">
        <v>360</v>
      </c>
      <c r="G275" s="8">
        <v>590</v>
      </c>
      <c r="H275" s="8">
        <v>393</v>
      </c>
      <c r="I275" s="8">
        <v>4680</v>
      </c>
      <c r="J275" s="8">
        <v>4322</v>
      </c>
      <c r="K275" s="8">
        <v>208</v>
      </c>
      <c r="L275" s="9" t="s">
        <v>52</v>
      </c>
      <c r="M275" s="9" t="s">
        <v>23</v>
      </c>
      <c r="N275" s="18">
        <f t="shared" si="4"/>
        <v>0.3107357704766312</v>
      </c>
    </row>
    <row r="276" spans="1:14" x14ac:dyDescent="0.3">
      <c r="A276" s="5" t="s">
        <v>221</v>
      </c>
      <c r="B276" s="6" t="s">
        <v>14</v>
      </c>
      <c r="C276" s="7">
        <v>45501</v>
      </c>
      <c r="D276" s="6" t="s">
        <v>40</v>
      </c>
      <c r="E276" s="6" t="s">
        <v>41</v>
      </c>
      <c r="F276" s="8">
        <v>3215</v>
      </c>
      <c r="G276" s="8">
        <v>960</v>
      </c>
      <c r="H276" s="8">
        <v>202</v>
      </c>
      <c r="I276" s="8">
        <v>32150</v>
      </c>
      <c r="J276" s="8">
        <v>31404</v>
      </c>
      <c r="K276" s="8">
        <v>251</v>
      </c>
      <c r="L276" s="9" t="s">
        <v>31</v>
      </c>
      <c r="M276" s="9" t="s">
        <v>32</v>
      </c>
      <c r="N276" s="18">
        <f t="shared" si="4"/>
        <v>0.13937714940771875</v>
      </c>
    </row>
    <row r="277" spans="1:14" x14ac:dyDescent="0.3">
      <c r="A277" s="5" t="s">
        <v>222</v>
      </c>
      <c r="B277" s="6" t="s">
        <v>27</v>
      </c>
      <c r="C277" s="7">
        <v>45668</v>
      </c>
      <c r="D277" s="6" t="s">
        <v>35</v>
      </c>
      <c r="E277" s="6" t="s">
        <v>36</v>
      </c>
      <c r="F277" s="8">
        <v>4523</v>
      </c>
      <c r="G277" s="8">
        <v>61</v>
      </c>
      <c r="H277" s="8">
        <v>157</v>
      </c>
      <c r="I277" s="8">
        <v>49753</v>
      </c>
      <c r="J277" s="8">
        <v>49329</v>
      </c>
      <c r="K277" s="8">
        <v>71</v>
      </c>
      <c r="L277" s="9" t="s">
        <v>17</v>
      </c>
      <c r="M277" s="9" t="s">
        <v>44</v>
      </c>
      <c r="N277" s="18">
        <f t="shared" si="4"/>
        <v>9.6109793427801085E-2</v>
      </c>
    </row>
    <row r="278" spans="1:14" x14ac:dyDescent="0.3">
      <c r="A278" s="5" t="s">
        <v>222</v>
      </c>
      <c r="B278" s="6" t="s">
        <v>27</v>
      </c>
      <c r="C278" s="7">
        <v>45668</v>
      </c>
      <c r="D278" s="6" t="s">
        <v>35</v>
      </c>
      <c r="E278" s="6" t="s">
        <v>36</v>
      </c>
      <c r="F278" s="8">
        <v>4523</v>
      </c>
      <c r="G278" s="8">
        <v>61</v>
      </c>
      <c r="H278" s="8">
        <v>157</v>
      </c>
      <c r="I278" s="8">
        <v>49753</v>
      </c>
      <c r="J278" s="8">
        <v>49329</v>
      </c>
      <c r="K278" s="8">
        <v>71</v>
      </c>
      <c r="L278" s="9" t="s">
        <v>37</v>
      </c>
      <c r="M278" s="9" t="s">
        <v>44</v>
      </c>
      <c r="N278" s="18">
        <f t="shared" si="4"/>
        <v>9.6109793427801085E-2</v>
      </c>
    </row>
    <row r="279" spans="1:14" x14ac:dyDescent="0.3">
      <c r="A279" s="5" t="s">
        <v>223</v>
      </c>
      <c r="B279" s="6" t="s">
        <v>34</v>
      </c>
      <c r="C279" s="7">
        <v>45528</v>
      </c>
      <c r="D279" s="6" t="s">
        <v>35</v>
      </c>
      <c r="E279" s="6" t="s">
        <v>36</v>
      </c>
      <c r="F279" s="8">
        <v>4292</v>
      </c>
      <c r="G279" s="8">
        <v>51</v>
      </c>
      <c r="H279" s="8">
        <v>392</v>
      </c>
      <c r="I279" s="8">
        <v>55796</v>
      </c>
      <c r="J279" s="8">
        <v>54826</v>
      </c>
      <c r="K279" s="8">
        <v>264</v>
      </c>
      <c r="L279" s="9" t="s">
        <v>37</v>
      </c>
      <c r="M279" s="9" t="s">
        <v>18</v>
      </c>
      <c r="N279" s="18">
        <f t="shared" si="4"/>
        <v>8.6364133805128959E-2</v>
      </c>
    </row>
    <row r="280" spans="1:14" x14ac:dyDescent="0.3">
      <c r="A280" s="5" t="s">
        <v>223</v>
      </c>
      <c r="B280" s="6" t="s">
        <v>34</v>
      </c>
      <c r="C280" s="7">
        <v>45528</v>
      </c>
      <c r="D280" s="6" t="s">
        <v>35</v>
      </c>
      <c r="E280" s="6" t="s">
        <v>36</v>
      </c>
      <c r="F280" s="8">
        <v>4292</v>
      </c>
      <c r="G280" s="8">
        <v>51</v>
      </c>
      <c r="H280" s="8">
        <v>392</v>
      </c>
      <c r="I280" s="8">
        <v>55796</v>
      </c>
      <c r="J280" s="8">
        <v>54826</v>
      </c>
      <c r="K280" s="8">
        <v>264</v>
      </c>
      <c r="L280" s="9" t="s">
        <v>31</v>
      </c>
      <c r="M280" s="9" t="s">
        <v>18</v>
      </c>
      <c r="N280" s="18">
        <f t="shared" si="4"/>
        <v>8.6364133805128959E-2</v>
      </c>
    </row>
    <row r="281" spans="1:14" x14ac:dyDescent="0.3">
      <c r="A281" s="5" t="s">
        <v>224</v>
      </c>
      <c r="B281" s="6" t="s">
        <v>14</v>
      </c>
      <c r="C281" s="7">
        <v>45648</v>
      </c>
      <c r="D281" s="6" t="s">
        <v>15</v>
      </c>
      <c r="E281" s="6" t="s">
        <v>16</v>
      </c>
      <c r="F281" s="8">
        <v>1644</v>
      </c>
      <c r="G281" s="8">
        <v>546</v>
      </c>
      <c r="H281" s="8">
        <v>150</v>
      </c>
      <c r="I281" s="8">
        <v>27948</v>
      </c>
      <c r="J281" s="8">
        <v>27184</v>
      </c>
      <c r="K281" s="8">
        <v>300</v>
      </c>
      <c r="L281" s="9" t="s">
        <v>17</v>
      </c>
      <c r="M281" s="9" t="s">
        <v>18</v>
      </c>
      <c r="N281" s="18">
        <f t="shared" si="4"/>
        <v>8.6080047086521477E-2</v>
      </c>
    </row>
    <row r="282" spans="1:14" x14ac:dyDescent="0.3">
      <c r="A282" s="5" t="s">
        <v>224</v>
      </c>
      <c r="B282" s="6" t="s">
        <v>14</v>
      </c>
      <c r="C282" s="7">
        <v>45648</v>
      </c>
      <c r="D282" s="6" t="s">
        <v>15</v>
      </c>
      <c r="E282" s="6" t="s">
        <v>16</v>
      </c>
      <c r="F282" s="8">
        <v>1644</v>
      </c>
      <c r="G282" s="8">
        <v>546</v>
      </c>
      <c r="H282" s="8">
        <v>150</v>
      </c>
      <c r="I282" s="8">
        <v>27948</v>
      </c>
      <c r="J282" s="8">
        <v>27184</v>
      </c>
      <c r="K282" s="8">
        <v>300</v>
      </c>
      <c r="L282" s="9" t="s">
        <v>37</v>
      </c>
      <c r="M282" s="9" t="s">
        <v>18</v>
      </c>
      <c r="N282" s="18">
        <f t="shared" si="4"/>
        <v>8.6080047086521477E-2</v>
      </c>
    </row>
    <row r="283" spans="1:14" x14ac:dyDescent="0.3">
      <c r="A283" s="5" t="s">
        <v>225</v>
      </c>
      <c r="B283" s="6" t="s">
        <v>25</v>
      </c>
      <c r="C283" s="7">
        <v>45449</v>
      </c>
      <c r="D283" s="6" t="s">
        <v>15</v>
      </c>
      <c r="E283" s="6" t="s">
        <v>16</v>
      </c>
      <c r="F283" s="8">
        <v>2728</v>
      </c>
      <c r="G283" s="8">
        <v>533</v>
      </c>
      <c r="H283" s="8">
        <v>215</v>
      </c>
      <c r="I283" s="8">
        <v>40920</v>
      </c>
      <c r="J283" s="8">
        <v>40816</v>
      </c>
      <c r="K283" s="8">
        <v>137</v>
      </c>
      <c r="L283" s="9" t="s">
        <v>17</v>
      </c>
      <c r="M283" s="9" t="s">
        <v>23</v>
      </c>
      <c r="N283" s="18">
        <f t="shared" si="4"/>
        <v>8.516268130145041E-2</v>
      </c>
    </row>
    <row r="284" spans="1:14" x14ac:dyDescent="0.3">
      <c r="A284" s="5" t="s">
        <v>226</v>
      </c>
      <c r="B284" s="6" t="s">
        <v>34</v>
      </c>
      <c r="C284" s="7">
        <v>45740</v>
      </c>
      <c r="D284" s="6" t="s">
        <v>15</v>
      </c>
      <c r="E284" s="6" t="s">
        <v>16</v>
      </c>
      <c r="F284" s="8">
        <v>3360</v>
      </c>
      <c r="G284" s="8">
        <v>525</v>
      </c>
      <c r="H284" s="8">
        <v>500</v>
      </c>
      <c r="I284" s="8">
        <v>60480</v>
      </c>
      <c r="J284" s="8">
        <v>59610</v>
      </c>
      <c r="K284" s="8">
        <v>192</v>
      </c>
      <c r="L284" s="9" t="s">
        <v>17</v>
      </c>
      <c r="M284" s="9" t="s">
        <v>18</v>
      </c>
      <c r="N284" s="18">
        <f t="shared" si="4"/>
        <v>7.3561482972655592E-2</v>
      </c>
    </row>
    <row r="285" spans="1:14" x14ac:dyDescent="0.3">
      <c r="A285" s="5" t="s">
        <v>226</v>
      </c>
      <c r="B285" s="6" t="s">
        <v>34</v>
      </c>
      <c r="C285" s="7">
        <v>45740</v>
      </c>
      <c r="D285" s="6" t="s">
        <v>15</v>
      </c>
      <c r="E285" s="6" t="s">
        <v>16</v>
      </c>
      <c r="F285" s="8">
        <v>3360</v>
      </c>
      <c r="G285" s="8">
        <v>525</v>
      </c>
      <c r="H285" s="8">
        <v>500</v>
      </c>
      <c r="I285" s="8">
        <v>60480</v>
      </c>
      <c r="J285" s="8">
        <v>59610</v>
      </c>
      <c r="K285" s="8">
        <v>192</v>
      </c>
      <c r="L285" s="9" t="s">
        <v>31</v>
      </c>
      <c r="M285" s="9" t="s">
        <v>18</v>
      </c>
      <c r="N285" s="18">
        <f t="shared" si="4"/>
        <v>7.3561482972655592E-2</v>
      </c>
    </row>
    <row r="286" spans="1:14" x14ac:dyDescent="0.3">
      <c r="A286" s="5" t="s">
        <v>227</v>
      </c>
      <c r="B286" s="6" t="s">
        <v>25</v>
      </c>
      <c r="C286" s="7">
        <v>45569</v>
      </c>
      <c r="D286" s="6" t="s">
        <v>20</v>
      </c>
      <c r="E286" s="6" t="s">
        <v>21</v>
      </c>
      <c r="F286" s="8">
        <v>1963</v>
      </c>
      <c r="G286" s="8">
        <v>213</v>
      </c>
      <c r="H286" s="8">
        <v>19</v>
      </c>
      <c r="I286" s="8">
        <v>39260</v>
      </c>
      <c r="J286" s="8">
        <v>38771</v>
      </c>
      <c r="K286" s="8">
        <v>145</v>
      </c>
      <c r="L286" s="9" t="s">
        <v>31</v>
      </c>
      <c r="M286" s="9" t="s">
        <v>18</v>
      </c>
      <c r="N286" s="18">
        <f t="shared" si="4"/>
        <v>5.6614479894766707E-2</v>
      </c>
    </row>
    <row r="287" spans="1:14" x14ac:dyDescent="0.3">
      <c r="A287" s="5" t="s">
        <v>228</v>
      </c>
      <c r="B287" s="6" t="s">
        <v>25</v>
      </c>
      <c r="C287" s="7">
        <v>45629</v>
      </c>
      <c r="D287" s="6" t="s">
        <v>28</v>
      </c>
      <c r="E287" s="6" t="s">
        <v>29</v>
      </c>
      <c r="F287" s="8">
        <v>4285</v>
      </c>
      <c r="G287" s="8">
        <v>886</v>
      </c>
      <c r="H287" s="8">
        <v>376</v>
      </c>
      <c r="I287" s="8">
        <v>55705</v>
      </c>
      <c r="J287" s="8">
        <v>55556</v>
      </c>
      <c r="K287" s="8">
        <v>51</v>
      </c>
      <c r="L287" s="9" t="s">
        <v>22</v>
      </c>
      <c r="M287" s="9" t="s">
        <v>44</v>
      </c>
      <c r="N287" s="18">
        <f t="shared" si="4"/>
        <v>9.9845201238390094E-2</v>
      </c>
    </row>
    <row r="288" spans="1:14" x14ac:dyDescent="0.3">
      <c r="A288" s="5" t="s">
        <v>228</v>
      </c>
      <c r="B288" s="6" t="s">
        <v>25</v>
      </c>
      <c r="C288" s="7">
        <v>45629</v>
      </c>
      <c r="D288" s="6" t="s">
        <v>28</v>
      </c>
      <c r="E288" s="6" t="s">
        <v>29</v>
      </c>
      <c r="F288" s="8">
        <v>4285</v>
      </c>
      <c r="G288" s="8">
        <v>886</v>
      </c>
      <c r="H288" s="8">
        <v>376</v>
      </c>
      <c r="I288" s="8">
        <v>55705</v>
      </c>
      <c r="J288" s="8">
        <v>55556</v>
      </c>
      <c r="K288" s="8">
        <v>51</v>
      </c>
      <c r="L288" s="9" t="s">
        <v>52</v>
      </c>
      <c r="M288" s="9" t="s">
        <v>44</v>
      </c>
      <c r="N288" s="18">
        <f t="shared" si="4"/>
        <v>9.9845201238390094E-2</v>
      </c>
    </row>
    <row r="289" spans="1:14" x14ac:dyDescent="0.3">
      <c r="A289" s="5" t="s">
        <v>229</v>
      </c>
      <c r="B289" s="6" t="s">
        <v>27</v>
      </c>
      <c r="C289" s="7">
        <v>45625</v>
      </c>
      <c r="D289" s="6" t="s">
        <v>50</v>
      </c>
      <c r="E289" s="6" t="s">
        <v>51</v>
      </c>
      <c r="F289" s="8">
        <v>1176</v>
      </c>
      <c r="G289" s="8">
        <v>464</v>
      </c>
      <c r="H289" s="8">
        <v>394</v>
      </c>
      <c r="I289" s="8">
        <v>14112</v>
      </c>
      <c r="J289" s="8">
        <v>13588</v>
      </c>
      <c r="K289" s="8">
        <v>272</v>
      </c>
      <c r="L289" s="9" t="s">
        <v>52</v>
      </c>
      <c r="M289" s="9" t="s">
        <v>18</v>
      </c>
      <c r="N289" s="18">
        <f t="shared" si="4"/>
        <v>0.14969090373859287</v>
      </c>
    </row>
    <row r="290" spans="1:14" x14ac:dyDescent="0.3">
      <c r="A290" s="5" t="s">
        <v>230</v>
      </c>
      <c r="B290" s="6" t="s">
        <v>14</v>
      </c>
      <c r="C290" s="7">
        <v>45546</v>
      </c>
      <c r="D290" s="6" t="s">
        <v>40</v>
      </c>
      <c r="E290" s="6" t="s">
        <v>41</v>
      </c>
      <c r="F290" s="8">
        <v>4858</v>
      </c>
      <c r="G290" s="8">
        <v>317</v>
      </c>
      <c r="H290" s="8">
        <v>129</v>
      </c>
      <c r="I290" s="8">
        <v>53438</v>
      </c>
      <c r="J290" s="8">
        <v>52687</v>
      </c>
      <c r="K290" s="8">
        <v>223</v>
      </c>
      <c r="L290" s="9" t="s">
        <v>52</v>
      </c>
      <c r="M290" s="9" t="s">
        <v>18</v>
      </c>
      <c r="N290" s="18">
        <f t="shared" si="4"/>
        <v>0.10066999449579593</v>
      </c>
    </row>
    <row r="291" spans="1:14" x14ac:dyDescent="0.3">
      <c r="A291" s="5" t="s">
        <v>230</v>
      </c>
      <c r="B291" s="6" t="s">
        <v>14</v>
      </c>
      <c r="C291" s="7">
        <v>45546</v>
      </c>
      <c r="D291" s="6" t="s">
        <v>40</v>
      </c>
      <c r="E291" s="6" t="s">
        <v>41</v>
      </c>
      <c r="F291" s="8">
        <v>4858</v>
      </c>
      <c r="G291" s="8">
        <v>317</v>
      </c>
      <c r="H291" s="8">
        <v>129</v>
      </c>
      <c r="I291" s="8">
        <v>53438</v>
      </c>
      <c r="J291" s="8">
        <v>52687</v>
      </c>
      <c r="K291" s="8">
        <v>223</v>
      </c>
      <c r="L291" s="9" t="s">
        <v>37</v>
      </c>
      <c r="M291" s="9" t="s">
        <v>18</v>
      </c>
      <c r="N291" s="18">
        <f t="shared" si="4"/>
        <v>0.10066999449579593</v>
      </c>
    </row>
    <row r="292" spans="1:14" x14ac:dyDescent="0.3">
      <c r="A292" s="5" t="s">
        <v>231</v>
      </c>
      <c r="B292" s="6" t="s">
        <v>25</v>
      </c>
      <c r="C292" s="7">
        <v>45567</v>
      </c>
      <c r="D292" s="6" t="s">
        <v>28</v>
      </c>
      <c r="E292" s="6" t="s">
        <v>29</v>
      </c>
      <c r="F292" s="8">
        <v>4350</v>
      </c>
      <c r="G292" s="8">
        <v>771</v>
      </c>
      <c r="H292" s="8">
        <v>7</v>
      </c>
      <c r="I292" s="8">
        <v>60900</v>
      </c>
      <c r="J292" s="8">
        <v>60592</v>
      </c>
      <c r="K292" s="8">
        <v>195</v>
      </c>
      <c r="L292" s="9" t="s">
        <v>52</v>
      </c>
      <c r="M292" s="9" t="s">
        <v>23</v>
      </c>
      <c r="N292" s="18">
        <f t="shared" si="4"/>
        <v>8.4631634539213102E-2</v>
      </c>
    </row>
    <row r="293" spans="1:14" x14ac:dyDescent="0.3">
      <c r="A293" s="5" t="s">
        <v>231</v>
      </c>
      <c r="B293" s="6" t="s">
        <v>25</v>
      </c>
      <c r="C293" s="7">
        <v>45567</v>
      </c>
      <c r="D293" s="6" t="s">
        <v>28</v>
      </c>
      <c r="E293" s="6" t="s">
        <v>29</v>
      </c>
      <c r="F293" s="8">
        <v>4350</v>
      </c>
      <c r="G293" s="8">
        <v>771</v>
      </c>
      <c r="H293" s="8">
        <v>7</v>
      </c>
      <c r="I293" s="8">
        <v>60900</v>
      </c>
      <c r="J293" s="8">
        <v>60592</v>
      </c>
      <c r="K293" s="8">
        <v>195</v>
      </c>
      <c r="L293" s="9" t="s">
        <v>31</v>
      </c>
      <c r="M293" s="9" t="s">
        <v>23</v>
      </c>
      <c r="N293" s="18">
        <f t="shared" si="4"/>
        <v>8.4631634539213102E-2</v>
      </c>
    </row>
    <row r="294" spans="1:14" x14ac:dyDescent="0.3">
      <c r="A294" s="5" t="s">
        <v>232</v>
      </c>
      <c r="B294" s="6" t="s">
        <v>27</v>
      </c>
      <c r="C294" s="7">
        <v>45519</v>
      </c>
      <c r="D294" s="6" t="s">
        <v>35</v>
      </c>
      <c r="E294" s="6" t="s">
        <v>36</v>
      </c>
      <c r="F294" s="8">
        <v>914</v>
      </c>
      <c r="G294" s="8">
        <v>464</v>
      </c>
      <c r="H294" s="8">
        <v>246</v>
      </c>
      <c r="I294" s="8">
        <v>11882</v>
      </c>
      <c r="J294" s="8">
        <v>11500</v>
      </c>
      <c r="K294" s="8">
        <v>282</v>
      </c>
      <c r="L294" s="9" t="s">
        <v>22</v>
      </c>
      <c r="M294" s="9" t="s">
        <v>32</v>
      </c>
      <c r="N294" s="18">
        <f t="shared" si="4"/>
        <v>0.14121739130434782</v>
      </c>
    </row>
    <row r="295" spans="1:14" x14ac:dyDescent="0.3">
      <c r="A295" s="5" t="s">
        <v>232</v>
      </c>
      <c r="B295" s="6" t="s">
        <v>27</v>
      </c>
      <c r="C295" s="7">
        <v>45519</v>
      </c>
      <c r="D295" s="6" t="s">
        <v>35</v>
      </c>
      <c r="E295" s="6" t="s">
        <v>36</v>
      </c>
      <c r="F295" s="8">
        <v>914</v>
      </c>
      <c r="G295" s="8">
        <v>464</v>
      </c>
      <c r="H295" s="8">
        <v>246</v>
      </c>
      <c r="I295" s="8">
        <v>11882</v>
      </c>
      <c r="J295" s="8">
        <v>11500</v>
      </c>
      <c r="K295" s="8">
        <v>282</v>
      </c>
      <c r="L295" s="9" t="s">
        <v>37</v>
      </c>
      <c r="M295" s="9" t="s">
        <v>32</v>
      </c>
      <c r="N295" s="18">
        <f t="shared" si="4"/>
        <v>0.14121739130434782</v>
      </c>
    </row>
    <row r="296" spans="1:14" x14ac:dyDescent="0.3">
      <c r="A296" s="5" t="s">
        <v>233</v>
      </c>
      <c r="B296" s="6" t="s">
        <v>27</v>
      </c>
      <c r="C296" s="7">
        <v>45645</v>
      </c>
      <c r="D296" s="6" t="s">
        <v>20</v>
      </c>
      <c r="E296" s="6" t="s">
        <v>21</v>
      </c>
      <c r="F296" s="8">
        <v>1813</v>
      </c>
      <c r="G296" s="8">
        <v>623</v>
      </c>
      <c r="H296" s="8">
        <v>72</v>
      </c>
      <c r="I296" s="8">
        <v>19943</v>
      </c>
      <c r="J296" s="8">
        <v>18959</v>
      </c>
      <c r="K296" s="8">
        <v>85</v>
      </c>
      <c r="L296" s="9" t="s">
        <v>37</v>
      </c>
      <c r="M296" s="9" t="s">
        <v>32</v>
      </c>
      <c r="N296" s="18">
        <f t="shared" si="4"/>
        <v>0.13228545809378131</v>
      </c>
    </row>
    <row r="297" spans="1:14" x14ac:dyDescent="0.3">
      <c r="A297" s="5" t="s">
        <v>233</v>
      </c>
      <c r="B297" s="6" t="s">
        <v>27</v>
      </c>
      <c r="C297" s="7">
        <v>45645</v>
      </c>
      <c r="D297" s="6" t="s">
        <v>20</v>
      </c>
      <c r="E297" s="6" t="s">
        <v>21</v>
      </c>
      <c r="F297" s="8">
        <v>1813</v>
      </c>
      <c r="G297" s="8">
        <v>623</v>
      </c>
      <c r="H297" s="8">
        <v>72</v>
      </c>
      <c r="I297" s="8">
        <v>19943</v>
      </c>
      <c r="J297" s="8">
        <v>18959</v>
      </c>
      <c r="K297" s="8">
        <v>85</v>
      </c>
      <c r="L297" s="9" t="s">
        <v>22</v>
      </c>
      <c r="M297" s="9" t="s">
        <v>32</v>
      </c>
      <c r="N297" s="18">
        <f t="shared" si="4"/>
        <v>0.13228545809378131</v>
      </c>
    </row>
    <row r="298" spans="1:14" x14ac:dyDescent="0.3">
      <c r="A298" s="5" t="s">
        <v>234</v>
      </c>
      <c r="B298" s="6" t="s">
        <v>14</v>
      </c>
      <c r="C298" s="7">
        <v>45587</v>
      </c>
      <c r="D298" s="6" t="s">
        <v>15</v>
      </c>
      <c r="E298" s="6" t="s">
        <v>16</v>
      </c>
      <c r="F298" s="8">
        <v>4782</v>
      </c>
      <c r="G298" s="8">
        <v>721</v>
      </c>
      <c r="H298" s="8">
        <v>82</v>
      </c>
      <c r="I298" s="8">
        <v>86076</v>
      </c>
      <c r="J298" s="8">
        <v>85339</v>
      </c>
      <c r="K298" s="8">
        <v>19</v>
      </c>
      <c r="L298" s="9" t="s">
        <v>52</v>
      </c>
      <c r="M298" s="9" t="s">
        <v>23</v>
      </c>
      <c r="N298" s="18">
        <f t="shared" si="4"/>
        <v>6.5444872801415532E-2</v>
      </c>
    </row>
    <row r="299" spans="1:14" x14ac:dyDescent="0.3">
      <c r="A299" s="5" t="s">
        <v>235</v>
      </c>
      <c r="B299" s="6" t="s">
        <v>14</v>
      </c>
      <c r="C299" s="7">
        <v>45549</v>
      </c>
      <c r="D299" s="6" t="s">
        <v>40</v>
      </c>
      <c r="E299" s="6" t="s">
        <v>41</v>
      </c>
      <c r="F299" s="8">
        <v>1048</v>
      </c>
      <c r="G299" s="8">
        <v>374</v>
      </c>
      <c r="H299" s="8">
        <v>450</v>
      </c>
      <c r="I299" s="8">
        <v>9432</v>
      </c>
      <c r="J299" s="8">
        <v>8882</v>
      </c>
      <c r="K299" s="8">
        <v>158</v>
      </c>
      <c r="L299" s="9" t="s">
        <v>37</v>
      </c>
      <c r="M299" s="9" t="s">
        <v>23</v>
      </c>
      <c r="N299" s="18">
        <f t="shared" si="4"/>
        <v>0.21076334158973203</v>
      </c>
    </row>
    <row r="300" spans="1:14" x14ac:dyDescent="0.3">
      <c r="A300" s="5" t="s">
        <v>235</v>
      </c>
      <c r="B300" s="6" t="s">
        <v>14</v>
      </c>
      <c r="C300" s="7">
        <v>45549</v>
      </c>
      <c r="D300" s="6" t="s">
        <v>40</v>
      </c>
      <c r="E300" s="6" t="s">
        <v>41</v>
      </c>
      <c r="F300" s="8">
        <v>1048</v>
      </c>
      <c r="G300" s="8">
        <v>374</v>
      </c>
      <c r="H300" s="8">
        <v>450</v>
      </c>
      <c r="I300" s="8">
        <v>9432</v>
      </c>
      <c r="J300" s="8">
        <v>8882</v>
      </c>
      <c r="K300" s="8">
        <v>158</v>
      </c>
      <c r="L300" s="9" t="s">
        <v>17</v>
      </c>
      <c r="M300" s="9" t="s">
        <v>23</v>
      </c>
      <c r="N300" s="18">
        <f t="shared" si="4"/>
        <v>0.21076334158973203</v>
      </c>
    </row>
    <row r="301" spans="1:14" x14ac:dyDescent="0.3">
      <c r="A301" s="5" t="s">
        <v>236</v>
      </c>
      <c r="B301" s="6" t="s">
        <v>25</v>
      </c>
      <c r="C301" s="7">
        <v>45626</v>
      </c>
      <c r="D301" s="6" t="s">
        <v>35</v>
      </c>
      <c r="E301" s="6" t="s">
        <v>36</v>
      </c>
      <c r="F301" s="8">
        <v>2509</v>
      </c>
      <c r="G301" s="8">
        <v>324</v>
      </c>
      <c r="H301" s="8">
        <v>171</v>
      </c>
      <c r="I301" s="8">
        <v>35126</v>
      </c>
      <c r="J301" s="8">
        <v>34685</v>
      </c>
      <c r="K301" s="8">
        <v>277</v>
      </c>
      <c r="L301" s="9" t="s">
        <v>52</v>
      </c>
      <c r="M301" s="9" t="s">
        <v>23</v>
      </c>
      <c r="N301" s="18">
        <f t="shared" si="4"/>
        <v>8.6608043822978237E-2</v>
      </c>
    </row>
    <row r="302" spans="1:14" x14ac:dyDescent="0.3">
      <c r="A302" s="5" t="s">
        <v>237</v>
      </c>
      <c r="B302" s="6" t="s">
        <v>34</v>
      </c>
      <c r="C302" s="7">
        <v>45754</v>
      </c>
      <c r="D302" s="6" t="s">
        <v>15</v>
      </c>
      <c r="E302" s="6" t="s">
        <v>16</v>
      </c>
      <c r="F302" s="8">
        <v>3718</v>
      </c>
      <c r="G302" s="8">
        <v>385</v>
      </c>
      <c r="H302" s="8">
        <v>310</v>
      </c>
      <c r="I302" s="8">
        <v>70642</v>
      </c>
      <c r="J302" s="8">
        <v>69749</v>
      </c>
      <c r="K302" s="8">
        <v>233</v>
      </c>
      <c r="L302" s="9" t="s">
        <v>37</v>
      </c>
      <c r="M302" s="9" t="s">
        <v>18</v>
      </c>
      <c r="N302" s="18">
        <f t="shared" si="4"/>
        <v>6.3269724297122534E-2</v>
      </c>
    </row>
    <row r="303" spans="1:14" x14ac:dyDescent="0.3">
      <c r="A303" s="5" t="s">
        <v>238</v>
      </c>
      <c r="B303" s="6" t="s">
        <v>14</v>
      </c>
      <c r="C303" s="7">
        <v>45672</v>
      </c>
      <c r="D303" s="6" t="s">
        <v>15</v>
      </c>
      <c r="E303" s="6" t="s">
        <v>16</v>
      </c>
      <c r="F303" s="8">
        <v>802</v>
      </c>
      <c r="G303" s="8">
        <v>262</v>
      </c>
      <c r="H303" s="8">
        <v>244</v>
      </c>
      <c r="I303" s="8">
        <v>14436</v>
      </c>
      <c r="J303" s="8">
        <v>14280</v>
      </c>
      <c r="K303" s="8">
        <v>49</v>
      </c>
      <c r="L303" s="9" t="s">
        <v>17</v>
      </c>
      <c r="M303" s="9" t="s">
        <v>44</v>
      </c>
      <c r="N303" s="18">
        <f t="shared" si="4"/>
        <v>9.1596638655462179E-2</v>
      </c>
    </row>
    <row r="304" spans="1:14" x14ac:dyDescent="0.3">
      <c r="A304" s="5" t="s">
        <v>238</v>
      </c>
      <c r="B304" s="6" t="s">
        <v>14</v>
      </c>
      <c r="C304" s="7">
        <v>45672</v>
      </c>
      <c r="D304" s="6" t="s">
        <v>15</v>
      </c>
      <c r="E304" s="6" t="s">
        <v>16</v>
      </c>
      <c r="F304" s="8">
        <v>802</v>
      </c>
      <c r="G304" s="8">
        <v>262</v>
      </c>
      <c r="H304" s="8">
        <v>244</v>
      </c>
      <c r="I304" s="8">
        <v>14436</v>
      </c>
      <c r="J304" s="8">
        <v>14280</v>
      </c>
      <c r="K304" s="8">
        <v>49</v>
      </c>
      <c r="L304" s="9" t="s">
        <v>52</v>
      </c>
      <c r="M304" s="9" t="s">
        <v>44</v>
      </c>
      <c r="N304" s="18">
        <f t="shared" si="4"/>
        <v>9.1596638655462179E-2</v>
      </c>
    </row>
    <row r="305" spans="1:14" x14ac:dyDescent="0.3">
      <c r="A305" s="5" t="s">
        <v>239</v>
      </c>
      <c r="B305" s="6" t="s">
        <v>34</v>
      </c>
      <c r="C305" s="7">
        <v>45445</v>
      </c>
      <c r="D305" s="6" t="s">
        <v>40</v>
      </c>
      <c r="E305" s="6" t="s">
        <v>41</v>
      </c>
      <c r="F305" s="8">
        <v>1871</v>
      </c>
      <c r="G305" s="8">
        <v>252</v>
      </c>
      <c r="H305" s="8">
        <v>335</v>
      </c>
      <c r="I305" s="8">
        <v>29936</v>
      </c>
      <c r="J305" s="8">
        <v>29576</v>
      </c>
      <c r="K305" s="8">
        <v>288</v>
      </c>
      <c r="L305" s="9" t="s">
        <v>37</v>
      </c>
      <c r="M305" s="9" t="s">
        <v>23</v>
      </c>
      <c r="N305" s="18">
        <f t="shared" si="4"/>
        <v>8.3107925344874226E-2</v>
      </c>
    </row>
    <row r="306" spans="1:14" x14ac:dyDescent="0.3">
      <c r="A306" s="5" t="s">
        <v>240</v>
      </c>
      <c r="B306" s="6" t="s">
        <v>27</v>
      </c>
      <c r="C306" s="7">
        <v>45617</v>
      </c>
      <c r="D306" s="6" t="s">
        <v>35</v>
      </c>
      <c r="E306" s="6" t="s">
        <v>36</v>
      </c>
      <c r="F306" s="8">
        <v>3773</v>
      </c>
      <c r="G306" s="8">
        <v>299</v>
      </c>
      <c r="H306" s="8">
        <v>38</v>
      </c>
      <c r="I306" s="8">
        <v>71687</v>
      </c>
      <c r="J306" s="8">
        <v>71447</v>
      </c>
      <c r="K306" s="8">
        <v>286</v>
      </c>
      <c r="L306" s="9" t="s">
        <v>37</v>
      </c>
      <c r="M306" s="9" t="s">
        <v>44</v>
      </c>
      <c r="N306" s="18">
        <f t="shared" si="4"/>
        <v>5.7525158509104654E-2</v>
      </c>
    </row>
    <row r="307" spans="1:14" x14ac:dyDescent="0.3">
      <c r="A307" s="5" t="s">
        <v>241</v>
      </c>
      <c r="B307" s="6" t="s">
        <v>27</v>
      </c>
      <c r="C307" s="7">
        <v>45658</v>
      </c>
      <c r="D307" s="6" t="s">
        <v>35</v>
      </c>
      <c r="E307" s="6" t="s">
        <v>36</v>
      </c>
      <c r="F307" s="8">
        <v>2234</v>
      </c>
      <c r="G307" s="8">
        <v>653</v>
      </c>
      <c r="H307" s="8">
        <v>432</v>
      </c>
      <c r="I307" s="8">
        <v>11170</v>
      </c>
      <c r="J307" s="8">
        <v>10569</v>
      </c>
      <c r="K307" s="8">
        <v>198</v>
      </c>
      <c r="L307" s="9" t="s">
        <v>52</v>
      </c>
      <c r="M307" s="9" t="s">
        <v>44</v>
      </c>
      <c r="N307" s="18">
        <f t="shared" si="4"/>
        <v>0.31403160185448009</v>
      </c>
    </row>
    <row r="308" spans="1:14" x14ac:dyDescent="0.3">
      <c r="A308" s="5" t="s">
        <v>241</v>
      </c>
      <c r="B308" s="6" t="s">
        <v>27</v>
      </c>
      <c r="C308" s="7">
        <v>45658</v>
      </c>
      <c r="D308" s="6" t="s">
        <v>35</v>
      </c>
      <c r="E308" s="6" t="s">
        <v>36</v>
      </c>
      <c r="F308" s="8">
        <v>2234</v>
      </c>
      <c r="G308" s="8">
        <v>653</v>
      </c>
      <c r="H308" s="8">
        <v>432</v>
      </c>
      <c r="I308" s="8">
        <v>11170</v>
      </c>
      <c r="J308" s="8">
        <v>10569</v>
      </c>
      <c r="K308" s="8">
        <v>198</v>
      </c>
      <c r="L308" s="9" t="s">
        <v>31</v>
      </c>
      <c r="M308" s="9" t="s">
        <v>44</v>
      </c>
      <c r="N308" s="18">
        <f t="shared" si="4"/>
        <v>0.31403160185448009</v>
      </c>
    </row>
    <row r="309" spans="1:14" x14ac:dyDescent="0.3">
      <c r="A309" s="5" t="s">
        <v>242</v>
      </c>
      <c r="B309" s="6" t="s">
        <v>14</v>
      </c>
      <c r="C309" s="7">
        <v>45771</v>
      </c>
      <c r="D309" s="6" t="s">
        <v>50</v>
      </c>
      <c r="E309" s="6" t="s">
        <v>51</v>
      </c>
      <c r="F309" s="8">
        <v>3820</v>
      </c>
      <c r="G309" s="8">
        <v>697</v>
      </c>
      <c r="H309" s="8">
        <v>268</v>
      </c>
      <c r="I309" s="8">
        <v>45840</v>
      </c>
      <c r="J309" s="8">
        <v>45631</v>
      </c>
      <c r="K309" s="8">
        <v>171</v>
      </c>
      <c r="L309" s="9" t="s">
        <v>31</v>
      </c>
      <c r="M309" s="9" t="s">
        <v>18</v>
      </c>
      <c r="N309" s="18">
        <f t="shared" si="4"/>
        <v>0.10486292213626701</v>
      </c>
    </row>
    <row r="310" spans="1:14" x14ac:dyDescent="0.3">
      <c r="A310" s="5" t="s">
        <v>242</v>
      </c>
      <c r="B310" s="6" t="s">
        <v>14</v>
      </c>
      <c r="C310" s="7">
        <v>45771</v>
      </c>
      <c r="D310" s="6" t="s">
        <v>50</v>
      </c>
      <c r="E310" s="6" t="s">
        <v>51</v>
      </c>
      <c r="F310" s="8">
        <v>3820</v>
      </c>
      <c r="G310" s="8">
        <v>697</v>
      </c>
      <c r="H310" s="8">
        <v>268</v>
      </c>
      <c r="I310" s="8">
        <v>45840</v>
      </c>
      <c r="J310" s="8">
        <v>45631</v>
      </c>
      <c r="K310" s="8">
        <v>171</v>
      </c>
      <c r="L310" s="9" t="s">
        <v>52</v>
      </c>
      <c r="M310" s="9" t="s">
        <v>18</v>
      </c>
      <c r="N310" s="18">
        <f t="shared" si="4"/>
        <v>0.10486292213626701</v>
      </c>
    </row>
    <row r="311" spans="1:14" x14ac:dyDescent="0.3">
      <c r="A311" s="5" t="s">
        <v>243</v>
      </c>
      <c r="B311" s="6" t="s">
        <v>14</v>
      </c>
      <c r="C311" s="7">
        <v>45467</v>
      </c>
      <c r="D311" s="6" t="s">
        <v>20</v>
      </c>
      <c r="E311" s="6" t="s">
        <v>21</v>
      </c>
      <c r="F311" s="8">
        <v>941</v>
      </c>
      <c r="G311" s="8">
        <v>121</v>
      </c>
      <c r="H311" s="8">
        <v>458</v>
      </c>
      <c r="I311" s="8">
        <v>14115</v>
      </c>
      <c r="J311" s="8">
        <v>13838</v>
      </c>
      <c r="K311" s="8">
        <v>87</v>
      </c>
      <c r="L311" s="9" t="s">
        <v>22</v>
      </c>
      <c r="M311" s="9" t="s">
        <v>23</v>
      </c>
      <c r="N311" s="18">
        <f t="shared" si="4"/>
        <v>0.10984246278363925</v>
      </c>
    </row>
    <row r="312" spans="1:14" x14ac:dyDescent="0.3">
      <c r="A312" s="5" t="s">
        <v>243</v>
      </c>
      <c r="B312" s="6" t="s">
        <v>14</v>
      </c>
      <c r="C312" s="7">
        <v>45467</v>
      </c>
      <c r="D312" s="6" t="s">
        <v>20</v>
      </c>
      <c r="E312" s="6" t="s">
        <v>21</v>
      </c>
      <c r="F312" s="8">
        <v>941</v>
      </c>
      <c r="G312" s="8">
        <v>121</v>
      </c>
      <c r="H312" s="8">
        <v>458</v>
      </c>
      <c r="I312" s="8">
        <v>14115</v>
      </c>
      <c r="J312" s="8">
        <v>13838</v>
      </c>
      <c r="K312" s="8">
        <v>87</v>
      </c>
      <c r="L312" s="9" t="s">
        <v>17</v>
      </c>
      <c r="M312" s="9" t="s">
        <v>23</v>
      </c>
      <c r="N312" s="18">
        <f t="shared" si="4"/>
        <v>0.10984246278363925</v>
      </c>
    </row>
    <row r="313" spans="1:14" x14ac:dyDescent="0.3">
      <c r="A313" s="5" t="s">
        <v>244</v>
      </c>
      <c r="B313" s="6" t="s">
        <v>14</v>
      </c>
      <c r="C313" s="7">
        <v>45655</v>
      </c>
      <c r="D313" s="6" t="s">
        <v>35</v>
      </c>
      <c r="E313" s="6" t="s">
        <v>36</v>
      </c>
      <c r="F313" s="8">
        <v>4274</v>
      </c>
      <c r="G313" s="8">
        <v>340</v>
      </c>
      <c r="H313" s="8">
        <v>281</v>
      </c>
      <c r="I313" s="8">
        <v>34192</v>
      </c>
      <c r="J313" s="8">
        <v>33446</v>
      </c>
      <c r="K313" s="8">
        <v>129</v>
      </c>
      <c r="L313" s="9" t="s">
        <v>31</v>
      </c>
      <c r="M313" s="9" t="s">
        <v>32</v>
      </c>
      <c r="N313" s="18">
        <f t="shared" si="4"/>
        <v>0.14635531902170662</v>
      </c>
    </row>
    <row r="314" spans="1:14" x14ac:dyDescent="0.3">
      <c r="A314" s="5" t="s">
        <v>244</v>
      </c>
      <c r="B314" s="6" t="s">
        <v>14</v>
      </c>
      <c r="C314" s="7">
        <v>45655</v>
      </c>
      <c r="D314" s="6" t="s">
        <v>35</v>
      </c>
      <c r="E314" s="6" t="s">
        <v>36</v>
      </c>
      <c r="F314" s="8">
        <v>4274</v>
      </c>
      <c r="G314" s="8">
        <v>340</v>
      </c>
      <c r="H314" s="8">
        <v>281</v>
      </c>
      <c r="I314" s="8">
        <v>34192</v>
      </c>
      <c r="J314" s="8">
        <v>33446</v>
      </c>
      <c r="K314" s="8">
        <v>129</v>
      </c>
      <c r="L314" s="9" t="s">
        <v>52</v>
      </c>
      <c r="M314" s="9" t="s">
        <v>32</v>
      </c>
      <c r="N314" s="18">
        <f t="shared" si="4"/>
        <v>0.14635531902170662</v>
      </c>
    </row>
    <row r="315" spans="1:14" x14ac:dyDescent="0.3">
      <c r="A315" s="5" t="s">
        <v>245</v>
      </c>
      <c r="B315" s="6" t="s">
        <v>25</v>
      </c>
      <c r="C315" s="7">
        <v>45467</v>
      </c>
      <c r="D315" s="6" t="s">
        <v>50</v>
      </c>
      <c r="E315" s="6" t="s">
        <v>51</v>
      </c>
      <c r="F315" s="8">
        <v>2949</v>
      </c>
      <c r="G315" s="8">
        <v>476</v>
      </c>
      <c r="H315" s="8">
        <v>403</v>
      </c>
      <c r="I315" s="8">
        <v>44235</v>
      </c>
      <c r="J315" s="8">
        <v>43705</v>
      </c>
      <c r="K315" s="8">
        <v>135</v>
      </c>
      <c r="L315" s="9" t="s">
        <v>37</v>
      </c>
      <c r="M315" s="9" t="s">
        <v>18</v>
      </c>
      <c r="N315" s="18">
        <f t="shared" si="4"/>
        <v>8.7587232582084423E-2</v>
      </c>
    </row>
    <row r="316" spans="1:14" x14ac:dyDescent="0.3">
      <c r="A316" s="5" t="s">
        <v>245</v>
      </c>
      <c r="B316" s="6" t="s">
        <v>25</v>
      </c>
      <c r="C316" s="7">
        <v>45467</v>
      </c>
      <c r="D316" s="6" t="s">
        <v>50</v>
      </c>
      <c r="E316" s="6" t="s">
        <v>51</v>
      </c>
      <c r="F316" s="8">
        <v>2949</v>
      </c>
      <c r="G316" s="8">
        <v>476</v>
      </c>
      <c r="H316" s="8">
        <v>403</v>
      </c>
      <c r="I316" s="8">
        <v>44235</v>
      </c>
      <c r="J316" s="8">
        <v>43705</v>
      </c>
      <c r="K316" s="8">
        <v>135</v>
      </c>
      <c r="L316" s="9" t="s">
        <v>52</v>
      </c>
      <c r="M316" s="9" t="s">
        <v>18</v>
      </c>
      <c r="N316" s="18">
        <f t="shared" si="4"/>
        <v>8.7587232582084423E-2</v>
      </c>
    </row>
    <row r="317" spans="1:14" x14ac:dyDescent="0.3">
      <c r="A317" s="5" t="s">
        <v>246</v>
      </c>
      <c r="B317" s="6" t="s">
        <v>14</v>
      </c>
      <c r="C317" s="7">
        <v>45735</v>
      </c>
      <c r="D317" s="6" t="s">
        <v>50</v>
      </c>
      <c r="E317" s="6" t="s">
        <v>51</v>
      </c>
      <c r="F317" s="8">
        <v>3160</v>
      </c>
      <c r="G317" s="8">
        <v>204</v>
      </c>
      <c r="H317" s="8">
        <v>297</v>
      </c>
      <c r="I317" s="8">
        <v>44240</v>
      </c>
      <c r="J317" s="8">
        <v>43666</v>
      </c>
      <c r="K317" s="8">
        <v>49</v>
      </c>
      <c r="L317" s="9" t="s">
        <v>31</v>
      </c>
      <c r="M317" s="9" t="s">
        <v>18</v>
      </c>
      <c r="N317" s="18">
        <f t="shared" si="4"/>
        <v>8.3840974671369028E-2</v>
      </c>
    </row>
    <row r="318" spans="1:14" x14ac:dyDescent="0.3">
      <c r="A318" s="5" t="s">
        <v>246</v>
      </c>
      <c r="B318" s="6" t="s">
        <v>14</v>
      </c>
      <c r="C318" s="7">
        <v>45735</v>
      </c>
      <c r="D318" s="6" t="s">
        <v>50</v>
      </c>
      <c r="E318" s="6" t="s">
        <v>51</v>
      </c>
      <c r="F318" s="8">
        <v>3160</v>
      </c>
      <c r="G318" s="8">
        <v>204</v>
      </c>
      <c r="H318" s="8">
        <v>297</v>
      </c>
      <c r="I318" s="8">
        <v>44240</v>
      </c>
      <c r="J318" s="8">
        <v>43666</v>
      </c>
      <c r="K318" s="8">
        <v>49</v>
      </c>
      <c r="L318" s="9" t="s">
        <v>37</v>
      </c>
      <c r="M318" s="9" t="s">
        <v>18</v>
      </c>
      <c r="N318" s="18">
        <f t="shared" si="4"/>
        <v>8.3840974671369028E-2</v>
      </c>
    </row>
    <row r="319" spans="1:14" x14ac:dyDescent="0.3">
      <c r="A319" s="5" t="s">
        <v>247</v>
      </c>
      <c r="B319" s="6" t="s">
        <v>25</v>
      </c>
      <c r="C319" s="7">
        <v>45707</v>
      </c>
      <c r="D319" s="6" t="s">
        <v>40</v>
      </c>
      <c r="E319" s="6" t="s">
        <v>41</v>
      </c>
      <c r="F319" s="8">
        <v>257</v>
      </c>
      <c r="G319" s="8">
        <v>966</v>
      </c>
      <c r="H319" s="8">
        <v>398</v>
      </c>
      <c r="I319" s="8">
        <v>3341</v>
      </c>
      <c r="J319" s="8">
        <v>2753</v>
      </c>
      <c r="K319" s="8">
        <v>287</v>
      </c>
      <c r="L319" s="9" t="s">
        <v>37</v>
      </c>
      <c r="M319" s="9" t="s">
        <v>18</v>
      </c>
      <c r="N319" s="18">
        <f t="shared" si="4"/>
        <v>0.58881220486741737</v>
      </c>
    </row>
    <row r="320" spans="1:14" x14ac:dyDescent="0.3">
      <c r="A320" s="5" t="s">
        <v>247</v>
      </c>
      <c r="B320" s="6" t="s">
        <v>25</v>
      </c>
      <c r="C320" s="7">
        <v>45707</v>
      </c>
      <c r="D320" s="6" t="s">
        <v>40</v>
      </c>
      <c r="E320" s="6" t="s">
        <v>41</v>
      </c>
      <c r="F320" s="8">
        <v>257</v>
      </c>
      <c r="G320" s="8">
        <v>966</v>
      </c>
      <c r="H320" s="8">
        <v>398</v>
      </c>
      <c r="I320" s="8">
        <v>3341</v>
      </c>
      <c r="J320" s="8">
        <v>2753</v>
      </c>
      <c r="K320" s="8">
        <v>287</v>
      </c>
      <c r="L320" s="9" t="s">
        <v>17</v>
      </c>
      <c r="M320" s="9" t="s">
        <v>18</v>
      </c>
      <c r="N320" s="18">
        <f t="shared" si="4"/>
        <v>0.58881220486741737</v>
      </c>
    </row>
    <row r="321" spans="1:14" x14ac:dyDescent="0.3">
      <c r="A321" s="5" t="s">
        <v>248</v>
      </c>
      <c r="B321" s="6" t="s">
        <v>14</v>
      </c>
      <c r="C321" s="7">
        <v>45491</v>
      </c>
      <c r="D321" s="6" t="s">
        <v>35</v>
      </c>
      <c r="E321" s="6" t="s">
        <v>36</v>
      </c>
      <c r="F321" s="8">
        <v>2120</v>
      </c>
      <c r="G321" s="8">
        <v>38</v>
      </c>
      <c r="H321" s="8">
        <v>212</v>
      </c>
      <c r="I321" s="8">
        <v>12720</v>
      </c>
      <c r="J321" s="8">
        <v>12564</v>
      </c>
      <c r="K321" s="8">
        <v>21</v>
      </c>
      <c r="L321" s="9" t="s">
        <v>37</v>
      </c>
      <c r="M321" s="9" t="s">
        <v>18</v>
      </c>
      <c r="N321" s="18">
        <f t="shared" si="4"/>
        <v>0.18863419293218719</v>
      </c>
    </row>
    <row r="322" spans="1:14" x14ac:dyDescent="0.3">
      <c r="A322" s="5" t="s">
        <v>248</v>
      </c>
      <c r="B322" s="6" t="s">
        <v>14</v>
      </c>
      <c r="C322" s="7">
        <v>45491</v>
      </c>
      <c r="D322" s="6" t="s">
        <v>35</v>
      </c>
      <c r="E322" s="6" t="s">
        <v>36</v>
      </c>
      <c r="F322" s="8">
        <v>2120</v>
      </c>
      <c r="G322" s="8">
        <v>38</v>
      </c>
      <c r="H322" s="8">
        <v>212</v>
      </c>
      <c r="I322" s="8">
        <v>12720</v>
      </c>
      <c r="J322" s="8">
        <v>12564</v>
      </c>
      <c r="K322" s="8">
        <v>21</v>
      </c>
      <c r="L322" s="9" t="s">
        <v>17</v>
      </c>
      <c r="M322" s="9" t="s">
        <v>18</v>
      </c>
      <c r="N322" s="18">
        <f t="shared" si="4"/>
        <v>0.18863419293218719</v>
      </c>
    </row>
    <row r="323" spans="1:14" x14ac:dyDescent="0.3">
      <c r="A323" s="5" t="s">
        <v>249</v>
      </c>
      <c r="B323" s="6" t="s">
        <v>25</v>
      </c>
      <c r="C323" s="7">
        <v>45719</v>
      </c>
      <c r="D323" s="6" t="s">
        <v>50</v>
      </c>
      <c r="E323" s="6" t="s">
        <v>51</v>
      </c>
      <c r="F323" s="8">
        <v>3874</v>
      </c>
      <c r="G323" s="8">
        <v>884</v>
      </c>
      <c r="H323" s="8">
        <v>19</v>
      </c>
      <c r="I323" s="8">
        <v>38740</v>
      </c>
      <c r="J323" s="8">
        <v>38552</v>
      </c>
      <c r="K323" s="8">
        <v>219</v>
      </c>
      <c r="L323" s="9" t="s">
        <v>31</v>
      </c>
      <c r="M323" s="9" t="s">
        <v>44</v>
      </c>
      <c r="N323" s="18">
        <f t="shared" ref="N323:N386" si="5">SUM(F323,G323,H323)/J323</f>
        <v>0.12391056235733555</v>
      </c>
    </row>
    <row r="324" spans="1:14" x14ac:dyDescent="0.3">
      <c r="A324" s="5" t="s">
        <v>250</v>
      </c>
      <c r="B324" s="6" t="s">
        <v>34</v>
      </c>
      <c r="C324" s="7">
        <v>45778</v>
      </c>
      <c r="D324" s="6" t="s">
        <v>35</v>
      </c>
      <c r="E324" s="6" t="s">
        <v>36</v>
      </c>
      <c r="F324" s="8">
        <v>2696</v>
      </c>
      <c r="G324" s="8">
        <v>628</v>
      </c>
      <c r="H324" s="8">
        <v>443</v>
      </c>
      <c r="I324" s="8">
        <v>45832</v>
      </c>
      <c r="J324" s="8">
        <v>45632</v>
      </c>
      <c r="K324" s="8">
        <v>248</v>
      </c>
      <c r="L324" s="9" t="s">
        <v>17</v>
      </c>
      <c r="M324" s="9" t="s">
        <v>32</v>
      </c>
      <c r="N324" s="18">
        <f t="shared" si="5"/>
        <v>8.2551718092566617E-2</v>
      </c>
    </row>
    <row r="325" spans="1:14" x14ac:dyDescent="0.3">
      <c r="A325" s="5" t="s">
        <v>251</v>
      </c>
      <c r="B325" s="6" t="s">
        <v>27</v>
      </c>
      <c r="C325" s="7">
        <v>45649</v>
      </c>
      <c r="D325" s="6" t="s">
        <v>40</v>
      </c>
      <c r="E325" s="6" t="s">
        <v>41</v>
      </c>
      <c r="F325" s="8">
        <v>521</v>
      </c>
      <c r="G325" s="8">
        <v>746</v>
      </c>
      <c r="H325" s="8">
        <v>315</v>
      </c>
      <c r="I325" s="8">
        <v>4168</v>
      </c>
      <c r="J325" s="8">
        <v>3399</v>
      </c>
      <c r="K325" s="8">
        <v>282</v>
      </c>
      <c r="L325" s="9" t="s">
        <v>17</v>
      </c>
      <c r="M325" s="9" t="s">
        <v>18</v>
      </c>
      <c r="N325" s="18">
        <f t="shared" si="5"/>
        <v>0.46543100912032953</v>
      </c>
    </row>
    <row r="326" spans="1:14" x14ac:dyDescent="0.3">
      <c r="A326" s="5" t="s">
        <v>252</v>
      </c>
      <c r="B326" s="6" t="s">
        <v>34</v>
      </c>
      <c r="C326" s="7">
        <v>45783</v>
      </c>
      <c r="D326" s="6" t="s">
        <v>40</v>
      </c>
      <c r="E326" s="6" t="s">
        <v>41</v>
      </c>
      <c r="F326" s="8">
        <v>4872</v>
      </c>
      <c r="G326" s="8">
        <v>925</v>
      </c>
      <c r="H326" s="8">
        <v>176</v>
      </c>
      <c r="I326" s="8">
        <v>82824</v>
      </c>
      <c r="J326" s="8">
        <v>82543</v>
      </c>
      <c r="K326" s="8">
        <v>89</v>
      </c>
      <c r="L326" s="9" t="s">
        <v>17</v>
      </c>
      <c r="M326" s="9" t="s">
        <v>18</v>
      </c>
      <c r="N326" s="18">
        <f t="shared" si="5"/>
        <v>7.2362283900512456E-2</v>
      </c>
    </row>
    <row r="327" spans="1:14" x14ac:dyDescent="0.3">
      <c r="A327" s="5" t="s">
        <v>252</v>
      </c>
      <c r="B327" s="6" t="s">
        <v>34</v>
      </c>
      <c r="C327" s="7">
        <v>45783</v>
      </c>
      <c r="D327" s="6" t="s">
        <v>40</v>
      </c>
      <c r="E327" s="6" t="s">
        <v>41</v>
      </c>
      <c r="F327" s="8">
        <v>4872</v>
      </c>
      <c r="G327" s="8">
        <v>925</v>
      </c>
      <c r="H327" s="8">
        <v>176</v>
      </c>
      <c r="I327" s="8">
        <v>82824</v>
      </c>
      <c r="J327" s="8">
        <v>82543</v>
      </c>
      <c r="K327" s="8">
        <v>89</v>
      </c>
      <c r="L327" s="9" t="s">
        <v>37</v>
      </c>
      <c r="M327" s="9" t="s">
        <v>18</v>
      </c>
      <c r="N327" s="18">
        <f t="shared" si="5"/>
        <v>7.2362283900512456E-2</v>
      </c>
    </row>
    <row r="328" spans="1:14" x14ac:dyDescent="0.3">
      <c r="A328" s="5" t="s">
        <v>253</v>
      </c>
      <c r="B328" s="6" t="s">
        <v>25</v>
      </c>
      <c r="C328" s="7">
        <v>45502</v>
      </c>
      <c r="D328" s="6" t="s">
        <v>28</v>
      </c>
      <c r="E328" s="6" t="s">
        <v>29</v>
      </c>
      <c r="F328" s="8">
        <v>1509</v>
      </c>
      <c r="G328" s="8">
        <v>88</v>
      </c>
      <c r="H328" s="8">
        <v>163</v>
      </c>
      <c r="I328" s="8">
        <v>30180</v>
      </c>
      <c r="J328" s="8">
        <v>29689</v>
      </c>
      <c r="K328" s="8">
        <v>119</v>
      </c>
      <c r="L328" s="9" t="s">
        <v>37</v>
      </c>
      <c r="M328" s="9" t="s">
        <v>18</v>
      </c>
      <c r="N328" s="18">
        <f t="shared" si="5"/>
        <v>5.928121526491293E-2</v>
      </c>
    </row>
    <row r="329" spans="1:14" x14ac:dyDescent="0.3">
      <c r="A329" s="5" t="s">
        <v>254</v>
      </c>
      <c r="B329" s="6" t="s">
        <v>34</v>
      </c>
      <c r="C329" s="7">
        <v>45629</v>
      </c>
      <c r="D329" s="6" t="s">
        <v>40</v>
      </c>
      <c r="E329" s="6" t="s">
        <v>41</v>
      </c>
      <c r="F329" s="8">
        <v>4606</v>
      </c>
      <c r="G329" s="8">
        <v>931</v>
      </c>
      <c r="H329" s="8">
        <v>230</v>
      </c>
      <c r="I329" s="8">
        <v>92120</v>
      </c>
      <c r="J329" s="8">
        <v>91440</v>
      </c>
      <c r="K329" s="8">
        <v>56</v>
      </c>
      <c r="L329" s="9" t="s">
        <v>52</v>
      </c>
      <c r="M329" s="9" t="s">
        <v>32</v>
      </c>
      <c r="N329" s="18">
        <f t="shared" si="5"/>
        <v>6.3068678915135609E-2</v>
      </c>
    </row>
    <row r="330" spans="1:14" x14ac:dyDescent="0.3">
      <c r="A330" s="5" t="s">
        <v>254</v>
      </c>
      <c r="B330" s="6" t="s">
        <v>34</v>
      </c>
      <c r="C330" s="7">
        <v>45629</v>
      </c>
      <c r="D330" s="6" t="s">
        <v>40</v>
      </c>
      <c r="E330" s="6" t="s">
        <v>41</v>
      </c>
      <c r="F330" s="8">
        <v>4606</v>
      </c>
      <c r="G330" s="8">
        <v>931</v>
      </c>
      <c r="H330" s="8">
        <v>230</v>
      </c>
      <c r="I330" s="8">
        <v>92120</v>
      </c>
      <c r="J330" s="8">
        <v>91440</v>
      </c>
      <c r="K330" s="8">
        <v>56</v>
      </c>
      <c r="L330" s="9" t="s">
        <v>22</v>
      </c>
      <c r="M330" s="9" t="s">
        <v>32</v>
      </c>
      <c r="N330" s="18">
        <f t="shared" si="5"/>
        <v>6.3068678915135609E-2</v>
      </c>
    </row>
    <row r="331" spans="1:14" x14ac:dyDescent="0.3">
      <c r="A331" s="5" t="s">
        <v>255</v>
      </c>
      <c r="B331" s="6" t="s">
        <v>34</v>
      </c>
      <c r="C331" s="7">
        <v>45454</v>
      </c>
      <c r="D331" s="6" t="s">
        <v>35</v>
      </c>
      <c r="E331" s="6" t="s">
        <v>36</v>
      </c>
      <c r="F331" s="8">
        <v>1869</v>
      </c>
      <c r="G331" s="8">
        <v>453</v>
      </c>
      <c r="H331" s="8">
        <v>490</v>
      </c>
      <c r="I331" s="8">
        <v>14952</v>
      </c>
      <c r="J331" s="8">
        <v>14309</v>
      </c>
      <c r="K331" s="8">
        <v>275</v>
      </c>
      <c r="L331" s="9" t="s">
        <v>52</v>
      </c>
      <c r="M331" s="9" t="s">
        <v>18</v>
      </c>
      <c r="N331" s="18">
        <f t="shared" si="5"/>
        <v>0.19651967293311901</v>
      </c>
    </row>
    <row r="332" spans="1:14" x14ac:dyDescent="0.3">
      <c r="A332" s="5" t="s">
        <v>255</v>
      </c>
      <c r="B332" s="6" t="s">
        <v>34</v>
      </c>
      <c r="C332" s="7">
        <v>45454</v>
      </c>
      <c r="D332" s="6" t="s">
        <v>35</v>
      </c>
      <c r="E332" s="6" t="s">
        <v>36</v>
      </c>
      <c r="F332" s="8">
        <v>1869</v>
      </c>
      <c r="G332" s="8">
        <v>453</v>
      </c>
      <c r="H332" s="8">
        <v>490</v>
      </c>
      <c r="I332" s="8">
        <v>14952</v>
      </c>
      <c r="J332" s="8">
        <v>14309</v>
      </c>
      <c r="K332" s="8">
        <v>275</v>
      </c>
      <c r="L332" s="9" t="s">
        <v>31</v>
      </c>
      <c r="M332" s="9" t="s">
        <v>18</v>
      </c>
      <c r="N332" s="18">
        <f t="shared" si="5"/>
        <v>0.19651967293311901</v>
      </c>
    </row>
    <row r="333" spans="1:14" x14ac:dyDescent="0.3">
      <c r="A333" s="5" t="s">
        <v>256</v>
      </c>
      <c r="B333" s="6" t="s">
        <v>14</v>
      </c>
      <c r="C333" s="7">
        <v>45685</v>
      </c>
      <c r="D333" s="6" t="s">
        <v>15</v>
      </c>
      <c r="E333" s="6" t="s">
        <v>16</v>
      </c>
      <c r="F333" s="8">
        <v>1188</v>
      </c>
      <c r="G333" s="8">
        <v>470</v>
      </c>
      <c r="H333" s="8">
        <v>174</v>
      </c>
      <c r="I333" s="8">
        <v>7128</v>
      </c>
      <c r="J333" s="8">
        <v>6145</v>
      </c>
      <c r="K333" s="8">
        <v>270</v>
      </c>
      <c r="L333" s="9" t="s">
        <v>31</v>
      </c>
      <c r="M333" s="9" t="s">
        <v>23</v>
      </c>
      <c r="N333" s="18">
        <f t="shared" si="5"/>
        <v>0.29812855980471931</v>
      </c>
    </row>
    <row r="334" spans="1:14" x14ac:dyDescent="0.3">
      <c r="A334" s="5" t="s">
        <v>256</v>
      </c>
      <c r="B334" s="6" t="s">
        <v>14</v>
      </c>
      <c r="C334" s="7">
        <v>45685</v>
      </c>
      <c r="D334" s="6" t="s">
        <v>15</v>
      </c>
      <c r="E334" s="6" t="s">
        <v>16</v>
      </c>
      <c r="F334" s="8">
        <v>1188</v>
      </c>
      <c r="G334" s="8">
        <v>470</v>
      </c>
      <c r="H334" s="8">
        <v>174</v>
      </c>
      <c r="I334" s="8">
        <v>7128</v>
      </c>
      <c r="J334" s="8">
        <v>6145</v>
      </c>
      <c r="K334" s="8">
        <v>270</v>
      </c>
      <c r="L334" s="9" t="s">
        <v>22</v>
      </c>
      <c r="M334" s="9" t="s">
        <v>23</v>
      </c>
      <c r="N334" s="18">
        <f t="shared" si="5"/>
        <v>0.29812855980471931</v>
      </c>
    </row>
    <row r="335" spans="1:14" x14ac:dyDescent="0.3">
      <c r="A335" s="5" t="s">
        <v>257</v>
      </c>
      <c r="B335" s="6" t="s">
        <v>27</v>
      </c>
      <c r="C335" s="7">
        <v>45445</v>
      </c>
      <c r="D335" s="6" t="s">
        <v>28</v>
      </c>
      <c r="E335" s="6" t="s">
        <v>29</v>
      </c>
      <c r="F335" s="8">
        <v>84</v>
      </c>
      <c r="G335" s="8">
        <v>897</v>
      </c>
      <c r="H335" s="8">
        <v>85</v>
      </c>
      <c r="I335" s="8">
        <v>588</v>
      </c>
      <c r="J335" s="8">
        <v>8</v>
      </c>
      <c r="K335" s="8">
        <v>12</v>
      </c>
      <c r="L335" s="9" t="s">
        <v>31</v>
      </c>
      <c r="M335" s="9" t="s">
        <v>23</v>
      </c>
      <c r="N335" s="18">
        <f t="shared" si="5"/>
        <v>133.25</v>
      </c>
    </row>
    <row r="336" spans="1:14" x14ac:dyDescent="0.3">
      <c r="A336" s="5" t="s">
        <v>258</v>
      </c>
      <c r="B336" s="6" t="s">
        <v>34</v>
      </c>
      <c r="C336" s="7">
        <v>45739</v>
      </c>
      <c r="D336" s="6" t="s">
        <v>50</v>
      </c>
      <c r="E336" s="6" t="s">
        <v>51</v>
      </c>
      <c r="F336" s="8">
        <v>4453</v>
      </c>
      <c r="G336" s="8">
        <v>111</v>
      </c>
      <c r="H336" s="8">
        <v>420</v>
      </c>
      <c r="I336" s="8">
        <v>31171</v>
      </c>
      <c r="J336" s="8">
        <v>30565</v>
      </c>
      <c r="K336" s="8">
        <v>23</v>
      </c>
      <c r="L336" s="9" t="s">
        <v>37</v>
      </c>
      <c r="M336" s="9" t="s">
        <v>44</v>
      </c>
      <c r="N336" s="18">
        <f t="shared" si="5"/>
        <v>0.1630623261900867</v>
      </c>
    </row>
    <row r="337" spans="1:14" x14ac:dyDescent="0.3">
      <c r="A337" s="5" t="s">
        <v>258</v>
      </c>
      <c r="B337" s="6" t="s">
        <v>34</v>
      </c>
      <c r="C337" s="7">
        <v>45739</v>
      </c>
      <c r="D337" s="6" t="s">
        <v>50</v>
      </c>
      <c r="E337" s="6" t="s">
        <v>51</v>
      </c>
      <c r="F337" s="8">
        <v>4453</v>
      </c>
      <c r="G337" s="8">
        <v>111</v>
      </c>
      <c r="H337" s="8">
        <v>420</v>
      </c>
      <c r="I337" s="8">
        <v>31171</v>
      </c>
      <c r="J337" s="8">
        <v>30565</v>
      </c>
      <c r="K337" s="8">
        <v>23</v>
      </c>
      <c r="L337" s="9" t="s">
        <v>22</v>
      </c>
      <c r="M337" s="9" t="s">
        <v>44</v>
      </c>
      <c r="N337" s="18">
        <f t="shared" si="5"/>
        <v>0.1630623261900867</v>
      </c>
    </row>
    <row r="338" spans="1:14" x14ac:dyDescent="0.3">
      <c r="A338" s="5" t="s">
        <v>259</v>
      </c>
      <c r="B338" s="6" t="s">
        <v>34</v>
      </c>
      <c r="C338" s="7">
        <v>45573</v>
      </c>
      <c r="D338" s="6" t="s">
        <v>15</v>
      </c>
      <c r="E338" s="6" t="s">
        <v>16</v>
      </c>
      <c r="F338" s="8">
        <v>1814</v>
      </c>
      <c r="G338" s="8">
        <v>653</v>
      </c>
      <c r="H338" s="8">
        <v>363</v>
      </c>
      <c r="I338" s="8">
        <v>25396</v>
      </c>
      <c r="J338" s="8">
        <v>25286</v>
      </c>
      <c r="K338" s="8">
        <v>39</v>
      </c>
      <c r="L338" s="9" t="s">
        <v>31</v>
      </c>
      <c r="M338" s="9" t="s">
        <v>18</v>
      </c>
      <c r="N338" s="18">
        <f t="shared" si="5"/>
        <v>0.11191963932610931</v>
      </c>
    </row>
    <row r="339" spans="1:14" x14ac:dyDescent="0.3">
      <c r="A339" s="5" t="s">
        <v>260</v>
      </c>
      <c r="B339" s="6" t="s">
        <v>14</v>
      </c>
      <c r="C339" s="7">
        <v>45608</v>
      </c>
      <c r="D339" s="6" t="s">
        <v>40</v>
      </c>
      <c r="E339" s="6" t="s">
        <v>41</v>
      </c>
      <c r="F339" s="8">
        <v>3338</v>
      </c>
      <c r="G339" s="8">
        <v>277</v>
      </c>
      <c r="H339" s="8">
        <v>118</v>
      </c>
      <c r="I339" s="8">
        <v>60084</v>
      </c>
      <c r="J339" s="8">
        <v>59842</v>
      </c>
      <c r="K339" s="8">
        <v>252</v>
      </c>
      <c r="L339" s="9" t="s">
        <v>31</v>
      </c>
      <c r="M339" s="9" t="s">
        <v>18</v>
      </c>
      <c r="N339" s="18">
        <f t="shared" si="5"/>
        <v>6.2380936466027208E-2</v>
      </c>
    </row>
    <row r="340" spans="1:14" x14ac:dyDescent="0.3">
      <c r="A340" s="5" t="s">
        <v>261</v>
      </c>
      <c r="B340" s="6" t="s">
        <v>34</v>
      </c>
      <c r="C340" s="7">
        <v>45790</v>
      </c>
      <c r="D340" s="6" t="s">
        <v>40</v>
      </c>
      <c r="E340" s="6" t="s">
        <v>41</v>
      </c>
      <c r="F340" s="8">
        <v>602</v>
      </c>
      <c r="G340" s="8">
        <v>594</v>
      </c>
      <c r="H340" s="8">
        <v>156</v>
      </c>
      <c r="I340" s="8">
        <v>4214</v>
      </c>
      <c r="J340" s="8">
        <v>3363</v>
      </c>
      <c r="K340" s="8">
        <v>164</v>
      </c>
      <c r="L340" s="9" t="s">
        <v>17</v>
      </c>
      <c r="M340" s="9" t="s">
        <v>32</v>
      </c>
      <c r="N340" s="18">
        <f t="shared" si="5"/>
        <v>0.40202200416294975</v>
      </c>
    </row>
    <row r="341" spans="1:14" x14ac:dyDescent="0.3">
      <c r="A341" s="5" t="s">
        <v>262</v>
      </c>
      <c r="B341" s="6" t="s">
        <v>14</v>
      </c>
      <c r="C341" s="7">
        <v>45463</v>
      </c>
      <c r="D341" s="6" t="s">
        <v>35</v>
      </c>
      <c r="E341" s="6" t="s">
        <v>36</v>
      </c>
      <c r="F341" s="8">
        <v>4672</v>
      </c>
      <c r="G341" s="8">
        <v>325</v>
      </c>
      <c r="H341" s="8">
        <v>32</v>
      </c>
      <c r="I341" s="8">
        <v>88768</v>
      </c>
      <c r="J341" s="8">
        <v>87833</v>
      </c>
      <c r="K341" s="8">
        <v>118</v>
      </c>
      <c r="L341" s="9" t="s">
        <v>52</v>
      </c>
      <c r="M341" s="9" t="s">
        <v>32</v>
      </c>
      <c r="N341" s="18">
        <f t="shared" si="5"/>
        <v>5.7256384274703129E-2</v>
      </c>
    </row>
    <row r="342" spans="1:14" x14ac:dyDescent="0.3">
      <c r="A342" s="5" t="s">
        <v>262</v>
      </c>
      <c r="B342" s="6" t="s">
        <v>14</v>
      </c>
      <c r="C342" s="7">
        <v>45463</v>
      </c>
      <c r="D342" s="6" t="s">
        <v>35</v>
      </c>
      <c r="E342" s="6" t="s">
        <v>36</v>
      </c>
      <c r="F342" s="8">
        <v>4672</v>
      </c>
      <c r="G342" s="8">
        <v>325</v>
      </c>
      <c r="H342" s="8">
        <v>32</v>
      </c>
      <c r="I342" s="8">
        <v>88768</v>
      </c>
      <c r="J342" s="8">
        <v>87833</v>
      </c>
      <c r="K342" s="8">
        <v>118</v>
      </c>
      <c r="L342" s="9" t="s">
        <v>17</v>
      </c>
      <c r="M342" s="9" t="s">
        <v>32</v>
      </c>
      <c r="N342" s="18">
        <f t="shared" si="5"/>
        <v>5.7256384274703129E-2</v>
      </c>
    </row>
    <row r="343" spans="1:14" x14ac:dyDescent="0.3">
      <c r="A343" s="5" t="s">
        <v>263</v>
      </c>
      <c r="B343" s="6" t="s">
        <v>27</v>
      </c>
      <c r="C343" s="7">
        <v>45511</v>
      </c>
      <c r="D343" s="6" t="s">
        <v>35</v>
      </c>
      <c r="E343" s="6" t="s">
        <v>36</v>
      </c>
      <c r="F343" s="8">
        <v>1741</v>
      </c>
      <c r="G343" s="8">
        <v>164</v>
      </c>
      <c r="H343" s="8">
        <v>318</v>
      </c>
      <c r="I343" s="8">
        <v>8705</v>
      </c>
      <c r="J343" s="8">
        <v>8272</v>
      </c>
      <c r="K343" s="8">
        <v>121</v>
      </c>
      <c r="L343" s="9" t="s">
        <v>17</v>
      </c>
      <c r="M343" s="9" t="s">
        <v>23</v>
      </c>
      <c r="N343" s="18">
        <f t="shared" si="5"/>
        <v>0.26873791102514505</v>
      </c>
    </row>
    <row r="344" spans="1:14" x14ac:dyDescent="0.3">
      <c r="A344" s="5" t="s">
        <v>264</v>
      </c>
      <c r="B344" s="6" t="s">
        <v>27</v>
      </c>
      <c r="C344" s="7">
        <v>45455</v>
      </c>
      <c r="D344" s="6" t="s">
        <v>20</v>
      </c>
      <c r="E344" s="6" t="s">
        <v>21</v>
      </c>
      <c r="F344" s="8">
        <v>246</v>
      </c>
      <c r="G344" s="8">
        <v>149</v>
      </c>
      <c r="H344" s="8">
        <v>130</v>
      </c>
      <c r="I344" s="8">
        <v>4674</v>
      </c>
      <c r="J344" s="8">
        <v>4390</v>
      </c>
      <c r="K344" s="8">
        <v>217</v>
      </c>
      <c r="L344" s="9" t="s">
        <v>37</v>
      </c>
      <c r="M344" s="9" t="s">
        <v>23</v>
      </c>
      <c r="N344" s="18">
        <f t="shared" si="5"/>
        <v>0.11958997722095673</v>
      </c>
    </row>
    <row r="345" spans="1:14" x14ac:dyDescent="0.3">
      <c r="A345" s="5" t="s">
        <v>264</v>
      </c>
      <c r="B345" s="6" t="s">
        <v>27</v>
      </c>
      <c r="C345" s="7">
        <v>45455</v>
      </c>
      <c r="D345" s="6" t="s">
        <v>20</v>
      </c>
      <c r="E345" s="6" t="s">
        <v>21</v>
      </c>
      <c r="F345" s="8">
        <v>246</v>
      </c>
      <c r="G345" s="8">
        <v>149</v>
      </c>
      <c r="H345" s="8">
        <v>130</v>
      </c>
      <c r="I345" s="8">
        <v>4674</v>
      </c>
      <c r="J345" s="8">
        <v>4390</v>
      </c>
      <c r="K345" s="8">
        <v>217</v>
      </c>
      <c r="L345" s="9" t="s">
        <v>52</v>
      </c>
      <c r="M345" s="9" t="s">
        <v>23</v>
      </c>
      <c r="N345" s="18">
        <f t="shared" si="5"/>
        <v>0.11958997722095673</v>
      </c>
    </row>
    <row r="346" spans="1:14" x14ac:dyDescent="0.3">
      <c r="A346" s="5" t="s">
        <v>265</v>
      </c>
      <c r="B346" s="6" t="s">
        <v>27</v>
      </c>
      <c r="C346" s="7">
        <v>45474</v>
      </c>
      <c r="D346" s="6" t="s">
        <v>28</v>
      </c>
      <c r="E346" s="6" t="s">
        <v>29</v>
      </c>
      <c r="F346" s="8">
        <v>4808</v>
      </c>
      <c r="G346" s="8">
        <v>772</v>
      </c>
      <c r="H346" s="8">
        <v>320</v>
      </c>
      <c r="I346" s="8">
        <v>72120</v>
      </c>
      <c r="J346" s="8">
        <v>71696</v>
      </c>
      <c r="K346" s="8">
        <v>195</v>
      </c>
      <c r="L346" s="9" t="s">
        <v>37</v>
      </c>
      <c r="M346" s="9" t="s">
        <v>44</v>
      </c>
      <c r="N346" s="18">
        <f t="shared" si="5"/>
        <v>8.2291899129658563E-2</v>
      </c>
    </row>
    <row r="347" spans="1:14" x14ac:dyDescent="0.3">
      <c r="A347" s="5" t="s">
        <v>265</v>
      </c>
      <c r="B347" s="6" t="s">
        <v>27</v>
      </c>
      <c r="C347" s="7">
        <v>45474</v>
      </c>
      <c r="D347" s="6" t="s">
        <v>28</v>
      </c>
      <c r="E347" s="6" t="s">
        <v>29</v>
      </c>
      <c r="F347" s="8">
        <v>4808</v>
      </c>
      <c r="G347" s="8">
        <v>772</v>
      </c>
      <c r="H347" s="8">
        <v>320</v>
      </c>
      <c r="I347" s="8">
        <v>72120</v>
      </c>
      <c r="J347" s="8">
        <v>71696</v>
      </c>
      <c r="K347" s="8">
        <v>195</v>
      </c>
      <c r="L347" s="9" t="s">
        <v>17</v>
      </c>
      <c r="M347" s="9" t="s">
        <v>44</v>
      </c>
      <c r="N347" s="18">
        <f t="shared" si="5"/>
        <v>8.2291899129658563E-2</v>
      </c>
    </row>
    <row r="348" spans="1:14" x14ac:dyDescent="0.3">
      <c r="A348" s="5" t="s">
        <v>266</v>
      </c>
      <c r="B348" s="6" t="s">
        <v>27</v>
      </c>
      <c r="C348" s="7">
        <v>45476</v>
      </c>
      <c r="D348" s="6" t="s">
        <v>35</v>
      </c>
      <c r="E348" s="6" t="s">
        <v>36</v>
      </c>
      <c r="F348" s="8">
        <v>4799</v>
      </c>
      <c r="G348" s="8">
        <v>694</v>
      </c>
      <c r="H348" s="8">
        <v>289</v>
      </c>
      <c r="I348" s="8">
        <v>43191</v>
      </c>
      <c r="J348" s="8">
        <v>42228</v>
      </c>
      <c r="K348" s="8">
        <v>118</v>
      </c>
      <c r="L348" s="9" t="s">
        <v>37</v>
      </c>
      <c r="M348" s="9" t="s">
        <v>23</v>
      </c>
      <c r="N348" s="18">
        <f t="shared" si="5"/>
        <v>0.13692336838116889</v>
      </c>
    </row>
    <row r="349" spans="1:14" x14ac:dyDescent="0.3">
      <c r="A349" s="5" t="s">
        <v>267</v>
      </c>
      <c r="B349" s="6" t="s">
        <v>34</v>
      </c>
      <c r="C349" s="7">
        <v>45488</v>
      </c>
      <c r="D349" s="6" t="s">
        <v>15</v>
      </c>
      <c r="E349" s="6" t="s">
        <v>16</v>
      </c>
      <c r="F349" s="8">
        <v>3663</v>
      </c>
      <c r="G349" s="8">
        <v>17</v>
      </c>
      <c r="H349" s="8">
        <v>295</v>
      </c>
      <c r="I349" s="8">
        <v>51282</v>
      </c>
      <c r="J349" s="8">
        <v>50567</v>
      </c>
      <c r="K349" s="8">
        <v>84</v>
      </c>
      <c r="L349" s="9" t="s">
        <v>17</v>
      </c>
      <c r="M349" s="9" t="s">
        <v>18</v>
      </c>
      <c r="N349" s="18">
        <f t="shared" si="5"/>
        <v>7.8608578717345307E-2</v>
      </c>
    </row>
    <row r="350" spans="1:14" x14ac:dyDescent="0.3">
      <c r="A350" s="5" t="s">
        <v>268</v>
      </c>
      <c r="B350" s="6" t="s">
        <v>27</v>
      </c>
      <c r="C350" s="7">
        <v>45778</v>
      </c>
      <c r="D350" s="6" t="s">
        <v>20</v>
      </c>
      <c r="E350" s="6" t="s">
        <v>21</v>
      </c>
      <c r="F350" s="8">
        <v>1430</v>
      </c>
      <c r="G350" s="8">
        <v>376</v>
      </c>
      <c r="H350" s="8">
        <v>33</v>
      </c>
      <c r="I350" s="8">
        <v>21450</v>
      </c>
      <c r="J350" s="8">
        <v>20509</v>
      </c>
      <c r="K350" s="8">
        <v>251</v>
      </c>
      <c r="L350" s="9" t="s">
        <v>52</v>
      </c>
      <c r="M350" s="9" t="s">
        <v>32</v>
      </c>
      <c r="N350" s="18">
        <f t="shared" si="5"/>
        <v>8.9667950655809639E-2</v>
      </c>
    </row>
    <row r="351" spans="1:14" x14ac:dyDescent="0.3">
      <c r="A351" s="5" t="s">
        <v>269</v>
      </c>
      <c r="B351" s="6" t="s">
        <v>14</v>
      </c>
      <c r="C351" s="7">
        <v>45776</v>
      </c>
      <c r="D351" s="6" t="s">
        <v>28</v>
      </c>
      <c r="E351" s="6" t="s">
        <v>29</v>
      </c>
      <c r="F351" s="8">
        <v>249</v>
      </c>
      <c r="G351" s="8">
        <v>592</v>
      </c>
      <c r="H351" s="8">
        <v>230</v>
      </c>
      <c r="I351" s="8">
        <v>1494</v>
      </c>
      <c r="J351" s="8">
        <v>1044</v>
      </c>
      <c r="K351" s="8">
        <v>201</v>
      </c>
      <c r="L351" s="9" t="s">
        <v>22</v>
      </c>
      <c r="M351" s="9" t="s">
        <v>44</v>
      </c>
      <c r="N351" s="18">
        <f t="shared" si="5"/>
        <v>1.0258620689655173</v>
      </c>
    </row>
    <row r="352" spans="1:14" x14ac:dyDescent="0.3">
      <c r="A352" s="5" t="s">
        <v>269</v>
      </c>
      <c r="B352" s="6" t="s">
        <v>14</v>
      </c>
      <c r="C352" s="7">
        <v>45776</v>
      </c>
      <c r="D352" s="6" t="s">
        <v>28</v>
      </c>
      <c r="E352" s="6" t="s">
        <v>29</v>
      </c>
      <c r="F352" s="8">
        <v>249</v>
      </c>
      <c r="G352" s="8">
        <v>592</v>
      </c>
      <c r="H352" s="8">
        <v>230</v>
      </c>
      <c r="I352" s="8">
        <v>1494</v>
      </c>
      <c r="J352" s="8">
        <v>1044</v>
      </c>
      <c r="K352" s="8">
        <v>201</v>
      </c>
      <c r="L352" s="9" t="s">
        <v>37</v>
      </c>
      <c r="M352" s="9" t="s">
        <v>44</v>
      </c>
      <c r="N352" s="18">
        <f t="shared" si="5"/>
        <v>1.0258620689655173</v>
      </c>
    </row>
    <row r="353" spans="1:14" x14ac:dyDescent="0.3">
      <c r="A353" s="5" t="s">
        <v>270</v>
      </c>
      <c r="B353" s="6" t="s">
        <v>34</v>
      </c>
      <c r="C353" s="7">
        <v>45724</v>
      </c>
      <c r="D353" s="6" t="s">
        <v>40</v>
      </c>
      <c r="E353" s="6" t="s">
        <v>41</v>
      </c>
      <c r="F353" s="8">
        <v>2382</v>
      </c>
      <c r="G353" s="8">
        <v>265</v>
      </c>
      <c r="H353" s="8">
        <v>134</v>
      </c>
      <c r="I353" s="8">
        <v>38112</v>
      </c>
      <c r="J353" s="8">
        <v>37437</v>
      </c>
      <c r="K353" s="8">
        <v>249</v>
      </c>
      <c r="L353" s="9" t="s">
        <v>52</v>
      </c>
      <c r="M353" s="9" t="s">
        <v>23</v>
      </c>
      <c r="N353" s="18">
        <f t="shared" si="5"/>
        <v>7.4284798461415183E-2</v>
      </c>
    </row>
    <row r="354" spans="1:14" x14ac:dyDescent="0.3">
      <c r="A354" s="5" t="s">
        <v>270</v>
      </c>
      <c r="B354" s="6" t="s">
        <v>34</v>
      </c>
      <c r="C354" s="7">
        <v>45724</v>
      </c>
      <c r="D354" s="6" t="s">
        <v>40</v>
      </c>
      <c r="E354" s="6" t="s">
        <v>41</v>
      </c>
      <c r="F354" s="8">
        <v>2382</v>
      </c>
      <c r="G354" s="8">
        <v>265</v>
      </c>
      <c r="H354" s="8">
        <v>134</v>
      </c>
      <c r="I354" s="8">
        <v>38112</v>
      </c>
      <c r="J354" s="8">
        <v>37437</v>
      </c>
      <c r="K354" s="8">
        <v>249</v>
      </c>
      <c r="L354" s="9" t="s">
        <v>37</v>
      </c>
      <c r="M354" s="9" t="s">
        <v>23</v>
      </c>
      <c r="N354" s="18">
        <f t="shared" si="5"/>
        <v>7.4284798461415183E-2</v>
      </c>
    </row>
    <row r="355" spans="1:14" x14ac:dyDescent="0.3">
      <c r="A355" s="5" t="s">
        <v>271</v>
      </c>
      <c r="B355" s="6" t="s">
        <v>34</v>
      </c>
      <c r="C355" s="7">
        <v>45444</v>
      </c>
      <c r="D355" s="6" t="s">
        <v>20</v>
      </c>
      <c r="E355" s="6" t="s">
        <v>21</v>
      </c>
      <c r="F355" s="8">
        <v>1272</v>
      </c>
      <c r="G355" s="8">
        <v>465</v>
      </c>
      <c r="H355" s="8">
        <v>99</v>
      </c>
      <c r="I355" s="8">
        <v>24168</v>
      </c>
      <c r="J355" s="8">
        <v>23719</v>
      </c>
      <c r="K355" s="8">
        <v>42</v>
      </c>
      <c r="L355" s="9" t="s">
        <v>22</v>
      </c>
      <c r="M355" s="9" t="s">
        <v>23</v>
      </c>
      <c r="N355" s="18">
        <f t="shared" si="5"/>
        <v>7.7406298747839289E-2</v>
      </c>
    </row>
    <row r="356" spans="1:14" x14ac:dyDescent="0.3">
      <c r="A356" s="5" t="s">
        <v>271</v>
      </c>
      <c r="B356" s="6" t="s">
        <v>34</v>
      </c>
      <c r="C356" s="7">
        <v>45444</v>
      </c>
      <c r="D356" s="6" t="s">
        <v>20</v>
      </c>
      <c r="E356" s="6" t="s">
        <v>21</v>
      </c>
      <c r="F356" s="8">
        <v>1272</v>
      </c>
      <c r="G356" s="8">
        <v>465</v>
      </c>
      <c r="H356" s="8">
        <v>99</v>
      </c>
      <c r="I356" s="8">
        <v>24168</v>
      </c>
      <c r="J356" s="8">
        <v>23719</v>
      </c>
      <c r="K356" s="8">
        <v>42</v>
      </c>
      <c r="L356" s="9" t="s">
        <v>52</v>
      </c>
      <c r="M356" s="9" t="s">
        <v>23</v>
      </c>
      <c r="N356" s="18">
        <f t="shared" si="5"/>
        <v>7.7406298747839289E-2</v>
      </c>
    </row>
    <row r="357" spans="1:14" x14ac:dyDescent="0.3">
      <c r="A357" s="5" t="s">
        <v>272</v>
      </c>
      <c r="B357" s="6" t="s">
        <v>34</v>
      </c>
      <c r="C357" s="7">
        <v>45648</v>
      </c>
      <c r="D357" s="6" t="s">
        <v>40</v>
      </c>
      <c r="E357" s="6" t="s">
        <v>41</v>
      </c>
      <c r="F357" s="8">
        <v>3196</v>
      </c>
      <c r="G357" s="8">
        <v>941</v>
      </c>
      <c r="H357" s="8">
        <v>376</v>
      </c>
      <c r="I357" s="8">
        <v>35156</v>
      </c>
      <c r="J357" s="8">
        <v>34444</v>
      </c>
      <c r="K357" s="8">
        <v>241</v>
      </c>
      <c r="L357" s="9" t="s">
        <v>31</v>
      </c>
      <c r="M357" s="9" t="s">
        <v>44</v>
      </c>
      <c r="N357" s="18">
        <f t="shared" si="5"/>
        <v>0.13102427128091976</v>
      </c>
    </row>
    <row r="358" spans="1:14" x14ac:dyDescent="0.3">
      <c r="A358" s="5" t="s">
        <v>272</v>
      </c>
      <c r="B358" s="6" t="s">
        <v>34</v>
      </c>
      <c r="C358" s="7">
        <v>45648</v>
      </c>
      <c r="D358" s="6" t="s">
        <v>40</v>
      </c>
      <c r="E358" s="6" t="s">
        <v>41</v>
      </c>
      <c r="F358" s="8">
        <v>3196</v>
      </c>
      <c r="G358" s="8">
        <v>941</v>
      </c>
      <c r="H358" s="8">
        <v>376</v>
      </c>
      <c r="I358" s="8">
        <v>35156</v>
      </c>
      <c r="J358" s="8">
        <v>34444</v>
      </c>
      <c r="K358" s="8">
        <v>241</v>
      </c>
      <c r="L358" s="9" t="s">
        <v>37</v>
      </c>
      <c r="M358" s="9" t="s">
        <v>44</v>
      </c>
      <c r="N358" s="18">
        <f t="shared" si="5"/>
        <v>0.13102427128091976</v>
      </c>
    </row>
    <row r="359" spans="1:14" x14ac:dyDescent="0.3">
      <c r="A359" s="5" t="s">
        <v>273</v>
      </c>
      <c r="B359" s="6" t="s">
        <v>34</v>
      </c>
      <c r="C359" s="7">
        <v>45523</v>
      </c>
      <c r="D359" s="6" t="s">
        <v>20</v>
      </c>
      <c r="E359" s="6" t="s">
        <v>21</v>
      </c>
      <c r="F359" s="8">
        <v>1257</v>
      </c>
      <c r="G359" s="8">
        <v>19</v>
      </c>
      <c r="H359" s="8">
        <v>351</v>
      </c>
      <c r="I359" s="8">
        <v>12570</v>
      </c>
      <c r="J359" s="8">
        <v>11660</v>
      </c>
      <c r="K359" s="8">
        <v>194</v>
      </c>
      <c r="L359" s="9" t="s">
        <v>31</v>
      </c>
      <c r="M359" s="9" t="s">
        <v>18</v>
      </c>
      <c r="N359" s="18">
        <f t="shared" si="5"/>
        <v>0.13953687821612351</v>
      </c>
    </row>
    <row r="360" spans="1:14" x14ac:dyDescent="0.3">
      <c r="A360" s="5" t="s">
        <v>274</v>
      </c>
      <c r="B360" s="6" t="s">
        <v>27</v>
      </c>
      <c r="C360" s="7">
        <v>45587</v>
      </c>
      <c r="D360" s="6" t="s">
        <v>28</v>
      </c>
      <c r="E360" s="6" t="s">
        <v>29</v>
      </c>
      <c r="F360" s="8">
        <v>3770</v>
      </c>
      <c r="G360" s="8">
        <v>917</v>
      </c>
      <c r="H360" s="8">
        <v>129</v>
      </c>
      <c r="I360" s="8">
        <v>71630</v>
      </c>
      <c r="J360" s="8">
        <v>71322</v>
      </c>
      <c r="K360" s="8">
        <v>76</v>
      </c>
      <c r="L360" s="9" t="s">
        <v>17</v>
      </c>
      <c r="M360" s="9" t="s">
        <v>44</v>
      </c>
      <c r="N360" s="18">
        <f t="shared" si="5"/>
        <v>6.752474692240823E-2</v>
      </c>
    </row>
    <row r="361" spans="1:14" x14ac:dyDescent="0.3">
      <c r="A361" s="5" t="s">
        <v>274</v>
      </c>
      <c r="B361" s="6" t="s">
        <v>27</v>
      </c>
      <c r="C361" s="7">
        <v>45587</v>
      </c>
      <c r="D361" s="6" t="s">
        <v>28</v>
      </c>
      <c r="E361" s="6" t="s">
        <v>29</v>
      </c>
      <c r="F361" s="8">
        <v>3770</v>
      </c>
      <c r="G361" s="8">
        <v>917</v>
      </c>
      <c r="H361" s="8">
        <v>129</v>
      </c>
      <c r="I361" s="8">
        <v>71630</v>
      </c>
      <c r="J361" s="8">
        <v>71322</v>
      </c>
      <c r="K361" s="8">
        <v>76</v>
      </c>
      <c r="L361" s="9" t="s">
        <v>37</v>
      </c>
      <c r="M361" s="9" t="s">
        <v>44</v>
      </c>
      <c r="N361" s="18">
        <f t="shared" si="5"/>
        <v>6.752474692240823E-2</v>
      </c>
    </row>
    <row r="362" spans="1:14" x14ac:dyDescent="0.3">
      <c r="A362" s="5" t="s">
        <v>275</v>
      </c>
      <c r="B362" s="6" t="s">
        <v>14</v>
      </c>
      <c r="C362" s="7">
        <v>45489</v>
      </c>
      <c r="D362" s="6" t="s">
        <v>20</v>
      </c>
      <c r="E362" s="6" t="s">
        <v>21</v>
      </c>
      <c r="F362" s="8">
        <v>4725</v>
      </c>
      <c r="G362" s="8">
        <v>400</v>
      </c>
      <c r="H362" s="8">
        <v>362</v>
      </c>
      <c r="I362" s="8">
        <v>75600</v>
      </c>
      <c r="J362" s="8">
        <v>74927</v>
      </c>
      <c r="K362" s="8">
        <v>43</v>
      </c>
      <c r="L362" s="9" t="s">
        <v>37</v>
      </c>
      <c r="M362" s="9" t="s">
        <v>18</v>
      </c>
      <c r="N362" s="18">
        <f t="shared" si="5"/>
        <v>7.323127844435251E-2</v>
      </c>
    </row>
    <row r="363" spans="1:14" x14ac:dyDescent="0.3">
      <c r="A363" s="5" t="s">
        <v>275</v>
      </c>
      <c r="B363" s="6" t="s">
        <v>14</v>
      </c>
      <c r="C363" s="7">
        <v>45489</v>
      </c>
      <c r="D363" s="6" t="s">
        <v>20</v>
      </c>
      <c r="E363" s="6" t="s">
        <v>21</v>
      </c>
      <c r="F363" s="8">
        <v>4725</v>
      </c>
      <c r="G363" s="8">
        <v>400</v>
      </c>
      <c r="H363" s="8">
        <v>362</v>
      </c>
      <c r="I363" s="8">
        <v>75600</v>
      </c>
      <c r="J363" s="8">
        <v>74927</v>
      </c>
      <c r="K363" s="8">
        <v>43</v>
      </c>
      <c r="L363" s="9" t="s">
        <v>22</v>
      </c>
      <c r="M363" s="9" t="s">
        <v>18</v>
      </c>
      <c r="N363" s="18">
        <f t="shared" si="5"/>
        <v>7.323127844435251E-2</v>
      </c>
    </row>
    <row r="364" spans="1:14" x14ac:dyDescent="0.3">
      <c r="A364" s="5" t="s">
        <v>276</v>
      </c>
      <c r="B364" s="6" t="s">
        <v>25</v>
      </c>
      <c r="C364" s="7">
        <v>45712</v>
      </c>
      <c r="D364" s="6" t="s">
        <v>20</v>
      </c>
      <c r="E364" s="6" t="s">
        <v>21</v>
      </c>
      <c r="F364" s="8">
        <v>4188</v>
      </c>
      <c r="G364" s="8">
        <v>942</v>
      </c>
      <c r="H364" s="8">
        <v>118</v>
      </c>
      <c r="I364" s="8">
        <v>20940</v>
      </c>
      <c r="J364" s="8">
        <v>20471</v>
      </c>
      <c r="K364" s="8">
        <v>102</v>
      </c>
      <c r="L364" s="9" t="s">
        <v>31</v>
      </c>
      <c r="M364" s="9" t="s">
        <v>23</v>
      </c>
      <c r="N364" s="18">
        <f t="shared" si="5"/>
        <v>0.25636265937179425</v>
      </c>
    </row>
    <row r="365" spans="1:14" x14ac:dyDescent="0.3">
      <c r="A365" s="5" t="s">
        <v>277</v>
      </c>
      <c r="B365" s="6" t="s">
        <v>14</v>
      </c>
      <c r="C365" s="7">
        <v>45530</v>
      </c>
      <c r="D365" s="6" t="s">
        <v>35</v>
      </c>
      <c r="E365" s="6" t="s">
        <v>36</v>
      </c>
      <c r="F365" s="8">
        <v>929</v>
      </c>
      <c r="G365" s="8">
        <v>192</v>
      </c>
      <c r="H365" s="8">
        <v>322</v>
      </c>
      <c r="I365" s="8">
        <v>16722</v>
      </c>
      <c r="J365" s="8">
        <v>15996</v>
      </c>
      <c r="K365" s="8">
        <v>145</v>
      </c>
      <c r="L365" s="9" t="s">
        <v>22</v>
      </c>
      <c r="M365" s="9" t="s">
        <v>32</v>
      </c>
      <c r="N365" s="18">
        <f t="shared" si="5"/>
        <v>9.0210052513128289E-2</v>
      </c>
    </row>
    <row r="366" spans="1:14" x14ac:dyDescent="0.3">
      <c r="A366" s="5" t="s">
        <v>278</v>
      </c>
      <c r="B366" s="6" t="s">
        <v>34</v>
      </c>
      <c r="C366" s="7">
        <v>45675</v>
      </c>
      <c r="D366" s="6" t="s">
        <v>28</v>
      </c>
      <c r="E366" s="6" t="s">
        <v>29</v>
      </c>
      <c r="F366" s="8">
        <v>4321</v>
      </c>
      <c r="G366" s="8">
        <v>874</v>
      </c>
      <c r="H366" s="8">
        <v>172</v>
      </c>
      <c r="I366" s="8">
        <v>30247</v>
      </c>
      <c r="J366" s="8">
        <v>29254</v>
      </c>
      <c r="K366" s="8">
        <v>122</v>
      </c>
      <c r="L366" s="9" t="s">
        <v>17</v>
      </c>
      <c r="M366" s="9" t="s">
        <v>32</v>
      </c>
      <c r="N366" s="18">
        <f t="shared" si="5"/>
        <v>0.18346209065426949</v>
      </c>
    </row>
    <row r="367" spans="1:14" x14ac:dyDescent="0.3">
      <c r="A367" s="5" t="s">
        <v>278</v>
      </c>
      <c r="B367" s="6" t="s">
        <v>34</v>
      </c>
      <c r="C367" s="7">
        <v>45675</v>
      </c>
      <c r="D367" s="6" t="s">
        <v>28</v>
      </c>
      <c r="E367" s="6" t="s">
        <v>29</v>
      </c>
      <c r="F367" s="8">
        <v>4321</v>
      </c>
      <c r="G367" s="8">
        <v>874</v>
      </c>
      <c r="H367" s="8">
        <v>172</v>
      </c>
      <c r="I367" s="8">
        <v>30247</v>
      </c>
      <c r="J367" s="8">
        <v>29254</v>
      </c>
      <c r="K367" s="8">
        <v>122</v>
      </c>
      <c r="L367" s="9" t="s">
        <v>22</v>
      </c>
      <c r="M367" s="9" t="s">
        <v>32</v>
      </c>
      <c r="N367" s="18">
        <f t="shared" si="5"/>
        <v>0.18346209065426949</v>
      </c>
    </row>
    <row r="368" spans="1:14" x14ac:dyDescent="0.3">
      <c r="A368" s="5" t="s">
        <v>279</v>
      </c>
      <c r="B368" s="6" t="s">
        <v>34</v>
      </c>
      <c r="C368" s="7">
        <v>45480</v>
      </c>
      <c r="D368" s="6" t="s">
        <v>15</v>
      </c>
      <c r="E368" s="6" t="s">
        <v>16</v>
      </c>
      <c r="F368" s="8">
        <v>4767</v>
      </c>
      <c r="G368" s="8">
        <v>190</v>
      </c>
      <c r="H368" s="8">
        <v>340</v>
      </c>
      <c r="I368" s="8">
        <v>28602</v>
      </c>
      <c r="J368" s="8">
        <v>28044</v>
      </c>
      <c r="K368" s="8">
        <v>210</v>
      </c>
      <c r="L368" s="9" t="s">
        <v>52</v>
      </c>
      <c r="M368" s="9" t="s">
        <v>44</v>
      </c>
      <c r="N368" s="18">
        <f t="shared" si="5"/>
        <v>0.18888175723862502</v>
      </c>
    </row>
    <row r="369" spans="1:14" x14ac:dyDescent="0.3">
      <c r="A369" s="5" t="s">
        <v>280</v>
      </c>
      <c r="B369" s="6" t="s">
        <v>14</v>
      </c>
      <c r="C369" s="7">
        <v>45722</v>
      </c>
      <c r="D369" s="6" t="s">
        <v>40</v>
      </c>
      <c r="E369" s="6" t="s">
        <v>41</v>
      </c>
      <c r="F369" s="8">
        <v>3592</v>
      </c>
      <c r="G369" s="8">
        <v>911</v>
      </c>
      <c r="H369" s="8">
        <v>375</v>
      </c>
      <c r="I369" s="8">
        <v>50288</v>
      </c>
      <c r="J369" s="8">
        <v>49490</v>
      </c>
      <c r="K369" s="8">
        <v>32</v>
      </c>
      <c r="L369" s="9" t="s">
        <v>31</v>
      </c>
      <c r="M369" s="9" t="s">
        <v>23</v>
      </c>
      <c r="N369" s="18">
        <f t="shared" si="5"/>
        <v>9.8565366740755708E-2</v>
      </c>
    </row>
    <row r="370" spans="1:14" x14ac:dyDescent="0.3">
      <c r="A370" s="5" t="s">
        <v>281</v>
      </c>
      <c r="B370" s="6" t="s">
        <v>25</v>
      </c>
      <c r="C370" s="7">
        <v>45590</v>
      </c>
      <c r="D370" s="6" t="s">
        <v>50</v>
      </c>
      <c r="E370" s="6" t="s">
        <v>51</v>
      </c>
      <c r="F370" s="8">
        <v>4661</v>
      </c>
      <c r="G370" s="8">
        <v>935</v>
      </c>
      <c r="H370" s="8">
        <v>433</v>
      </c>
      <c r="I370" s="8">
        <v>23305</v>
      </c>
      <c r="J370" s="8">
        <v>22583</v>
      </c>
      <c r="K370" s="8">
        <v>63</v>
      </c>
      <c r="L370" s="9" t="s">
        <v>31</v>
      </c>
      <c r="M370" s="9" t="s">
        <v>18</v>
      </c>
      <c r="N370" s="18">
        <f t="shared" si="5"/>
        <v>0.26697073019527962</v>
      </c>
    </row>
    <row r="371" spans="1:14" x14ac:dyDescent="0.3">
      <c r="A371" s="5" t="s">
        <v>281</v>
      </c>
      <c r="B371" s="6" t="s">
        <v>25</v>
      </c>
      <c r="C371" s="7">
        <v>45590</v>
      </c>
      <c r="D371" s="6" t="s">
        <v>50</v>
      </c>
      <c r="E371" s="6" t="s">
        <v>51</v>
      </c>
      <c r="F371" s="8">
        <v>4661</v>
      </c>
      <c r="G371" s="8">
        <v>935</v>
      </c>
      <c r="H371" s="8">
        <v>433</v>
      </c>
      <c r="I371" s="8">
        <v>23305</v>
      </c>
      <c r="J371" s="8">
        <v>22583</v>
      </c>
      <c r="K371" s="8">
        <v>63</v>
      </c>
      <c r="L371" s="9" t="s">
        <v>52</v>
      </c>
      <c r="M371" s="9" t="s">
        <v>18</v>
      </c>
      <c r="N371" s="18">
        <f t="shared" si="5"/>
        <v>0.26697073019527962</v>
      </c>
    </row>
    <row r="372" spans="1:14" x14ac:dyDescent="0.3">
      <c r="A372" s="5" t="s">
        <v>282</v>
      </c>
      <c r="B372" s="6" t="s">
        <v>34</v>
      </c>
      <c r="C372" s="7">
        <v>45669</v>
      </c>
      <c r="D372" s="6" t="s">
        <v>15</v>
      </c>
      <c r="E372" s="6" t="s">
        <v>16</v>
      </c>
      <c r="F372" s="8">
        <v>4134</v>
      </c>
      <c r="G372" s="8">
        <v>824</v>
      </c>
      <c r="H372" s="8">
        <v>99</v>
      </c>
      <c r="I372" s="8">
        <v>41340</v>
      </c>
      <c r="J372" s="8">
        <v>41050</v>
      </c>
      <c r="K372" s="8">
        <v>177</v>
      </c>
      <c r="L372" s="9" t="s">
        <v>22</v>
      </c>
      <c r="M372" s="9" t="s">
        <v>23</v>
      </c>
      <c r="N372" s="18">
        <f t="shared" si="5"/>
        <v>0.12319123020706456</v>
      </c>
    </row>
    <row r="373" spans="1:14" x14ac:dyDescent="0.3">
      <c r="A373" s="5" t="s">
        <v>283</v>
      </c>
      <c r="B373" s="6" t="s">
        <v>34</v>
      </c>
      <c r="C373" s="7">
        <v>45576</v>
      </c>
      <c r="D373" s="6" t="s">
        <v>40</v>
      </c>
      <c r="E373" s="6" t="s">
        <v>41</v>
      </c>
      <c r="F373" s="8">
        <v>400</v>
      </c>
      <c r="G373" s="8">
        <v>680</v>
      </c>
      <c r="H373" s="8">
        <v>434</v>
      </c>
      <c r="I373" s="8">
        <v>6400</v>
      </c>
      <c r="J373" s="8">
        <v>5472</v>
      </c>
      <c r="K373" s="8">
        <v>160</v>
      </c>
      <c r="L373" s="9" t="s">
        <v>17</v>
      </c>
      <c r="M373" s="9" t="s">
        <v>23</v>
      </c>
      <c r="N373" s="18">
        <f t="shared" si="5"/>
        <v>0.27668128654970758</v>
      </c>
    </row>
    <row r="374" spans="1:14" x14ac:dyDescent="0.3">
      <c r="A374" s="5" t="s">
        <v>283</v>
      </c>
      <c r="B374" s="6" t="s">
        <v>34</v>
      </c>
      <c r="C374" s="7">
        <v>45576</v>
      </c>
      <c r="D374" s="6" t="s">
        <v>40</v>
      </c>
      <c r="E374" s="6" t="s">
        <v>41</v>
      </c>
      <c r="F374" s="8">
        <v>400</v>
      </c>
      <c r="G374" s="8">
        <v>680</v>
      </c>
      <c r="H374" s="8">
        <v>434</v>
      </c>
      <c r="I374" s="8">
        <v>6400</v>
      </c>
      <c r="J374" s="8">
        <v>5472</v>
      </c>
      <c r="K374" s="8">
        <v>160</v>
      </c>
      <c r="L374" s="9" t="s">
        <v>37</v>
      </c>
      <c r="M374" s="9" t="s">
        <v>23</v>
      </c>
      <c r="N374" s="18">
        <f t="shared" si="5"/>
        <v>0.27668128654970758</v>
      </c>
    </row>
    <row r="375" spans="1:14" x14ac:dyDescent="0.3">
      <c r="A375" s="5" t="s">
        <v>284</v>
      </c>
      <c r="B375" s="6" t="s">
        <v>34</v>
      </c>
      <c r="C375" s="7">
        <v>45531</v>
      </c>
      <c r="D375" s="6" t="s">
        <v>15</v>
      </c>
      <c r="E375" s="6" t="s">
        <v>16</v>
      </c>
      <c r="F375" s="8">
        <v>3960</v>
      </c>
      <c r="G375" s="8">
        <v>266</v>
      </c>
      <c r="H375" s="8">
        <v>8</v>
      </c>
      <c r="I375" s="8">
        <v>35640</v>
      </c>
      <c r="J375" s="8">
        <v>34850</v>
      </c>
      <c r="K375" s="8">
        <v>208</v>
      </c>
      <c r="L375" s="9" t="s">
        <v>37</v>
      </c>
      <c r="M375" s="9" t="s">
        <v>44</v>
      </c>
      <c r="N375" s="18">
        <f t="shared" si="5"/>
        <v>0.12149210903873744</v>
      </c>
    </row>
    <row r="376" spans="1:14" x14ac:dyDescent="0.3">
      <c r="A376" s="5" t="s">
        <v>284</v>
      </c>
      <c r="B376" s="6" t="s">
        <v>34</v>
      </c>
      <c r="C376" s="7">
        <v>45531</v>
      </c>
      <c r="D376" s="6" t="s">
        <v>15</v>
      </c>
      <c r="E376" s="6" t="s">
        <v>16</v>
      </c>
      <c r="F376" s="8">
        <v>3960</v>
      </c>
      <c r="G376" s="8">
        <v>266</v>
      </c>
      <c r="H376" s="8">
        <v>8</v>
      </c>
      <c r="I376" s="8">
        <v>35640</v>
      </c>
      <c r="J376" s="8">
        <v>34850</v>
      </c>
      <c r="K376" s="8">
        <v>208</v>
      </c>
      <c r="L376" s="9" t="s">
        <v>22</v>
      </c>
      <c r="M376" s="9" t="s">
        <v>44</v>
      </c>
      <c r="N376" s="18">
        <f t="shared" si="5"/>
        <v>0.12149210903873744</v>
      </c>
    </row>
    <row r="377" spans="1:14" x14ac:dyDescent="0.3">
      <c r="A377" s="5" t="s">
        <v>285</v>
      </c>
      <c r="B377" s="6" t="s">
        <v>34</v>
      </c>
      <c r="C377" s="7">
        <v>45690</v>
      </c>
      <c r="D377" s="6" t="s">
        <v>28</v>
      </c>
      <c r="E377" s="6" t="s">
        <v>29</v>
      </c>
      <c r="F377" s="8">
        <v>886</v>
      </c>
      <c r="G377" s="8">
        <v>126</v>
      </c>
      <c r="H377" s="8">
        <v>153</v>
      </c>
      <c r="I377" s="8">
        <v>4430</v>
      </c>
      <c r="J377" s="8">
        <v>4037</v>
      </c>
      <c r="K377" s="8">
        <v>212</v>
      </c>
      <c r="L377" s="9" t="s">
        <v>17</v>
      </c>
      <c r="M377" s="9" t="s">
        <v>32</v>
      </c>
      <c r="N377" s="18">
        <f t="shared" si="5"/>
        <v>0.2885806291800842</v>
      </c>
    </row>
    <row r="378" spans="1:14" x14ac:dyDescent="0.3">
      <c r="A378" s="5" t="s">
        <v>286</v>
      </c>
      <c r="B378" s="6" t="s">
        <v>14</v>
      </c>
      <c r="C378" s="7">
        <v>45491</v>
      </c>
      <c r="D378" s="6" t="s">
        <v>40</v>
      </c>
      <c r="E378" s="6" t="s">
        <v>41</v>
      </c>
      <c r="F378" s="8">
        <v>827</v>
      </c>
      <c r="G378" s="8">
        <v>77</v>
      </c>
      <c r="H378" s="8">
        <v>402</v>
      </c>
      <c r="I378" s="8">
        <v>14886</v>
      </c>
      <c r="J378" s="8">
        <v>14129</v>
      </c>
      <c r="K378" s="8">
        <v>254</v>
      </c>
      <c r="L378" s="9" t="s">
        <v>31</v>
      </c>
      <c r="M378" s="9" t="s">
        <v>23</v>
      </c>
      <c r="N378" s="18">
        <f t="shared" si="5"/>
        <v>9.2434000990869847E-2</v>
      </c>
    </row>
    <row r="379" spans="1:14" x14ac:dyDescent="0.3">
      <c r="A379" s="5" t="s">
        <v>287</v>
      </c>
      <c r="B379" s="6" t="s">
        <v>34</v>
      </c>
      <c r="C379" s="7">
        <v>45465</v>
      </c>
      <c r="D379" s="6" t="s">
        <v>15</v>
      </c>
      <c r="E379" s="6" t="s">
        <v>16</v>
      </c>
      <c r="F379" s="8">
        <v>3813</v>
      </c>
      <c r="G379" s="8">
        <v>935</v>
      </c>
      <c r="H379" s="8">
        <v>274</v>
      </c>
      <c r="I379" s="8">
        <v>68634</v>
      </c>
      <c r="J379" s="8">
        <v>68488</v>
      </c>
      <c r="K379" s="8">
        <v>251</v>
      </c>
      <c r="L379" s="9" t="s">
        <v>52</v>
      </c>
      <c r="M379" s="9" t="s">
        <v>18</v>
      </c>
      <c r="N379" s="18">
        <f t="shared" si="5"/>
        <v>7.3326714168905502E-2</v>
      </c>
    </row>
    <row r="380" spans="1:14" x14ac:dyDescent="0.3">
      <c r="A380" s="5" t="s">
        <v>287</v>
      </c>
      <c r="B380" s="6" t="s">
        <v>34</v>
      </c>
      <c r="C380" s="7">
        <v>45465</v>
      </c>
      <c r="D380" s="6" t="s">
        <v>15</v>
      </c>
      <c r="E380" s="6" t="s">
        <v>16</v>
      </c>
      <c r="F380" s="8">
        <v>3813</v>
      </c>
      <c r="G380" s="8">
        <v>935</v>
      </c>
      <c r="H380" s="8">
        <v>274</v>
      </c>
      <c r="I380" s="8">
        <v>68634</v>
      </c>
      <c r="J380" s="8">
        <v>68488</v>
      </c>
      <c r="K380" s="8">
        <v>251</v>
      </c>
      <c r="L380" s="9" t="s">
        <v>37</v>
      </c>
      <c r="M380" s="9" t="s">
        <v>18</v>
      </c>
      <c r="N380" s="18">
        <f t="shared" si="5"/>
        <v>7.3326714168905502E-2</v>
      </c>
    </row>
    <row r="381" spans="1:14" x14ac:dyDescent="0.3">
      <c r="A381" s="5" t="s">
        <v>288</v>
      </c>
      <c r="B381" s="6" t="s">
        <v>27</v>
      </c>
      <c r="C381" s="7">
        <v>45743</v>
      </c>
      <c r="D381" s="6" t="s">
        <v>35</v>
      </c>
      <c r="E381" s="6" t="s">
        <v>36</v>
      </c>
      <c r="F381" s="8">
        <v>1377</v>
      </c>
      <c r="G381" s="8">
        <v>796</v>
      </c>
      <c r="H381" s="8">
        <v>387</v>
      </c>
      <c r="I381" s="8">
        <v>22032</v>
      </c>
      <c r="J381" s="8">
        <v>21869</v>
      </c>
      <c r="K381" s="8">
        <v>189</v>
      </c>
      <c r="L381" s="9" t="s">
        <v>52</v>
      </c>
      <c r="M381" s="9" t="s">
        <v>32</v>
      </c>
      <c r="N381" s="18">
        <f t="shared" si="5"/>
        <v>0.11706067950066304</v>
      </c>
    </row>
    <row r="382" spans="1:14" x14ac:dyDescent="0.3">
      <c r="A382" s="5" t="s">
        <v>288</v>
      </c>
      <c r="B382" s="6" t="s">
        <v>27</v>
      </c>
      <c r="C382" s="7">
        <v>45743</v>
      </c>
      <c r="D382" s="6" t="s">
        <v>35</v>
      </c>
      <c r="E382" s="6" t="s">
        <v>36</v>
      </c>
      <c r="F382" s="8">
        <v>1377</v>
      </c>
      <c r="G382" s="8">
        <v>796</v>
      </c>
      <c r="H382" s="8">
        <v>387</v>
      </c>
      <c r="I382" s="8">
        <v>22032</v>
      </c>
      <c r="J382" s="8">
        <v>21869</v>
      </c>
      <c r="K382" s="8">
        <v>189</v>
      </c>
      <c r="L382" s="9" t="s">
        <v>22</v>
      </c>
      <c r="M382" s="9" t="s">
        <v>32</v>
      </c>
      <c r="N382" s="18">
        <f t="shared" si="5"/>
        <v>0.11706067950066304</v>
      </c>
    </row>
    <row r="383" spans="1:14" x14ac:dyDescent="0.3">
      <c r="A383" s="5" t="s">
        <v>289</v>
      </c>
      <c r="B383" s="6" t="s">
        <v>34</v>
      </c>
      <c r="C383" s="7">
        <v>45775</v>
      </c>
      <c r="D383" s="6" t="s">
        <v>35</v>
      </c>
      <c r="E383" s="6" t="s">
        <v>36</v>
      </c>
      <c r="F383" s="8">
        <v>2089</v>
      </c>
      <c r="G383" s="8">
        <v>476</v>
      </c>
      <c r="H383" s="8">
        <v>69</v>
      </c>
      <c r="I383" s="8">
        <v>16712</v>
      </c>
      <c r="J383" s="8">
        <v>16309</v>
      </c>
      <c r="K383" s="8">
        <v>64</v>
      </c>
      <c r="L383" s="9" t="s">
        <v>31</v>
      </c>
      <c r="M383" s="9" t="s">
        <v>18</v>
      </c>
      <c r="N383" s="18">
        <f t="shared" si="5"/>
        <v>0.16150591697835551</v>
      </c>
    </row>
    <row r="384" spans="1:14" x14ac:dyDescent="0.3">
      <c r="A384" s="5" t="s">
        <v>289</v>
      </c>
      <c r="B384" s="6" t="s">
        <v>34</v>
      </c>
      <c r="C384" s="7">
        <v>45775</v>
      </c>
      <c r="D384" s="6" t="s">
        <v>35</v>
      </c>
      <c r="E384" s="6" t="s">
        <v>36</v>
      </c>
      <c r="F384" s="8">
        <v>2089</v>
      </c>
      <c r="G384" s="8">
        <v>476</v>
      </c>
      <c r="H384" s="8">
        <v>69</v>
      </c>
      <c r="I384" s="8">
        <v>16712</v>
      </c>
      <c r="J384" s="8">
        <v>16309</v>
      </c>
      <c r="K384" s="8">
        <v>64</v>
      </c>
      <c r="L384" s="9" t="s">
        <v>17</v>
      </c>
      <c r="M384" s="9" t="s">
        <v>18</v>
      </c>
      <c r="N384" s="18">
        <f t="shared" si="5"/>
        <v>0.16150591697835551</v>
      </c>
    </row>
    <row r="385" spans="1:14" x14ac:dyDescent="0.3">
      <c r="A385" s="5" t="s">
        <v>290</v>
      </c>
      <c r="B385" s="6" t="s">
        <v>14</v>
      </c>
      <c r="C385" s="7">
        <v>45507</v>
      </c>
      <c r="D385" s="6" t="s">
        <v>15</v>
      </c>
      <c r="E385" s="6" t="s">
        <v>16</v>
      </c>
      <c r="F385" s="8">
        <v>3791</v>
      </c>
      <c r="G385" s="8">
        <v>593</v>
      </c>
      <c r="H385" s="8">
        <v>228</v>
      </c>
      <c r="I385" s="8">
        <v>53074</v>
      </c>
      <c r="J385" s="8">
        <v>52613</v>
      </c>
      <c r="K385" s="8">
        <v>205</v>
      </c>
      <c r="L385" s="9" t="s">
        <v>31</v>
      </c>
      <c r="M385" s="9" t="s">
        <v>18</v>
      </c>
      <c r="N385" s="18">
        <f t="shared" si="5"/>
        <v>8.7658943607093309E-2</v>
      </c>
    </row>
    <row r="386" spans="1:14" x14ac:dyDescent="0.3">
      <c r="A386" s="5" t="s">
        <v>290</v>
      </c>
      <c r="B386" s="6" t="s">
        <v>14</v>
      </c>
      <c r="C386" s="7">
        <v>45507</v>
      </c>
      <c r="D386" s="6" t="s">
        <v>15</v>
      </c>
      <c r="E386" s="6" t="s">
        <v>16</v>
      </c>
      <c r="F386" s="8">
        <v>3791</v>
      </c>
      <c r="G386" s="8">
        <v>593</v>
      </c>
      <c r="H386" s="8">
        <v>228</v>
      </c>
      <c r="I386" s="8">
        <v>53074</v>
      </c>
      <c r="J386" s="8">
        <v>52613</v>
      </c>
      <c r="K386" s="8">
        <v>205</v>
      </c>
      <c r="L386" s="9" t="s">
        <v>52</v>
      </c>
      <c r="M386" s="9" t="s">
        <v>18</v>
      </c>
      <c r="N386" s="18">
        <f t="shared" si="5"/>
        <v>8.7658943607093309E-2</v>
      </c>
    </row>
    <row r="387" spans="1:14" x14ac:dyDescent="0.3">
      <c r="A387" s="5" t="s">
        <v>291</v>
      </c>
      <c r="B387" s="6" t="s">
        <v>14</v>
      </c>
      <c r="C387" s="7">
        <v>45671</v>
      </c>
      <c r="D387" s="6" t="s">
        <v>40</v>
      </c>
      <c r="E387" s="6" t="s">
        <v>41</v>
      </c>
      <c r="F387" s="8">
        <v>2692</v>
      </c>
      <c r="G387" s="8">
        <v>115</v>
      </c>
      <c r="H387" s="8">
        <v>64</v>
      </c>
      <c r="I387" s="8">
        <v>21536</v>
      </c>
      <c r="J387" s="8">
        <v>21120</v>
      </c>
      <c r="K387" s="8">
        <v>224</v>
      </c>
      <c r="L387" s="9" t="s">
        <v>52</v>
      </c>
      <c r="M387" s="9" t="s">
        <v>44</v>
      </c>
      <c r="N387" s="18">
        <f t="shared" ref="N387:N450" si="6">SUM(F387,G387,H387)/J387</f>
        <v>0.13593749999999999</v>
      </c>
    </row>
    <row r="388" spans="1:14" x14ac:dyDescent="0.3">
      <c r="A388" s="5" t="s">
        <v>291</v>
      </c>
      <c r="B388" s="6" t="s">
        <v>14</v>
      </c>
      <c r="C388" s="7">
        <v>45671</v>
      </c>
      <c r="D388" s="6" t="s">
        <v>40</v>
      </c>
      <c r="E388" s="6" t="s">
        <v>41</v>
      </c>
      <c r="F388" s="8">
        <v>2692</v>
      </c>
      <c r="G388" s="8">
        <v>115</v>
      </c>
      <c r="H388" s="8">
        <v>64</v>
      </c>
      <c r="I388" s="8">
        <v>21536</v>
      </c>
      <c r="J388" s="8">
        <v>21120</v>
      </c>
      <c r="K388" s="8">
        <v>224</v>
      </c>
      <c r="L388" s="9" t="s">
        <v>37</v>
      </c>
      <c r="M388" s="9" t="s">
        <v>44</v>
      </c>
      <c r="N388" s="18">
        <f t="shared" si="6"/>
        <v>0.13593749999999999</v>
      </c>
    </row>
    <row r="389" spans="1:14" x14ac:dyDescent="0.3">
      <c r="A389" s="5" t="s">
        <v>292</v>
      </c>
      <c r="B389" s="6" t="s">
        <v>34</v>
      </c>
      <c r="C389" s="7">
        <v>45750</v>
      </c>
      <c r="D389" s="6" t="s">
        <v>28</v>
      </c>
      <c r="E389" s="6" t="s">
        <v>29</v>
      </c>
      <c r="F389" s="8">
        <v>3767</v>
      </c>
      <c r="G389" s="8">
        <v>514</v>
      </c>
      <c r="H389" s="8">
        <v>238</v>
      </c>
      <c r="I389" s="8">
        <v>37670</v>
      </c>
      <c r="J389" s="8">
        <v>36807</v>
      </c>
      <c r="K389" s="8">
        <v>226</v>
      </c>
      <c r="L389" s="9" t="s">
        <v>31</v>
      </c>
      <c r="M389" s="9" t="s">
        <v>18</v>
      </c>
      <c r="N389" s="18">
        <f t="shared" si="6"/>
        <v>0.12277555899692993</v>
      </c>
    </row>
    <row r="390" spans="1:14" x14ac:dyDescent="0.3">
      <c r="A390" s="5" t="s">
        <v>292</v>
      </c>
      <c r="B390" s="6" t="s">
        <v>34</v>
      </c>
      <c r="C390" s="7">
        <v>45750</v>
      </c>
      <c r="D390" s="6" t="s">
        <v>28</v>
      </c>
      <c r="E390" s="6" t="s">
        <v>29</v>
      </c>
      <c r="F390" s="8">
        <v>3767</v>
      </c>
      <c r="G390" s="8">
        <v>514</v>
      </c>
      <c r="H390" s="8">
        <v>238</v>
      </c>
      <c r="I390" s="8">
        <v>37670</v>
      </c>
      <c r="J390" s="8">
        <v>36807</v>
      </c>
      <c r="K390" s="8">
        <v>226</v>
      </c>
      <c r="L390" s="9" t="s">
        <v>52</v>
      </c>
      <c r="M390" s="9" t="s">
        <v>18</v>
      </c>
      <c r="N390" s="18">
        <f t="shared" si="6"/>
        <v>0.12277555899692993</v>
      </c>
    </row>
    <row r="391" spans="1:14" x14ac:dyDescent="0.3">
      <c r="A391" s="5" t="s">
        <v>293</v>
      </c>
      <c r="B391" s="6" t="s">
        <v>25</v>
      </c>
      <c r="C391" s="7">
        <v>45553</v>
      </c>
      <c r="D391" s="6" t="s">
        <v>35</v>
      </c>
      <c r="E391" s="6" t="s">
        <v>36</v>
      </c>
      <c r="F391" s="8">
        <v>2143</v>
      </c>
      <c r="G391" s="8">
        <v>12</v>
      </c>
      <c r="H391" s="8">
        <v>204</v>
      </c>
      <c r="I391" s="8">
        <v>40717</v>
      </c>
      <c r="J391" s="8">
        <v>40125</v>
      </c>
      <c r="K391" s="8">
        <v>248</v>
      </c>
      <c r="L391" s="9" t="s">
        <v>52</v>
      </c>
      <c r="M391" s="9" t="s">
        <v>44</v>
      </c>
      <c r="N391" s="18">
        <f t="shared" si="6"/>
        <v>5.8791277258566976E-2</v>
      </c>
    </row>
    <row r="392" spans="1:14" x14ac:dyDescent="0.3">
      <c r="A392" s="5" t="s">
        <v>293</v>
      </c>
      <c r="B392" s="6" t="s">
        <v>25</v>
      </c>
      <c r="C392" s="7">
        <v>45553</v>
      </c>
      <c r="D392" s="6" t="s">
        <v>35</v>
      </c>
      <c r="E392" s="6" t="s">
        <v>36</v>
      </c>
      <c r="F392" s="8">
        <v>2143</v>
      </c>
      <c r="G392" s="8">
        <v>12</v>
      </c>
      <c r="H392" s="8">
        <v>204</v>
      </c>
      <c r="I392" s="8">
        <v>40717</v>
      </c>
      <c r="J392" s="8">
        <v>40125</v>
      </c>
      <c r="K392" s="8">
        <v>248</v>
      </c>
      <c r="L392" s="9" t="s">
        <v>17</v>
      </c>
      <c r="M392" s="9" t="s">
        <v>44</v>
      </c>
      <c r="N392" s="18">
        <f t="shared" si="6"/>
        <v>5.8791277258566976E-2</v>
      </c>
    </row>
    <row r="393" spans="1:14" x14ac:dyDescent="0.3">
      <c r="A393" s="5" t="s">
        <v>294</v>
      </c>
      <c r="B393" s="6" t="s">
        <v>34</v>
      </c>
      <c r="C393" s="7">
        <v>45753</v>
      </c>
      <c r="D393" s="6" t="s">
        <v>40</v>
      </c>
      <c r="E393" s="6" t="s">
        <v>41</v>
      </c>
      <c r="F393" s="8">
        <v>3090</v>
      </c>
      <c r="G393" s="8">
        <v>697</v>
      </c>
      <c r="H393" s="8">
        <v>164</v>
      </c>
      <c r="I393" s="8">
        <v>49440</v>
      </c>
      <c r="J393" s="8">
        <v>48524</v>
      </c>
      <c r="K393" s="8">
        <v>25</v>
      </c>
      <c r="L393" s="9" t="s">
        <v>52</v>
      </c>
      <c r="M393" s="9" t="s">
        <v>44</v>
      </c>
      <c r="N393" s="18">
        <f t="shared" si="6"/>
        <v>8.1423625422471349E-2</v>
      </c>
    </row>
    <row r="394" spans="1:14" x14ac:dyDescent="0.3">
      <c r="A394" s="5" t="s">
        <v>294</v>
      </c>
      <c r="B394" s="6" t="s">
        <v>34</v>
      </c>
      <c r="C394" s="7">
        <v>45753</v>
      </c>
      <c r="D394" s="6" t="s">
        <v>40</v>
      </c>
      <c r="E394" s="6" t="s">
        <v>41</v>
      </c>
      <c r="F394" s="8">
        <v>3090</v>
      </c>
      <c r="G394" s="8">
        <v>697</v>
      </c>
      <c r="H394" s="8">
        <v>164</v>
      </c>
      <c r="I394" s="8">
        <v>49440</v>
      </c>
      <c r="J394" s="8">
        <v>48524</v>
      </c>
      <c r="K394" s="8">
        <v>25</v>
      </c>
      <c r="L394" s="9" t="s">
        <v>31</v>
      </c>
      <c r="M394" s="9" t="s">
        <v>44</v>
      </c>
      <c r="N394" s="18">
        <f t="shared" si="6"/>
        <v>8.1423625422471349E-2</v>
      </c>
    </row>
    <row r="395" spans="1:14" x14ac:dyDescent="0.3">
      <c r="A395" s="5" t="s">
        <v>295</v>
      </c>
      <c r="B395" s="6" t="s">
        <v>27</v>
      </c>
      <c r="C395" s="7">
        <v>45509</v>
      </c>
      <c r="D395" s="6" t="s">
        <v>28</v>
      </c>
      <c r="E395" s="6" t="s">
        <v>29</v>
      </c>
      <c r="F395" s="8">
        <v>3601</v>
      </c>
      <c r="G395" s="8">
        <v>695</v>
      </c>
      <c r="H395" s="8">
        <v>75</v>
      </c>
      <c r="I395" s="8">
        <v>21606</v>
      </c>
      <c r="J395" s="8">
        <v>21454</v>
      </c>
      <c r="K395" s="8">
        <v>172</v>
      </c>
      <c r="L395" s="9" t="s">
        <v>31</v>
      </c>
      <c r="M395" s="9" t="s">
        <v>23</v>
      </c>
      <c r="N395" s="18">
        <f t="shared" si="6"/>
        <v>0.20373823063298219</v>
      </c>
    </row>
    <row r="396" spans="1:14" x14ac:dyDescent="0.3">
      <c r="A396" s="5" t="s">
        <v>296</v>
      </c>
      <c r="B396" s="6" t="s">
        <v>34</v>
      </c>
      <c r="C396" s="7">
        <v>45698</v>
      </c>
      <c r="D396" s="6" t="s">
        <v>20</v>
      </c>
      <c r="E396" s="6" t="s">
        <v>21</v>
      </c>
      <c r="F396" s="8">
        <v>562</v>
      </c>
      <c r="G396" s="8">
        <v>158</v>
      </c>
      <c r="H396" s="8">
        <v>149</v>
      </c>
      <c r="I396" s="8">
        <v>3372</v>
      </c>
      <c r="J396" s="8">
        <v>2940</v>
      </c>
      <c r="K396" s="8">
        <v>93</v>
      </c>
      <c r="L396" s="9" t="s">
        <v>52</v>
      </c>
      <c r="M396" s="9" t="s">
        <v>44</v>
      </c>
      <c r="N396" s="18">
        <f t="shared" si="6"/>
        <v>0.29557823129251698</v>
      </c>
    </row>
    <row r="397" spans="1:14" x14ac:dyDescent="0.3">
      <c r="A397" s="5" t="s">
        <v>296</v>
      </c>
      <c r="B397" s="6" t="s">
        <v>34</v>
      </c>
      <c r="C397" s="7">
        <v>45698</v>
      </c>
      <c r="D397" s="6" t="s">
        <v>20</v>
      </c>
      <c r="E397" s="6" t="s">
        <v>21</v>
      </c>
      <c r="F397" s="8">
        <v>562</v>
      </c>
      <c r="G397" s="8">
        <v>158</v>
      </c>
      <c r="H397" s="8">
        <v>149</v>
      </c>
      <c r="I397" s="8">
        <v>3372</v>
      </c>
      <c r="J397" s="8">
        <v>2940</v>
      </c>
      <c r="K397" s="8">
        <v>93</v>
      </c>
      <c r="L397" s="9" t="s">
        <v>17</v>
      </c>
      <c r="M397" s="9" t="s">
        <v>44</v>
      </c>
      <c r="N397" s="18">
        <f t="shared" si="6"/>
        <v>0.29557823129251698</v>
      </c>
    </row>
    <row r="398" spans="1:14" x14ac:dyDescent="0.3">
      <c r="A398" s="5" t="s">
        <v>297</v>
      </c>
      <c r="B398" s="6" t="s">
        <v>27</v>
      </c>
      <c r="C398" s="7">
        <v>45700</v>
      </c>
      <c r="D398" s="6" t="s">
        <v>28</v>
      </c>
      <c r="E398" s="6" t="s">
        <v>29</v>
      </c>
      <c r="F398" s="8">
        <v>4332</v>
      </c>
      <c r="G398" s="8">
        <v>771</v>
      </c>
      <c r="H398" s="8">
        <v>219</v>
      </c>
      <c r="I398" s="8">
        <v>60648</v>
      </c>
      <c r="J398" s="8">
        <v>60397</v>
      </c>
      <c r="K398" s="8">
        <v>10</v>
      </c>
      <c r="L398" s="9" t="s">
        <v>22</v>
      </c>
      <c r="M398" s="9" t="s">
        <v>32</v>
      </c>
      <c r="N398" s="18">
        <f t="shared" si="6"/>
        <v>8.8116959451628396E-2</v>
      </c>
    </row>
    <row r="399" spans="1:14" x14ac:dyDescent="0.3">
      <c r="A399" s="5" t="s">
        <v>298</v>
      </c>
      <c r="B399" s="6" t="s">
        <v>27</v>
      </c>
      <c r="C399" s="7">
        <v>45592</v>
      </c>
      <c r="D399" s="6" t="s">
        <v>40</v>
      </c>
      <c r="E399" s="6" t="s">
        <v>41</v>
      </c>
      <c r="F399" s="8">
        <v>4853</v>
      </c>
      <c r="G399" s="8">
        <v>837</v>
      </c>
      <c r="H399" s="8">
        <v>340</v>
      </c>
      <c r="I399" s="8">
        <v>72795</v>
      </c>
      <c r="J399" s="8">
        <v>72237</v>
      </c>
      <c r="K399" s="8">
        <v>170</v>
      </c>
      <c r="L399" s="9" t="s">
        <v>17</v>
      </c>
      <c r="M399" s="9" t="s">
        <v>23</v>
      </c>
      <c r="N399" s="18">
        <f t="shared" si="6"/>
        <v>8.3475227376552177E-2</v>
      </c>
    </row>
    <row r="400" spans="1:14" x14ac:dyDescent="0.3">
      <c r="A400" s="5" t="s">
        <v>299</v>
      </c>
      <c r="B400" s="6" t="s">
        <v>25</v>
      </c>
      <c r="C400" s="7">
        <v>45675</v>
      </c>
      <c r="D400" s="6" t="s">
        <v>40</v>
      </c>
      <c r="E400" s="6" t="s">
        <v>41</v>
      </c>
      <c r="F400" s="8">
        <v>1206</v>
      </c>
      <c r="G400" s="8">
        <v>238</v>
      </c>
      <c r="H400" s="8">
        <v>36</v>
      </c>
      <c r="I400" s="8">
        <v>9648</v>
      </c>
      <c r="J400" s="8">
        <v>9417</v>
      </c>
      <c r="K400" s="8">
        <v>237</v>
      </c>
      <c r="L400" s="9" t="s">
        <v>17</v>
      </c>
      <c r="M400" s="9" t="s">
        <v>32</v>
      </c>
      <c r="N400" s="18">
        <f t="shared" si="6"/>
        <v>0.15716257831581182</v>
      </c>
    </row>
    <row r="401" spans="1:14" x14ac:dyDescent="0.3">
      <c r="A401" s="5" t="s">
        <v>299</v>
      </c>
      <c r="B401" s="6" t="s">
        <v>25</v>
      </c>
      <c r="C401" s="7">
        <v>45675</v>
      </c>
      <c r="D401" s="6" t="s">
        <v>40</v>
      </c>
      <c r="E401" s="6" t="s">
        <v>41</v>
      </c>
      <c r="F401" s="8">
        <v>1206</v>
      </c>
      <c r="G401" s="8">
        <v>238</v>
      </c>
      <c r="H401" s="8">
        <v>36</v>
      </c>
      <c r="I401" s="8">
        <v>9648</v>
      </c>
      <c r="J401" s="8">
        <v>9417</v>
      </c>
      <c r="K401" s="8">
        <v>237</v>
      </c>
      <c r="L401" s="9" t="s">
        <v>31</v>
      </c>
      <c r="M401" s="9" t="s">
        <v>32</v>
      </c>
      <c r="N401" s="18">
        <f t="shared" si="6"/>
        <v>0.15716257831581182</v>
      </c>
    </row>
    <row r="402" spans="1:14" x14ac:dyDescent="0.3">
      <c r="A402" s="5" t="s">
        <v>300</v>
      </c>
      <c r="B402" s="6" t="s">
        <v>27</v>
      </c>
      <c r="C402" s="7">
        <v>45524</v>
      </c>
      <c r="D402" s="6" t="s">
        <v>15</v>
      </c>
      <c r="E402" s="6" t="s">
        <v>16</v>
      </c>
      <c r="F402" s="8">
        <v>2603</v>
      </c>
      <c r="G402" s="8">
        <v>690</v>
      </c>
      <c r="H402" s="8">
        <v>205</v>
      </c>
      <c r="I402" s="8">
        <v>13015</v>
      </c>
      <c r="J402" s="8">
        <v>12130</v>
      </c>
      <c r="K402" s="8">
        <v>20</v>
      </c>
      <c r="L402" s="9" t="s">
        <v>37</v>
      </c>
      <c r="M402" s="9" t="s">
        <v>18</v>
      </c>
      <c r="N402" s="18">
        <f t="shared" si="6"/>
        <v>0.28837592745259688</v>
      </c>
    </row>
    <row r="403" spans="1:14" x14ac:dyDescent="0.3">
      <c r="A403" s="5" t="s">
        <v>301</v>
      </c>
      <c r="B403" s="6" t="s">
        <v>14</v>
      </c>
      <c r="C403" s="7">
        <v>45687</v>
      </c>
      <c r="D403" s="6" t="s">
        <v>40</v>
      </c>
      <c r="E403" s="6" t="s">
        <v>41</v>
      </c>
      <c r="F403" s="8">
        <v>59</v>
      </c>
      <c r="G403" s="8">
        <v>163</v>
      </c>
      <c r="H403" s="8">
        <v>93</v>
      </c>
      <c r="I403" s="8">
        <v>590</v>
      </c>
      <c r="J403" s="8">
        <v>475</v>
      </c>
      <c r="K403" s="8">
        <v>293</v>
      </c>
      <c r="L403" s="9" t="s">
        <v>37</v>
      </c>
      <c r="M403" s="9" t="s">
        <v>44</v>
      </c>
      <c r="N403" s="18">
        <f t="shared" si="6"/>
        <v>0.66315789473684206</v>
      </c>
    </row>
    <row r="404" spans="1:14" x14ac:dyDescent="0.3">
      <c r="A404" s="5" t="s">
        <v>302</v>
      </c>
      <c r="B404" s="6" t="s">
        <v>14</v>
      </c>
      <c r="C404" s="7">
        <v>45708</v>
      </c>
      <c r="D404" s="6" t="s">
        <v>35</v>
      </c>
      <c r="E404" s="6" t="s">
        <v>36</v>
      </c>
      <c r="F404" s="8">
        <v>1877</v>
      </c>
      <c r="G404" s="8">
        <v>745</v>
      </c>
      <c r="H404" s="8">
        <v>225</v>
      </c>
      <c r="I404" s="8">
        <v>11262</v>
      </c>
      <c r="J404" s="8">
        <v>10967</v>
      </c>
      <c r="K404" s="8">
        <v>41</v>
      </c>
      <c r="L404" s="9" t="s">
        <v>31</v>
      </c>
      <c r="M404" s="9" t="s">
        <v>18</v>
      </c>
      <c r="N404" s="18">
        <f t="shared" si="6"/>
        <v>0.25959697273639099</v>
      </c>
    </row>
    <row r="405" spans="1:14" x14ac:dyDescent="0.3">
      <c r="A405" s="5" t="s">
        <v>302</v>
      </c>
      <c r="B405" s="6" t="s">
        <v>14</v>
      </c>
      <c r="C405" s="7">
        <v>45708</v>
      </c>
      <c r="D405" s="6" t="s">
        <v>35</v>
      </c>
      <c r="E405" s="6" t="s">
        <v>36</v>
      </c>
      <c r="F405" s="8">
        <v>1877</v>
      </c>
      <c r="G405" s="8">
        <v>745</v>
      </c>
      <c r="H405" s="8">
        <v>225</v>
      </c>
      <c r="I405" s="8">
        <v>11262</v>
      </c>
      <c r="J405" s="8">
        <v>10967</v>
      </c>
      <c r="K405" s="8">
        <v>41</v>
      </c>
      <c r="L405" s="9" t="s">
        <v>17</v>
      </c>
      <c r="M405" s="9" t="s">
        <v>18</v>
      </c>
      <c r="N405" s="18">
        <f t="shared" si="6"/>
        <v>0.25959697273639099</v>
      </c>
    </row>
    <row r="406" spans="1:14" x14ac:dyDescent="0.3">
      <c r="A406" s="5" t="s">
        <v>303</v>
      </c>
      <c r="B406" s="6" t="s">
        <v>34</v>
      </c>
      <c r="C406" s="7">
        <v>45621</v>
      </c>
      <c r="D406" s="6" t="s">
        <v>28</v>
      </c>
      <c r="E406" s="6" t="s">
        <v>29</v>
      </c>
      <c r="F406" s="8">
        <v>4182</v>
      </c>
      <c r="G406" s="8">
        <v>640</v>
      </c>
      <c r="H406" s="8">
        <v>240</v>
      </c>
      <c r="I406" s="8">
        <v>50184</v>
      </c>
      <c r="J406" s="8">
        <v>49351</v>
      </c>
      <c r="K406" s="8">
        <v>10</v>
      </c>
      <c r="L406" s="9" t="s">
        <v>17</v>
      </c>
      <c r="M406" s="9" t="s">
        <v>32</v>
      </c>
      <c r="N406" s="18">
        <f t="shared" si="6"/>
        <v>0.10257137646653564</v>
      </c>
    </row>
    <row r="407" spans="1:14" x14ac:dyDescent="0.3">
      <c r="A407" s="5" t="s">
        <v>303</v>
      </c>
      <c r="B407" s="6" t="s">
        <v>34</v>
      </c>
      <c r="C407" s="7">
        <v>45621</v>
      </c>
      <c r="D407" s="6" t="s">
        <v>28</v>
      </c>
      <c r="E407" s="6" t="s">
        <v>29</v>
      </c>
      <c r="F407" s="8">
        <v>4182</v>
      </c>
      <c r="G407" s="8">
        <v>640</v>
      </c>
      <c r="H407" s="8">
        <v>240</v>
      </c>
      <c r="I407" s="8">
        <v>50184</v>
      </c>
      <c r="J407" s="8">
        <v>49351</v>
      </c>
      <c r="K407" s="8">
        <v>10</v>
      </c>
      <c r="L407" s="9" t="s">
        <v>31</v>
      </c>
      <c r="M407" s="9" t="s">
        <v>32</v>
      </c>
      <c r="N407" s="18">
        <f t="shared" si="6"/>
        <v>0.10257137646653564</v>
      </c>
    </row>
    <row r="408" spans="1:14" x14ac:dyDescent="0.3">
      <c r="A408" s="5" t="s">
        <v>304</v>
      </c>
      <c r="B408" s="6" t="s">
        <v>14</v>
      </c>
      <c r="C408" s="7">
        <v>45569</v>
      </c>
      <c r="D408" s="6" t="s">
        <v>15</v>
      </c>
      <c r="E408" s="6" t="s">
        <v>16</v>
      </c>
      <c r="F408" s="8">
        <v>4187</v>
      </c>
      <c r="G408" s="8">
        <v>66</v>
      </c>
      <c r="H408" s="8">
        <v>31</v>
      </c>
      <c r="I408" s="8">
        <v>66992</v>
      </c>
      <c r="J408" s="8">
        <v>66614</v>
      </c>
      <c r="K408" s="8">
        <v>62</v>
      </c>
      <c r="L408" s="9" t="s">
        <v>31</v>
      </c>
      <c r="M408" s="9" t="s">
        <v>44</v>
      </c>
      <c r="N408" s="18">
        <f t="shared" si="6"/>
        <v>6.4310805536373736E-2</v>
      </c>
    </row>
    <row r="409" spans="1:14" x14ac:dyDescent="0.3">
      <c r="A409" s="5" t="s">
        <v>305</v>
      </c>
      <c r="B409" s="6" t="s">
        <v>27</v>
      </c>
      <c r="C409" s="7">
        <v>45760</v>
      </c>
      <c r="D409" s="6" t="s">
        <v>15</v>
      </c>
      <c r="E409" s="6" t="s">
        <v>16</v>
      </c>
      <c r="F409" s="8">
        <v>4579</v>
      </c>
      <c r="G409" s="8">
        <v>125</v>
      </c>
      <c r="H409" s="8">
        <v>300</v>
      </c>
      <c r="I409" s="8">
        <v>59527</v>
      </c>
      <c r="J409" s="8">
        <v>59400</v>
      </c>
      <c r="K409" s="8">
        <v>269</v>
      </c>
      <c r="L409" s="9" t="s">
        <v>31</v>
      </c>
      <c r="M409" s="9" t="s">
        <v>18</v>
      </c>
      <c r="N409" s="18">
        <f t="shared" si="6"/>
        <v>8.4242424242424244E-2</v>
      </c>
    </row>
    <row r="410" spans="1:14" x14ac:dyDescent="0.3">
      <c r="A410" s="5" t="s">
        <v>305</v>
      </c>
      <c r="B410" s="6" t="s">
        <v>27</v>
      </c>
      <c r="C410" s="7">
        <v>45760</v>
      </c>
      <c r="D410" s="6" t="s">
        <v>15</v>
      </c>
      <c r="E410" s="6" t="s">
        <v>16</v>
      </c>
      <c r="F410" s="8">
        <v>4579</v>
      </c>
      <c r="G410" s="8">
        <v>125</v>
      </c>
      <c r="H410" s="8">
        <v>300</v>
      </c>
      <c r="I410" s="8">
        <v>59527</v>
      </c>
      <c r="J410" s="8">
        <v>59400</v>
      </c>
      <c r="K410" s="8">
        <v>269</v>
      </c>
      <c r="L410" s="9" t="s">
        <v>22</v>
      </c>
      <c r="M410" s="9" t="s">
        <v>18</v>
      </c>
      <c r="N410" s="18">
        <f t="shared" si="6"/>
        <v>8.4242424242424244E-2</v>
      </c>
    </row>
    <row r="411" spans="1:14" x14ac:dyDescent="0.3">
      <c r="A411" s="5" t="s">
        <v>306</v>
      </c>
      <c r="B411" s="6" t="s">
        <v>27</v>
      </c>
      <c r="C411" s="7">
        <v>45601</v>
      </c>
      <c r="D411" s="6" t="s">
        <v>50</v>
      </c>
      <c r="E411" s="6" t="s">
        <v>51</v>
      </c>
      <c r="F411" s="8">
        <v>4561</v>
      </c>
      <c r="G411" s="8">
        <v>51</v>
      </c>
      <c r="H411" s="8">
        <v>441</v>
      </c>
      <c r="I411" s="8">
        <v>22805</v>
      </c>
      <c r="J411" s="8">
        <v>21890</v>
      </c>
      <c r="K411" s="8">
        <v>45</v>
      </c>
      <c r="L411" s="9" t="s">
        <v>31</v>
      </c>
      <c r="M411" s="9" t="s">
        <v>23</v>
      </c>
      <c r="N411" s="18">
        <f t="shared" si="6"/>
        <v>0.23083599817268158</v>
      </c>
    </row>
    <row r="412" spans="1:14" x14ac:dyDescent="0.3">
      <c r="A412" s="5" t="s">
        <v>307</v>
      </c>
      <c r="B412" s="6" t="s">
        <v>25</v>
      </c>
      <c r="C412" s="7">
        <v>45672</v>
      </c>
      <c r="D412" s="6" t="s">
        <v>15</v>
      </c>
      <c r="E412" s="6" t="s">
        <v>16</v>
      </c>
      <c r="F412" s="8">
        <v>3774</v>
      </c>
      <c r="G412" s="8">
        <v>239</v>
      </c>
      <c r="H412" s="8">
        <v>39</v>
      </c>
      <c r="I412" s="8">
        <v>60384</v>
      </c>
      <c r="J412" s="8">
        <v>59490</v>
      </c>
      <c r="K412" s="8">
        <v>241</v>
      </c>
      <c r="L412" s="9" t="s">
        <v>52</v>
      </c>
      <c r="M412" s="9" t="s">
        <v>32</v>
      </c>
      <c r="N412" s="18">
        <f t="shared" si="6"/>
        <v>6.8112287779458727E-2</v>
      </c>
    </row>
    <row r="413" spans="1:14" x14ac:dyDescent="0.3">
      <c r="A413" s="5" t="s">
        <v>308</v>
      </c>
      <c r="B413" s="6" t="s">
        <v>27</v>
      </c>
      <c r="C413" s="7">
        <v>45582</v>
      </c>
      <c r="D413" s="6" t="s">
        <v>50</v>
      </c>
      <c r="E413" s="6" t="s">
        <v>51</v>
      </c>
      <c r="F413" s="8">
        <v>3575</v>
      </c>
      <c r="G413" s="8">
        <v>749</v>
      </c>
      <c r="H413" s="8">
        <v>111</v>
      </c>
      <c r="I413" s="8">
        <v>21450</v>
      </c>
      <c r="J413" s="8">
        <v>20785</v>
      </c>
      <c r="K413" s="8">
        <v>195</v>
      </c>
      <c r="L413" s="9" t="s">
        <v>52</v>
      </c>
      <c r="M413" s="9" t="s">
        <v>32</v>
      </c>
      <c r="N413" s="18">
        <f t="shared" si="6"/>
        <v>0.21337503006976186</v>
      </c>
    </row>
    <row r="414" spans="1:14" x14ac:dyDescent="0.3">
      <c r="A414" s="5" t="s">
        <v>309</v>
      </c>
      <c r="B414" s="6" t="s">
        <v>27</v>
      </c>
      <c r="C414" s="7">
        <v>45743</v>
      </c>
      <c r="D414" s="6" t="s">
        <v>20</v>
      </c>
      <c r="E414" s="6" t="s">
        <v>21</v>
      </c>
      <c r="F414" s="8">
        <v>4941</v>
      </c>
      <c r="G414" s="8">
        <v>414</v>
      </c>
      <c r="H414" s="8">
        <v>266</v>
      </c>
      <c r="I414" s="8">
        <v>39528</v>
      </c>
      <c r="J414" s="8">
        <v>39154</v>
      </c>
      <c r="K414" s="8">
        <v>217</v>
      </c>
      <c r="L414" s="9" t="s">
        <v>17</v>
      </c>
      <c r="M414" s="9" t="s">
        <v>23</v>
      </c>
      <c r="N414" s="18">
        <f t="shared" si="6"/>
        <v>0.14356132195944221</v>
      </c>
    </row>
    <row r="415" spans="1:14" x14ac:dyDescent="0.3">
      <c r="A415" s="5" t="s">
        <v>310</v>
      </c>
      <c r="B415" s="6" t="s">
        <v>25</v>
      </c>
      <c r="C415" s="7">
        <v>45577</v>
      </c>
      <c r="D415" s="6" t="s">
        <v>28</v>
      </c>
      <c r="E415" s="6" t="s">
        <v>29</v>
      </c>
      <c r="F415" s="8">
        <v>3641</v>
      </c>
      <c r="G415" s="8">
        <v>226</v>
      </c>
      <c r="H415" s="8">
        <v>46</v>
      </c>
      <c r="I415" s="8">
        <v>40051</v>
      </c>
      <c r="J415" s="8">
        <v>39319</v>
      </c>
      <c r="K415" s="8">
        <v>296</v>
      </c>
      <c r="L415" s="9" t="s">
        <v>37</v>
      </c>
      <c r="M415" s="9" t="s">
        <v>23</v>
      </c>
      <c r="N415" s="18">
        <f t="shared" si="6"/>
        <v>9.9519316361046828E-2</v>
      </c>
    </row>
    <row r="416" spans="1:14" x14ac:dyDescent="0.3">
      <c r="A416" s="5" t="s">
        <v>311</v>
      </c>
      <c r="B416" s="6" t="s">
        <v>14</v>
      </c>
      <c r="C416" s="7">
        <v>45658</v>
      </c>
      <c r="D416" s="6" t="s">
        <v>35</v>
      </c>
      <c r="E416" s="6" t="s">
        <v>36</v>
      </c>
      <c r="F416" s="8">
        <v>3535</v>
      </c>
      <c r="G416" s="8">
        <v>494</v>
      </c>
      <c r="H416" s="8">
        <v>152</v>
      </c>
      <c r="I416" s="8">
        <v>53025</v>
      </c>
      <c r="J416" s="8">
        <v>52791</v>
      </c>
      <c r="K416" s="8">
        <v>44</v>
      </c>
      <c r="L416" s="9" t="s">
        <v>37</v>
      </c>
      <c r="M416" s="9" t="s">
        <v>23</v>
      </c>
      <c r="N416" s="18">
        <f t="shared" si="6"/>
        <v>7.9199105908204046E-2</v>
      </c>
    </row>
    <row r="417" spans="1:14" x14ac:dyDescent="0.3">
      <c r="A417" s="5" t="s">
        <v>311</v>
      </c>
      <c r="B417" s="6" t="s">
        <v>14</v>
      </c>
      <c r="C417" s="7">
        <v>45658</v>
      </c>
      <c r="D417" s="6" t="s">
        <v>35</v>
      </c>
      <c r="E417" s="6" t="s">
        <v>36</v>
      </c>
      <c r="F417" s="8">
        <v>3535</v>
      </c>
      <c r="G417" s="8">
        <v>494</v>
      </c>
      <c r="H417" s="8">
        <v>152</v>
      </c>
      <c r="I417" s="8">
        <v>53025</v>
      </c>
      <c r="J417" s="8">
        <v>52791</v>
      </c>
      <c r="K417" s="8">
        <v>44</v>
      </c>
      <c r="L417" s="9" t="s">
        <v>31</v>
      </c>
      <c r="M417" s="9" t="s">
        <v>23</v>
      </c>
      <c r="N417" s="18">
        <f t="shared" si="6"/>
        <v>7.9199105908204046E-2</v>
      </c>
    </row>
    <row r="418" spans="1:14" x14ac:dyDescent="0.3">
      <c r="A418" s="5" t="s">
        <v>312</v>
      </c>
      <c r="B418" s="6" t="s">
        <v>34</v>
      </c>
      <c r="C418" s="7">
        <v>45509</v>
      </c>
      <c r="D418" s="6" t="s">
        <v>15</v>
      </c>
      <c r="E418" s="6" t="s">
        <v>16</v>
      </c>
      <c r="F418" s="8">
        <v>1741</v>
      </c>
      <c r="G418" s="8">
        <v>831</v>
      </c>
      <c r="H418" s="8">
        <v>345</v>
      </c>
      <c r="I418" s="8">
        <v>17410</v>
      </c>
      <c r="J418" s="8">
        <v>16844</v>
      </c>
      <c r="K418" s="8">
        <v>58</v>
      </c>
      <c r="L418" s="9" t="s">
        <v>22</v>
      </c>
      <c r="M418" s="9" t="s">
        <v>44</v>
      </c>
      <c r="N418" s="18">
        <f t="shared" si="6"/>
        <v>0.17317739254333889</v>
      </c>
    </row>
    <row r="419" spans="1:14" x14ac:dyDescent="0.3">
      <c r="A419" s="5" t="s">
        <v>312</v>
      </c>
      <c r="B419" s="6" t="s">
        <v>34</v>
      </c>
      <c r="C419" s="7">
        <v>45509</v>
      </c>
      <c r="D419" s="6" t="s">
        <v>15</v>
      </c>
      <c r="E419" s="6" t="s">
        <v>16</v>
      </c>
      <c r="F419" s="8">
        <v>1741</v>
      </c>
      <c r="G419" s="8">
        <v>831</v>
      </c>
      <c r="H419" s="8">
        <v>345</v>
      </c>
      <c r="I419" s="8">
        <v>17410</v>
      </c>
      <c r="J419" s="8">
        <v>16844</v>
      </c>
      <c r="K419" s="8">
        <v>58</v>
      </c>
      <c r="L419" s="9" t="s">
        <v>52</v>
      </c>
      <c r="M419" s="9" t="s">
        <v>44</v>
      </c>
      <c r="N419" s="18">
        <f t="shared" si="6"/>
        <v>0.17317739254333889</v>
      </c>
    </row>
    <row r="420" spans="1:14" x14ac:dyDescent="0.3">
      <c r="A420" s="5" t="s">
        <v>313</v>
      </c>
      <c r="B420" s="6" t="s">
        <v>14</v>
      </c>
      <c r="C420" s="7">
        <v>45450</v>
      </c>
      <c r="D420" s="6" t="s">
        <v>35</v>
      </c>
      <c r="E420" s="6" t="s">
        <v>36</v>
      </c>
      <c r="F420" s="8">
        <v>1556</v>
      </c>
      <c r="G420" s="8">
        <v>195</v>
      </c>
      <c r="H420" s="8">
        <v>131</v>
      </c>
      <c r="I420" s="8">
        <v>9336</v>
      </c>
      <c r="J420" s="8">
        <v>8875</v>
      </c>
      <c r="K420" s="8">
        <v>137</v>
      </c>
      <c r="L420" s="9" t="s">
        <v>22</v>
      </c>
      <c r="M420" s="9" t="s">
        <v>23</v>
      </c>
      <c r="N420" s="18">
        <f t="shared" si="6"/>
        <v>0.21205633802816901</v>
      </c>
    </row>
    <row r="421" spans="1:14" x14ac:dyDescent="0.3">
      <c r="A421" s="5" t="s">
        <v>314</v>
      </c>
      <c r="B421" s="6" t="s">
        <v>34</v>
      </c>
      <c r="C421" s="7">
        <v>45753</v>
      </c>
      <c r="D421" s="6" t="s">
        <v>40</v>
      </c>
      <c r="E421" s="6" t="s">
        <v>41</v>
      </c>
      <c r="F421" s="8">
        <v>4236</v>
      </c>
      <c r="G421" s="8">
        <v>711</v>
      </c>
      <c r="H421" s="8">
        <v>298</v>
      </c>
      <c r="I421" s="8">
        <v>21180</v>
      </c>
      <c r="J421" s="8">
        <v>20516</v>
      </c>
      <c r="K421" s="8">
        <v>238</v>
      </c>
      <c r="L421" s="9" t="s">
        <v>37</v>
      </c>
      <c r="M421" s="9" t="s">
        <v>44</v>
      </c>
      <c r="N421" s="18">
        <f t="shared" si="6"/>
        <v>0.25565412361084033</v>
      </c>
    </row>
    <row r="422" spans="1:14" x14ac:dyDescent="0.3">
      <c r="A422" s="5" t="s">
        <v>314</v>
      </c>
      <c r="B422" s="6" t="s">
        <v>34</v>
      </c>
      <c r="C422" s="7">
        <v>45753</v>
      </c>
      <c r="D422" s="6" t="s">
        <v>40</v>
      </c>
      <c r="E422" s="6" t="s">
        <v>41</v>
      </c>
      <c r="F422" s="8">
        <v>4236</v>
      </c>
      <c r="G422" s="8">
        <v>711</v>
      </c>
      <c r="H422" s="8">
        <v>298</v>
      </c>
      <c r="I422" s="8">
        <v>21180</v>
      </c>
      <c r="J422" s="8">
        <v>20516</v>
      </c>
      <c r="K422" s="8">
        <v>238</v>
      </c>
      <c r="L422" s="9" t="s">
        <v>17</v>
      </c>
      <c r="M422" s="9" t="s">
        <v>44</v>
      </c>
      <c r="N422" s="18">
        <f t="shared" si="6"/>
        <v>0.25565412361084033</v>
      </c>
    </row>
    <row r="423" spans="1:14" x14ac:dyDescent="0.3">
      <c r="A423" s="5" t="s">
        <v>315</v>
      </c>
      <c r="B423" s="6" t="s">
        <v>14</v>
      </c>
      <c r="C423" s="7">
        <v>45622</v>
      </c>
      <c r="D423" s="6" t="s">
        <v>20</v>
      </c>
      <c r="E423" s="6" t="s">
        <v>21</v>
      </c>
      <c r="F423" s="8">
        <v>4516</v>
      </c>
      <c r="G423" s="8">
        <v>836</v>
      </c>
      <c r="H423" s="8">
        <v>169</v>
      </c>
      <c r="I423" s="8">
        <v>49676</v>
      </c>
      <c r="J423" s="8">
        <v>49257</v>
      </c>
      <c r="K423" s="8">
        <v>282</v>
      </c>
      <c r="L423" s="9" t="s">
        <v>37</v>
      </c>
      <c r="M423" s="9" t="s">
        <v>18</v>
      </c>
      <c r="N423" s="18">
        <f t="shared" si="6"/>
        <v>0.11208559189556815</v>
      </c>
    </row>
    <row r="424" spans="1:14" x14ac:dyDescent="0.3">
      <c r="A424" s="5" t="s">
        <v>316</v>
      </c>
      <c r="B424" s="6" t="s">
        <v>25</v>
      </c>
      <c r="C424" s="7">
        <v>45537</v>
      </c>
      <c r="D424" s="6" t="s">
        <v>40</v>
      </c>
      <c r="E424" s="6" t="s">
        <v>41</v>
      </c>
      <c r="F424" s="8">
        <v>4905</v>
      </c>
      <c r="G424" s="8">
        <v>845</v>
      </c>
      <c r="H424" s="8">
        <v>129</v>
      </c>
      <c r="I424" s="8">
        <v>98100</v>
      </c>
      <c r="J424" s="8">
        <v>97772</v>
      </c>
      <c r="K424" s="8">
        <v>279</v>
      </c>
      <c r="L424" s="9" t="s">
        <v>37</v>
      </c>
      <c r="M424" s="9" t="s">
        <v>44</v>
      </c>
      <c r="N424" s="18">
        <f t="shared" si="6"/>
        <v>6.0129689481651191E-2</v>
      </c>
    </row>
    <row r="425" spans="1:14" x14ac:dyDescent="0.3">
      <c r="A425" s="5" t="s">
        <v>317</v>
      </c>
      <c r="B425" s="6" t="s">
        <v>25</v>
      </c>
      <c r="C425" s="7">
        <v>45586</v>
      </c>
      <c r="D425" s="6" t="s">
        <v>50</v>
      </c>
      <c r="E425" s="6" t="s">
        <v>51</v>
      </c>
      <c r="F425" s="8">
        <v>4275</v>
      </c>
      <c r="G425" s="8">
        <v>680</v>
      </c>
      <c r="H425" s="8">
        <v>385</v>
      </c>
      <c r="I425" s="8">
        <v>64125</v>
      </c>
      <c r="J425" s="8">
        <v>63650</v>
      </c>
      <c r="K425" s="8">
        <v>104</v>
      </c>
      <c r="L425" s="9" t="s">
        <v>31</v>
      </c>
      <c r="M425" s="9" t="s">
        <v>44</v>
      </c>
      <c r="N425" s="18">
        <f t="shared" si="6"/>
        <v>8.3896307934014133E-2</v>
      </c>
    </row>
    <row r="426" spans="1:14" x14ac:dyDescent="0.3">
      <c r="A426" s="5" t="s">
        <v>318</v>
      </c>
      <c r="B426" s="6" t="s">
        <v>25</v>
      </c>
      <c r="C426" s="7">
        <v>45738</v>
      </c>
      <c r="D426" s="6" t="s">
        <v>40</v>
      </c>
      <c r="E426" s="6" t="s">
        <v>41</v>
      </c>
      <c r="F426" s="8">
        <v>3166</v>
      </c>
      <c r="G426" s="8">
        <v>90</v>
      </c>
      <c r="H426" s="8">
        <v>341</v>
      </c>
      <c r="I426" s="8">
        <v>56988</v>
      </c>
      <c r="J426" s="8">
        <v>56125</v>
      </c>
      <c r="K426" s="8">
        <v>135</v>
      </c>
      <c r="L426" s="9" t="s">
        <v>22</v>
      </c>
      <c r="M426" s="9" t="s">
        <v>23</v>
      </c>
      <c r="N426" s="18">
        <f t="shared" si="6"/>
        <v>6.4089086859688199E-2</v>
      </c>
    </row>
    <row r="427" spans="1:14" x14ac:dyDescent="0.3">
      <c r="A427" s="5" t="s">
        <v>318</v>
      </c>
      <c r="B427" s="6" t="s">
        <v>25</v>
      </c>
      <c r="C427" s="7">
        <v>45738</v>
      </c>
      <c r="D427" s="6" t="s">
        <v>40</v>
      </c>
      <c r="E427" s="6" t="s">
        <v>41</v>
      </c>
      <c r="F427" s="8">
        <v>3166</v>
      </c>
      <c r="G427" s="8">
        <v>90</v>
      </c>
      <c r="H427" s="8">
        <v>341</v>
      </c>
      <c r="I427" s="8">
        <v>56988</v>
      </c>
      <c r="J427" s="8">
        <v>56125</v>
      </c>
      <c r="K427" s="8">
        <v>135</v>
      </c>
      <c r="L427" s="9" t="s">
        <v>31</v>
      </c>
      <c r="M427" s="9" t="s">
        <v>23</v>
      </c>
      <c r="N427" s="18">
        <f t="shared" si="6"/>
        <v>6.4089086859688199E-2</v>
      </c>
    </row>
    <row r="428" spans="1:14" x14ac:dyDescent="0.3">
      <c r="A428" s="5" t="s">
        <v>319</v>
      </c>
      <c r="B428" s="6" t="s">
        <v>27</v>
      </c>
      <c r="C428" s="7">
        <v>45568</v>
      </c>
      <c r="D428" s="6" t="s">
        <v>50</v>
      </c>
      <c r="E428" s="6" t="s">
        <v>51</v>
      </c>
      <c r="F428" s="8">
        <v>1488</v>
      </c>
      <c r="G428" s="8">
        <v>417</v>
      </c>
      <c r="H428" s="8">
        <v>168</v>
      </c>
      <c r="I428" s="8">
        <v>19344</v>
      </c>
      <c r="J428" s="8">
        <v>18395</v>
      </c>
      <c r="K428" s="8">
        <v>30</v>
      </c>
      <c r="L428" s="9" t="s">
        <v>17</v>
      </c>
      <c r="M428" s="9" t="s">
        <v>18</v>
      </c>
      <c r="N428" s="18">
        <f t="shared" si="6"/>
        <v>0.11269366675727099</v>
      </c>
    </row>
    <row r="429" spans="1:14" x14ac:dyDescent="0.3">
      <c r="A429" s="5" t="s">
        <v>320</v>
      </c>
      <c r="B429" s="6" t="s">
        <v>14</v>
      </c>
      <c r="C429" s="7">
        <v>45786</v>
      </c>
      <c r="D429" s="6" t="s">
        <v>15</v>
      </c>
      <c r="E429" s="6" t="s">
        <v>16</v>
      </c>
      <c r="F429" s="8">
        <v>3367</v>
      </c>
      <c r="G429" s="8">
        <v>302</v>
      </c>
      <c r="H429" s="8">
        <v>57</v>
      </c>
      <c r="I429" s="8">
        <v>63973</v>
      </c>
      <c r="J429" s="8">
        <v>63789</v>
      </c>
      <c r="K429" s="8">
        <v>157</v>
      </c>
      <c r="L429" s="9" t="s">
        <v>37</v>
      </c>
      <c r="M429" s="9" t="s">
        <v>32</v>
      </c>
      <c r="N429" s="18">
        <f t="shared" si="6"/>
        <v>5.841132483657057E-2</v>
      </c>
    </row>
    <row r="430" spans="1:14" x14ac:dyDescent="0.3">
      <c r="A430" s="5" t="s">
        <v>320</v>
      </c>
      <c r="B430" s="6" t="s">
        <v>14</v>
      </c>
      <c r="C430" s="7">
        <v>45786</v>
      </c>
      <c r="D430" s="6" t="s">
        <v>15</v>
      </c>
      <c r="E430" s="6" t="s">
        <v>16</v>
      </c>
      <c r="F430" s="8">
        <v>3367</v>
      </c>
      <c r="G430" s="8">
        <v>302</v>
      </c>
      <c r="H430" s="8">
        <v>57</v>
      </c>
      <c r="I430" s="8">
        <v>63973</v>
      </c>
      <c r="J430" s="8">
        <v>63789</v>
      </c>
      <c r="K430" s="8">
        <v>157</v>
      </c>
      <c r="L430" s="9" t="s">
        <v>22</v>
      </c>
      <c r="M430" s="9" t="s">
        <v>32</v>
      </c>
      <c r="N430" s="18">
        <f t="shared" si="6"/>
        <v>5.841132483657057E-2</v>
      </c>
    </row>
    <row r="431" spans="1:14" x14ac:dyDescent="0.3">
      <c r="A431" s="5" t="s">
        <v>321</v>
      </c>
      <c r="B431" s="6" t="s">
        <v>14</v>
      </c>
      <c r="C431" s="7">
        <v>45552</v>
      </c>
      <c r="D431" s="6" t="s">
        <v>20</v>
      </c>
      <c r="E431" s="6" t="s">
        <v>21</v>
      </c>
      <c r="F431" s="8">
        <v>571</v>
      </c>
      <c r="G431" s="8">
        <v>190</v>
      </c>
      <c r="H431" s="8">
        <v>352</v>
      </c>
      <c r="I431" s="8">
        <v>9707</v>
      </c>
      <c r="J431" s="8">
        <v>9418</v>
      </c>
      <c r="K431" s="8">
        <v>231</v>
      </c>
      <c r="L431" s="9" t="s">
        <v>52</v>
      </c>
      <c r="M431" s="9" t="s">
        <v>23</v>
      </c>
      <c r="N431" s="18">
        <f t="shared" si="6"/>
        <v>0.11817795710341898</v>
      </c>
    </row>
    <row r="432" spans="1:14" x14ac:dyDescent="0.3">
      <c r="A432" s="5" t="s">
        <v>322</v>
      </c>
      <c r="B432" s="6" t="s">
        <v>25</v>
      </c>
      <c r="C432" s="7">
        <v>45491</v>
      </c>
      <c r="D432" s="6" t="s">
        <v>20</v>
      </c>
      <c r="E432" s="6" t="s">
        <v>21</v>
      </c>
      <c r="F432" s="8">
        <v>4021</v>
      </c>
      <c r="G432" s="8">
        <v>794</v>
      </c>
      <c r="H432" s="8">
        <v>77</v>
      </c>
      <c r="I432" s="8">
        <v>36189</v>
      </c>
      <c r="J432" s="8">
        <v>35505</v>
      </c>
      <c r="K432" s="8">
        <v>174</v>
      </c>
      <c r="L432" s="9" t="s">
        <v>52</v>
      </c>
      <c r="M432" s="9" t="s">
        <v>18</v>
      </c>
      <c r="N432" s="18">
        <f t="shared" si="6"/>
        <v>0.13778341078721307</v>
      </c>
    </row>
    <row r="433" spans="1:14" x14ac:dyDescent="0.3">
      <c r="A433" s="5" t="s">
        <v>322</v>
      </c>
      <c r="B433" s="6" t="s">
        <v>25</v>
      </c>
      <c r="C433" s="7">
        <v>45491</v>
      </c>
      <c r="D433" s="6" t="s">
        <v>20</v>
      </c>
      <c r="E433" s="6" t="s">
        <v>21</v>
      </c>
      <c r="F433" s="8">
        <v>4021</v>
      </c>
      <c r="G433" s="8">
        <v>794</v>
      </c>
      <c r="H433" s="8">
        <v>77</v>
      </c>
      <c r="I433" s="8">
        <v>36189</v>
      </c>
      <c r="J433" s="8">
        <v>35505</v>
      </c>
      <c r="K433" s="8">
        <v>174</v>
      </c>
      <c r="L433" s="9" t="s">
        <v>31</v>
      </c>
      <c r="M433" s="9" t="s">
        <v>18</v>
      </c>
      <c r="N433" s="18">
        <f t="shared" si="6"/>
        <v>0.13778341078721307</v>
      </c>
    </row>
    <row r="434" spans="1:14" x14ac:dyDescent="0.3">
      <c r="A434" s="5" t="s">
        <v>323</v>
      </c>
      <c r="B434" s="6" t="s">
        <v>25</v>
      </c>
      <c r="C434" s="7">
        <v>45560</v>
      </c>
      <c r="D434" s="6" t="s">
        <v>50</v>
      </c>
      <c r="E434" s="6" t="s">
        <v>51</v>
      </c>
      <c r="F434" s="8">
        <v>3389</v>
      </c>
      <c r="G434" s="8">
        <v>344</v>
      </c>
      <c r="H434" s="8">
        <v>229</v>
      </c>
      <c r="I434" s="8">
        <v>20334</v>
      </c>
      <c r="J434" s="8">
        <v>19443</v>
      </c>
      <c r="K434" s="8">
        <v>228</v>
      </c>
      <c r="L434" s="9" t="s">
        <v>22</v>
      </c>
      <c r="M434" s="9" t="s">
        <v>23</v>
      </c>
      <c r="N434" s="18">
        <f t="shared" si="6"/>
        <v>0.20377513758164892</v>
      </c>
    </row>
    <row r="435" spans="1:14" x14ac:dyDescent="0.3">
      <c r="A435" s="5" t="s">
        <v>323</v>
      </c>
      <c r="B435" s="6" t="s">
        <v>25</v>
      </c>
      <c r="C435" s="7">
        <v>45560</v>
      </c>
      <c r="D435" s="6" t="s">
        <v>50</v>
      </c>
      <c r="E435" s="6" t="s">
        <v>51</v>
      </c>
      <c r="F435" s="8">
        <v>3389</v>
      </c>
      <c r="G435" s="8">
        <v>344</v>
      </c>
      <c r="H435" s="8">
        <v>229</v>
      </c>
      <c r="I435" s="8">
        <v>20334</v>
      </c>
      <c r="J435" s="8">
        <v>19443</v>
      </c>
      <c r="K435" s="8">
        <v>228</v>
      </c>
      <c r="L435" s="9" t="s">
        <v>17</v>
      </c>
      <c r="M435" s="9" t="s">
        <v>23</v>
      </c>
      <c r="N435" s="18">
        <f t="shared" si="6"/>
        <v>0.20377513758164892</v>
      </c>
    </row>
    <row r="436" spans="1:14" x14ac:dyDescent="0.3">
      <c r="A436" s="5" t="s">
        <v>324</v>
      </c>
      <c r="B436" s="6" t="s">
        <v>27</v>
      </c>
      <c r="C436" s="7">
        <v>45519</v>
      </c>
      <c r="D436" s="6" t="s">
        <v>15</v>
      </c>
      <c r="E436" s="6" t="s">
        <v>16</v>
      </c>
      <c r="F436" s="8">
        <v>1164</v>
      </c>
      <c r="G436" s="8">
        <v>616</v>
      </c>
      <c r="H436" s="8">
        <v>324</v>
      </c>
      <c r="I436" s="8">
        <v>6984</v>
      </c>
      <c r="J436" s="8">
        <v>6636</v>
      </c>
      <c r="K436" s="8">
        <v>82</v>
      </c>
      <c r="L436" s="9" t="s">
        <v>22</v>
      </c>
      <c r="M436" s="9" t="s">
        <v>32</v>
      </c>
      <c r="N436" s="18">
        <f t="shared" si="6"/>
        <v>0.31705846895720313</v>
      </c>
    </row>
    <row r="437" spans="1:14" x14ac:dyDescent="0.3">
      <c r="A437" s="5" t="s">
        <v>324</v>
      </c>
      <c r="B437" s="6" t="s">
        <v>27</v>
      </c>
      <c r="C437" s="7">
        <v>45519</v>
      </c>
      <c r="D437" s="6" t="s">
        <v>15</v>
      </c>
      <c r="E437" s="6" t="s">
        <v>16</v>
      </c>
      <c r="F437" s="8">
        <v>1164</v>
      </c>
      <c r="G437" s="8">
        <v>616</v>
      </c>
      <c r="H437" s="8">
        <v>324</v>
      </c>
      <c r="I437" s="8">
        <v>6984</v>
      </c>
      <c r="J437" s="8">
        <v>6636</v>
      </c>
      <c r="K437" s="8">
        <v>82</v>
      </c>
      <c r="L437" s="9" t="s">
        <v>37</v>
      </c>
      <c r="M437" s="9" t="s">
        <v>32</v>
      </c>
      <c r="N437" s="18">
        <f t="shared" si="6"/>
        <v>0.31705846895720313</v>
      </c>
    </row>
    <row r="438" spans="1:14" x14ac:dyDescent="0.3">
      <c r="A438" s="5" t="s">
        <v>325</v>
      </c>
      <c r="B438" s="6" t="s">
        <v>25</v>
      </c>
      <c r="C438" s="7">
        <v>45764</v>
      </c>
      <c r="D438" s="6" t="s">
        <v>35</v>
      </c>
      <c r="E438" s="6" t="s">
        <v>36</v>
      </c>
      <c r="F438" s="8">
        <v>4780</v>
      </c>
      <c r="G438" s="8">
        <v>691</v>
      </c>
      <c r="H438" s="8">
        <v>380</v>
      </c>
      <c r="I438" s="8">
        <v>86040</v>
      </c>
      <c r="J438" s="8">
        <v>85743</v>
      </c>
      <c r="K438" s="8">
        <v>262</v>
      </c>
      <c r="L438" s="9" t="s">
        <v>22</v>
      </c>
      <c r="M438" s="9" t="s">
        <v>32</v>
      </c>
      <c r="N438" s="18">
        <f t="shared" si="6"/>
        <v>6.8238806666433408E-2</v>
      </c>
    </row>
    <row r="439" spans="1:14" x14ac:dyDescent="0.3">
      <c r="A439" s="5" t="s">
        <v>325</v>
      </c>
      <c r="B439" s="6" t="s">
        <v>25</v>
      </c>
      <c r="C439" s="7">
        <v>45764</v>
      </c>
      <c r="D439" s="6" t="s">
        <v>35</v>
      </c>
      <c r="E439" s="6" t="s">
        <v>36</v>
      </c>
      <c r="F439" s="8">
        <v>4780</v>
      </c>
      <c r="G439" s="8">
        <v>691</v>
      </c>
      <c r="H439" s="8">
        <v>380</v>
      </c>
      <c r="I439" s="8">
        <v>86040</v>
      </c>
      <c r="J439" s="8">
        <v>85743</v>
      </c>
      <c r="K439" s="8">
        <v>262</v>
      </c>
      <c r="L439" s="9" t="s">
        <v>52</v>
      </c>
      <c r="M439" s="9" t="s">
        <v>32</v>
      </c>
      <c r="N439" s="18">
        <f t="shared" si="6"/>
        <v>6.8238806666433408E-2</v>
      </c>
    </row>
    <row r="440" spans="1:14" x14ac:dyDescent="0.3">
      <c r="A440" s="5" t="s">
        <v>326</v>
      </c>
      <c r="B440" s="6" t="s">
        <v>34</v>
      </c>
      <c r="C440" s="7">
        <v>45624</v>
      </c>
      <c r="D440" s="6" t="s">
        <v>35</v>
      </c>
      <c r="E440" s="6" t="s">
        <v>36</v>
      </c>
      <c r="F440" s="8">
        <v>2751</v>
      </c>
      <c r="G440" s="8">
        <v>33</v>
      </c>
      <c r="H440" s="8">
        <v>430</v>
      </c>
      <c r="I440" s="8">
        <v>44016</v>
      </c>
      <c r="J440" s="8">
        <v>43415</v>
      </c>
      <c r="K440" s="8">
        <v>129</v>
      </c>
      <c r="L440" s="9" t="s">
        <v>37</v>
      </c>
      <c r="M440" s="9" t="s">
        <v>23</v>
      </c>
      <c r="N440" s="18">
        <f t="shared" si="6"/>
        <v>7.4029713232753661E-2</v>
      </c>
    </row>
    <row r="441" spans="1:14" x14ac:dyDescent="0.3">
      <c r="A441" s="5" t="s">
        <v>326</v>
      </c>
      <c r="B441" s="6" t="s">
        <v>34</v>
      </c>
      <c r="C441" s="7">
        <v>45624</v>
      </c>
      <c r="D441" s="6" t="s">
        <v>35</v>
      </c>
      <c r="E441" s="6" t="s">
        <v>36</v>
      </c>
      <c r="F441" s="8">
        <v>2751</v>
      </c>
      <c r="G441" s="8">
        <v>33</v>
      </c>
      <c r="H441" s="8">
        <v>430</v>
      </c>
      <c r="I441" s="8">
        <v>44016</v>
      </c>
      <c r="J441" s="8">
        <v>43415</v>
      </c>
      <c r="K441" s="8">
        <v>129</v>
      </c>
      <c r="L441" s="9" t="s">
        <v>31</v>
      </c>
      <c r="M441" s="9" t="s">
        <v>23</v>
      </c>
      <c r="N441" s="18">
        <f t="shared" si="6"/>
        <v>7.4029713232753661E-2</v>
      </c>
    </row>
    <row r="442" spans="1:14" x14ac:dyDescent="0.3">
      <c r="A442" s="5" t="s">
        <v>327</v>
      </c>
      <c r="B442" s="6" t="s">
        <v>27</v>
      </c>
      <c r="C442" s="7">
        <v>45646</v>
      </c>
      <c r="D442" s="6" t="s">
        <v>35</v>
      </c>
      <c r="E442" s="6" t="s">
        <v>36</v>
      </c>
      <c r="F442" s="8">
        <v>2107</v>
      </c>
      <c r="G442" s="8">
        <v>550</v>
      </c>
      <c r="H442" s="8">
        <v>349</v>
      </c>
      <c r="I442" s="8">
        <v>35819</v>
      </c>
      <c r="J442" s="8">
        <v>35340</v>
      </c>
      <c r="K442" s="8">
        <v>191</v>
      </c>
      <c r="L442" s="9" t="s">
        <v>37</v>
      </c>
      <c r="M442" s="9" t="s">
        <v>32</v>
      </c>
      <c r="N442" s="18">
        <f t="shared" si="6"/>
        <v>8.5059422750424454E-2</v>
      </c>
    </row>
    <row r="443" spans="1:14" x14ac:dyDescent="0.3">
      <c r="A443" s="5" t="s">
        <v>328</v>
      </c>
      <c r="B443" s="6" t="s">
        <v>34</v>
      </c>
      <c r="C443" s="7">
        <v>45602</v>
      </c>
      <c r="D443" s="6" t="s">
        <v>50</v>
      </c>
      <c r="E443" s="6" t="s">
        <v>51</v>
      </c>
      <c r="F443" s="8">
        <v>4663</v>
      </c>
      <c r="G443" s="8">
        <v>145</v>
      </c>
      <c r="H443" s="8">
        <v>225</v>
      </c>
      <c r="I443" s="8">
        <v>69945</v>
      </c>
      <c r="J443" s="8">
        <v>69596</v>
      </c>
      <c r="K443" s="8">
        <v>35</v>
      </c>
      <c r="L443" s="9" t="s">
        <v>22</v>
      </c>
      <c r="M443" s="9" t="s">
        <v>23</v>
      </c>
      <c r="N443" s="18">
        <f t="shared" si="6"/>
        <v>7.2317374561756423E-2</v>
      </c>
    </row>
    <row r="444" spans="1:14" x14ac:dyDescent="0.3">
      <c r="A444" s="5" t="s">
        <v>329</v>
      </c>
      <c r="B444" s="6" t="s">
        <v>34</v>
      </c>
      <c r="C444" s="7">
        <v>45613</v>
      </c>
      <c r="D444" s="6" t="s">
        <v>20</v>
      </c>
      <c r="E444" s="6" t="s">
        <v>21</v>
      </c>
      <c r="F444" s="8">
        <v>880</v>
      </c>
      <c r="G444" s="8">
        <v>297</v>
      </c>
      <c r="H444" s="8">
        <v>345</v>
      </c>
      <c r="I444" s="8">
        <v>12320</v>
      </c>
      <c r="J444" s="8">
        <v>11978</v>
      </c>
      <c r="K444" s="8">
        <v>238</v>
      </c>
      <c r="L444" s="9" t="s">
        <v>17</v>
      </c>
      <c r="M444" s="9" t="s">
        <v>23</v>
      </c>
      <c r="N444" s="18">
        <f t="shared" si="6"/>
        <v>0.12706628819502422</v>
      </c>
    </row>
    <row r="445" spans="1:14" x14ac:dyDescent="0.3">
      <c r="A445" s="5" t="s">
        <v>330</v>
      </c>
      <c r="B445" s="6" t="s">
        <v>34</v>
      </c>
      <c r="C445" s="7">
        <v>45791</v>
      </c>
      <c r="D445" s="6" t="s">
        <v>20</v>
      </c>
      <c r="E445" s="6" t="s">
        <v>21</v>
      </c>
      <c r="F445" s="8">
        <v>2634</v>
      </c>
      <c r="G445" s="8">
        <v>726</v>
      </c>
      <c r="H445" s="8">
        <v>241</v>
      </c>
      <c r="I445" s="8">
        <v>28974</v>
      </c>
      <c r="J445" s="8">
        <v>28102</v>
      </c>
      <c r="K445" s="8">
        <v>277</v>
      </c>
      <c r="L445" s="9" t="s">
        <v>31</v>
      </c>
      <c r="M445" s="9" t="s">
        <v>32</v>
      </c>
      <c r="N445" s="18">
        <f t="shared" si="6"/>
        <v>0.12814034588285531</v>
      </c>
    </row>
    <row r="446" spans="1:14" x14ac:dyDescent="0.3">
      <c r="A446" s="5" t="s">
        <v>331</v>
      </c>
      <c r="B446" s="6" t="s">
        <v>34</v>
      </c>
      <c r="C446" s="7">
        <v>45462</v>
      </c>
      <c r="D446" s="6" t="s">
        <v>35</v>
      </c>
      <c r="E446" s="6" t="s">
        <v>36</v>
      </c>
      <c r="F446" s="8">
        <v>4731</v>
      </c>
      <c r="G446" s="8">
        <v>173</v>
      </c>
      <c r="H446" s="8">
        <v>276</v>
      </c>
      <c r="I446" s="8">
        <v>28386</v>
      </c>
      <c r="J446" s="8">
        <v>28185</v>
      </c>
      <c r="K446" s="8">
        <v>89</v>
      </c>
      <c r="L446" s="9" t="s">
        <v>37</v>
      </c>
      <c r="M446" s="9" t="s">
        <v>44</v>
      </c>
      <c r="N446" s="18">
        <f t="shared" si="6"/>
        <v>0.18378570161433386</v>
      </c>
    </row>
    <row r="447" spans="1:14" x14ac:dyDescent="0.3">
      <c r="A447" s="5" t="s">
        <v>331</v>
      </c>
      <c r="B447" s="6" t="s">
        <v>34</v>
      </c>
      <c r="C447" s="7">
        <v>45462</v>
      </c>
      <c r="D447" s="6" t="s">
        <v>35</v>
      </c>
      <c r="E447" s="6" t="s">
        <v>36</v>
      </c>
      <c r="F447" s="8">
        <v>4731</v>
      </c>
      <c r="G447" s="8">
        <v>173</v>
      </c>
      <c r="H447" s="8">
        <v>276</v>
      </c>
      <c r="I447" s="8">
        <v>28386</v>
      </c>
      <c r="J447" s="8">
        <v>28185</v>
      </c>
      <c r="K447" s="8">
        <v>89</v>
      </c>
      <c r="L447" s="9" t="s">
        <v>22</v>
      </c>
      <c r="M447" s="9" t="s">
        <v>44</v>
      </c>
      <c r="N447" s="18">
        <f t="shared" si="6"/>
        <v>0.18378570161433386</v>
      </c>
    </row>
    <row r="448" spans="1:14" x14ac:dyDescent="0.3">
      <c r="A448" s="5" t="s">
        <v>332</v>
      </c>
      <c r="B448" s="6" t="s">
        <v>14</v>
      </c>
      <c r="C448" s="7">
        <v>45783</v>
      </c>
      <c r="D448" s="6" t="s">
        <v>40</v>
      </c>
      <c r="E448" s="6" t="s">
        <v>41</v>
      </c>
      <c r="F448" s="8">
        <v>1952</v>
      </c>
      <c r="G448" s="8">
        <v>344</v>
      </c>
      <c r="H448" s="8">
        <v>287</v>
      </c>
      <c r="I448" s="8">
        <v>15616</v>
      </c>
      <c r="J448" s="8">
        <v>15403</v>
      </c>
      <c r="K448" s="8">
        <v>235</v>
      </c>
      <c r="L448" s="9" t="s">
        <v>17</v>
      </c>
      <c r="M448" s="9" t="s">
        <v>32</v>
      </c>
      <c r="N448" s="18">
        <f t="shared" si="6"/>
        <v>0.16769460494708824</v>
      </c>
    </row>
    <row r="449" spans="1:14" x14ac:dyDescent="0.3">
      <c r="A449" s="5" t="s">
        <v>332</v>
      </c>
      <c r="B449" s="6" t="s">
        <v>14</v>
      </c>
      <c r="C449" s="7">
        <v>45783</v>
      </c>
      <c r="D449" s="6" t="s">
        <v>40</v>
      </c>
      <c r="E449" s="6" t="s">
        <v>41</v>
      </c>
      <c r="F449" s="8">
        <v>1952</v>
      </c>
      <c r="G449" s="8">
        <v>344</v>
      </c>
      <c r="H449" s="8">
        <v>287</v>
      </c>
      <c r="I449" s="8">
        <v>15616</v>
      </c>
      <c r="J449" s="8">
        <v>15403</v>
      </c>
      <c r="K449" s="8">
        <v>235</v>
      </c>
      <c r="L449" s="9" t="s">
        <v>22</v>
      </c>
      <c r="M449" s="9" t="s">
        <v>32</v>
      </c>
      <c r="N449" s="18">
        <f t="shared" si="6"/>
        <v>0.16769460494708824</v>
      </c>
    </row>
    <row r="450" spans="1:14" x14ac:dyDescent="0.3">
      <c r="A450" s="5" t="s">
        <v>333</v>
      </c>
      <c r="B450" s="6" t="s">
        <v>14</v>
      </c>
      <c r="C450" s="7">
        <v>45699</v>
      </c>
      <c r="D450" s="6" t="s">
        <v>50</v>
      </c>
      <c r="E450" s="6" t="s">
        <v>51</v>
      </c>
      <c r="F450" s="8">
        <v>3440</v>
      </c>
      <c r="G450" s="8">
        <v>13</v>
      </c>
      <c r="H450" s="8">
        <v>20</v>
      </c>
      <c r="I450" s="8">
        <v>58480</v>
      </c>
      <c r="J450" s="8">
        <v>58146</v>
      </c>
      <c r="K450" s="8">
        <v>210</v>
      </c>
      <c r="L450" s="9" t="s">
        <v>22</v>
      </c>
      <c r="M450" s="9" t="s">
        <v>18</v>
      </c>
      <c r="N450" s="18">
        <f t="shared" si="6"/>
        <v>5.9728958139854849E-2</v>
      </c>
    </row>
    <row r="451" spans="1:14" x14ac:dyDescent="0.3">
      <c r="A451" s="5" t="s">
        <v>333</v>
      </c>
      <c r="B451" s="6" t="s">
        <v>14</v>
      </c>
      <c r="C451" s="7">
        <v>45699</v>
      </c>
      <c r="D451" s="6" t="s">
        <v>50</v>
      </c>
      <c r="E451" s="6" t="s">
        <v>51</v>
      </c>
      <c r="F451" s="8">
        <v>3440</v>
      </c>
      <c r="G451" s="8">
        <v>13</v>
      </c>
      <c r="H451" s="8">
        <v>20</v>
      </c>
      <c r="I451" s="8">
        <v>58480</v>
      </c>
      <c r="J451" s="8">
        <v>58146</v>
      </c>
      <c r="K451" s="8">
        <v>210</v>
      </c>
      <c r="L451" s="9" t="s">
        <v>52</v>
      </c>
      <c r="M451" s="9" t="s">
        <v>18</v>
      </c>
      <c r="N451" s="18">
        <f t="shared" ref="N451:N457" si="7">SUM(F451,G451,H451)/J451</f>
        <v>5.9728958139854849E-2</v>
      </c>
    </row>
    <row r="452" spans="1:14" x14ac:dyDescent="0.3">
      <c r="A452" s="5" t="s">
        <v>334</v>
      </c>
      <c r="B452" s="6" t="s">
        <v>14</v>
      </c>
      <c r="C452" s="7">
        <v>45650</v>
      </c>
      <c r="D452" s="6" t="s">
        <v>20</v>
      </c>
      <c r="E452" s="6" t="s">
        <v>21</v>
      </c>
      <c r="F452" s="8">
        <v>2166</v>
      </c>
      <c r="G452" s="8">
        <v>354</v>
      </c>
      <c r="H452" s="8">
        <v>117</v>
      </c>
      <c r="I452" s="8">
        <v>10830</v>
      </c>
      <c r="J452" s="8">
        <v>10245</v>
      </c>
      <c r="K452" s="8">
        <v>24</v>
      </c>
      <c r="L452" s="9" t="s">
        <v>31</v>
      </c>
      <c r="M452" s="9" t="s">
        <v>18</v>
      </c>
      <c r="N452" s="18">
        <f t="shared" si="7"/>
        <v>0.257393850658858</v>
      </c>
    </row>
    <row r="453" spans="1:14" x14ac:dyDescent="0.3">
      <c r="A453" s="5" t="s">
        <v>334</v>
      </c>
      <c r="B453" s="6" t="s">
        <v>14</v>
      </c>
      <c r="C453" s="7">
        <v>45650</v>
      </c>
      <c r="D453" s="6" t="s">
        <v>20</v>
      </c>
      <c r="E453" s="6" t="s">
        <v>21</v>
      </c>
      <c r="F453" s="8">
        <v>2166</v>
      </c>
      <c r="G453" s="8">
        <v>354</v>
      </c>
      <c r="H453" s="8">
        <v>117</v>
      </c>
      <c r="I453" s="8">
        <v>10830</v>
      </c>
      <c r="J453" s="8">
        <v>10245</v>
      </c>
      <c r="K453" s="8">
        <v>24</v>
      </c>
      <c r="L453" s="9" t="s">
        <v>37</v>
      </c>
      <c r="M453" s="9" t="s">
        <v>18</v>
      </c>
      <c r="N453" s="18">
        <f t="shared" si="7"/>
        <v>0.257393850658858</v>
      </c>
    </row>
    <row r="454" spans="1:14" x14ac:dyDescent="0.3">
      <c r="A454" s="5" t="s">
        <v>335</v>
      </c>
      <c r="B454" s="6" t="s">
        <v>34</v>
      </c>
      <c r="C454" s="7">
        <v>45589</v>
      </c>
      <c r="D454" s="6" t="s">
        <v>40</v>
      </c>
      <c r="E454" s="6" t="s">
        <v>41</v>
      </c>
      <c r="F454" s="8">
        <v>4303</v>
      </c>
      <c r="G454" s="8">
        <v>451</v>
      </c>
      <c r="H454" s="8">
        <v>286</v>
      </c>
      <c r="I454" s="8">
        <v>86060</v>
      </c>
      <c r="J454" s="8">
        <v>85823</v>
      </c>
      <c r="K454" s="8">
        <v>14</v>
      </c>
      <c r="L454" s="9" t="s">
        <v>17</v>
      </c>
      <c r="M454" s="9" t="s">
        <v>23</v>
      </c>
      <c r="N454" s="18">
        <f t="shared" si="7"/>
        <v>5.8725516469943957E-2</v>
      </c>
    </row>
    <row r="455" spans="1:14" x14ac:dyDescent="0.3">
      <c r="A455" s="5" t="s">
        <v>336</v>
      </c>
      <c r="B455" s="6" t="s">
        <v>34</v>
      </c>
      <c r="C455" s="7">
        <v>45530</v>
      </c>
      <c r="D455" s="6" t="s">
        <v>40</v>
      </c>
      <c r="E455" s="6" t="s">
        <v>41</v>
      </c>
      <c r="F455" s="8">
        <v>2581</v>
      </c>
      <c r="G455" s="8">
        <v>517</v>
      </c>
      <c r="H455" s="8">
        <v>117</v>
      </c>
      <c r="I455" s="8">
        <v>23229</v>
      </c>
      <c r="J455" s="8">
        <v>22331</v>
      </c>
      <c r="K455" s="8">
        <v>70</v>
      </c>
      <c r="L455" s="9" t="s">
        <v>17</v>
      </c>
      <c r="M455" s="9" t="s">
        <v>23</v>
      </c>
      <c r="N455" s="18">
        <f t="shared" si="7"/>
        <v>0.14397026555013209</v>
      </c>
    </row>
    <row r="456" spans="1:14" x14ac:dyDescent="0.3">
      <c r="A456" s="5" t="s">
        <v>336</v>
      </c>
      <c r="B456" s="6" t="s">
        <v>34</v>
      </c>
      <c r="C456" s="7">
        <v>45530</v>
      </c>
      <c r="D456" s="6" t="s">
        <v>40</v>
      </c>
      <c r="E456" s="6" t="s">
        <v>41</v>
      </c>
      <c r="F456" s="8">
        <v>2581</v>
      </c>
      <c r="G456" s="8">
        <v>517</v>
      </c>
      <c r="H456" s="8">
        <v>117</v>
      </c>
      <c r="I456" s="8">
        <v>23229</v>
      </c>
      <c r="J456" s="8">
        <v>22331</v>
      </c>
      <c r="K456" s="8">
        <v>70</v>
      </c>
      <c r="L456" s="9" t="s">
        <v>31</v>
      </c>
      <c r="M456" s="9" t="s">
        <v>23</v>
      </c>
      <c r="N456" s="18">
        <f t="shared" si="7"/>
        <v>0.14397026555013209</v>
      </c>
    </row>
    <row r="457" spans="1:14" x14ac:dyDescent="0.3">
      <c r="A457" s="10" t="s">
        <v>337</v>
      </c>
      <c r="B457" s="11" t="s">
        <v>14</v>
      </c>
      <c r="C457" s="12">
        <v>45535</v>
      </c>
      <c r="D457" s="11" t="s">
        <v>35</v>
      </c>
      <c r="E457" s="11" t="s">
        <v>36</v>
      </c>
      <c r="F457" s="13">
        <v>4494</v>
      </c>
      <c r="G457" s="13">
        <v>717</v>
      </c>
      <c r="H457" s="13">
        <v>45</v>
      </c>
      <c r="I457" s="13">
        <v>62916</v>
      </c>
      <c r="J457" s="13">
        <v>62688</v>
      </c>
      <c r="K457" s="13">
        <v>191</v>
      </c>
      <c r="L457" s="14" t="s">
        <v>22</v>
      </c>
      <c r="M457" s="14" t="s">
        <v>18</v>
      </c>
      <c r="N457" s="18">
        <f t="shared" si="7"/>
        <v>8.3843797856049007E-2</v>
      </c>
    </row>
  </sheetData>
  <mergeCells count="1">
    <mergeCell ref="P4:Q4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C1A4-DF76-46BD-82CB-7359582F1332}">
  <dimension ref="A1:Y457"/>
  <sheetViews>
    <sheetView tabSelected="1" topLeftCell="E1" workbookViewId="0">
      <selection activeCell="Q10" sqref="Q10"/>
    </sheetView>
  </sheetViews>
  <sheetFormatPr defaultRowHeight="14.4" x14ac:dyDescent="0.3"/>
  <cols>
    <col min="3" max="3" width="12.21875" customWidth="1"/>
    <col min="14" max="14" width="13.5546875" customWidth="1"/>
    <col min="15" max="15" width="16.44140625" customWidth="1"/>
    <col min="17" max="17" width="12.5546875" bestFit="1" customWidth="1"/>
    <col min="18" max="18" width="17" customWidth="1"/>
    <col min="19" max="19" width="15.33203125" customWidth="1"/>
    <col min="20" max="20" width="7.5546875" customWidth="1"/>
    <col min="21" max="21" width="4.5546875" bestFit="1" customWidth="1"/>
    <col min="22" max="22" width="5.44140625" bestFit="1" customWidth="1"/>
    <col min="23" max="23" width="4.5546875" bestFit="1" customWidth="1"/>
    <col min="24" max="24" width="5.88671875" bestFit="1" customWidth="1"/>
    <col min="25" max="25" width="10.7773437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17" t="s">
        <v>341</v>
      </c>
      <c r="O1" s="17" t="s">
        <v>347</v>
      </c>
    </row>
    <row r="2" spans="1:25" x14ac:dyDescent="0.3">
      <c r="A2" s="5" t="s">
        <v>13</v>
      </c>
      <c r="B2" s="6" t="s">
        <v>14</v>
      </c>
      <c r="C2" s="7">
        <v>45649</v>
      </c>
      <c r="D2" s="6" t="s">
        <v>15</v>
      </c>
      <c r="E2" s="6" t="s">
        <v>16</v>
      </c>
      <c r="F2" s="8">
        <v>1461</v>
      </c>
      <c r="G2" s="8">
        <v>184</v>
      </c>
      <c r="H2" s="8">
        <v>344</v>
      </c>
      <c r="I2" s="8">
        <v>21915</v>
      </c>
      <c r="J2" s="8">
        <v>21675</v>
      </c>
      <c r="K2" s="8">
        <v>15</v>
      </c>
      <c r="L2" s="9" t="s">
        <v>17</v>
      </c>
      <c r="M2" s="9" t="s">
        <v>18</v>
      </c>
      <c r="N2" s="18">
        <f>SUM(F2,G2,H2)/J2</f>
        <v>9.1764705882352943E-2</v>
      </c>
      <c r="O2" s="18">
        <f>SUM(F2,G2,H2)/I2</f>
        <v>9.0759753593429152E-2</v>
      </c>
    </row>
    <row r="3" spans="1:25" x14ac:dyDescent="0.3">
      <c r="A3" s="5" t="s">
        <v>19</v>
      </c>
      <c r="B3" s="6" t="s">
        <v>14</v>
      </c>
      <c r="C3" s="7">
        <v>45750</v>
      </c>
      <c r="D3" s="6" t="s">
        <v>20</v>
      </c>
      <c r="E3" s="6" t="s">
        <v>21</v>
      </c>
      <c r="F3" s="8">
        <v>4054</v>
      </c>
      <c r="G3" s="8">
        <v>389</v>
      </c>
      <c r="H3" s="8">
        <v>493</v>
      </c>
      <c r="I3" s="8">
        <v>64864</v>
      </c>
      <c r="J3" s="8">
        <v>64383</v>
      </c>
      <c r="K3" s="8">
        <v>117</v>
      </c>
      <c r="L3" s="9" t="s">
        <v>22</v>
      </c>
      <c r="M3" s="9" t="s">
        <v>23</v>
      </c>
      <c r="N3" s="18">
        <f t="shared" ref="N3:N66" si="0">SUM(F3,G3,H3)/J3</f>
        <v>7.6666200705155091E-2</v>
      </c>
      <c r="O3" s="18">
        <f t="shared" ref="O3:O66" si="1">SUM(F3,G3,H3)/I3</f>
        <v>7.6097681302417369E-2</v>
      </c>
    </row>
    <row r="4" spans="1:25" x14ac:dyDescent="0.3">
      <c r="A4" s="5" t="s">
        <v>24</v>
      </c>
      <c r="B4" s="6" t="s">
        <v>25</v>
      </c>
      <c r="C4" s="7">
        <v>45789</v>
      </c>
      <c r="D4" s="6" t="s">
        <v>15</v>
      </c>
      <c r="E4" s="6" t="s">
        <v>16</v>
      </c>
      <c r="F4" s="8">
        <v>2795</v>
      </c>
      <c r="G4" s="8">
        <v>105</v>
      </c>
      <c r="H4" s="8">
        <v>49</v>
      </c>
      <c r="I4" s="8">
        <v>53105</v>
      </c>
      <c r="J4" s="8">
        <v>52307</v>
      </c>
      <c r="K4" s="8">
        <v>204</v>
      </c>
      <c r="L4" s="9" t="s">
        <v>22</v>
      </c>
      <c r="M4" s="9" t="s">
        <v>18</v>
      </c>
      <c r="N4" s="18">
        <f t="shared" si="0"/>
        <v>5.6378687364979828E-2</v>
      </c>
      <c r="O4" s="18">
        <f t="shared" si="1"/>
        <v>5.5531494209584788E-2</v>
      </c>
    </row>
    <row r="5" spans="1:25" x14ac:dyDescent="0.3">
      <c r="A5" s="5" t="s">
        <v>24</v>
      </c>
      <c r="B5" s="6" t="s">
        <v>25</v>
      </c>
      <c r="C5" s="7">
        <v>45789</v>
      </c>
      <c r="D5" s="6" t="s">
        <v>15</v>
      </c>
      <c r="E5" s="6" t="s">
        <v>16</v>
      </c>
      <c r="F5" s="8">
        <v>2795</v>
      </c>
      <c r="G5" s="8">
        <v>105</v>
      </c>
      <c r="H5" s="8">
        <v>49</v>
      </c>
      <c r="I5" s="8">
        <v>53105</v>
      </c>
      <c r="J5" s="8">
        <v>52307</v>
      </c>
      <c r="K5" s="8">
        <v>204</v>
      </c>
      <c r="L5" s="9" t="s">
        <v>17</v>
      </c>
      <c r="M5" s="9" t="s">
        <v>18</v>
      </c>
      <c r="N5" s="18">
        <f t="shared" si="0"/>
        <v>5.6378687364979828E-2</v>
      </c>
      <c r="O5" s="18">
        <f t="shared" si="1"/>
        <v>5.5531494209584788E-2</v>
      </c>
    </row>
    <row r="6" spans="1:25" ht="18" x14ac:dyDescent="0.35">
      <c r="A6" s="5" t="s">
        <v>26</v>
      </c>
      <c r="B6" s="9" t="s">
        <v>27</v>
      </c>
      <c r="C6" s="7">
        <v>45516</v>
      </c>
      <c r="D6" s="6" t="s">
        <v>28</v>
      </c>
      <c r="E6" s="6" t="s">
        <v>29</v>
      </c>
      <c r="F6" s="8">
        <v>2404</v>
      </c>
      <c r="G6" s="8">
        <v>363</v>
      </c>
      <c r="H6" s="8">
        <v>138</v>
      </c>
      <c r="I6" s="8">
        <v>19232</v>
      </c>
      <c r="J6" s="8">
        <v>18636</v>
      </c>
      <c r="K6" s="8">
        <v>128</v>
      </c>
      <c r="L6" s="9" t="s">
        <v>17</v>
      </c>
      <c r="M6" s="9" t="s">
        <v>18</v>
      </c>
      <c r="N6" s="18">
        <f t="shared" si="0"/>
        <v>0.15588109036273878</v>
      </c>
      <c r="O6" s="18">
        <f t="shared" si="1"/>
        <v>0.15105033277870217</v>
      </c>
      <c r="R6" s="40" t="s">
        <v>349</v>
      </c>
      <c r="S6" s="40"/>
      <c r="T6" s="40"/>
      <c r="U6" s="40"/>
      <c r="V6" s="40"/>
      <c r="W6" s="40"/>
      <c r="X6" s="40"/>
      <c r="Y6" s="40"/>
    </row>
    <row r="7" spans="1:25" x14ac:dyDescent="0.3">
      <c r="A7" s="5" t="s">
        <v>30</v>
      </c>
      <c r="B7" s="6" t="s">
        <v>25</v>
      </c>
      <c r="C7" s="7">
        <v>45469</v>
      </c>
      <c r="D7" s="6" t="s">
        <v>15</v>
      </c>
      <c r="E7" s="6" t="s">
        <v>16</v>
      </c>
      <c r="F7" s="8">
        <v>3557</v>
      </c>
      <c r="G7" s="8">
        <v>687</v>
      </c>
      <c r="H7" s="8">
        <v>424</v>
      </c>
      <c r="I7" s="8">
        <v>71140</v>
      </c>
      <c r="J7" s="8">
        <v>70701</v>
      </c>
      <c r="K7" s="8">
        <v>224</v>
      </c>
      <c r="L7" s="9" t="s">
        <v>31</v>
      </c>
      <c r="M7" s="9" t="s">
        <v>32</v>
      </c>
      <c r="N7" s="18">
        <f t="shared" si="0"/>
        <v>6.6024525820002553E-2</v>
      </c>
      <c r="O7" s="18">
        <f t="shared" si="1"/>
        <v>6.5617093055946027E-2</v>
      </c>
      <c r="R7" s="21" t="s">
        <v>348</v>
      </c>
      <c r="S7" s="21" t="s">
        <v>346</v>
      </c>
      <c r="T7" s="22"/>
      <c r="U7" s="22"/>
      <c r="V7" s="22"/>
      <c r="W7" s="22"/>
      <c r="X7" s="22"/>
      <c r="Y7" s="22"/>
    </row>
    <row r="8" spans="1:25" x14ac:dyDescent="0.3">
      <c r="A8" s="5" t="s">
        <v>30</v>
      </c>
      <c r="B8" s="6" t="s">
        <v>25</v>
      </c>
      <c r="C8" s="7">
        <v>45469</v>
      </c>
      <c r="D8" s="6" t="s">
        <v>15</v>
      </c>
      <c r="E8" s="6" t="s">
        <v>16</v>
      </c>
      <c r="F8" s="8">
        <v>3557</v>
      </c>
      <c r="G8" s="8">
        <v>687</v>
      </c>
      <c r="H8" s="8">
        <v>424</v>
      </c>
      <c r="I8" s="8">
        <v>71140</v>
      </c>
      <c r="J8" s="8">
        <v>70701</v>
      </c>
      <c r="K8" s="8">
        <v>224</v>
      </c>
      <c r="L8" s="9" t="s">
        <v>22</v>
      </c>
      <c r="M8" s="9" t="s">
        <v>32</v>
      </c>
      <c r="N8" s="18">
        <f t="shared" si="0"/>
        <v>6.6024525820002553E-2</v>
      </c>
      <c r="O8" s="18">
        <f t="shared" si="1"/>
        <v>6.5617093055946027E-2</v>
      </c>
      <c r="R8" s="21" t="s">
        <v>338</v>
      </c>
      <c r="S8" s="22" t="s">
        <v>35</v>
      </c>
      <c r="T8" s="22" t="s">
        <v>40</v>
      </c>
      <c r="U8" s="22" t="s">
        <v>15</v>
      </c>
      <c r="V8" s="22" t="s">
        <v>28</v>
      </c>
      <c r="W8" s="22" t="s">
        <v>20</v>
      </c>
      <c r="X8" s="22" t="s">
        <v>50</v>
      </c>
      <c r="Y8" s="22" t="s">
        <v>339</v>
      </c>
    </row>
    <row r="9" spans="1:25" x14ac:dyDescent="0.3">
      <c r="A9" s="5" t="s">
        <v>33</v>
      </c>
      <c r="B9" s="6" t="s">
        <v>34</v>
      </c>
      <c r="C9" s="7">
        <v>45596</v>
      </c>
      <c r="D9" s="6" t="s">
        <v>35</v>
      </c>
      <c r="E9" s="6" t="s">
        <v>36</v>
      </c>
      <c r="F9" s="8">
        <v>2945</v>
      </c>
      <c r="G9" s="8">
        <v>930</v>
      </c>
      <c r="H9" s="8">
        <v>355</v>
      </c>
      <c r="I9" s="8">
        <v>23560</v>
      </c>
      <c r="J9" s="8">
        <v>23275</v>
      </c>
      <c r="K9" s="8">
        <v>256</v>
      </c>
      <c r="L9" s="9" t="s">
        <v>37</v>
      </c>
      <c r="M9" s="9" t="s">
        <v>23</v>
      </c>
      <c r="N9" s="18">
        <f t="shared" si="0"/>
        <v>0.18174006444683136</v>
      </c>
      <c r="O9" s="18">
        <f t="shared" si="1"/>
        <v>0.17954159592529711</v>
      </c>
      <c r="R9" s="23" t="s">
        <v>34</v>
      </c>
      <c r="S9" s="24">
        <v>0.12109666407469047</v>
      </c>
      <c r="T9" s="24">
        <v>0.12061112766412392</v>
      </c>
      <c r="U9" s="24">
        <v>0.10701843199404047</v>
      </c>
      <c r="V9" s="25">
        <v>0.16231051232937743</v>
      </c>
      <c r="W9" s="24">
        <v>0.10885122171624458</v>
      </c>
      <c r="X9" s="24">
        <v>0.12547951027961804</v>
      </c>
      <c r="Y9" s="24">
        <v>0.12365614982571094</v>
      </c>
    </row>
    <row r="10" spans="1:25" x14ac:dyDescent="0.3">
      <c r="A10" s="5" t="s">
        <v>38</v>
      </c>
      <c r="B10" s="6" t="s">
        <v>14</v>
      </c>
      <c r="C10" s="7">
        <v>45467</v>
      </c>
      <c r="D10" s="6" t="s">
        <v>35</v>
      </c>
      <c r="E10" s="6" t="s">
        <v>36</v>
      </c>
      <c r="F10" s="8">
        <v>3860</v>
      </c>
      <c r="G10" s="8">
        <v>201</v>
      </c>
      <c r="H10" s="8">
        <v>279</v>
      </c>
      <c r="I10" s="8">
        <v>61760</v>
      </c>
      <c r="J10" s="8">
        <v>61660</v>
      </c>
      <c r="K10" s="8">
        <v>235</v>
      </c>
      <c r="L10" s="9" t="s">
        <v>37</v>
      </c>
      <c r="M10" s="9" t="s">
        <v>32</v>
      </c>
      <c r="N10" s="18">
        <f t="shared" si="0"/>
        <v>7.0385987674343176E-2</v>
      </c>
      <c r="O10" s="18">
        <f t="shared" si="1"/>
        <v>7.0272020725388601E-2</v>
      </c>
      <c r="R10" s="23" t="s">
        <v>27</v>
      </c>
      <c r="S10" s="24">
        <v>0.14956648565946423</v>
      </c>
      <c r="T10" s="24">
        <v>0.14086940708541529</v>
      </c>
      <c r="U10" s="25">
        <v>0.21692441679102498</v>
      </c>
      <c r="V10" s="25">
        <v>0.22260513859806239</v>
      </c>
      <c r="W10" s="24">
        <v>0.12549163972104088</v>
      </c>
      <c r="X10" s="25">
        <v>0.22639645328555749</v>
      </c>
      <c r="Y10" s="24">
        <v>0.18382346037713759</v>
      </c>
    </row>
    <row r="11" spans="1:25" x14ac:dyDescent="0.3">
      <c r="A11" s="5" t="s">
        <v>39</v>
      </c>
      <c r="B11" s="6" t="s">
        <v>25</v>
      </c>
      <c r="C11" s="7">
        <v>45486</v>
      </c>
      <c r="D11" s="6" t="s">
        <v>40</v>
      </c>
      <c r="E11" s="6" t="s">
        <v>41</v>
      </c>
      <c r="F11" s="8">
        <v>3929</v>
      </c>
      <c r="G11" s="8">
        <v>262</v>
      </c>
      <c r="H11" s="8">
        <v>278</v>
      </c>
      <c r="I11" s="8">
        <v>43219</v>
      </c>
      <c r="J11" s="8">
        <v>42841</v>
      </c>
      <c r="K11" s="8">
        <v>39</v>
      </c>
      <c r="L11" s="9" t="s">
        <v>22</v>
      </c>
      <c r="M11" s="9" t="s">
        <v>32</v>
      </c>
      <c r="N11" s="18">
        <f t="shared" si="0"/>
        <v>0.10431595901122756</v>
      </c>
      <c r="O11" s="18">
        <f t="shared" si="1"/>
        <v>0.10340359564080613</v>
      </c>
      <c r="R11" s="23" t="s">
        <v>14</v>
      </c>
      <c r="S11" s="24">
        <v>0.15401289461195852</v>
      </c>
      <c r="T11" s="24">
        <v>0.14212117244811467</v>
      </c>
      <c r="U11" s="24">
        <v>0.13530851929739712</v>
      </c>
      <c r="V11" s="25">
        <v>0.20267997004618621</v>
      </c>
      <c r="W11" s="24">
        <v>0.12174585283291929</v>
      </c>
      <c r="X11" s="24">
        <v>0.12181404077116191</v>
      </c>
      <c r="Y11" s="24">
        <v>0.14507690781327617</v>
      </c>
    </row>
    <row r="12" spans="1:25" x14ac:dyDescent="0.3">
      <c r="A12" s="5" t="s">
        <v>39</v>
      </c>
      <c r="B12" s="6" t="s">
        <v>25</v>
      </c>
      <c r="C12" s="7">
        <v>45486</v>
      </c>
      <c r="D12" s="6" t="s">
        <v>40</v>
      </c>
      <c r="E12" s="6" t="s">
        <v>41</v>
      </c>
      <c r="F12" s="8">
        <v>3929</v>
      </c>
      <c r="G12" s="8">
        <v>262</v>
      </c>
      <c r="H12" s="8">
        <v>278</v>
      </c>
      <c r="I12" s="8">
        <v>43219</v>
      </c>
      <c r="J12" s="8">
        <v>42841</v>
      </c>
      <c r="K12" s="8">
        <v>39</v>
      </c>
      <c r="L12" s="9" t="s">
        <v>17</v>
      </c>
      <c r="M12" s="9" t="s">
        <v>32</v>
      </c>
      <c r="N12" s="18">
        <f t="shared" si="0"/>
        <v>0.10431595901122756</v>
      </c>
      <c r="O12" s="18">
        <f t="shared" si="1"/>
        <v>0.10340359564080613</v>
      </c>
      <c r="R12" s="23" t="s">
        <v>25</v>
      </c>
      <c r="S12" s="25">
        <v>0.18122624677822852</v>
      </c>
      <c r="T12" s="24">
        <v>0.15060864723859638</v>
      </c>
      <c r="U12" s="24">
        <v>0.10884132981723146</v>
      </c>
      <c r="V12" s="24">
        <v>9.3220206245054199E-2</v>
      </c>
      <c r="W12" s="24">
        <v>0.11195715294459542</v>
      </c>
      <c r="X12" s="24">
        <v>0.13561723338044732</v>
      </c>
      <c r="Y12" s="24">
        <v>0.13369745354243878</v>
      </c>
    </row>
    <row r="13" spans="1:25" x14ac:dyDescent="0.3">
      <c r="A13" s="5" t="s">
        <v>42</v>
      </c>
      <c r="B13" s="6" t="s">
        <v>34</v>
      </c>
      <c r="C13" s="7">
        <v>45534</v>
      </c>
      <c r="D13" s="6" t="s">
        <v>20</v>
      </c>
      <c r="E13" s="6" t="s">
        <v>21</v>
      </c>
      <c r="F13" s="8">
        <v>3784</v>
      </c>
      <c r="G13" s="8">
        <v>808</v>
      </c>
      <c r="H13" s="8">
        <v>404</v>
      </c>
      <c r="I13" s="8">
        <v>56760</v>
      </c>
      <c r="J13" s="8">
        <v>56343</v>
      </c>
      <c r="K13" s="8">
        <v>131</v>
      </c>
      <c r="L13" s="9" t="s">
        <v>22</v>
      </c>
      <c r="M13" s="9" t="s">
        <v>32</v>
      </c>
      <c r="N13" s="18">
        <f t="shared" si="0"/>
        <v>8.8671174768826647E-2</v>
      </c>
      <c r="O13" s="18">
        <f t="shared" si="1"/>
        <v>8.8019732205778717E-2</v>
      </c>
      <c r="R13" s="23" t="s">
        <v>339</v>
      </c>
      <c r="S13" s="24">
        <v>0.15047050381891927</v>
      </c>
      <c r="T13" s="24">
        <v>0.13441676224952803</v>
      </c>
      <c r="U13" s="24">
        <v>0.14780796437691596</v>
      </c>
      <c r="V13" s="24">
        <v>0.17857021538718532</v>
      </c>
      <c r="W13" s="24">
        <v>0.1166849464089211</v>
      </c>
      <c r="X13" s="24">
        <v>0.15418026710586519</v>
      </c>
      <c r="Y13" s="24">
        <v>0.14675966821500441</v>
      </c>
    </row>
    <row r="14" spans="1:25" x14ac:dyDescent="0.3">
      <c r="A14" s="5" t="s">
        <v>42</v>
      </c>
      <c r="B14" s="6" t="s">
        <v>34</v>
      </c>
      <c r="C14" s="7">
        <v>45534</v>
      </c>
      <c r="D14" s="6" t="s">
        <v>20</v>
      </c>
      <c r="E14" s="6" t="s">
        <v>21</v>
      </c>
      <c r="F14" s="8">
        <v>3784</v>
      </c>
      <c r="G14" s="8">
        <v>808</v>
      </c>
      <c r="H14" s="8">
        <v>404</v>
      </c>
      <c r="I14" s="8">
        <v>56760</v>
      </c>
      <c r="J14" s="8">
        <v>56343</v>
      </c>
      <c r="K14" s="8">
        <v>131</v>
      </c>
      <c r="L14" s="9" t="s">
        <v>17</v>
      </c>
      <c r="M14" s="9" t="s">
        <v>32</v>
      </c>
      <c r="N14" s="18">
        <f t="shared" si="0"/>
        <v>8.8671174768826647E-2</v>
      </c>
      <c r="O14" s="18">
        <f t="shared" si="1"/>
        <v>8.8019732205778717E-2</v>
      </c>
    </row>
    <row r="15" spans="1:25" ht="28.8" x14ac:dyDescent="0.3">
      <c r="A15" s="5" t="s">
        <v>43</v>
      </c>
      <c r="B15" s="6" t="s">
        <v>34</v>
      </c>
      <c r="C15" s="7">
        <v>45727</v>
      </c>
      <c r="D15" s="6" t="s">
        <v>40</v>
      </c>
      <c r="E15" s="6" t="s">
        <v>41</v>
      </c>
      <c r="F15" s="8">
        <v>4241</v>
      </c>
      <c r="G15" s="8">
        <v>902</v>
      </c>
      <c r="H15" s="8">
        <v>47</v>
      </c>
      <c r="I15" s="8">
        <v>72097</v>
      </c>
      <c r="J15" s="8">
        <v>71598</v>
      </c>
      <c r="K15" s="8">
        <v>167</v>
      </c>
      <c r="L15" s="9" t="s">
        <v>37</v>
      </c>
      <c r="M15" s="9" t="s">
        <v>44</v>
      </c>
      <c r="N15" s="18">
        <f t="shared" si="0"/>
        <v>7.2488058325651555E-2</v>
      </c>
      <c r="O15" s="18">
        <f t="shared" si="1"/>
        <v>7.198635172059864E-2</v>
      </c>
      <c r="R15" s="38" t="s">
        <v>351</v>
      </c>
      <c r="S15" s="39" t="s">
        <v>352</v>
      </c>
      <c r="T15" s="26"/>
    </row>
    <row r="16" spans="1:25" x14ac:dyDescent="0.3">
      <c r="A16" s="5" t="s">
        <v>45</v>
      </c>
      <c r="B16" s="6" t="s">
        <v>27</v>
      </c>
      <c r="C16" s="7">
        <v>45690</v>
      </c>
      <c r="D16" s="6" t="s">
        <v>28</v>
      </c>
      <c r="E16" s="6" t="s">
        <v>29</v>
      </c>
      <c r="F16" s="8">
        <v>1792</v>
      </c>
      <c r="G16" s="8">
        <v>614</v>
      </c>
      <c r="H16" s="8">
        <v>497</v>
      </c>
      <c r="I16" s="8">
        <v>25088</v>
      </c>
      <c r="J16" s="8">
        <v>24675</v>
      </c>
      <c r="K16" s="8">
        <v>65</v>
      </c>
      <c r="L16" s="9" t="s">
        <v>31</v>
      </c>
      <c r="M16" s="9" t="s">
        <v>18</v>
      </c>
      <c r="N16" s="18">
        <f t="shared" si="0"/>
        <v>0.11764944275582573</v>
      </c>
      <c r="O16" s="18">
        <f t="shared" si="1"/>
        <v>0.11571269132653061</v>
      </c>
      <c r="R16" s="23" t="s">
        <v>34</v>
      </c>
      <c r="S16" s="22" t="s">
        <v>28</v>
      </c>
    </row>
    <row r="17" spans="1:19" x14ac:dyDescent="0.3">
      <c r="A17" s="5" t="s">
        <v>46</v>
      </c>
      <c r="B17" s="6" t="s">
        <v>34</v>
      </c>
      <c r="C17" s="7">
        <v>45494</v>
      </c>
      <c r="D17" s="6" t="s">
        <v>15</v>
      </c>
      <c r="E17" s="6" t="s">
        <v>16</v>
      </c>
      <c r="F17" s="8">
        <v>1946</v>
      </c>
      <c r="G17" s="8">
        <v>686</v>
      </c>
      <c r="H17" s="8">
        <v>377</v>
      </c>
      <c r="I17" s="8">
        <v>23352</v>
      </c>
      <c r="J17" s="8">
        <v>22982</v>
      </c>
      <c r="K17" s="8">
        <v>213</v>
      </c>
      <c r="L17" s="9" t="s">
        <v>31</v>
      </c>
      <c r="M17" s="9" t="s">
        <v>32</v>
      </c>
      <c r="N17" s="18">
        <f t="shared" si="0"/>
        <v>0.13092855278043686</v>
      </c>
      <c r="O17" s="18">
        <f t="shared" si="1"/>
        <v>0.12885405960945528</v>
      </c>
      <c r="R17" s="23" t="s">
        <v>27</v>
      </c>
      <c r="S17" s="22" t="s">
        <v>350</v>
      </c>
    </row>
    <row r="18" spans="1:19" x14ac:dyDescent="0.3">
      <c r="A18" s="5" t="s">
        <v>46</v>
      </c>
      <c r="B18" s="6" t="s">
        <v>34</v>
      </c>
      <c r="C18" s="7">
        <v>45494</v>
      </c>
      <c r="D18" s="6" t="s">
        <v>15</v>
      </c>
      <c r="E18" s="6" t="s">
        <v>16</v>
      </c>
      <c r="F18" s="8">
        <v>1946</v>
      </c>
      <c r="G18" s="8">
        <v>686</v>
      </c>
      <c r="H18" s="8">
        <v>377</v>
      </c>
      <c r="I18" s="8">
        <v>23352</v>
      </c>
      <c r="J18" s="8">
        <v>22982</v>
      </c>
      <c r="K18" s="8">
        <v>213</v>
      </c>
      <c r="L18" s="9" t="s">
        <v>17</v>
      </c>
      <c r="M18" s="9" t="s">
        <v>32</v>
      </c>
      <c r="N18" s="18">
        <f t="shared" si="0"/>
        <v>0.13092855278043686</v>
      </c>
      <c r="O18" s="18">
        <f t="shared" si="1"/>
        <v>0.12885405960945528</v>
      </c>
      <c r="R18" s="23" t="s">
        <v>14</v>
      </c>
      <c r="S18" s="22" t="s">
        <v>28</v>
      </c>
    </row>
    <row r="19" spans="1:19" x14ac:dyDescent="0.3">
      <c r="A19" s="5" t="s">
        <v>47</v>
      </c>
      <c r="B19" s="6" t="s">
        <v>25</v>
      </c>
      <c r="C19" s="7">
        <v>45614</v>
      </c>
      <c r="D19" s="6" t="s">
        <v>35</v>
      </c>
      <c r="E19" s="6" t="s">
        <v>36</v>
      </c>
      <c r="F19" s="8">
        <v>1171</v>
      </c>
      <c r="G19" s="8">
        <v>286</v>
      </c>
      <c r="H19" s="8">
        <v>231</v>
      </c>
      <c r="I19" s="8">
        <v>22249</v>
      </c>
      <c r="J19" s="8">
        <v>21282</v>
      </c>
      <c r="K19" s="8">
        <v>114</v>
      </c>
      <c r="L19" s="9" t="s">
        <v>22</v>
      </c>
      <c r="M19" s="9" t="s">
        <v>44</v>
      </c>
      <c r="N19" s="18">
        <f t="shared" si="0"/>
        <v>7.9315853773141626E-2</v>
      </c>
      <c r="O19" s="18">
        <f t="shared" si="1"/>
        <v>7.5868578363072495E-2</v>
      </c>
      <c r="R19" s="23" t="s">
        <v>25</v>
      </c>
      <c r="S19" s="22" t="s">
        <v>35</v>
      </c>
    </row>
    <row r="20" spans="1:19" x14ac:dyDescent="0.3">
      <c r="A20" s="5" t="s">
        <v>48</v>
      </c>
      <c r="B20" s="6" t="s">
        <v>34</v>
      </c>
      <c r="C20" s="7">
        <v>45704</v>
      </c>
      <c r="D20" s="6" t="s">
        <v>28</v>
      </c>
      <c r="E20" s="6" t="s">
        <v>29</v>
      </c>
      <c r="F20" s="8">
        <v>4242</v>
      </c>
      <c r="G20" s="8">
        <v>555</v>
      </c>
      <c r="H20" s="8">
        <v>131</v>
      </c>
      <c r="I20" s="8">
        <v>33936</v>
      </c>
      <c r="J20" s="8">
        <v>33802</v>
      </c>
      <c r="K20" s="8">
        <v>265</v>
      </c>
      <c r="L20" s="9" t="s">
        <v>17</v>
      </c>
      <c r="M20" s="9" t="s">
        <v>32</v>
      </c>
      <c r="N20" s="18">
        <f t="shared" si="0"/>
        <v>0.14579018992958998</v>
      </c>
      <c r="O20" s="18">
        <f t="shared" si="1"/>
        <v>0.14521452145214522</v>
      </c>
    </row>
    <row r="21" spans="1:19" x14ac:dyDescent="0.3">
      <c r="A21" s="5" t="s">
        <v>48</v>
      </c>
      <c r="B21" s="6" t="s">
        <v>34</v>
      </c>
      <c r="C21" s="7">
        <v>45704</v>
      </c>
      <c r="D21" s="6" t="s">
        <v>28</v>
      </c>
      <c r="E21" s="6" t="s">
        <v>29</v>
      </c>
      <c r="F21" s="8">
        <v>4242</v>
      </c>
      <c r="G21" s="8">
        <v>555</v>
      </c>
      <c r="H21" s="8">
        <v>131</v>
      </c>
      <c r="I21" s="8">
        <v>33936</v>
      </c>
      <c r="J21" s="8">
        <v>33802</v>
      </c>
      <c r="K21" s="8">
        <v>265</v>
      </c>
      <c r="L21" s="9" t="s">
        <v>22</v>
      </c>
      <c r="M21" s="9" t="s">
        <v>32</v>
      </c>
      <c r="N21" s="18">
        <f t="shared" si="0"/>
        <v>0.14579018992958998</v>
      </c>
      <c r="O21" s="18">
        <f t="shared" si="1"/>
        <v>0.14521452145214522</v>
      </c>
    </row>
    <row r="22" spans="1:19" x14ac:dyDescent="0.3">
      <c r="A22" s="5" t="s">
        <v>49</v>
      </c>
      <c r="B22" s="6" t="s">
        <v>34</v>
      </c>
      <c r="C22" s="7">
        <v>45589</v>
      </c>
      <c r="D22" s="6" t="s">
        <v>50</v>
      </c>
      <c r="E22" s="6" t="s">
        <v>51</v>
      </c>
      <c r="F22" s="8">
        <v>3888</v>
      </c>
      <c r="G22" s="8">
        <v>604</v>
      </c>
      <c r="H22" s="8">
        <v>128</v>
      </c>
      <c r="I22" s="8">
        <v>77760</v>
      </c>
      <c r="J22" s="8">
        <v>77167</v>
      </c>
      <c r="K22" s="8">
        <v>20</v>
      </c>
      <c r="L22" s="9" t="s">
        <v>22</v>
      </c>
      <c r="M22" s="9" t="s">
        <v>18</v>
      </c>
      <c r="N22" s="18">
        <f t="shared" si="0"/>
        <v>5.9870151748804543E-2</v>
      </c>
      <c r="O22" s="18">
        <f t="shared" si="1"/>
        <v>5.941358024691358E-2</v>
      </c>
    </row>
    <row r="23" spans="1:19" x14ac:dyDescent="0.3">
      <c r="A23" s="5" t="s">
        <v>49</v>
      </c>
      <c r="B23" s="6" t="s">
        <v>34</v>
      </c>
      <c r="C23" s="7">
        <v>45589</v>
      </c>
      <c r="D23" s="6" t="s">
        <v>50</v>
      </c>
      <c r="E23" s="6" t="s">
        <v>51</v>
      </c>
      <c r="F23" s="8">
        <v>3888</v>
      </c>
      <c r="G23" s="8">
        <v>604</v>
      </c>
      <c r="H23" s="8">
        <v>128</v>
      </c>
      <c r="I23" s="8">
        <v>77760</v>
      </c>
      <c r="J23" s="8">
        <v>77167</v>
      </c>
      <c r="K23" s="8">
        <v>20</v>
      </c>
      <c r="L23" s="9" t="s">
        <v>52</v>
      </c>
      <c r="M23" s="9" t="s">
        <v>18</v>
      </c>
      <c r="N23" s="18">
        <f t="shared" si="0"/>
        <v>5.9870151748804543E-2</v>
      </c>
      <c r="O23" s="18">
        <f t="shared" si="1"/>
        <v>5.941358024691358E-2</v>
      </c>
    </row>
    <row r="24" spans="1:19" x14ac:dyDescent="0.3">
      <c r="A24" s="5" t="s">
        <v>53</v>
      </c>
      <c r="B24" s="6" t="s">
        <v>34</v>
      </c>
      <c r="C24" s="7">
        <v>45530</v>
      </c>
      <c r="D24" s="6" t="s">
        <v>20</v>
      </c>
      <c r="E24" s="6" t="s">
        <v>21</v>
      </c>
      <c r="F24" s="8">
        <v>3452</v>
      </c>
      <c r="G24" s="8">
        <v>377</v>
      </c>
      <c r="H24" s="8">
        <v>360</v>
      </c>
      <c r="I24" s="8">
        <v>55232</v>
      </c>
      <c r="J24" s="8">
        <v>55075</v>
      </c>
      <c r="K24" s="8">
        <v>87</v>
      </c>
      <c r="L24" s="9" t="s">
        <v>17</v>
      </c>
      <c r="M24" s="9" t="s">
        <v>32</v>
      </c>
      <c r="N24" s="18">
        <f t="shared" si="0"/>
        <v>7.6059918293236495E-2</v>
      </c>
      <c r="O24" s="18">
        <f t="shared" si="1"/>
        <v>7.5843713789107758E-2</v>
      </c>
    </row>
    <row r="25" spans="1:19" x14ac:dyDescent="0.3">
      <c r="A25" s="5" t="s">
        <v>53</v>
      </c>
      <c r="B25" s="6" t="s">
        <v>34</v>
      </c>
      <c r="C25" s="7">
        <v>45530</v>
      </c>
      <c r="D25" s="6" t="s">
        <v>20</v>
      </c>
      <c r="E25" s="6" t="s">
        <v>21</v>
      </c>
      <c r="F25" s="8">
        <v>3452</v>
      </c>
      <c r="G25" s="8">
        <v>377</v>
      </c>
      <c r="H25" s="8">
        <v>360</v>
      </c>
      <c r="I25" s="8">
        <v>55232</v>
      </c>
      <c r="J25" s="8">
        <v>55075</v>
      </c>
      <c r="K25" s="8">
        <v>87</v>
      </c>
      <c r="L25" s="9" t="s">
        <v>52</v>
      </c>
      <c r="M25" s="9" t="s">
        <v>32</v>
      </c>
      <c r="N25" s="18">
        <f t="shared" si="0"/>
        <v>7.6059918293236495E-2</v>
      </c>
      <c r="O25" s="18">
        <f t="shared" si="1"/>
        <v>7.5843713789107758E-2</v>
      </c>
    </row>
    <row r="26" spans="1:19" x14ac:dyDescent="0.3">
      <c r="A26" s="5" t="s">
        <v>54</v>
      </c>
      <c r="B26" s="6" t="s">
        <v>34</v>
      </c>
      <c r="C26" s="7">
        <v>45782</v>
      </c>
      <c r="D26" s="6" t="s">
        <v>20</v>
      </c>
      <c r="E26" s="6" t="s">
        <v>21</v>
      </c>
      <c r="F26" s="8">
        <v>4441</v>
      </c>
      <c r="G26" s="8">
        <v>511</v>
      </c>
      <c r="H26" s="8">
        <v>70</v>
      </c>
      <c r="I26" s="8">
        <v>53292</v>
      </c>
      <c r="J26" s="8">
        <v>53082</v>
      </c>
      <c r="K26" s="8">
        <v>159</v>
      </c>
      <c r="L26" s="9" t="s">
        <v>52</v>
      </c>
      <c r="M26" s="9" t="s">
        <v>32</v>
      </c>
      <c r="N26" s="18">
        <f t="shared" si="0"/>
        <v>9.4608341810783314E-2</v>
      </c>
      <c r="O26" s="18">
        <f t="shared" si="1"/>
        <v>9.4235532537716729E-2</v>
      </c>
    </row>
    <row r="27" spans="1:19" x14ac:dyDescent="0.3">
      <c r="A27" s="5" t="s">
        <v>55</v>
      </c>
      <c r="B27" s="6" t="s">
        <v>27</v>
      </c>
      <c r="C27" s="7">
        <v>45523</v>
      </c>
      <c r="D27" s="6" t="s">
        <v>15</v>
      </c>
      <c r="E27" s="6" t="s">
        <v>16</v>
      </c>
      <c r="F27" s="8">
        <v>3000</v>
      </c>
      <c r="G27" s="8">
        <v>382</v>
      </c>
      <c r="H27" s="8">
        <v>325</v>
      </c>
      <c r="I27" s="8">
        <v>36000</v>
      </c>
      <c r="J27" s="8">
        <v>35819</v>
      </c>
      <c r="K27" s="8">
        <v>19</v>
      </c>
      <c r="L27" s="9" t="s">
        <v>31</v>
      </c>
      <c r="M27" s="9" t="s">
        <v>23</v>
      </c>
      <c r="N27" s="18">
        <f t="shared" si="0"/>
        <v>0.10349255981462352</v>
      </c>
      <c r="O27" s="18">
        <f t="shared" si="1"/>
        <v>0.10297222222222223</v>
      </c>
    </row>
    <row r="28" spans="1:19" x14ac:dyDescent="0.3">
      <c r="A28" s="5" t="s">
        <v>56</v>
      </c>
      <c r="B28" s="6" t="s">
        <v>27</v>
      </c>
      <c r="C28" s="7">
        <v>45466</v>
      </c>
      <c r="D28" s="6" t="s">
        <v>50</v>
      </c>
      <c r="E28" s="6" t="s">
        <v>51</v>
      </c>
      <c r="F28" s="8">
        <v>1071</v>
      </c>
      <c r="G28" s="8">
        <v>519</v>
      </c>
      <c r="H28" s="8">
        <v>22</v>
      </c>
      <c r="I28" s="8">
        <v>16065</v>
      </c>
      <c r="J28" s="8">
        <v>15865</v>
      </c>
      <c r="K28" s="8">
        <v>103</v>
      </c>
      <c r="L28" s="9" t="s">
        <v>17</v>
      </c>
      <c r="M28" s="9" t="s">
        <v>32</v>
      </c>
      <c r="N28" s="18">
        <f t="shared" si="0"/>
        <v>0.10160731169240467</v>
      </c>
      <c r="O28" s="18">
        <f t="shared" si="1"/>
        <v>0.10034235916588857</v>
      </c>
    </row>
    <row r="29" spans="1:19" x14ac:dyDescent="0.3">
      <c r="A29" s="5" t="s">
        <v>56</v>
      </c>
      <c r="B29" s="6" t="s">
        <v>27</v>
      </c>
      <c r="C29" s="7">
        <v>45466</v>
      </c>
      <c r="D29" s="6" t="s">
        <v>50</v>
      </c>
      <c r="E29" s="6" t="s">
        <v>51</v>
      </c>
      <c r="F29" s="8">
        <v>1071</v>
      </c>
      <c r="G29" s="8">
        <v>519</v>
      </c>
      <c r="H29" s="8">
        <v>22</v>
      </c>
      <c r="I29" s="8">
        <v>16065</v>
      </c>
      <c r="J29" s="8">
        <v>15865</v>
      </c>
      <c r="K29" s="8">
        <v>103</v>
      </c>
      <c r="L29" s="9" t="s">
        <v>31</v>
      </c>
      <c r="M29" s="9" t="s">
        <v>32</v>
      </c>
      <c r="N29" s="18">
        <f t="shared" si="0"/>
        <v>0.10160731169240467</v>
      </c>
      <c r="O29" s="18">
        <f t="shared" si="1"/>
        <v>0.10034235916588857</v>
      </c>
    </row>
    <row r="30" spans="1:19" x14ac:dyDescent="0.3">
      <c r="A30" s="5" t="s">
        <v>57</v>
      </c>
      <c r="B30" s="6" t="s">
        <v>27</v>
      </c>
      <c r="C30" s="7">
        <v>45544</v>
      </c>
      <c r="D30" s="6" t="s">
        <v>35</v>
      </c>
      <c r="E30" s="6" t="s">
        <v>36</v>
      </c>
      <c r="F30" s="8">
        <v>4054</v>
      </c>
      <c r="G30" s="8">
        <v>488</v>
      </c>
      <c r="H30" s="8">
        <v>373</v>
      </c>
      <c r="I30" s="8">
        <v>77026</v>
      </c>
      <c r="J30" s="8">
        <v>76881</v>
      </c>
      <c r="K30" s="8">
        <v>25</v>
      </c>
      <c r="L30" s="9" t="s">
        <v>22</v>
      </c>
      <c r="M30" s="9" t="s">
        <v>32</v>
      </c>
      <c r="N30" s="18">
        <f t="shared" si="0"/>
        <v>6.3929969693422309E-2</v>
      </c>
      <c r="O30" s="18">
        <f t="shared" si="1"/>
        <v>6.3809622724794221E-2</v>
      </c>
    </row>
    <row r="31" spans="1:19" x14ac:dyDescent="0.3">
      <c r="A31" s="5" t="s">
        <v>57</v>
      </c>
      <c r="B31" s="6" t="s">
        <v>27</v>
      </c>
      <c r="C31" s="7">
        <v>45544</v>
      </c>
      <c r="D31" s="6" t="s">
        <v>35</v>
      </c>
      <c r="E31" s="6" t="s">
        <v>36</v>
      </c>
      <c r="F31" s="8">
        <v>4054</v>
      </c>
      <c r="G31" s="8">
        <v>488</v>
      </c>
      <c r="H31" s="8">
        <v>373</v>
      </c>
      <c r="I31" s="8">
        <v>77026</v>
      </c>
      <c r="J31" s="8">
        <v>76881</v>
      </c>
      <c r="K31" s="8">
        <v>25</v>
      </c>
      <c r="L31" s="9" t="s">
        <v>17</v>
      </c>
      <c r="M31" s="9" t="s">
        <v>32</v>
      </c>
      <c r="N31" s="18">
        <f t="shared" si="0"/>
        <v>6.3929969693422309E-2</v>
      </c>
      <c r="O31" s="18">
        <f t="shared" si="1"/>
        <v>6.3809622724794221E-2</v>
      </c>
    </row>
    <row r="32" spans="1:19" x14ac:dyDescent="0.3">
      <c r="A32" s="5" t="s">
        <v>58</v>
      </c>
      <c r="B32" s="6" t="s">
        <v>27</v>
      </c>
      <c r="C32" s="7">
        <v>45661</v>
      </c>
      <c r="D32" s="6" t="s">
        <v>15</v>
      </c>
      <c r="E32" s="6" t="s">
        <v>16</v>
      </c>
      <c r="F32" s="8">
        <v>4838</v>
      </c>
      <c r="G32" s="8">
        <v>640</v>
      </c>
      <c r="H32" s="8">
        <v>128</v>
      </c>
      <c r="I32" s="8">
        <v>72570</v>
      </c>
      <c r="J32" s="8">
        <v>72396</v>
      </c>
      <c r="K32" s="8">
        <v>83</v>
      </c>
      <c r="L32" s="9" t="s">
        <v>31</v>
      </c>
      <c r="M32" s="9" t="s">
        <v>32</v>
      </c>
      <c r="N32" s="18">
        <f t="shared" si="0"/>
        <v>7.7435217415326815E-2</v>
      </c>
      <c r="O32" s="18">
        <f t="shared" si="1"/>
        <v>7.7249552156538517E-2</v>
      </c>
    </row>
    <row r="33" spans="1:15" x14ac:dyDescent="0.3">
      <c r="A33" s="5" t="s">
        <v>58</v>
      </c>
      <c r="B33" s="6" t="s">
        <v>27</v>
      </c>
      <c r="C33" s="7">
        <v>45661</v>
      </c>
      <c r="D33" s="6" t="s">
        <v>15</v>
      </c>
      <c r="E33" s="6" t="s">
        <v>16</v>
      </c>
      <c r="F33" s="8">
        <v>4838</v>
      </c>
      <c r="G33" s="8">
        <v>640</v>
      </c>
      <c r="H33" s="8">
        <v>128</v>
      </c>
      <c r="I33" s="8">
        <v>72570</v>
      </c>
      <c r="J33" s="8">
        <v>72396</v>
      </c>
      <c r="K33" s="8">
        <v>83</v>
      </c>
      <c r="L33" s="9" t="s">
        <v>37</v>
      </c>
      <c r="M33" s="9" t="s">
        <v>32</v>
      </c>
      <c r="N33" s="18">
        <f t="shared" si="0"/>
        <v>7.7435217415326815E-2</v>
      </c>
      <c r="O33" s="18">
        <f t="shared" si="1"/>
        <v>7.7249552156538517E-2</v>
      </c>
    </row>
    <row r="34" spans="1:15" x14ac:dyDescent="0.3">
      <c r="A34" s="5" t="s">
        <v>59</v>
      </c>
      <c r="B34" s="6" t="s">
        <v>34</v>
      </c>
      <c r="C34" s="7">
        <v>45715</v>
      </c>
      <c r="D34" s="6" t="s">
        <v>20</v>
      </c>
      <c r="E34" s="6" t="s">
        <v>21</v>
      </c>
      <c r="F34" s="8">
        <v>1570</v>
      </c>
      <c r="G34" s="8">
        <v>187</v>
      </c>
      <c r="H34" s="8">
        <v>260</v>
      </c>
      <c r="I34" s="8">
        <v>25120</v>
      </c>
      <c r="J34" s="8">
        <v>24613</v>
      </c>
      <c r="K34" s="8">
        <v>133</v>
      </c>
      <c r="L34" s="9" t="s">
        <v>17</v>
      </c>
      <c r="M34" s="9" t="s">
        <v>44</v>
      </c>
      <c r="N34" s="18">
        <f t="shared" si="0"/>
        <v>8.1948563767114943E-2</v>
      </c>
      <c r="O34" s="18">
        <f t="shared" si="1"/>
        <v>8.0294585987261149E-2</v>
      </c>
    </row>
    <row r="35" spans="1:15" x14ac:dyDescent="0.3">
      <c r="A35" s="5" t="s">
        <v>60</v>
      </c>
      <c r="B35" s="6" t="s">
        <v>34</v>
      </c>
      <c r="C35" s="7">
        <v>45602</v>
      </c>
      <c r="D35" s="6" t="s">
        <v>50</v>
      </c>
      <c r="E35" s="6" t="s">
        <v>51</v>
      </c>
      <c r="F35" s="8">
        <v>1606</v>
      </c>
      <c r="G35" s="8">
        <v>547</v>
      </c>
      <c r="H35" s="8">
        <v>316</v>
      </c>
      <c r="I35" s="8">
        <v>32120</v>
      </c>
      <c r="J35" s="8">
        <v>31736</v>
      </c>
      <c r="K35" s="8">
        <v>225</v>
      </c>
      <c r="L35" s="9" t="s">
        <v>17</v>
      </c>
      <c r="M35" s="9" t="s">
        <v>32</v>
      </c>
      <c r="N35" s="18">
        <f t="shared" si="0"/>
        <v>7.7798084194605502E-2</v>
      </c>
      <c r="O35" s="18">
        <f t="shared" si="1"/>
        <v>7.6867995018679955E-2</v>
      </c>
    </row>
    <row r="36" spans="1:15" x14ac:dyDescent="0.3">
      <c r="A36" s="5" t="s">
        <v>61</v>
      </c>
      <c r="B36" s="6" t="s">
        <v>34</v>
      </c>
      <c r="C36" s="7">
        <v>45680</v>
      </c>
      <c r="D36" s="6" t="s">
        <v>50</v>
      </c>
      <c r="E36" s="6" t="s">
        <v>51</v>
      </c>
      <c r="F36" s="8">
        <v>3961</v>
      </c>
      <c r="G36" s="8">
        <v>761</v>
      </c>
      <c r="H36" s="8">
        <v>131</v>
      </c>
      <c r="I36" s="8">
        <v>67337</v>
      </c>
      <c r="J36" s="8">
        <v>66615</v>
      </c>
      <c r="K36" s="8">
        <v>161</v>
      </c>
      <c r="L36" s="9" t="s">
        <v>37</v>
      </c>
      <c r="M36" s="9" t="s">
        <v>23</v>
      </c>
      <c r="N36" s="18">
        <f t="shared" si="0"/>
        <v>7.2851459881408093E-2</v>
      </c>
      <c r="O36" s="18">
        <f t="shared" si="1"/>
        <v>7.2070332803659209E-2</v>
      </c>
    </row>
    <row r="37" spans="1:15" x14ac:dyDescent="0.3">
      <c r="A37" s="5" t="s">
        <v>62</v>
      </c>
      <c r="B37" s="6" t="s">
        <v>14</v>
      </c>
      <c r="C37" s="7">
        <v>45757</v>
      </c>
      <c r="D37" s="6" t="s">
        <v>35</v>
      </c>
      <c r="E37" s="6" t="s">
        <v>36</v>
      </c>
      <c r="F37" s="8">
        <v>3128</v>
      </c>
      <c r="G37" s="8">
        <v>211</v>
      </c>
      <c r="H37" s="8">
        <v>197</v>
      </c>
      <c r="I37" s="8">
        <v>59432</v>
      </c>
      <c r="J37" s="8">
        <v>59182</v>
      </c>
      <c r="K37" s="8">
        <v>238</v>
      </c>
      <c r="L37" s="9" t="s">
        <v>31</v>
      </c>
      <c r="M37" s="9" t="s">
        <v>18</v>
      </c>
      <c r="N37" s="18">
        <f t="shared" si="0"/>
        <v>5.9747896319826972E-2</v>
      </c>
      <c r="O37" s="18">
        <f t="shared" si="1"/>
        <v>5.9496567505720827E-2</v>
      </c>
    </row>
    <row r="38" spans="1:15" x14ac:dyDescent="0.3">
      <c r="A38" s="5" t="s">
        <v>62</v>
      </c>
      <c r="B38" s="6" t="s">
        <v>14</v>
      </c>
      <c r="C38" s="7">
        <v>45757</v>
      </c>
      <c r="D38" s="6" t="s">
        <v>35</v>
      </c>
      <c r="E38" s="6" t="s">
        <v>36</v>
      </c>
      <c r="F38" s="8">
        <v>3128</v>
      </c>
      <c r="G38" s="8">
        <v>211</v>
      </c>
      <c r="H38" s="8">
        <v>197</v>
      </c>
      <c r="I38" s="8">
        <v>59432</v>
      </c>
      <c r="J38" s="8">
        <v>59182</v>
      </c>
      <c r="K38" s="8">
        <v>238</v>
      </c>
      <c r="L38" s="9" t="s">
        <v>17</v>
      </c>
      <c r="M38" s="9" t="s">
        <v>18</v>
      </c>
      <c r="N38" s="18">
        <f t="shared" si="0"/>
        <v>5.9747896319826972E-2</v>
      </c>
      <c r="O38" s="18">
        <f t="shared" si="1"/>
        <v>5.9496567505720827E-2</v>
      </c>
    </row>
    <row r="39" spans="1:15" x14ac:dyDescent="0.3">
      <c r="A39" s="5" t="s">
        <v>63</v>
      </c>
      <c r="B39" s="6" t="s">
        <v>25</v>
      </c>
      <c r="C39" s="7">
        <v>45752</v>
      </c>
      <c r="D39" s="6" t="s">
        <v>15</v>
      </c>
      <c r="E39" s="6" t="s">
        <v>16</v>
      </c>
      <c r="F39" s="8">
        <v>3009</v>
      </c>
      <c r="G39" s="8">
        <v>413</v>
      </c>
      <c r="H39" s="8">
        <v>358</v>
      </c>
      <c r="I39" s="8">
        <v>42126</v>
      </c>
      <c r="J39" s="8">
        <v>41309</v>
      </c>
      <c r="K39" s="8">
        <v>211</v>
      </c>
      <c r="L39" s="9" t="s">
        <v>17</v>
      </c>
      <c r="M39" s="9" t="s">
        <v>23</v>
      </c>
      <c r="N39" s="18">
        <f t="shared" si="0"/>
        <v>9.1505483066644078E-2</v>
      </c>
      <c r="O39" s="18">
        <f t="shared" si="1"/>
        <v>8.9730807577268201E-2</v>
      </c>
    </row>
    <row r="40" spans="1:15" x14ac:dyDescent="0.3">
      <c r="A40" s="5" t="s">
        <v>64</v>
      </c>
      <c r="B40" s="6" t="s">
        <v>25</v>
      </c>
      <c r="C40" s="7">
        <v>45552</v>
      </c>
      <c r="D40" s="6" t="s">
        <v>20</v>
      </c>
      <c r="E40" s="6" t="s">
        <v>21</v>
      </c>
      <c r="F40" s="8">
        <v>2076</v>
      </c>
      <c r="G40" s="8">
        <v>195</v>
      </c>
      <c r="H40" s="8">
        <v>104</v>
      </c>
      <c r="I40" s="8">
        <v>33216</v>
      </c>
      <c r="J40" s="8">
        <v>32244</v>
      </c>
      <c r="K40" s="8">
        <v>51</v>
      </c>
      <c r="L40" s="9" t="s">
        <v>37</v>
      </c>
      <c r="M40" s="9" t="s">
        <v>44</v>
      </c>
      <c r="N40" s="18">
        <f t="shared" si="0"/>
        <v>7.3657114501922832E-2</v>
      </c>
      <c r="O40" s="18">
        <f t="shared" si="1"/>
        <v>7.1501685934489398E-2</v>
      </c>
    </row>
    <row r="41" spans="1:15" x14ac:dyDescent="0.3">
      <c r="A41" s="5" t="s">
        <v>65</v>
      </c>
      <c r="B41" s="6" t="s">
        <v>27</v>
      </c>
      <c r="C41" s="7">
        <v>45720</v>
      </c>
      <c r="D41" s="6" t="s">
        <v>50</v>
      </c>
      <c r="E41" s="6" t="s">
        <v>51</v>
      </c>
      <c r="F41" s="8">
        <v>432</v>
      </c>
      <c r="G41" s="8">
        <v>624</v>
      </c>
      <c r="H41" s="8">
        <v>123</v>
      </c>
      <c r="I41" s="8">
        <v>6912</v>
      </c>
      <c r="J41" s="8">
        <v>6259</v>
      </c>
      <c r="K41" s="8">
        <v>79</v>
      </c>
      <c r="L41" s="9" t="s">
        <v>17</v>
      </c>
      <c r="M41" s="9" t="s">
        <v>23</v>
      </c>
      <c r="N41" s="18">
        <f t="shared" si="0"/>
        <v>0.18836874900143794</v>
      </c>
      <c r="O41" s="18">
        <f t="shared" si="1"/>
        <v>0.17057291666666666</v>
      </c>
    </row>
    <row r="42" spans="1:15" x14ac:dyDescent="0.3">
      <c r="A42" s="5" t="s">
        <v>65</v>
      </c>
      <c r="B42" s="6" t="s">
        <v>27</v>
      </c>
      <c r="C42" s="7">
        <v>45720</v>
      </c>
      <c r="D42" s="6" t="s">
        <v>50</v>
      </c>
      <c r="E42" s="6" t="s">
        <v>51</v>
      </c>
      <c r="F42" s="8">
        <v>432</v>
      </c>
      <c r="G42" s="8">
        <v>624</v>
      </c>
      <c r="H42" s="8">
        <v>123</v>
      </c>
      <c r="I42" s="8">
        <v>6912</v>
      </c>
      <c r="J42" s="8">
        <v>6259</v>
      </c>
      <c r="K42" s="8">
        <v>79</v>
      </c>
      <c r="L42" s="9" t="s">
        <v>37</v>
      </c>
      <c r="M42" s="9" t="s">
        <v>23</v>
      </c>
      <c r="N42" s="18">
        <f t="shared" si="0"/>
        <v>0.18836874900143794</v>
      </c>
      <c r="O42" s="18">
        <f t="shared" si="1"/>
        <v>0.17057291666666666</v>
      </c>
    </row>
    <row r="43" spans="1:15" x14ac:dyDescent="0.3">
      <c r="A43" s="5" t="s">
        <v>66</v>
      </c>
      <c r="B43" s="6" t="s">
        <v>27</v>
      </c>
      <c r="C43" s="7">
        <v>45688</v>
      </c>
      <c r="D43" s="6" t="s">
        <v>35</v>
      </c>
      <c r="E43" s="6" t="s">
        <v>36</v>
      </c>
      <c r="F43" s="8">
        <v>2566</v>
      </c>
      <c r="G43" s="8">
        <v>118</v>
      </c>
      <c r="H43" s="8">
        <v>37</v>
      </c>
      <c r="I43" s="8">
        <v>12830</v>
      </c>
      <c r="J43" s="8">
        <v>12264</v>
      </c>
      <c r="K43" s="8">
        <v>221</v>
      </c>
      <c r="L43" s="9" t="s">
        <v>37</v>
      </c>
      <c r="M43" s="9" t="s">
        <v>32</v>
      </c>
      <c r="N43" s="18">
        <f t="shared" si="0"/>
        <v>0.22186888454011741</v>
      </c>
      <c r="O43" s="18">
        <f t="shared" si="1"/>
        <v>0.21208106001558846</v>
      </c>
    </row>
    <row r="44" spans="1:15" x14ac:dyDescent="0.3">
      <c r="A44" s="5" t="s">
        <v>66</v>
      </c>
      <c r="B44" s="6" t="s">
        <v>27</v>
      </c>
      <c r="C44" s="7">
        <v>45688</v>
      </c>
      <c r="D44" s="6" t="s">
        <v>35</v>
      </c>
      <c r="E44" s="6" t="s">
        <v>36</v>
      </c>
      <c r="F44" s="8">
        <v>2566</v>
      </c>
      <c r="G44" s="8">
        <v>118</v>
      </c>
      <c r="H44" s="8">
        <v>37</v>
      </c>
      <c r="I44" s="8">
        <v>12830</v>
      </c>
      <c r="J44" s="8">
        <v>12264</v>
      </c>
      <c r="K44" s="8">
        <v>221</v>
      </c>
      <c r="L44" s="9" t="s">
        <v>22</v>
      </c>
      <c r="M44" s="9" t="s">
        <v>32</v>
      </c>
      <c r="N44" s="18">
        <f t="shared" si="0"/>
        <v>0.22186888454011741</v>
      </c>
      <c r="O44" s="18">
        <f t="shared" si="1"/>
        <v>0.21208106001558846</v>
      </c>
    </row>
    <row r="45" spans="1:15" x14ac:dyDescent="0.3">
      <c r="A45" s="5" t="s">
        <v>67</v>
      </c>
      <c r="B45" s="6" t="s">
        <v>27</v>
      </c>
      <c r="C45" s="7">
        <v>45713</v>
      </c>
      <c r="D45" s="6" t="s">
        <v>50</v>
      </c>
      <c r="E45" s="6" t="s">
        <v>51</v>
      </c>
      <c r="F45" s="8">
        <v>3095</v>
      </c>
      <c r="G45" s="8">
        <v>39</v>
      </c>
      <c r="H45" s="8">
        <v>78</v>
      </c>
      <c r="I45" s="8">
        <v>55710</v>
      </c>
      <c r="J45" s="8">
        <v>54808</v>
      </c>
      <c r="K45" s="8">
        <v>93</v>
      </c>
      <c r="L45" s="9" t="s">
        <v>17</v>
      </c>
      <c r="M45" s="9" t="s">
        <v>44</v>
      </c>
      <c r="N45" s="18">
        <f t="shared" si="0"/>
        <v>5.8604583272514964E-2</v>
      </c>
      <c r="O45" s="18">
        <f t="shared" si="1"/>
        <v>5.7655717106444085E-2</v>
      </c>
    </row>
    <row r="46" spans="1:15" x14ac:dyDescent="0.3">
      <c r="A46" s="5" t="s">
        <v>68</v>
      </c>
      <c r="B46" s="6" t="s">
        <v>27</v>
      </c>
      <c r="C46" s="7">
        <v>45642</v>
      </c>
      <c r="D46" s="6" t="s">
        <v>20</v>
      </c>
      <c r="E46" s="6" t="s">
        <v>21</v>
      </c>
      <c r="F46" s="8">
        <v>438</v>
      </c>
      <c r="G46" s="8">
        <v>153</v>
      </c>
      <c r="H46" s="8">
        <v>275</v>
      </c>
      <c r="I46" s="8">
        <v>3066</v>
      </c>
      <c r="J46" s="8">
        <v>2701</v>
      </c>
      <c r="K46" s="8">
        <v>282</v>
      </c>
      <c r="L46" s="9" t="s">
        <v>37</v>
      </c>
      <c r="M46" s="9" t="s">
        <v>44</v>
      </c>
      <c r="N46" s="18">
        <f t="shared" si="0"/>
        <v>0.32062199185486856</v>
      </c>
      <c r="O46" s="18">
        <f t="shared" si="1"/>
        <v>0.28245270711024134</v>
      </c>
    </row>
    <row r="47" spans="1:15" x14ac:dyDescent="0.3">
      <c r="A47" s="5" t="s">
        <v>69</v>
      </c>
      <c r="B47" s="6" t="s">
        <v>14</v>
      </c>
      <c r="C47" s="7">
        <v>45504</v>
      </c>
      <c r="D47" s="6" t="s">
        <v>35</v>
      </c>
      <c r="E47" s="6" t="s">
        <v>36</v>
      </c>
      <c r="F47" s="8">
        <v>2278</v>
      </c>
      <c r="G47" s="8">
        <v>10</v>
      </c>
      <c r="H47" s="8">
        <v>321</v>
      </c>
      <c r="I47" s="8">
        <v>13668</v>
      </c>
      <c r="J47" s="8">
        <v>12676</v>
      </c>
      <c r="K47" s="8">
        <v>275</v>
      </c>
      <c r="L47" s="9" t="s">
        <v>37</v>
      </c>
      <c r="M47" s="9" t="s">
        <v>44</v>
      </c>
      <c r="N47" s="18">
        <f t="shared" si="0"/>
        <v>0.20582202587567056</v>
      </c>
      <c r="O47" s="18">
        <f t="shared" si="1"/>
        <v>0.19088381621305239</v>
      </c>
    </row>
    <row r="48" spans="1:15" x14ac:dyDescent="0.3">
      <c r="A48" s="5" t="s">
        <v>69</v>
      </c>
      <c r="B48" s="6" t="s">
        <v>14</v>
      </c>
      <c r="C48" s="7">
        <v>45504</v>
      </c>
      <c r="D48" s="6" t="s">
        <v>35</v>
      </c>
      <c r="E48" s="6" t="s">
        <v>36</v>
      </c>
      <c r="F48" s="8">
        <v>2278</v>
      </c>
      <c r="G48" s="8">
        <v>10</v>
      </c>
      <c r="H48" s="8">
        <v>321</v>
      </c>
      <c r="I48" s="8">
        <v>13668</v>
      </c>
      <c r="J48" s="8">
        <v>12676</v>
      </c>
      <c r="K48" s="8">
        <v>275</v>
      </c>
      <c r="L48" s="9" t="s">
        <v>22</v>
      </c>
      <c r="M48" s="9" t="s">
        <v>44</v>
      </c>
      <c r="N48" s="18">
        <f t="shared" si="0"/>
        <v>0.20582202587567056</v>
      </c>
      <c r="O48" s="18">
        <f t="shared" si="1"/>
        <v>0.19088381621305239</v>
      </c>
    </row>
    <row r="49" spans="1:15" x14ac:dyDescent="0.3">
      <c r="A49" s="5" t="s">
        <v>70</v>
      </c>
      <c r="B49" s="6" t="s">
        <v>34</v>
      </c>
      <c r="C49" s="7">
        <v>45525</v>
      </c>
      <c r="D49" s="6" t="s">
        <v>40</v>
      </c>
      <c r="E49" s="6" t="s">
        <v>41</v>
      </c>
      <c r="F49" s="8">
        <v>1407</v>
      </c>
      <c r="G49" s="8">
        <v>400</v>
      </c>
      <c r="H49" s="8">
        <v>351</v>
      </c>
      <c r="I49" s="8">
        <v>16884</v>
      </c>
      <c r="J49" s="8">
        <v>15954</v>
      </c>
      <c r="K49" s="8">
        <v>113</v>
      </c>
      <c r="L49" s="9" t="s">
        <v>22</v>
      </c>
      <c r="M49" s="9" t="s">
        <v>32</v>
      </c>
      <c r="N49" s="18">
        <f t="shared" si="0"/>
        <v>0.13526388366553843</v>
      </c>
      <c r="O49" s="18">
        <f t="shared" si="1"/>
        <v>0.12781331438047855</v>
      </c>
    </row>
    <row r="50" spans="1:15" x14ac:dyDescent="0.3">
      <c r="A50" s="5" t="s">
        <v>70</v>
      </c>
      <c r="B50" s="6" t="s">
        <v>34</v>
      </c>
      <c r="C50" s="7">
        <v>45525</v>
      </c>
      <c r="D50" s="6" t="s">
        <v>40</v>
      </c>
      <c r="E50" s="6" t="s">
        <v>41</v>
      </c>
      <c r="F50" s="8">
        <v>1407</v>
      </c>
      <c r="G50" s="8">
        <v>400</v>
      </c>
      <c r="H50" s="8">
        <v>351</v>
      </c>
      <c r="I50" s="8">
        <v>16884</v>
      </c>
      <c r="J50" s="8">
        <v>15954</v>
      </c>
      <c r="K50" s="8">
        <v>113</v>
      </c>
      <c r="L50" s="9" t="s">
        <v>52</v>
      </c>
      <c r="M50" s="9" t="s">
        <v>32</v>
      </c>
      <c r="N50" s="18">
        <f t="shared" si="0"/>
        <v>0.13526388366553843</v>
      </c>
      <c r="O50" s="18">
        <f t="shared" si="1"/>
        <v>0.12781331438047855</v>
      </c>
    </row>
    <row r="51" spans="1:15" x14ac:dyDescent="0.3">
      <c r="A51" s="5" t="s">
        <v>71</v>
      </c>
      <c r="B51" s="6" t="s">
        <v>34</v>
      </c>
      <c r="C51" s="7">
        <v>45742</v>
      </c>
      <c r="D51" s="6" t="s">
        <v>20</v>
      </c>
      <c r="E51" s="6" t="s">
        <v>21</v>
      </c>
      <c r="F51" s="8">
        <v>1652</v>
      </c>
      <c r="G51" s="8">
        <v>89</v>
      </c>
      <c r="H51" s="8">
        <v>357</v>
      </c>
      <c r="I51" s="8">
        <v>29736</v>
      </c>
      <c r="J51" s="8">
        <v>28771</v>
      </c>
      <c r="K51" s="8">
        <v>215</v>
      </c>
      <c r="L51" s="9" t="s">
        <v>37</v>
      </c>
      <c r="M51" s="9" t="s">
        <v>23</v>
      </c>
      <c r="N51" s="18">
        <f t="shared" si="0"/>
        <v>7.2920649264884785E-2</v>
      </c>
      <c r="O51" s="18">
        <f t="shared" si="1"/>
        <v>7.055421038471886E-2</v>
      </c>
    </row>
    <row r="52" spans="1:15" x14ac:dyDescent="0.3">
      <c r="A52" s="5" t="s">
        <v>71</v>
      </c>
      <c r="B52" s="6" t="s">
        <v>34</v>
      </c>
      <c r="C52" s="7">
        <v>45742</v>
      </c>
      <c r="D52" s="6" t="s">
        <v>20</v>
      </c>
      <c r="E52" s="6" t="s">
        <v>21</v>
      </c>
      <c r="F52" s="8">
        <v>1652</v>
      </c>
      <c r="G52" s="8">
        <v>89</v>
      </c>
      <c r="H52" s="8">
        <v>357</v>
      </c>
      <c r="I52" s="8">
        <v>29736</v>
      </c>
      <c r="J52" s="8">
        <v>28771</v>
      </c>
      <c r="K52" s="8">
        <v>215</v>
      </c>
      <c r="L52" s="9" t="s">
        <v>52</v>
      </c>
      <c r="M52" s="9" t="s">
        <v>23</v>
      </c>
      <c r="N52" s="18">
        <f t="shared" si="0"/>
        <v>7.2920649264884785E-2</v>
      </c>
      <c r="O52" s="18">
        <f t="shared" si="1"/>
        <v>7.055421038471886E-2</v>
      </c>
    </row>
    <row r="53" spans="1:15" x14ac:dyDescent="0.3">
      <c r="A53" s="5" t="s">
        <v>72</v>
      </c>
      <c r="B53" s="6" t="s">
        <v>27</v>
      </c>
      <c r="C53" s="7">
        <v>45626</v>
      </c>
      <c r="D53" s="6" t="s">
        <v>50</v>
      </c>
      <c r="E53" s="6" t="s">
        <v>51</v>
      </c>
      <c r="F53" s="8">
        <v>3775</v>
      </c>
      <c r="G53" s="8">
        <v>16</v>
      </c>
      <c r="H53" s="8">
        <v>239</v>
      </c>
      <c r="I53" s="8">
        <v>33975</v>
      </c>
      <c r="J53" s="8">
        <v>33310</v>
      </c>
      <c r="K53" s="8">
        <v>271</v>
      </c>
      <c r="L53" s="9" t="s">
        <v>31</v>
      </c>
      <c r="M53" s="9" t="s">
        <v>32</v>
      </c>
      <c r="N53" s="18">
        <f t="shared" si="0"/>
        <v>0.12098468928249775</v>
      </c>
      <c r="O53" s="18">
        <f t="shared" si="1"/>
        <v>0.11861662987490802</v>
      </c>
    </row>
    <row r="54" spans="1:15" x14ac:dyDescent="0.3">
      <c r="A54" s="5" t="s">
        <v>72</v>
      </c>
      <c r="B54" s="6" t="s">
        <v>27</v>
      </c>
      <c r="C54" s="7">
        <v>45626</v>
      </c>
      <c r="D54" s="6" t="s">
        <v>50</v>
      </c>
      <c r="E54" s="6" t="s">
        <v>51</v>
      </c>
      <c r="F54" s="8">
        <v>3775</v>
      </c>
      <c r="G54" s="8">
        <v>16</v>
      </c>
      <c r="H54" s="8">
        <v>239</v>
      </c>
      <c r="I54" s="8">
        <v>33975</v>
      </c>
      <c r="J54" s="8">
        <v>33310</v>
      </c>
      <c r="K54" s="8">
        <v>271</v>
      </c>
      <c r="L54" s="9" t="s">
        <v>17</v>
      </c>
      <c r="M54" s="9" t="s">
        <v>32</v>
      </c>
      <c r="N54" s="18">
        <f t="shared" si="0"/>
        <v>0.12098468928249775</v>
      </c>
      <c r="O54" s="18">
        <f t="shared" si="1"/>
        <v>0.11861662987490802</v>
      </c>
    </row>
    <row r="55" spans="1:15" x14ac:dyDescent="0.3">
      <c r="A55" s="5" t="s">
        <v>73</v>
      </c>
      <c r="B55" s="6" t="s">
        <v>27</v>
      </c>
      <c r="C55" s="7">
        <v>45766</v>
      </c>
      <c r="D55" s="6" t="s">
        <v>28</v>
      </c>
      <c r="E55" s="6" t="s">
        <v>29</v>
      </c>
      <c r="F55" s="8">
        <v>4518</v>
      </c>
      <c r="G55" s="8">
        <v>285</v>
      </c>
      <c r="H55" s="8">
        <v>383</v>
      </c>
      <c r="I55" s="8">
        <v>67770</v>
      </c>
      <c r="J55" s="8">
        <v>67621</v>
      </c>
      <c r="K55" s="8">
        <v>31</v>
      </c>
      <c r="L55" s="9" t="s">
        <v>52</v>
      </c>
      <c r="M55" s="9" t="s">
        <v>23</v>
      </c>
      <c r="N55" s="18">
        <f t="shared" si="0"/>
        <v>7.6692151846319931E-2</v>
      </c>
      <c r="O55" s="18">
        <f t="shared" si="1"/>
        <v>7.6523535487678915E-2</v>
      </c>
    </row>
    <row r="56" spans="1:15" x14ac:dyDescent="0.3">
      <c r="A56" s="5" t="s">
        <v>74</v>
      </c>
      <c r="B56" s="6" t="s">
        <v>34</v>
      </c>
      <c r="C56" s="7">
        <v>45663</v>
      </c>
      <c r="D56" s="6" t="s">
        <v>35</v>
      </c>
      <c r="E56" s="6" t="s">
        <v>36</v>
      </c>
      <c r="F56" s="8">
        <v>3024</v>
      </c>
      <c r="G56" s="8">
        <v>925</v>
      </c>
      <c r="H56" s="8">
        <v>350</v>
      </c>
      <c r="I56" s="8">
        <v>24192</v>
      </c>
      <c r="J56" s="8">
        <v>23518</v>
      </c>
      <c r="K56" s="8">
        <v>36</v>
      </c>
      <c r="L56" s="9" t="s">
        <v>17</v>
      </c>
      <c r="M56" s="9" t="s">
        <v>32</v>
      </c>
      <c r="N56" s="18">
        <f t="shared" si="0"/>
        <v>0.18279615613572583</v>
      </c>
      <c r="O56" s="18">
        <f t="shared" si="1"/>
        <v>0.17770337301587302</v>
      </c>
    </row>
    <row r="57" spans="1:15" x14ac:dyDescent="0.3">
      <c r="A57" s="5" t="s">
        <v>75</v>
      </c>
      <c r="B57" s="6" t="s">
        <v>25</v>
      </c>
      <c r="C57" s="7">
        <v>45705</v>
      </c>
      <c r="D57" s="6" t="s">
        <v>15</v>
      </c>
      <c r="E57" s="6" t="s">
        <v>16</v>
      </c>
      <c r="F57" s="8">
        <v>3138</v>
      </c>
      <c r="G57" s="8">
        <v>123</v>
      </c>
      <c r="H57" s="8">
        <v>291</v>
      </c>
      <c r="I57" s="8">
        <v>28242</v>
      </c>
      <c r="J57" s="8">
        <v>27550</v>
      </c>
      <c r="K57" s="8">
        <v>87</v>
      </c>
      <c r="L57" s="9" t="s">
        <v>52</v>
      </c>
      <c r="M57" s="9" t="s">
        <v>44</v>
      </c>
      <c r="N57" s="18">
        <f t="shared" si="0"/>
        <v>0.12892921960072595</v>
      </c>
      <c r="O57" s="18">
        <f t="shared" si="1"/>
        <v>0.12577012959422137</v>
      </c>
    </row>
    <row r="58" spans="1:15" x14ac:dyDescent="0.3">
      <c r="A58" s="5" t="s">
        <v>76</v>
      </c>
      <c r="B58" s="6" t="s">
        <v>34</v>
      </c>
      <c r="C58" s="7">
        <v>45621</v>
      </c>
      <c r="D58" s="6" t="s">
        <v>40</v>
      </c>
      <c r="E58" s="6" t="s">
        <v>41</v>
      </c>
      <c r="F58" s="8">
        <v>3564</v>
      </c>
      <c r="G58" s="8">
        <v>629</v>
      </c>
      <c r="H58" s="8">
        <v>177</v>
      </c>
      <c r="I58" s="8">
        <v>60588</v>
      </c>
      <c r="J58" s="8">
        <v>59627</v>
      </c>
      <c r="K58" s="8">
        <v>92</v>
      </c>
      <c r="L58" s="9" t="s">
        <v>52</v>
      </c>
      <c r="M58" s="9" t="s">
        <v>32</v>
      </c>
      <c r="N58" s="18">
        <f t="shared" si="0"/>
        <v>7.3288946282724268E-2</v>
      </c>
      <c r="O58" s="18">
        <f t="shared" si="1"/>
        <v>7.2126493695121141E-2</v>
      </c>
    </row>
    <row r="59" spans="1:15" x14ac:dyDescent="0.3">
      <c r="A59" s="5" t="s">
        <v>76</v>
      </c>
      <c r="B59" s="6" t="s">
        <v>34</v>
      </c>
      <c r="C59" s="7">
        <v>45621</v>
      </c>
      <c r="D59" s="6" t="s">
        <v>40</v>
      </c>
      <c r="E59" s="6" t="s">
        <v>41</v>
      </c>
      <c r="F59" s="8">
        <v>3564</v>
      </c>
      <c r="G59" s="8">
        <v>629</v>
      </c>
      <c r="H59" s="8">
        <v>177</v>
      </c>
      <c r="I59" s="8">
        <v>60588</v>
      </c>
      <c r="J59" s="8">
        <v>59627</v>
      </c>
      <c r="K59" s="8">
        <v>92</v>
      </c>
      <c r="L59" s="9" t="s">
        <v>17</v>
      </c>
      <c r="M59" s="9" t="s">
        <v>32</v>
      </c>
      <c r="N59" s="18">
        <f t="shared" si="0"/>
        <v>7.3288946282724268E-2</v>
      </c>
      <c r="O59" s="18">
        <f t="shared" si="1"/>
        <v>7.2126493695121141E-2</v>
      </c>
    </row>
    <row r="60" spans="1:15" x14ac:dyDescent="0.3">
      <c r="A60" s="5" t="s">
        <v>77</v>
      </c>
      <c r="B60" s="6" t="s">
        <v>14</v>
      </c>
      <c r="C60" s="7">
        <v>45723</v>
      </c>
      <c r="D60" s="6" t="s">
        <v>40</v>
      </c>
      <c r="E60" s="6" t="s">
        <v>41</v>
      </c>
      <c r="F60" s="8">
        <v>4750</v>
      </c>
      <c r="G60" s="8">
        <v>151</v>
      </c>
      <c r="H60" s="8">
        <v>415</v>
      </c>
      <c r="I60" s="8">
        <v>38000</v>
      </c>
      <c r="J60" s="8">
        <v>37792</v>
      </c>
      <c r="K60" s="8">
        <v>299</v>
      </c>
      <c r="L60" s="9" t="s">
        <v>31</v>
      </c>
      <c r="M60" s="9" t="s">
        <v>23</v>
      </c>
      <c r="N60" s="18">
        <f t="shared" si="0"/>
        <v>0.14066469093988146</v>
      </c>
      <c r="O60" s="18">
        <f t="shared" si="1"/>
        <v>0.13989473684210527</v>
      </c>
    </row>
    <row r="61" spans="1:15" x14ac:dyDescent="0.3">
      <c r="A61" s="5" t="s">
        <v>77</v>
      </c>
      <c r="B61" s="6" t="s">
        <v>14</v>
      </c>
      <c r="C61" s="7">
        <v>45723</v>
      </c>
      <c r="D61" s="6" t="s">
        <v>40</v>
      </c>
      <c r="E61" s="6" t="s">
        <v>41</v>
      </c>
      <c r="F61" s="8">
        <v>4750</v>
      </c>
      <c r="G61" s="8">
        <v>151</v>
      </c>
      <c r="H61" s="8">
        <v>415</v>
      </c>
      <c r="I61" s="8">
        <v>38000</v>
      </c>
      <c r="J61" s="8">
        <v>37792</v>
      </c>
      <c r="K61" s="8">
        <v>299</v>
      </c>
      <c r="L61" s="9" t="s">
        <v>17</v>
      </c>
      <c r="M61" s="9" t="s">
        <v>23</v>
      </c>
      <c r="N61" s="18">
        <f t="shared" si="0"/>
        <v>0.14066469093988146</v>
      </c>
      <c r="O61" s="18">
        <f t="shared" si="1"/>
        <v>0.13989473684210527</v>
      </c>
    </row>
    <row r="62" spans="1:15" x14ac:dyDescent="0.3">
      <c r="A62" s="5" t="s">
        <v>78</v>
      </c>
      <c r="B62" s="6" t="s">
        <v>27</v>
      </c>
      <c r="C62" s="7">
        <v>45724</v>
      </c>
      <c r="D62" s="6" t="s">
        <v>15</v>
      </c>
      <c r="E62" s="6" t="s">
        <v>16</v>
      </c>
      <c r="F62" s="8">
        <v>456</v>
      </c>
      <c r="G62" s="8">
        <v>629</v>
      </c>
      <c r="H62" s="8">
        <v>428</v>
      </c>
      <c r="I62" s="8">
        <v>8208</v>
      </c>
      <c r="J62" s="8">
        <v>7377</v>
      </c>
      <c r="K62" s="8">
        <v>205</v>
      </c>
      <c r="L62" s="9" t="s">
        <v>17</v>
      </c>
      <c r="M62" s="9" t="s">
        <v>32</v>
      </c>
      <c r="N62" s="18">
        <f t="shared" si="0"/>
        <v>0.20509692286837466</v>
      </c>
      <c r="O62" s="18">
        <f t="shared" si="1"/>
        <v>0.18433235867446393</v>
      </c>
    </row>
    <row r="63" spans="1:15" x14ac:dyDescent="0.3">
      <c r="A63" s="5" t="s">
        <v>78</v>
      </c>
      <c r="B63" s="6" t="s">
        <v>27</v>
      </c>
      <c r="C63" s="7">
        <v>45724</v>
      </c>
      <c r="D63" s="6" t="s">
        <v>15</v>
      </c>
      <c r="E63" s="6" t="s">
        <v>16</v>
      </c>
      <c r="F63" s="8">
        <v>456</v>
      </c>
      <c r="G63" s="8">
        <v>629</v>
      </c>
      <c r="H63" s="8">
        <v>428</v>
      </c>
      <c r="I63" s="8">
        <v>8208</v>
      </c>
      <c r="J63" s="8">
        <v>7377</v>
      </c>
      <c r="K63" s="8">
        <v>205</v>
      </c>
      <c r="L63" s="9" t="s">
        <v>52</v>
      </c>
      <c r="M63" s="9" t="s">
        <v>32</v>
      </c>
      <c r="N63" s="18">
        <f t="shared" si="0"/>
        <v>0.20509692286837466</v>
      </c>
      <c r="O63" s="18">
        <f t="shared" si="1"/>
        <v>0.18433235867446393</v>
      </c>
    </row>
    <row r="64" spans="1:15" x14ac:dyDescent="0.3">
      <c r="A64" s="5" t="s">
        <v>79</v>
      </c>
      <c r="B64" s="6" t="s">
        <v>25</v>
      </c>
      <c r="C64" s="7">
        <v>45721</v>
      </c>
      <c r="D64" s="6" t="s">
        <v>15</v>
      </c>
      <c r="E64" s="6" t="s">
        <v>16</v>
      </c>
      <c r="F64" s="8">
        <v>1543</v>
      </c>
      <c r="G64" s="8">
        <v>820</v>
      </c>
      <c r="H64" s="8">
        <v>333</v>
      </c>
      <c r="I64" s="8">
        <v>12344</v>
      </c>
      <c r="J64" s="8">
        <v>11496</v>
      </c>
      <c r="K64" s="8">
        <v>241</v>
      </c>
      <c r="L64" s="9" t="s">
        <v>31</v>
      </c>
      <c r="M64" s="9" t="s">
        <v>32</v>
      </c>
      <c r="N64" s="18">
        <f t="shared" si="0"/>
        <v>0.23451635351426584</v>
      </c>
      <c r="O64" s="18">
        <f t="shared" si="1"/>
        <v>0.21840570317563188</v>
      </c>
    </row>
    <row r="65" spans="1:15" x14ac:dyDescent="0.3">
      <c r="A65" s="5" t="s">
        <v>80</v>
      </c>
      <c r="B65" s="6" t="s">
        <v>27</v>
      </c>
      <c r="C65" s="7">
        <v>45640</v>
      </c>
      <c r="D65" s="6" t="s">
        <v>35</v>
      </c>
      <c r="E65" s="6" t="s">
        <v>36</v>
      </c>
      <c r="F65" s="8">
        <v>2174</v>
      </c>
      <c r="G65" s="8">
        <v>658</v>
      </c>
      <c r="H65" s="8">
        <v>15</v>
      </c>
      <c r="I65" s="8">
        <v>13044</v>
      </c>
      <c r="J65" s="8">
        <v>12206</v>
      </c>
      <c r="K65" s="8">
        <v>137</v>
      </c>
      <c r="L65" s="9" t="s">
        <v>17</v>
      </c>
      <c r="M65" s="9" t="s">
        <v>44</v>
      </c>
      <c r="N65" s="18">
        <f t="shared" si="0"/>
        <v>0.23324594461740128</v>
      </c>
      <c r="O65" s="18">
        <f t="shared" si="1"/>
        <v>0.21826126954921804</v>
      </c>
    </row>
    <row r="66" spans="1:15" x14ac:dyDescent="0.3">
      <c r="A66" s="5" t="s">
        <v>80</v>
      </c>
      <c r="B66" s="6" t="s">
        <v>27</v>
      </c>
      <c r="C66" s="7">
        <v>45640</v>
      </c>
      <c r="D66" s="6" t="s">
        <v>35</v>
      </c>
      <c r="E66" s="6" t="s">
        <v>36</v>
      </c>
      <c r="F66" s="8">
        <v>2174</v>
      </c>
      <c r="G66" s="8">
        <v>658</v>
      </c>
      <c r="H66" s="8">
        <v>15</v>
      </c>
      <c r="I66" s="8">
        <v>13044</v>
      </c>
      <c r="J66" s="8">
        <v>12206</v>
      </c>
      <c r="K66" s="8">
        <v>137</v>
      </c>
      <c r="L66" s="9" t="s">
        <v>22</v>
      </c>
      <c r="M66" s="9" t="s">
        <v>44</v>
      </c>
      <c r="N66" s="18">
        <f t="shared" si="0"/>
        <v>0.23324594461740128</v>
      </c>
      <c r="O66" s="18">
        <f t="shared" si="1"/>
        <v>0.21826126954921804</v>
      </c>
    </row>
    <row r="67" spans="1:15" x14ac:dyDescent="0.3">
      <c r="A67" s="5" t="s">
        <v>81</v>
      </c>
      <c r="B67" s="6" t="s">
        <v>14</v>
      </c>
      <c r="C67" s="7">
        <v>45718</v>
      </c>
      <c r="D67" s="6" t="s">
        <v>40</v>
      </c>
      <c r="E67" s="6" t="s">
        <v>41</v>
      </c>
      <c r="F67" s="8">
        <v>2358</v>
      </c>
      <c r="G67" s="8">
        <v>784</v>
      </c>
      <c r="H67" s="8">
        <v>344</v>
      </c>
      <c r="I67" s="8">
        <v>35370</v>
      </c>
      <c r="J67" s="8">
        <v>34475</v>
      </c>
      <c r="K67" s="8">
        <v>216</v>
      </c>
      <c r="L67" s="9" t="s">
        <v>17</v>
      </c>
      <c r="M67" s="9" t="s">
        <v>18</v>
      </c>
      <c r="N67" s="18">
        <f t="shared" ref="N67:N130" si="2">SUM(F67,G67,H67)/J67</f>
        <v>0.10111675126903553</v>
      </c>
      <c r="O67" s="18">
        <f t="shared" ref="O67:O130" si="3">SUM(F67,G67,H67)/I67</f>
        <v>9.8558100084817649E-2</v>
      </c>
    </row>
    <row r="68" spans="1:15" x14ac:dyDescent="0.3">
      <c r="A68" s="5" t="s">
        <v>81</v>
      </c>
      <c r="B68" s="6" t="s">
        <v>14</v>
      </c>
      <c r="C68" s="7">
        <v>45718</v>
      </c>
      <c r="D68" s="6" t="s">
        <v>40</v>
      </c>
      <c r="E68" s="6" t="s">
        <v>41</v>
      </c>
      <c r="F68" s="8">
        <v>2358</v>
      </c>
      <c r="G68" s="8">
        <v>784</v>
      </c>
      <c r="H68" s="8">
        <v>344</v>
      </c>
      <c r="I68" s="8">
        <v>35370</v>
      </c>
      <c r="J68" s="8">
        <v>34475</v>
      </c>
      <c r="K68" s="8">
        <v>216</v>
      </c>
      <c r="L68" s="9" t="s">
        <v>31</v>
      </c>
      <c r="M68" s="9" t="s">
        <v>18</v>
      </c>
      <c r="N68" s="18">
        <f t="shared" si="2"/>
        <v>0.10111675126903553</v>
      </c>
      <c r="O68" s="18">
        <f t="shared" si="3"/>
        <v>9.8558100084817649E-2</v>
      </c>
    </row>
    <row r="69" spans="1:15" x14ac:dyDescent="0.3">
      <c r="A69" s="5" t="s">
        <v>82</v>
      </c>
      <c r="B69" s="6" t="s">
        <v>34</v>
      </c>
      <c r="C69" s="7">
        <v>45597</v>
      </c>
      <c r="D69" s="6" t="s">
        <v>50</v>
      </c>
      <c r="E69" s="6" t="s">
        <v>51</v>
      </c>
      <c r="F69" s="8">
        <v>3371</v>
      </c>
      <c r="G69" s="8">
        <v>106</v>
      </c>
      <c r="H69" s="8">
        <v>327</v>
      </c>
      <c r="I69" s="8">
        <v>50565</v>
      </c>
      <c r="J69" s="8">
        <v>49816</v>
      </c>
      <c r="K69" s="8">
        <v>176</v>
      </c>
      <c r="L69" s="9" t="s">
        <v>52</v>
      </c>
      <c r="M69" s="9" t="s">
        <v>44</v>
      </c>
      <c r="N69" s="18">
        <f t="shared" si="2"/>
        <v>7.636100851132166E-2</v>
      </c>
      <c r="O69" s="18">
        <f t="shared" si="3"/>
        <v>7.5229902106199939E-2</v>
      </c>
    </row>
    <row r="70" spans="1:15" x14ac:dyDescent="0.3">
      <c r="A70" s="5" t="s">
        <v>83</v>
      </c>
      <c r="B70" s="6" t="s">
        <v>14</v>
      </c>
      <c r="C70" s="7">
        <v>45779</v>
      </c>
      <c r="D70" s="6" t="s">
        <v>50</v>
      </c>
      <c r="E70" s="6" t="s">
        <v>51</v>
      </c>
      <c r="F70" s="8">
        <v>1108</v>
      </c>
      <c r="G70" s="8">
        <v>177</v>
      </c>
      <c r="H70" s="8">
        <v>212</v>
      </c>
      <c r="I70" s="8">
        <v>8864</v>
      </c>
      <c r="J70" s="8">
        <v>8710</v>
      </c>
      <c r="K70" s="8">
        <v>97</v>
      </c>
      <c r="L70" s="9" t="s">
        <v>22</v>
      </c>
      <c r="M70" s="9" t="s">
        <v>44</v>
      </c>
      <c r="N70" s="18">
        <f t="shared" si="2"/>
        <v>0.17187141216991964</v>
      </c>
      <c r="O70" s="18">
        <f t="shared" si="3"/>
        <v>0.16888537906137185</v>
      </c>
    </row>
    <row r="71" spans="1:15" x14ac:dyDescent="0.3">
      <c r="A71" s="5" t="s">
        <v>84</v>
      </c>
      <c r="B71" s="6" t="s">
        <v>14</v>
      </c>
      <c r="C71" s="7">
        <v>45712</v>
      </c>
      <c r="D71" s="6" t="s">
        <v>35</v>
      </c>
      <c r="E71" s="6" t="s">
        <v>36</v>
      </c>
      <c r="F71" s="8">
        <v>2704</v>
      </c>
      <c r="G71" s="8">
        <v>752</v>
      </c>
      <c r="H71" s="8">
        <v>153</v>
      </c>
      <c r="I71" s="8">
        <v>21632</v>
      </c>
      <c r="J71" s="8">
        <v>20792</v>
      </c>
      <c r="K71" s="8">
        <v>127</v>
      </c>
      <c r="L71" s="9" t="s">
        <v>52</v>
      </c>
      <c r="M71" s="9" t="s">
        <v>18</v>
      </c>
      <c r="N71" s="18">
        <f t="shared" si="2"/>
        <v>0.17357637552904964</v>
      </c>
      <c r="O71" s="18">
        <f t="shared" si="3"/>
        <v>0.16683616863905326</v>
      </c>
    </row>
    <row r="72" spans="1:15" x14ac:dyDescent="0.3">
      <c r="A72" s="5" t="s">
        <v>84</v>
      </c>
      <c r="B72" s="6" t="s">
        <v>14</v>
      </c>
      <c r="C72" s="7">
        <v>45712</v>
      </c>
      <c r="D72" s="6" t="s">
        <v>35</v>
      </c>
      <c r="E72" s="6" t="s">
        <v>36</v>
      </c>
      <c r="F72" s="8">
        <v>2704</v>
      </c>
      <c r="G72" s="8">
        <v>752</v>
      </c>
      <c r="H72" s="8">
        <v>153</v>
      </c>
      <c r="I72" s="8">
        <v>21632</v>
      </c>
      <c r="J72" s="8">
        <v>20792</v>
      </c>
      <c r="K72" s="8">
        <v>127</v>
      </c>
      <c r="L72" s="9" t="s">
        <v>22</v>
      </c>
      <c r="M72" s="9" t="s">
        <v>18</v>
      </c>
      <c r="N72" s="18">
        <f t="shared" si="2"/>
        <v>0.17357637552904964</v>
      </c>
      <c r="O72" s="18">
        <f t="shared" si="3"/>
        <v>0.16683616863905326</v>
      </c>
    </row>
    <row r="73" spans="1:15" x14ac:dyDescent="0.3">
      <c r="A73" s="5" t="s">
        <v>85</v>
      </c>
      <c r="B73" s="6" t="s">
        <v>14</v>
      </c>
      <c r="C73" s="7">
        <v>45727</v>
      </c>
      <c r="D73" s="6" t="s">
        <v>28</v>
      </c>
      <c r="E73" s="6" t="s">
        <v>29</v>
      </c>
      <c r="F73" s="8">
        <v>1950</v>
      </c>
      <c r="G73" s="8">
        <v>295</v>
      </c>
      <c r="H73" s="8">
        <v>478</v>
      </c>
      <c r="I73" s="8">
        <v>37050</v>
      </c>
      <c r="J73" s="8">
        <v>36272</v>
      </c>
      <c r="K73" s="8">
        <v>119</v>
      </c>
      <c r="L73" s="9" t="s">
        <v>22</v>
      </c>
      <c r="M73" s="9" t="s">
        <v>44</v>
      </c>
      <c r="N73" s="18">
        <f t="shared" si="2"/>
        <v>7.5071680635200699E-2</v>
      </c>
      <c r="O73" s="18">
        <f t="shared" si="3"/>
        <v>7.349527665317139E-2</v>
      </c>
    </row>
    <row r="74" spans="1:15" x14ac:dyDescent="0.3">
      <c r="A74" s="5" t="s">
        <v>85</v>
      </c>
      <c r="B74" s="6" t="s">
        <v>14</v>
      </c>
      <c r="C74" s="7">
        <v>45727</v>
      </c>
      <c r="D74" s="6" t="s">
        <v>28</v>
      </c>
      <c r="E74" s="6" t="s">
        <v>29</v>
      </c>
      <c r="F74" s="8">
        <v>1950</v>
      </c>
      <c r="G74" s="8">
        <v>295</v>
      </c>
      <c r="H74" s="8">
        <v>478</v>
      </c>
      <c r="I74" s="8">
        <v>37050</v>
      </c>
      <c r="J74" s="8">
        <v>36272</v>
      </c>
      <c r="K74" s="8">
        <v>119</v>
      </c>
      <c r="L74" s="9" t="s">
        <v>31</v>
      </c>
      <c r="M74" s="9" t="s">
        <v>44</v>
      </c>
      <c r="N74" s="18">
        <f t="shared" si="2"/>
        <v>7.5071680635200699E-2</v>
      </c>
      <c r="O74" s="18">
        <f t="shared" si="3"/>
        <v>7.349527665317139E-2</v>
      </c>
    </row>
    <row r="75" spans="1:15" x14ac:dyDescent="0.3">
      <c r="A75" s="5" t="s">
        <v>86</v>
      </c>
      <c r="B75" s="6" t="s">
        <v>14</v>
      </c>
      <c r="C75" s="7">
        <v>45453</v>
      </c>
      <c r="D75" s="6" t="s">
        <v>28</v>
      </c>
      <c r="E75" s="6" t="s">
        <v>29</v>
      </c>
      <c r="F75" s="8">
        <v>2164</v>
      </c>
      <c r="G75" s="8">
        <v>549</v>
      </c>
      <c r="H75" s="8">
        <v>274</v>
      </c>
      <c r="I75" s="8">
        <v>28132</v>
      </c>
      <c r="J75" s="8">
        <v>27361</v>
      </c>
      <c r="K75" s="8">
        <v>177</v>
      </c>
      <c r="L75" s="9" t="s">
        <v>31</v>
      </c>
      <c r="M75" s="9" t="s">
        <v>18</v>
      </c>
      <c r="N75" s="18">
        <f t="shared" si="2"/>
        <v>0.10916998647710245</v>
      </c>
      <c r="O75" s="18">
        <f t="shared" si="3"/>
        <v>0.10617801791554102</v>
      </c>
    </row>
    <row r="76" spans="1:15" x14ac:dyDescent="0.3">
      <c r="A76" s="5" t="s">
        <v>87</v>
      </c>
      <c r="B76" s="6" t="s">
        <v>25</v>
      </c>
      <c r="C76" s="7">
        <v>45476</v>
      </c>
      <c r="D76" s="6" t="s">
        <v>28</v>
      </c>
      <c r="E76" s="6" t="s">
        <v>29</v>
      </c>
      <c r="F76" s="8">
        <v>2754</v>
      </c>
      <c r="G76" s="8">
        <v>130</v>
      </c>
      <c r="H76" s="8">
        <v>90</v>
      </c>
      <c r="I76" s="8">
        <v>22032</v>
      </c>
      <c r="J76" s="8">
        <v>21288</v>
      </c>
      <c r="K76" s="8">
        <v>112</v>
      </c>
      <c r="L76" s="9" t="s">
        <v>22</v>
      </c>
      <c r="M76" s="9" t="s">
        <v>18</v>
      </c>
      <c r="N76" s="18">
        <f t="shared" si="2"/>
        <v>0.13970311912814731</v>
      </c>
      <c r="O76" s="18">
        <f t="shared" si="3"/>
        <v>0.13498547567175018</v>
      </c>
    </row>
    <row r="77" spans="1:15" x14ac:dyDescent="0.3">
      <c r="A77" s="5" t="s">
        <v>88</v>
      </c>
      <c r="B77" s="6" t="s">
        <v>34</v>
      </c>
      <c r="C77" s="7">
        <v>45456</v>
      </c>
      <c r="D77" s="6" t="s">
        <v>35</v>
      </c>
      <c r="E77" s="6" t="s">
        <v>36</v>
      </c>
      <c r="F77" s="8">
        <v>2200</v>
      </c>
      <c r="G77" s="8">
        <v>504</v>
      </c>
      <c r="H77" s="8">
        <v>239</v>
      </c>
      <c r="I77" s="8">
        <v>37400</v>
      </c>
      <c r="J77" s="8">
        <v>36938</v>
      </c>
      <c r="K77" s="8">
        <v>225</v>
      </c>
      <c r="L77" s="9" t="s">
        <v>17</v>
      </c>
      <c r="M77" s="9" t="s">
        <v>32</v>
      </c>
      <c r="N77" s="18">
        <f t="shared" si="2"/>
        <v>7.967404840543614E-2</v>
      </c>
      <c r="O77" s="18">
        <f t="shared" si="3"/>
        <v>7.8689839572192513E-2</v>
      </c>
    </row>
    <row r="78" spans="1:15" x14ac:dyDescent="0.3">
      <c r="A78" s="5" t="s">
        <v>89</v>
      </c>
      <c r="B78" s="6" t="s">
        <v>34</v>
      </c>
      <c r="C78" s="7">
        <v>45660</v>
      </c>
      <c r="D78" s="6" t="s">
        <v>40</v>
      </c>
      <c r="E78" s="6" t="s">
        <v>41</v>
      </c>
      <c r="F78" s="8">
        <v>947</v>
      </c>
      <c r="G78" s="8">
        <v>338</v>
      </c>
      <c r="H78" s="8">
        <v>350</v>
      </c>
      <c r="I78" s="8">
        <v>10417</v>
      </c>
      <c r="J78" s="8">
        <v>9730</v>
      </c>
      <c r="K78" s="8">
        <v>34</v>
      </c>
      <c r="L78" s="9" t="s">
        <v>22</v>
      </c>
      <c r="M78" s="9" t="s">
        <v>32</v>
      </c>
      <c r="N78" s="18">
        <f t="shared" si="2"/>
        <v>0.16803699897225077</v>
      </c>
      <c r="O78" s="18">
        <f t="shared" si="3"/>
        <v>0.1569549774407219</v>
      </c>
    </row>
    <row r="79" spans="1:15" x14ac:dyDescent="0.3">
      <c r="A79" s="5" t="s">
        <v>89</v>
      </c>
      <c r="B79" s="6" t="s">
        <v>34</v>
      </c>
      <c r="C79" s="7">
        <v>45660</v>
      </c>
      <c r="D79" s="6" t="s">
        <v>40</v>
      </c>
      <c r="E79" s="6" t="s">
        <v>41</v>
      </c>
      <c r="F79" s="8">
        <v>947</v>
      </c>
      <c r="G79" s="8">
        <v>338</v>
      </c>
      <c r="H79" s="8">
        <v>350</v>
      </c>
      <c r="I79" s="8">
        <v>10417</v>
      </c>
      <c r="J79" s="8">
        <v>9730</v>
      </c>
      <c r="K79" s="8">
        <v>34</v>
      </c>
      <c r="L79" s="9" t="s">
        <v>17</v>
      </c>
      <c r="M79" s="9" t="s">
        <v>32</v>
      </c>
      <c r="N79" s="18">
        <f t="shared" si="2"/>
        <v>0.16803699897225077</v>
      </c>
      <c r="O79" s="18">
        <f t="shared" si="3"/>
        <v>0.1569549774407219</v>
      </c>
    </row>
    <row r="80" spans="1:15" x14ac:dyDescent="0.3">
      <c r="A80" s="5" t="s">
        <v>90</v>
      </c>
      <c r="B80" s="6" t="s">
        <v>25</v>
      </c>
      <c r="C80" s="7">
        <v>45712</v>
      </c>
      <c r="D80" s="6" t="s">
        <v>35</v>
      </c>
      <c r="E80" s="6" t="s">
        <v>36</v>
      </c>
      <c r="F80" s="8">
        <v>804</v>
      </c>
      <c r="G80" s="8">
        <v>639</v>
      </c>
      <c r="H80" s="8">
        <v>43</v>
      </c>
      <c r="I80" s="8">
        <v>4020</v>
      </c>
      <c r="J80" s="8">
        <v>3144</v>
      </c>
      <c r="K80" s="8">
        <v>11</v>
      </c>
      <c r="L80" s="9" t="s">
        <v>31</v>
      </c>
      <c r="M80" s="9" t="s">
        <v>44</v>
      </c>
      <c r="N80" s="18">
        <f t="shared" si="2"/>
        <v>0.47264631043256999</v>
      </c>
      <c r="O80" s="18">
        <f t="shared" si="3"/>
        <v>0.36965174129353234</v>
      </c>
    </row>
    <row r="81" spans="1:15" x14ac:dyDescent="0.3">
      <c r="A81" s="5" t="s">
        <v>90</v>
      </c>
      <c r="B81" s="6" t="s">
        <v>25</v>
      </c>
      <c r="C81" s="7">
        <v>45712</v>
      </c>
      <c r="D81" s="6" t="s">
        <v>35</v>
      </c>
      <c r="E81" s="6" t="s">
        <v>36</v>
      </c>
      <c r="F81" s="8">
        <v>804</v>
      </c>
      <c r="G81" s="8">
        <v>639</v>
      </c>
      <c r="H81" s="8">
        <v>43</v>
      </c>
      <c r="I81" s="8">
        <v>4020</v>
      </c>
      <c r="J81" s="8">
        <v>3144</v>
      </c>
      <c r="K81" s="8">
        <v>11</v>
      </c>
      <c r="L81" s="9" t="s">
        <v>37</v>
      </c>
      <c r="M81" s="9" t="s">
        <v>44</v>
      </c>
      <c r="N81" s="18">
        <f t="shared" si="2"/>
        <v>0.47264631043256999</v>
      </c>
      <c r="O81" s="18">
        <f t="shared" si="3"/>
        <v>0.36965174129353234</v>
      </c>
    </row>
    <row r="82" spans="1:15" x14ac:dyDescent="0.3">
      <c r="A82" s="5" t="s">
        <v>91</v>
      </c>
      <c r="B82" s="6" t="s">
        <v>25</v>
      </c>
      <c r="C82" s="7">
        <v>45729</v>
      </c>
      <c r="D82" s="6" t="s">
        <v>35</v>
      </c>
      <c r="E82" s="6" t="s">
        <v>36</v>
      </c>
      <c r="F82" s="8">
        <v>1686</v>
      </c>
      <c r="G82" s="8">
        <v>904</v>
      </c>
      <c r="H82" s="8">
        <v>472</v>
      </c>
      <c r="I82" s="8">
        <v>18546</v>
      </c>
      <c r="J82" s="8">
        <v>18171</v>
      </c>
      <c r="K82" s="8">
        <v>52</v>
      </c>
      <c r="L82" s="9" t="s">
        <v>22</v>
      </c>
      <c r="M82" s="9" t="s">
        <v>23</v>
      </c>
      <c r="N82" s="18">
        <f t="shared" si="2"/>
        <v>0.16851026360684607</v>
      </c>
      <c r="O82" s="18">
        <f t="shared" si="3"/>
        <v>0.16510298716704411</v>
      </c>
    </row>
    <row r="83" spans="1:15" x14ac:dyDescent="0.3">
      <c r="A83" s="5" t="s">
        <v>91</v>
      </c>
      <c r="B83" s="6" t="s">
        <v>25</v>
      </c>
      <c r="C83" s="7">
        <v>45729</v>
      </c>
      <c r="D83" s="6" t="s">
        <v>35</v>
      </c>
      <c r="E83" s="6" t="s">
        <v>36</v>
      </c>
      <c r="F83" s="8">
        <v>1686</v>
      </c>
      <c r="G83" s="8">
        <v>904</v>
      </c>
      <c r="H83" s="8">
        <v>472</v>
      </c>
      <c r="I83" s="8">
        <v>18546</v>
      </c>
      <c r="J83" s="8">
        <v>18171</v>
      </c>
      <c r="K83" s="8">
        <v>52</v>
      </c>
      <c r="L83" s="9" t="s">
        <v>52</v>
      </c>
      <c r="M83" s="9" t="s">
        <v>23</v>
      </c>
      <c r="N83" s="18">
        <f t="shared" si="2"/>
        <v>0.16851026360684607</v>
      </c>
      <c r="O83" s="18">
        <f t="shared" si="3"/>
        <v>0.16510298716704411</v>
      </c>
    </row>
    <row r="84" spans="1:15" x14ac:dyDescent="0.3">
      <c r="A84" s="5" t="s">
        <v>92</v>
      </c>
      <c r="B84" s="6" t="s">
        <v>34</v>
      </c>
      <c r="C84" s="7">
        <v>45460</v>
      </c>
      <c r="D84" s="6" t="s">
        <v>40</v>
      </c>
      <c r="E84" s="6" t="s">
        <v>41</v>
      </c>
      <c r="F84" s="8">
        <v>1226</v>
      </c>
      <c r="G84" s="8">
        <v>119</v>
      </c>
      <c r="H84" s="8">
        <v>7</v>
      </c>
      <c r="I84" s="8">
        <v>14712</v>
      </c>
      <c r="J84" s="8">
        <v>14049</v>
      </c>
      <c r="K84" s="8">
        <v>123</v>
      </c>
      <c r="L84" s="9" t="s">
        <v>17</v>
      </c>
      <c r="M84" s="9" t="s">
        <v>44</v>
      </c>
      <c r="N84" s="18">
        <f t="shared" si="2"/>
        <v>9.6234607445369783E-2</v>
      </c>
      <c r="O84" s="18">
        <f t="shared" si="3"/>
        <v>9.1897770527460579E-2</v>
      </c>
    </row>
    <row r="85" spans="1:15" x14ac:dyDescent="0.3">
      <c r="A85" s="5" t="s">
        <v>92</v>
      </c>
      <c r="B85" s="6" t="s">
        <v>34</v>
      </c>
      <c r="C85" s="7">
        <v>45460</v>
      </c>
      <c r="D85" s="6" t="s">
        <v>40</v>
      </c>
      <c r="E85" s="6" t="s">
        <v>41</v>
      </c>
      <c r="F85" s="8">
        <v>1226</v>
      </c>
      <c r="G85" s="8">
        <v>119</v>
      </c>
      <c r="H85" s="8">
        <v>7</v>
      </c>
      <c r="I85" s="8">
        <v>14712</v>
      </c>
      <c r="J85" s="8">
        <v>14049</v>
      </c>
      <c r="K85" s="8">
        <v>123</v>
      </c>
      <c r="L85" s="9" t="s">
        <v>37</v>
      </c>
      <c r="M85" s="9" t="s">
        <v>44</v>
      </c>
      <c r="N85" s="18">
        <f t="shared" si="2"/>
        <v>9.6234607445369783E-2</v>
      </c>
      <c r="O85" s="18">
        <f t="shared" si="3"/>
        <v>9.1897770527460579E-2</v>
      </c>
    </row>
    <row r="86" spans="1:15" x14ac:dyDescent="0.3">
      <c r="A86" s="5" t="s">
        <v>93</v>
      </c>
      <c r="B86" s="6" t="s">
        <v>34</v>
      </c>
      <c r="C86" s="7">
        <v>45644</v>
      </c>
      <c r="D86" s="6" t="s">
        <v>35</v>
      </c>
      <c r="E86" s="6" t="s">
        <v>36</v>
      </c>
      <c r="F86" s="8">
        <v>2946</v>
      </c>
      <c r="G86" s="8">
        <v>498</v>
      </c>
      <c r="H86" s="8">
        <v>367</v>
      </c>
      <c r="I86" s="8">
        <v>29460</v>
      </c>
      <c r="J86" s="8">
        <v>28527</v>
      </c>
      <c r="K86" s="8">
        <v>60</v>
      </c>
      <c r="L86" s="9" t="s">
        <v>31</v>
      </c>
      <c r="M86" s="9" t="s">
        <v>23</v>
      </c>
      <c r="N86" s="18">
        <f t="shared" si="2"/>
        <v>0.13359273670557717</v>
      </c>
      <c r="O86" s="18">
        <f t="shared" si="3"/>
        <v>0.12936184657162253</v>
      </c>
    </row>
    <row r="87" spans="1:15" x14ac:dyDescent="0.3">
      <c r="A87" s="5" t="s">
        <v>93</v>
      </c>
      <c r="B87" s="6" t="s">
        <v>34</v>
      </c>
      <c r="C87" s="7">
        <v>45644</v>
      </c>
      <c r="D87" s="6" t="s">
        <v>35</v>
      </c>
      <c r="E87" s="6" t="s">
        <v>36</v>
      </c>
      <c r="F87" s="8">
        <v>2946</v>
      </c>
      <c r="G87" s="8">
        <v>498</v>
      </c>
      <c r="H87" s="8">
        <v>367</v>
      </c>
      <c r="I87" s="8">
        <v>29460</v>
      </c>
      <c r="J87" s="8">
        <v>28527</v>
      </c>
      <c r="K87" s="8">
        <v>60</v>
      </c>
      <c r="L87" s="9" t="s">
        <v>52</v>
      </c>
      <c r="M87" s="9" t="s">
        <v>23</v>
      </c>
      <c r="N87" s="18">
        <f t="shared" si="2"/>
        <v>0.13359273670557717</v>
      </c>
      <c r="O87" s="18">
        <f t="shared" si="3"/>
        <v>0.12936184657162253</v>
      </c>
    </row>
    <row r="88" spans="1:15" x14ac:dyDescent="0.3">
      <c r="A88" s="5" t="s">
        <v>94</v>
      </c>
      <c r="B88" s="6" t="s">
        <v>14</v>
      </c>
      <c r="C88" s="7">
        <v>45586</v>
      </c>
      <c r="D88" s="6" t="s">
        <v>50</v>
      </c>
      <c r="E88" s="6" t="s">
        <v>51</v>
      </c>
      <c r="F88" s="8">
        <v>2825</v>
      </c>
      <c r="G88" s="8">
        <v>535</v>
      </c>
      <c r="H88" s="8">
        <v>295</v>
      </c>
      <c r="I88" s="8">
        <v>45200</v>
      </c>
      <c r="J88" s="8">
        <v>44739</v>
      </c>
      <c r="K88" s="8">
        <v>169</v>
      </c>
      <c r="L88" s="9" t="s">
        <v>31</v>
      </c>
      <c r="M88" s="9" t="s">
        <v>23</v>
      </c>
      <c r="N88" s="18">
        <f t="shared" si="2"/>
        <v>8.1696059366548196E-2</v>
      </c>
      <c r="O88" s="18">
        <f t="shared" si="3"/>
        <v>8.0862831858407078E-2</v>
      </c>
    </row>
    <row r="89" spans="1:15" x14ac:dyDescent="0.3">
      <c r="A89" s="5" t="s">
        <v>95</v>
      </c>
      <c r="B89" s="6" t="s">
        <v>27</v>
      </c>
      <c r="C89" s="7">
        <v>45762</v>
      </c>
      <c r="D89" s="6" t="s">
        <v>15</v>
      </c>
      <c r="E89" s="6" t="s">
        <v>16</v>
      </c>
      <c r="F89" s="8">
        <v>103</v>
      </c>
      <c r="G89" s="8">
        <v>770</v>
      </c>
      <c r="H89" s="8">
        <v>19</v>
      </c>
      <c r="I89" s="8">
        <v>1030</v>
      </c>
      <c r="J89" s="8">
        <v>410</v>
      </c>
      <c r="K89" s="8">
        <v>262</v>
      </c>
      <c r="L89" s="9" t="s">
        <v>17</v>
      </c>
      <c r="M89" s="9" t="s">
        <v>32</v>
      </c>
      <c r="N89" s="18">
        <f t="shared" si="2"/>
        <v>2.1756097560975611</v>
      </c>
      <c r="O89" s="18">
        <f t="shared" si="3"/>
        <v>0.86601941747572819</v>
      </c>
    </row>
    <row r="90" spans="1:15" x14ac:dyDescent="0.3">
      <c r="A90" s="5" t="s">
        <v>96</v>
      </c>
      <c r="B90" s="6" t="s">
        <v>27</v>
      </c>
      <c r="C90" s="7">
        <v>45465</v>
      </c>
      <c r="D90" s="6" t="s">
        <v>20</v>
      </c>
      <c r="E90" s="6" t="s">
        <v>21</v>
      </c>
      <c r="F90" s="8">
        <v>2180</v>
      </c>
      <c r="G90" s="8">
        <v>263</v>
      </c>
      <c r="H90" s="8">
        <v>387</v>
      </c>
      <c r="I90" s="8">
        <v>30520</v>
      </c>
      <c r="J90" s="8">
        <v>30059</v>
      </c>
      <c r="K90" s="8">
        <v>174</v>
      </c>
      <c r="L90" s="9" t="s">
        <v>52</v>
      </c>
      <c r="M90" s="9" t="s">
        <v>18</v>
      </c>
      <c r="N90" s="18">
        <f t="shared" si="2"/>
        <v>9.4148175255331187E-2</v>
      </c>
      <c r="O90" s="18">
        <f t="shared" si="3"/>
        <v>9.2726081258191345E-2</v>
      </c>
    </row>
    <row r="91" spans="1:15" x14ac:dyDescent="0.3">
      <c r="A91" s="5" t="s">
        <v>97</v>
      </c>
      <c r="B91" s="6" t="s">
        <v>27</v>
      </c>
      <c r="C91" s="7">
        <v>45685</v>
      </c>
      <c r="D91" s="6" t="s">
        <v>50</v>
      </c>
      <c r="E91" s="6" t="s">
        <v>51</v>
      </c>
      <c r="F91" s="8">
        <v>904</v>
      </c>
      <c r="G91" s="8">
        <v>973</v>
      </c>
      <c r="H91" s="8">
        <v>63</v>
      </c>
      <c r="I91" s="8">
        <v>11752</v>
      </c>
      <c r="J91" s="8">
        <v>11580</v>
      </c>
      <c r="K91" s="8">
        <v>84</v>
      </c>
      <c r="L91" s="9" t="s">
        <v>31</v>
      </c>
      <c r="M91" s="9" t="s">
        <v>18</v>
      </c>
      <c r="N91" s="18">
        <f t="shared" si="2"/>
        <v>0.16753022452504318</v>
      </c>
      <c r="O91" s="18">
        <f t="shared" si="3"/>
        <v>0.1650782845473111</v>
      </c>
    </row>
    <row r="92" spans="1:15" x14ac:dyDescent="0.3">
      <c r="A92" s="5" t="s">
        <v>98</v>
      </c>
      <c r="B92" s="6" t="s">
        <v>14</v>
      </c>
      <c r="C92" s="7">
        <v>45540</v>
      </c>
      <c r="D92" s="6" t="s">
        <v>50</v>
      </c>
      <c r="E92" s="6" t="s">
        <v>51</v>
      </c>
      <c r="F92" s="8">
        <v>4886</v>
      </c>
      <c r="G92" s="8">
        <v>983</v>
      </c>
      <c r="H92" s="8">
        <v>409</v>
      </c>
      <c r="I92" s="8">
        <v>43974</v>
      </c>
      <c r="J92" s="8">
        <v>43239</v>
      </c>
      <c r="K92" s="8">
        <v>65</v>
      </c>
      <c r="L92" s="9" t="s">
        <v>22</v>
      </c>
      <c r="M92" s="9" t="s">
        <v>18</v>
      </c>
      <c r="N92" s="18">
        <f t="shared" si="2"/>
        <v>0.14519299706283678</v>
      </c>
      <c r="O92" s="18">
        <f t="shared" si="3"/>
        <v>0.14276618001546368</v>
      </c>
    </row>
    <row r="93" spans="1:15" x14ac:dyDescent="0.3">
      <c r="A93" s="5" t="s">
        <v>99</v>
      </c>
      <c r="B93" s="6" t="s">
        <v>14</v>
      </c>
      <c r="C93" s="7">
        <v>45618</v>
      </c>
      <c r="D93" s="6" t="s">
        <v>35</v>
      </c>
      <c r="E93" s="6" t="s">
        <v>36</v>
      </c>
      <c r="F93" s="8">
        <v>53</v>
      </c>
      <c r="G93" s="8">
        <v>81</v>
      </c>
      <c r="H93" s="8">
        <v>379</v>
      </c>
      <c r="I93" s="8">
        <v>954</v>
      </c>
      <c r="J93" s="8">
        <v>7</v>
      </c>
      <c r="K93" s="8">
        <v>148</v>
      </c>
      <c r="L93" s="9" t="s">
        <v>52</v>
      </c>
      <c r="M93" s="9" t="s">
        <v>32</v>
      </c>
      <c r="N93" s="18">
        <f t="shared" si="2"/>
        <v>73.285714285714292</v>
      </c>
      <c r="O93" s="18">
        <f t="shared" si="3"/>
        <v>0.53773584905660377</v>
      </c>
    </row>
    <row r="94" spans="1:15" x14ac:dyDescent="0.3">
      <c r="A94" s="5" t="s">
        <v>100</v>
      </c>
      <c r="B94" s="6" t="s">
        <v>14</v>
      </c>
      <c r="C94" s="7">
        <v>45504</v>
      </c>
      <c r="D94" s="6" t="s">
        <v>35</v>
      </c>
      <c r="E94" s="6" t="s">
        <v>36</v>
      </c>
      <c r="F94" s="8">
        <v>4507</v>
      </c>
      <c r="G94" s="8">
        <v>217</v>
      </c>
      <c r="H94" s="8">
        <v>13</v>
      </c>
      <c r="I94" s="8">
        <v>90140</v>
      </c>
      <c r="J94" s="8">
        <v>89591</v>
      </c>
      <c r="K94" s="8">
        <v>125</v>
      </c>
      <c r="L94" s="9" t="s">
        <v>17</v>
      </c>
      <c r="M94" s="9" t="s">
        <v>18</v>
      </c>
      <c r="N94" s="18">
        <f t="shared" si="2"/>
        <v>5.2873614537174492E-2</v>
      </c>
      <c r="O94" s="18">
        <f t="shared" si="3"/>
        <v>5.2551586421122697E-2</v>
      </c>
    </row>
    <row r="95" spans="1:15" x14ac:dyDescent="0.3">
      <c r="A95" s="5" t="s">
        <v>101</v>
      </c>
      <c r="B95" s="6" t="s">
        <v>34</v>
      </c>
      <c r="C95" s="7">
        <v>45521</v>
      </c>
      <c r="D95" s="6" t="s">
        <v>40</v>
      </c>
      <c r="E95" s="6" t="s">
        <v>41</v>
      </c>
      <c r="F95" s="8">
        <v>2878</v>
      </c>
      <c r="G95" s="8">
        <v>248</v>
      </c>
      <c r="H95" s="8">
        <v>416</v>
      </c>
      <c r="I95" s="8">
        <v>43170</v>
      </c>
      <c r="J95" s="8">
        <v>42667</v>
      </c>
      <c r="K95" s="8">
        <v>75</v>
      </c>
      <c r="L95" s="9" t="s">
        <v>52</v>
      </c>
      <c r="M95" s="9" t="s">
        <v>23</v>
      </c>
      <c r="N95" s="18">
        <f t="shared" si="2"/>
        <v>8.3014976445496519E-2</v>
      </c>
      <c r="O95" s="18">
        <f t="shared" si="3"/>
        <v>8.2047718322909427E-2</v>
      </c>
    </row>
    <row r="96" spans="1:15" x14ac:dyDescent="0.3">
      <c r="A96" s="5" t="s">
        <v>101</v>
      </c>
      <c r="B96" s="6" t="s">
        <v>34</v>
      </c>
      <c r="C96" s="7">
        <v>45521</v>
      </c>
      <c r="D96" s="6" t="s">
        <v>40</v>
      </c>
      <c r="E96" s="6" t="s">
        <v>41</v>
      </c>
      <c r="F96" s="8">
        <v>2878</v>
      </c>
      <c r="G96" s="8">
        <v>248</v>
      </c>
      <c r="H96" s="8">
        <v>416</v>
      </c>
      <c r="I96" s="8">
        <v>43170</v>
      </c>
      <c r="J96" s="8">
        <v>42667</v>
      </c>
      <c r="K96" s="8">
        <v>75</v>
      </c>
      <c r="L96" s="9" t="s">
        <v>37</v>
      </c>
      <c r="M96" s="9" t="s">
        <v>23</v>
      </c>
      <c r="N96" s="18">
        <f t="shared" si="2"/>
        <v>8.3014976445496519E-2</v>
      </c>
      <c r="O96" s="18">
        <f t="shared" si="3"/>
        <v>8.2047718322909427E-2</v>
      </c>
    </row>
    <row r="97" spans="1:15" x14ac:dyDescent="0.3">
      <c r="A97" s="5" t="s">
        <v>102</v>
      </c>
      <c r="B97" s="6" t="s">
        <v>27</v>
      </c>
      <c r="C97" s="7">
        <v>45744</v>
      </c>
      <c r="D97" s="6" t="s">
        <v>28</v>
      </c>
      <c r="E97" s="6" t="s">
        <v>29</v>
      </c>
      <c r="F97" s="8">
        <v>1881</v>
      </c>
      <c r="G97" s="8">
        <v>501</v>
      </c>
      <c r="H97" s="8">
        <v>99</v>
      </c>
      <c r="I97" s="8">
        <v>20691</v>
      </c>
      <c r="J97" s="8">
        <v>19987</v>
      </c>
      <c r="K97" s="8">
        <v>289</v>
      </c>
      <c r="L97" s="9" t="s">
        <v>52</v>
      </c>
      <c r="M97" s="9" t="s">
        <v>23</v>
      </c>
      <c r="N97" s="18">
        <f t="shared" si="2"/>
        <v>0.12413068494521438</v>
      </c>
      <c r="O97" s="18">
        <f t="shared" si="3"/>
        <v>0.11990720603160794</v>
      </c>
    </row>
    <row r="98" spans="1:15" x14ac:dyDescent="0.3">
      <c r="A98" s="5" t="s">
        <v>103</v>
      </c>
      <c r="B98" s="6" t="s">
        <v>14</v>
      </c>
      <c r="C98" s="7">
        <v>45499</v>
      </c>
      <c r="D98" s="6" t="s">
        <v>35</v>
      </c>
      <c r="E98" s="6" t="s">
        <v>36</v>
      </c>
      <c r="F98" s="8">
        <v>432</v>
      </c>
      <c r="G98" s="8">
        <v>171</v>
      </c>
      <c r="H98" s="8">
        <v>280</v>
      </c>
      <c r="I98" s="8">
        <v>3024</v>
      </c>
      <c r="J98" s="8">
        <v>2285</v>
      </c>
      <c r="K98" s="8">
        <v>184</v>
      </c>
      <c r="L98" s="9" t="s">
        <v>22</v>
      </c>
      <c r="M98" s="9" t="s">
        <v>32</v>
      </c>
      <c r="N98" s="18">
        <f t="shared" si="2"/>
        <v>0.3864332603938731</v>
      </c>
      <c r="O98" s="18">
        <f t="shared" si="3"/>
        <v>0.29199735449735448</v>
      </c>
    </row>
    <row r="99" spans="1:15" x14ac:dyDescent="0.3">
      <c r="A99" s="5" t="s">
        <v>104</v>
      </c>
      <c r="B99" s="6" t="s">
        <v>34</v>
      </c>
      <c r="C99" s="7">
        <v>45745</v>
      </c>
      <c r="D99" s="6" t="s">
        <v>35</v>
      </c>
      <c r="E99" s="6" t="s">
        <v>36</v>
      </c>
      <c r="F99" s="8">
        <v>4712</v>
      </c>
      <c r="G99" s="8">
        <v>568</v>
      </c>
      <c r="H99" s="8">
        <v>127</v>
      </c>
      <c r="I99" s="8">
        <v>84816</v>
      </c>
      <c r="J99" s="8">
        <v>84691</v>
      </c>
      <c r="K99" s="8">
        <v>100</v>
      </c>
      <c r="L99" s="9" t="s">
        <v>52</v>
      </c>
      <c r="M99" s="9" t="s">
        <v>18</v>
      </c>
      <c r="N99" s="18">
        <f t="shared" si="2"/>
        <v>6.3843855899682375E-2</v>
      </c>
      <c r="O99" s="18">
        <f t="shared" si="3"/>
        <v>6.3749764195434822E-2</v>
      </c>
    </row>
    <row r="100" spans="1:15" x14ac:dyDescent="0.3">
      <c r="A100" s="5" t="s">
        <v>105</v>
      </c>
      <c r="B100" s="6" t="s">
        <v>27</v>
      </c>
      <c r="C100" s="7">
        <v>45634</v>
      </c>
      <c r="D100" s="6" t="s">
        <v>28</v>
      </c>
      <c r="E100" s="6" t="s">
        <v>29</v>
      </c>
      <c r="F100" s="8">
        <v>2610</v>
      </c>
      <c r="G100" s="8">
        <v>126</v>
      </c>
      <c r="H100" s="8">
        <v>288</v>
      </c>
      <c r="I100" s="8">
        <v>15660</v>
      </c>
      <c r="J100" s="8">
        <v>15145</v>
      </c>
      <c r="K100" s="8">
        <v>73</v>
      </c>
      <c r="L100" s="9" t="s">
        <v>22</v>
      </c>
      <c r="M100" s="9" t="s">
        <v>18</v>
      </c>
      <c r="N100" s="18">
        <f t="shared" si="2"/>
        <v>0.19966985803895676</v>
      </c>
      <c r="O100" s="18">
        <f t="shared" si="3"/>
        <v>0.19310344827586207</v>
      </c>
    </row>
    <row r="101" spans="1:15" x14ac:dyDescent="0.3">
      <c r="A101" s="5" t="s">
        <v>106</v>
      </c>
      <c r="B101" s="6" t="s">
        <v>14</v>
      </c>
      <c r="C101" s="7">
        <v>45724</v>
      </c>
      <c r="D101" s="6" t="s">
        <v>20</v>
      </c>
      <c r="E101" s="6" t="s">
        <v>21</v>
      </c>
      <c r="F101" s="8">
        <v>1292</v>
      </c>
      <c r="G101" s="8">
        <v>626</v>
      </c>
      <c r="H101" s="8">
        <v>496</v>
      </c>
      <c r="I101" s="8">
        <v>25840</v>
      </c>
      <c r="J101" s="8">
        <v>24916</v>
      </c>
      <c r="K101" s="8">
        <v>149</v>
      </c>
      <c r="L101" s="9" t="s">
        <v>31</v>
      </c>
      <c r="M101" s="9" t="s">
        <v>44</v>
      </c>
      <c r="N101" s="18">
        <f t="shared" si="2"/>
        <v>9.6885535398940445E-2</v>
      </c>
      <c r="O101" s="18">
        <f t="shared" si="3"/>
        <v>9.3421052631578946E-2</v>
      </c>
    </row>
    <row r="102" spans="1:15" x14ac:dyDescent="0.3">
      <c r="A102" s="5" t="s">
        <v>106</v>
      </c>
      <c r="B102" s="6" t="s">
        <v>14</v>
      </c>
      <c r="C102" s="7">
        <v>45724</v>
      </c>
      <c r="D102" s="6" t="s">
        <v>20</v>
      </c>
      <c r="E102" s="6" t="s">
        <v>21</v>
      </c>
      <c r="F102" s="8">
        <v>1292</v>
      </c>
      <c r="G102" s="8">
        <v>626</v>
      </c>
      <c r="H102" s="8">
        <v>496</v>
      </c>
      <c r="I102" s="8">
        <v>25840</v>
      </c>
      <c r="J102" s="8">
        <v>24916</v>
      </c>
      <c r="K102" s="8">
        <v>149</v>
      </c>
      <c r="L102" s="9" t="s">
        <v>37</v>
      </c>
      <c r="M102" s="9" t="s">
        <v>44</v>
      </c>
      <c r="N102" s="18">
        <f t="shared" si="2"/>
        <v>9.6885535398940445E-2</v>
      </c>
      <c r="O102" s="18">
        <f t="shared" si="3"/>
        <v>9.3421052631578946E-2</v>
      </c>
    </row>
    <row r="103" spans="1:15" x14ac:dyDescent="0.3">
      <c r="A103" s="5" t="s">
        <v>107</v>
      </c>
      <c r="B103" s="6" t="s">
        <v>34</v>
      </c>
      <c r="C103" s="7">
        <v>45749</v>
      </c>
      <c r="D103" s="6" t="s">
        <v>50</v>
      </c>
      <c r="E103" s="6" t="s">
        <v>51</v>
      </c>
      <c r="F103" s="8">
        <v>199</v>
      </c>
      <c r="G103" s="8">
        <v>772</v>
      </c>
      <c r="H103" s="8">
        <v>400</v>
      </c>
      <c r="I103" s="8">
        <v>3582</v>
      </c>
      <c r="J103" s="8">
        <v>2988</v>
      </c>
      <c r="K103" s="8">
        <v>43</v>
      </c>
      <c r="L103" s="9" t="s">
        <v>37</v>
      </c>
      <c r="M103" s="9" t="s">
        <v>18</v>
      </c>
      <c r="N103" s="18">
        <f t="shared" si="2"/>
        <v>0.45883534136546184</v>
      </c>
      <c r="O103" s="18">
        <f t="shared" si="3"/>
        <v>0.38274706867671693</v>
      </c>
    </row>
    <row r="104" spans="1:15" x14ac:dyDescent="0.3">
      <c r="A104" s="5" t="s">
        <v>108</v>
      </c>
      <c r="B104" s="6" t="s">
        <v>25</v>
      </c>
      <c r="C104" s="7">
        <v>45537</v>
      </c>
      <c r="D104" s="6" t="s">
        <v>35</v>
      </c>
      <c r="E104" s="6" t="s">
        <v>36</v>
      </c>
      <c r="F104" s="8">
        <v>2551</v>
      </c>
      <c r="G104" s="8">
        <v>915</v>
      </c>
      <c r="H104" s="8">
        <v>205</v>
      </c>
      <c r="I104" s="8">
        <v>30612</v>
      </c>
      <c r="J104" s="8">
        <v>30360</v>
      </c>
      <c r="K104" s="8">
        <v>227</v>
      </c>
      <c r="L104" s="9" t="s">
        <v>17</v>
      </c>
      <c r="M104" s="9" t="s">
        <v>23</v>
      </c>
      <c r="N104" s="18">
        <f t="shared" si="2"/>
        <v>0.12091567852437418</v>
      </c>
      <c r="O104" s="18">
        <f t="shared" si="3"/>
        <v>0.1199202926956749</v>
      </c>
    </row>
    <row r="105" spans="1:15" x14ac:dyDescent="0.3">
      <c r="A105" s="5" t="s">
        <v>108</v>
      </c>
      <c r="B105" s="6" t="s">
        <v>25</v>
      </c>
      <c r="C105" s="7">
        <v>45537</v>
      </c>
      <c r="D105" s="6" t="s">
        <v>35</v>
      </c>
      <c r="E105" s="6" t="s">
        <v>36</v>
      </c>
      <c r="F105" s="8">
        <v>2551</v>
      </c>
      <c r="G105" s="8">
        <v>915</v>
      </c>
      <c r="H105" s="8">
        <v>205</v>
      </c>
      <c r="I105" s="8">
        <v>30612</v>
      </c>
      <c r="J105" s="8">
        <v>30360</v>
      </c>
      <c r="K105" s="8">
        <v>227</v>
      </c>
      <c r="L105" s="9" t="s">
        <v>52</v>
      </c>
      <c r="M105" s="9" t="s">
        <v>23</v>
      </c>
      <c r="N105" s="18">
        <f t="shared" si="2"/>
        <v>0.12091567852437418</v>
      </c>
      <c r="O105" s="18">
        <f t="shared" si="3"/>
        <v>0.1199202926956749</v>
      </c>
    </row>
    <row r="106" spans="1:15" x14ac:dyDescent="0.3">
      <c r="A106" s="5" t="s">
        <v>109</v>
      </c>
      <c r="B106" s="6" t="s">
        <v>25</v>
      </c>
      <c r="C106" s="7">
        <v>45719</v>
      </c>
      <c r="D106" s="6" t="s">
        <v>15</v>
      </c>
      <c r="E106" s="6" t="s">
        <v>16</v>
      </c>
      <c r="F106" s="8">
        <v>296</v>
      </c>
      <c r="G106" s="8">
        <v>60</v>
      </c>
      <c r="H106" s="8">
        <v>141</v>
      </c>
      <c r="I106" s="8">
        <v>5624</v>
      </c>
      <c r="J106" s="8">
        <v>5239</v>
      </c>
      <c r="K106" s="8">
        <v>88</v>
      </c>
      <c r="L106" s="9" t="s">
        <v>37</v>
      </c>
      <c r="M106" s="9" t="s">
        <v>44</v>
      </c>
      <c r="N106" s="18">
        <f t="shared" si="2"/>
        <v>9.4865432334414967E-2</v>
      </c>
      <c r="O106" s="18">
        <f t="shared" si="3"/>
        <v>8.837126600284495E-2</v>
      </c>
    </row>
    <row r="107" spans="1:15" x14ac:dyDescent="0.3">
      <c r="A107" s="5" t="s">
        <v>110</v>
      </c>
      <c r="B107" s="6" t="s">
        <v>34</v>
      </c>
      <c r="C107" s="7">
        <v>45583</v>
      </c>
      <c r="D107" s="6" t="s">
        <v>28</v>
      </c>
      <c r="E107" s="6" t="s">
        <v>29</v>
      </c>
      <c r="F107" s="8">
        <v>4126</v>
      </c>
      <c r="G107" s="8">
        <v>426</v>
      </c>
      <c r="H107" s="8">
        <v>486</v>
      </c>
      <c r="I107" s="8">
        <v>78394</v>
      </c>
      <c r="J107" s="8">
        <v>77798</v>
      </c>
      <c r="K107" s="8">
        <v>88</v>
      </c>
      <c r="L107" s="9" t="s">
        <v>22</v>
      </c>
      <c r="M107" s="9" t="s">
        <v>18</v>
      </c>
      <c r="N107" s="18">
        <f t="shared" si="2"/>
        <v>6.4757448777603532E-2</v>
      </c>
      <c r="O107" s="18">
        <f t="shared" si="3"/>
        <v>6.4265122330790625E-2</v>
      </c>
    </row>
    <row r="108" spans="1:15" x14ac:dyDescent="0.3">
      <c r="A108" s="5" t="s">
        <v>111</v>
      </c>
      <c r="B108" s="6" t="s">
        <v>25</v>
      </c>
      <c r="C108" s="7">
        <v>45593</v>
      </c>
      <c r="D108" s="6" t="s">
        <v>15</v>
      </c>
      <c r="E108" s="6" t="s">
        <v>16</v>
      </c>
      <c r="F108" s="8">
        <v>1855</v>
      </c>
      <c r="G108" s="8">
        <v>200</v>
      </c>
      <c r="H108" s="8">
        <v>174</v>
      </c>
      <c r="I108" s="8">
        <v>16695</v>
      </c>
      <c r="J108" s="8">
        <v>16330</v>
      </c>
      <c r="K108" s="8">
        <v>123</v>
      </c>
      <c r="L108" s="9" t="s">
        <v>22</v>
      </c>
      <c r="M108" s="9" t="s">
        <v>32</v>
      </c>
      <c r="N108" s="18">
        <f t="shared" si="2"/>
        <v>0.13649724433557869</v>
      </c>
      <c r="O108" s="18">
        <f t="shared" si="3"/>
        <v>0.13351302785265048</v>
      </c>
    </row>
    <row r="109" spans="1:15" x14ac:dyDescent="0.3">
      <c r="A109" s="5" t="s">
        <v>112</v>
      </c>
      <c r="B109" s="6" t="s">
        <v>27</v>
      </c>
      <c r="C109" s="7">
        <v>45505</v>
      </c>
      <c r="D109" s="6" t="s">
        <v>15</v>
      </c>
      <c r="E109" s="6" t="s">
        <v>16</v>
      </c>
      <c r="F109" s="8">
        <v>1674</v>
      </c>
      <c r="G109" s="8">
        <v>929</v>
      </c>
      <c r="H109" s="8">
        <v>37</v>
      </c>
      <c r="I109" s="8">
        <v>21762</v>
      </c>
      <c r="J109" s="8">
        <v>20998</v>
      </c>
      <c r="K109" s="8">
        <v>255</v>
      </c>
      <c r="L109" s="9" t="s">
        <v>31</v>
      </c>
      <c r="M109" s="9" t="s">
        <v>32</v>
      </c>
      <c r="N109" s="18">
        <f t="shared" si="2"/>
        <v>0.1257262596437756</v>
      </c>
      <c r="O109" s="18">
        <f t="shared" si="3"/>
        <v>0.12131237937689551</v>
      </c>
    </row>
    <row r="110" spans="1:15" x14ac:dyDescent="0.3">
      <c r="A110" s="5" t="s">
        <v>112</v>
      </c>
      <c r="B110" s="6" t="s">
        <v>27</v>
      </c>
      <c r="C110" s="7">
        <v>45505</v>
      </c>
      <c r="D110" s="6" t="s">
        <v>15</v>
      </c>
      <c r="E110" s="6" t="s">
        <v>16</v>
      </c>
      <c r="F110" s="8">
        <v>1674</v>
      </c>
      <c r="G110" s="8">
        <v>929</v>
      </c>
      <c r="H110" s="8">
        <v>37</v>
      </c>
      <c r="I110" s="8">
        <v>21762</v>
      </c>
      <c r="J110" s="8">
        <v>20998</v>
      </c>
      <c r="K110" s="8">
        <v>255</v>
      </c>
      <c r="L110" s="9" t="s">
        <v>52</v>
      </c>
      <c r="M110" s="9" t="s">
        <v>32</v>
      </c>
      <c r="N110" s="18">
        <f t="shared" si="2"/>
        <v>0.1257262596437756</v>
      </c>
      <c r="O110" s="18">
        <f t="shared" si="3"/>
        <v>0.12131237937689551</v>
      </c>
    </row>
    <row r="111" spans="1:15" x14ac:dyDescent="0.3">
      <c r="A111" s="5" t="s">
        <v>113</v>
      </c>
      <c r="B111" s="6" t="s">
        <v>14</v>
      </c>
      <c r="C111" s="7">
        <v>45603</v>
      </c>
      <c r="D111" s="6" t="s">
        <v>28</v>
      </c>
      <c r="E111" s="6" t="s">
        <v>29</v>
      </c>
      <c r="F111" s="8">
        <v>1121</v>
      </c>
      <c r="G111" s="8">
        <v>135</v>
      </c>
      <c r="H111" s="8">
        <v>18</v>
      </c>
      <c r="I111" s="8">
        <v>15694</v>
      </c>
      <c r="J111" s="8">
        <v>14957</v>
      </c>
      <c r="K111" s="8">
        <v>99</v>
      </c>
      <c r="L111" s="9" t="s">
        <v>17</v>
      </c>
      <c r="M111" s="9" t="s">
        <v>44</v>
      </c>
      <c r="N111" s="18">
        <f t="shared" si="2"/>
        <v>8.5177508858728351E-2</v>
      </c>
      <c r="O111" s="18">
        <f t="shared" si="3"/>
        <v>8.1177520071364848E-2</v>
      </c>
    </row>
    <row r="112" spans="1:15" x14ac:dyDescent="0.3">
      <c r="A112" s="5" t="s">
        <v>113</v>
      </c>
      <c r="B112" s="6" t="s">
        <v>14</v>
      </c>
      <c r="C112" s="7">
        <v>45603</v>
      </c>
      <c r="D112" s="6" t="s">
        <v>28</v>
      </c>
      <c r="E112" s="6" t="s">
        <v>29</v>
      </c>
      <c r="F112" s="8">
        <v>1121</v>
      </c>
      <c r="G112" s="8">
        <v>135</v>
      </c>
      <c r="H112" s="8">
        <v>18</v>
      </c>
      <c r="I112" s="8">
        <v>15694</v>
      </c>
      <c r="J112" s="8">
        <v>14957</v>
      </c>
      <c r="K112" s="8">
        <v>99</v>
      </c>
      <c r="L112" s="9" t="s">
        <v>22</v>
      </c>
      <c r="M112" s="9" t="s">
        <v>44</v>
      </c>
      <c r="N112" s="18">
        <f t="shared" si="2"/>
        <v>8.5177508858728351E-2</v>
      </c>
      <c r="O112" s="18">
        <f t="shared" si="3"/>
        <v>8.1177520071364848E-2</v>
      </c>
    </row>
    <row r="113" spans="1:15" x14ac:dyDescent="0.3">
      <c r="A113" s="5" t="s">
        <v>114</v>
      </c>
      <c r="B113" s="6" t="s">
        <v>34</v>
      </c>
      <c r="C113" s="7">
        <v>45720</v>
      </c>
      <c r="D113" s="6" t="s">
        <v>28</v>
      </c>
      <c r="E113" s="6" t="s">
        <v>29</v>
      </c>
      <c r="F113" s="8">
        <v>1249</v>
      </c>
      <c r="G113" s="8">
        <v>116</v>
      </c>
      <c r="H113" s="8">
        <v>420</v>
      </c>
      <c r="I113" s="8">
        <v>8743</v>
      </c>
      <c r="J113" s="8">
        <v>8538</v>
      </c>
      <c r="K113" s="8">
        <v>63</v>
      </c>
      <c r="L113" s="9" t="s">
        <v>22</v>
      </c>
      <c r="M113" s="9" t="s">
        <v>32</v>
      </c>
      <c r="N113" s="18">
        <f t="shared" si="2"/>
        <v>0.20906535488404779</v>
      </c>
      <c r="O113" s="18">
        <f t="shared" si="3"/>
        <v>0.20416333066453163</v>
      </c>
    </row>
    <row r="114" spans="1:15" x14ac:dyDescent="0.3">
      <c r="A114" s="5" t="s">
        <v>114</v>
      </c>
      <c r="B114" s="6" t="s">
        <v>34</v>
      </c>
      <c r="C114" s="7">
        <v>45720</v>
      </c>
      <c r="D114" s="6" t="s">
        <v>28</v>
      </c>
      <c r="E114" s="6" t="s">
        <v>29</v>
      </c>
      <c r="F114" s="8">
        <v>1249</v>
      </c>
      <c r="G114" s="8">
        <v>116</v>
      </c>
      <c r="H114" s="8">
        <v>420</v>
      </c>
      <c r="I114" s="8">
        <v>8743</v>
      </c>
      <c r="J114" s="8">
        <v>8538</v>
      </c>
      <c r="K114" s="8">
        <v>63</v>
      </c>
      <c r="L114" s="9" t="s">
        <v>52</v>
      </c>
      <c r="M114" s="9" t="s">
        <v>32</v>
      </c>
      <c r="N114" s="18">
        <f t="shared" si="2"/>
        <v>0.20906535488404779</v>
      </c>
      <c r="O114" s="18">
        <f t="shared" si="3"/>
        <v>0.20416333066453163</v>
      </c>
    </row>
    <row r="115" spans="1:15" x14ac:dyDescent="0.3">
      <c r="A115" s="5" t="s">
        <v>115</v>
      </c>
      <c r="B115" s="6" t="s">
        <v>14</v>
      </c>
      <c r="C115" s="7">
        <v>45460</v>
      </c>
      <c r="D115" s="6" t="s">
        <v>40</v>
      </c>
      <c r="E115" s="6" t="s">
        <v>41</v>
      </c>
      <c r="F115" s="8">
        <v>954</v>
      </c>
      <c r="G115" s="8">
        <v>324</v>
      </c>
      <c r="H115" s="8">
        <v>288</v>
      </c>
      <c r="I115" s="8">
        <v>19080</v>
      </c>
      <c r="J115" s="8">
        <v>18859</v>
      </c>
      <c r="K115" s="8">
        <v>21</v>
      </c>
      <c r="L115" s="9" t="s">
        <v>37</v>
      </c>
      <c r="M115" s="9" t="s">
        <v>32</v>
      </c>
      <c r="N115" s="18">
        <f t="shared" si="2"/>
        <v>8.303727663184686E-2</v>
      </c>
      <c r="O115" s="18">
        <f t="shared" si="3"/>
        <v>8.2075471698113203E-2</v>
      </c>
    </row>
    <row r="116" spans="1:15" x14ac:dyDescent="0.3">
      <c r="A116" s="5" t="s">
        <v>116</v>
      </c>
      <c r="B116" s="6" t="s">
        <v>27</v>
      </c>
      <c r="C116" s="7">
        <v>45574</v>
      </c>
      <c r="D116" s="6" t="s">
        <v>35</v>
      </c>
      <c r="E116" s="6" t="s">
        <v>36</v>
      </c>
      <c r="F116" s="8">
        <v>3068</v>
      </c>
      <c r="G116" s="8">
        <v>137</v>
      </c>
      <c r="H116" s="8">
        <v>329</v>
      </c>
      <c r="I116" s="8">
        <v>39884</v>
      </c>
      <c r="J116" s="8">
        <v>39404</v>
      </c>
      <c r="K116" s="8">
        <v>266</v>
      </c>
      <c r="L116" s="9" t="s">
        <v>17</v>
      </c>
      <c r="M116" s="9" t="s">
        <v>32</v>
      </c>
      <c r="N116" s="18">
        <f t="shared" si="2"/>
        <v>8.9686326261293275E-2</v>
      </c>
      <c r="O116" s="18">
        <f t="shared" si="3"/>
        <v>8.860696018453515E-2</v>
      </c>
    </row>
    <row r="117" spans="1:15" x14ac:dyDescent="0.3">
      <c r="A117" s="5" t="s">
        <v>116</v>
      </c>
      <c r="B117" s="6" t="s">
        <v>27</v>
      </c>
      <c r="C117" s="7">
        <v>45574</v>
      </c>
      <c r="D117" s="6" t="s">
        <v>35</v>
      </c>
      <c r="E117" s="6" t="s">
        <v>36</v>
      </c>
      <c r="F117" s="8">
        <v>3068</v>
      </c>
      <c r="G117" s="8">
        <v>137</v>
      </c>
      <c r="H117" s="8">
        <v>329</v>
      </c>
      <c r="I117" s="8">
        <v>39884</v>
      </c>
      <c r="J117" s="8">
        <v>39404</v>
      </c>
      <c r="K117" s="8">
        <v>266</v>
      </c>
      <c r="L117" s="9" t="s">
        <v>37</v>
      </c>
      <c r="M117" s="9" t="s">
        <v>32</v>
      </c>
      <c r="N117" s="18">
        <f t="shared" si="2"/>
        <v>8.9686326261293275E-2</v>
      </c>
      <c r="O117" s="18">
        <f t="shared" si="3"/>
        <v>8.860696018453515E-2</v>
      </c>
    </row>
    <row r="118" spans="1:15" x14ac:dyDescent="0.3">
      <c r="A118" s="5" t="s">
        <v>117</v>
      </c>
      <c r="B118" s="6" t="s">
        <v>27</v>
      </c>
      <c r="C118" s="7">
        <v>45456</v>
      </c>
      <c r="D118" s="6" t="s">
        <v>28</v>
      </c>
      <c r="E118" s="6" t="s">
        <v>29</v>
      </c>
      <c r="F118" s="8">
        <v>2103</v>
      </c>
      <c r="G118" s="8">
        <v>892</v>
      </c>
      <c r="H118" s="8">
        <v>103</v>
      </c>
      <c r="I118" s="8">
        <v>39957</v>
      </c>
      <c r="J118" s="8">
        <v>39466</v>
      </c>
      <c r="K118" s="8">
        <v>28</v>
      </c>
      <c r="L118" s="9" t="s">
        <v>52</v>
      </c>
      <c r="M118" s="9" t="s">
        <v>23</v>
      </c>
      <c r="N118" s="18">
        <f t="shared" si="2"/>
        <v>7.8497947600466231E-2</v>
      </c>
      <c r="O118" s="18">
        <f t="shared" si="3"/>
        <v>7.7533348349475686E-2</v>
      </c>
    </row>
    <row r="119" spans="1:15" x14ac:dyDescent="0.3">
      <c r="A119" s="5" t="s">
        <v>117</v>
      </c>
      <c r="B119" s="6" t="s">
        <v>27</v>
      </c>
      <c r="C119" s="7">
        <v>45456</v>
      </c>
      <c r="D119" s="6" t="s">
        <v>28</v>
      </c>
      <c r="E119" s="6" t="s">
        <v>29</v>
      </c>
      <c r="F119" s="8">
        <v>2103</v>
      </c>
      <c r="G119" s="8">
        <v>892</v>
      </c>
      <c r="H119" s="8">
        <v>103</v>
      </c>
      <c r="I119" s="8">
        <v>39957</v>
      </c>
      <c r="J119" s="8">
        <v>39466</v>
      </c>
      <c r="K119" s="8">
        <v>28</v>
      </c>
      <c r="L119" s="9" t="s">
        <v>22</v>
      </c>
      <c r="M119" s="9" t="s">
        <v>23</v>
      </c>
      <c r="N119" s="18">
        <f t="shared" si="2"/>
        <v>7.8497947600466231E-2</v>
      </c>
      <c r="O119" s="18">
        <f t="shared" si="3"/>
        <v>7.7533348349475686E-2</v>
      </c>
    </row>
    <row r="120" spans="1:15" x14ac:dyDescent="0.3">
      <c r="A120" s="5" t="s">
        <v>118</v>
      </c>
      <c r="B120" s="6" t="s">
        <v>27</v>
      </c>
      <c r="C120" s="7">
        <v>45584</v>
      </c>
      <c r="D120" s="6" t="s">
        <v>28</v>
      </c>
      <c r="E120" s="6" t="s">
        <v>29</v>
      </c>
      <c r="F120" s="8">
        <v>1816</v>
      </c>
      <c r="G120" s="8">
        <v>29</v>
      </c>
      <c r="H120" s="8">
        <v>41</v>
      </c>
      <c r="I120" s="8">
        <v>19976</v>
      </c>
      <c r="J120" s="8">
        <v>19262</v>
      </c>
      <c r="K120" s="8">
        <v>283</v>
      </c>
      <c r="L120" s="9" t="s">
        <v>37</v>
      </c>
      <c r="M120" s="9" t="s">
        <v>32</v>
      </c>
      <c r="N120" s="18">
        <f t="shared" si="2"/>
        <v>9.7912989305368084E-2</v>
      </c>
      <c r="O120" s="18">
        <f t="shared" si="3"/>
        <v>9.4413295955146179E-2</v>
      </c>
    </row>
    <row r="121" spans="1:15" x14ac:dyDescent="0.3">
      <c r="A121" s="5" t="s">
        <v>118</v>
      </c>
      <c r="B121" s="6" t="s">
        <v>27</v>
      </c>
      <c r="C121" s="7">
        <v>45584</v>
      </c>
      <c r="D121" s="6" t="s">
        <v>28</v>
      </c>
      <c r="E121" s="6" t="s">
        <v>29</v>
      </c>
      <c r="F121" s="8">
        <v>1816</v>
      </c>
      <c r="G121" s="8">
        <v>29</v>
      </c>
      <c r="H121" s="8">
        <v>41</v>
      </c>
      <c r="I121" s="8">
        <v>19976</v>
      </c>
      <c r="J121" s="8">
        <v>19262</v>
      </c>
      <c r="K121" s="8">
        <v>283</v>
      </c>
      <c r="L121" s="9" t="s">
        <v>17</v>
      </c>
      <c r="M121" s="9" t="s">
        <v>32</v>
      </c>
      <c r="N121" s="18">
        <f t="shared" si="2"/>
        <v>9.7912989305368084E-2</v>
      </c>
      <c r="O121" s="18">
        <f t="shared" si="3"/>
        <v>9.4413295955146179E-2</v>
      </c>
    </row>
    <row r="122" spans="1:15" x14ac:dyDescent="0.3">
      <c r="A122" s="5" t="s">
        <v>119</v>
      </c>
      <c r="B122" s="6" t="s">
        <v>27</v>
      </c>
      <c r="C122" s="7">
        <v>45497</v>
      </c>
      <c r="D122" s="6" t="s">
        <v>40</v>
      </c>
      <c r="E122" s="6" t="s">
        <v>41</v>
      </c>
      <c r="F122" s="8">
        <v>725</v>
      </c>
      <c r="G122" s="8">
        <v>88</v>
      </c>
      <c r="H122" s="8">
        <v>428</v>
      </c>
      <c r="I122" s="8">
        <v>14500</v>
      </c>
      <c r="J122" s="8">
        <v>13637</v>
      </c>
      <c r="K122" s="8">
        <v>200</v>
      </c>
      <c r="L122" s="9" t="s">
        <v>37</v>
      </c>
      <c r="M122" s="9" t="s">
        <v>32</v>
      </c>
      <c r="N122" s="18">
        <f t="shared" si="2"/>
        <v>9.1002419887071931E-2</v>
      </c>
      <c r="O122" s="18">
        <f t="shared" si="3"/>
        <v>8.558620689655172E-2</v>
      </c>
    </row>
    <row r="123" spans="1:15" x14ac:dyDescent="0.3">
      <c r="A123" s="5" t="s">
        <v>120</v>
      </c>
      <c r="B123" s="6" t="s">
        <v>25</v>
      </c>
      <c r="C123" s="7">
        <v>45580</v>
      </c>
      <c r="D123" s="6" t="s">
        <v>50</v>
      </c>
      <c r="E123" s="6" t="s">
        <v>51</v>
      </c>
      <c r="F123" s="8">
        <v>1094</v>
      </c>
      <c r="G123" s="8">
        <v>472</v>
      </c>
      <c r="H123" s="8">
        <v>21</v>
      </c>
      <c r="I123" s="8">
        <v>9846</v>
      </c>
      <c r="J123" s="8">
        <v>9609</v>
      </c>
      <c r="K123" s="8">
        <v>112</v>
      </c>
      <c r="L123" s="9" t="s">
        <v>37</v>
      </c>
      <c r="M123" s="9" t="s">
        <v>32</v>
      </c>
      <c r="N123" s="18">
        <f t="shared" si="2"/>
        <v>0.16515766468935372</v>
      </c>
      <c r="O123" s="18">
        <f t="shared" si="3"/>
        <v>0.16118220597196831</v>
      </c>
    </row>
    <row r="124" spans="1:15" x14ac:dyDescent="0.3">
      <c r="A124" s="5" t="s">
        <v>120</v>
      </c>
      <c r="B124" s="6" t="s">
        <v>25</v>
      </c>
      <c r="C124" s="7">
        <v>45580</v>
      </c>
      <c r="D124" s="6" t="s">
        <v>50</v>
      </c>
      <c r="E124" s="6" t="s">
        <v>51</v>
      </c>
      <c r="F124" s="8">
        <v>1094</v>
      </c>
      <c r="G124" s="8">
        <v>472</v>
      </c>
      <c r="H124" s="8">
        <v>21</v>
      </c>
      <c r="I124" s="8">
        <v>9846</v>
      </c>
      <c r="J124" s="8">
        <v>9609</v>
      </c>
      <c r="K124" s="8">
        <v>112</v>
      </c>
      <c r="L124" s="9" t="s">
        <v>31</v>
      </c>
      <c r="M124" s="9" t="s">
        <v>32</v>
      </c>
      <c r="N124" s="18">
        <f t="shared" si="2"/>
        <v>0.16515766468935372</v>
      </c>
      <c r="O124" s="18">
        <f t="shared" si="3"/>
        <v>0.16118220597196831</v>
      </c>
    </row>
    <row r="125" spans="1:15" x14ac:dyDescent="0.3">
      <c r="A125" s="5" t="s">
        <v>121</v>
      </c>
      <c r="B125" s="6" t="s">
        <v>34</v>
      </c>
      <c r="C125" s="7">
        <v>45635</v>
      </c>
      <c r="D125" s="6" t="s">
        <v>40</v>
      </c>
      <c r="E125" s="6" t="s">
        <v>41</v>
      </c>
      <c r="F125" s="8">
        <v>1841</v>
      </c>
      <c r="G125" s="8">
        <v>851</v>
      </c>
      <c r="H125" s="8">
        <v>342</v>
      </c>
      <c r="I125" s="8">
        <v>34979</v>
      </c>
      <c r="J125" s="8">
        <v>34154</v>
      </c>
      <c r="K125" s="8">
        <v>255</v>
      </c>
      <c r="L125" s="9" t="s">
        <v>22</v>
      </c>
      <c r="M125" s="9" t="s">
        <v>18</v>
      </c>
      <c r="N125" s="18">
        <f t="shared" si="2"/>
        <v>8.8832933184985655E-2</v>
      </c>
      <c r="O125" s="18">
        <f t="shared" si="3"/>
        <v>8.6737756939878216E-2</v>
      </c>
    </row>
    <row r="126" spans="1:15" x14ac:dyDescent="0.3">
      <c r="A126" s="5" t="s">
        <v>121</v>
      </c>
      <c r="B126" s="6" t="s">
        <v>34</v>
      </c>
      <c r="C126" s="7">
        <v>45635</v>
      </c>
      <c r="D126" s="6" t="s">
        <v>40</v>
      </c>
      <c r="E126" s="6" t="s">
        <v>41</v>
      </c>
      <c r="F126" s="8">
        <v>1841</v>
      </c>
      <c r="G126" s="8">
        <v>851</v>
      </c>
      <c r="H126" s="8">
        <v>342</v>
      </c>
      <c r="I126" s="8">
        <v>34979</v>
      </c>
      <c r="J126" s="8">
        <v>34154</v>
      </c>
      <c r="K126" s="8">
        <v>255</v>
      </c>
      <c r="L126" s="9" t="s">
        <v>52</v>
      </c>
      <c r="M126" s="9" t="s">
        <v>18</v>
      </c>
      <c r="N126" s="18">
        <f t="shared" si="2"/>
        <v>8.8832933184985655E-2</v>
      </c>
      <c r="O126" s="18">
        <f t="shared" si="3"/>
        <v>8.6737756939878216E-2</v>
      </c>
    </row>
    <row r="127" spans="1:15" x14ac:dyDescent="0.3">
      <c r="A127" s="5" t="s">
        <v>122</v>
      </c>
      <c r="B127" s="6" t="s">
        <v>27</v>
      </c>
      <c r="C127" s="7">
        <v>45766</v>
      </c>
      <c r="D127" s="6" t="s">
        <v>40</v>
      </c>
      <c r="E127" s="6" t="s">
        <v>41</v>
      </c>
      <c r="F127" s="8">
        <v>4177</v>
      </c>
      <c r="G127" s="8">
        <v>569</v>
      </c>
      <c r="H127" s="8">
        <v>55</v>
      </c>
      <c r="I127" s="8">
        <v>25062</v>
      </c>
      <c r="J127" s="8">
        <v>24847</v>
      </c>
      <c r="K127" s="8">
        <v>230</v>
      </c>
      <c r="L127" s="9" t="s">
        <v>22</v>
      </c>
      <c r="M127" s="9" t="s">
        <v>18</v>
      </c>
      <c r="N127" s="18">
        <f t="shared" si="2"/>
        <v>0.19322252183362176</v>
      </c>
      <c r="O127" s="18">
        <f t="shared" si="3"/>
        <v>0.19156491900087783</v>
      </c>
    </row>
    <row r="128" spans="1:15" x14ac:dyDescent="0.3">
      <c r="A128" s="5" t="s">
        <v>123</v>
      </c>
      <c r="B128" s="6" t="s">
        <v>25</v>
      </c>
      <c r="C128" s="7">
        <v>45684</v>
      </c>
      <c r="D128" s="6" t="s">
        <v>20</v>
      </c>
      <c r="E128" s="6" t="s">
        <v>21</v>
      </c>
      <c r="F128" s="8">
        <v>3428</v>
      </c>
      <c r="G128" s="8">
        <v>305</v>
      </c>
      <c r="H128" s="8">
        <v>85</v>
      </c>
      <c r="I128" s="8">
        <v>58276</v>
      </c>
      <c r="J128" s="8">
        <v>58052</v>
      </c>
      <c r="K128" s="8">
        <v>242</v>
      </c>
      <c r="L128" s="9" t="s">
        <v>37</v>
      </c>
      <c r="M128" s="9" t="s">
        <v>32</v>
      </c>
      <c r="N128" s="18">
        <f t="shared" si="2"/>
        <v>6.5768621236133126E-2</v>
      </c>
      <c r="O128" s="18">
        <f t="shared" si="3"/>
        <v>6.5515821264328367E-2</v>
      </c>
    </row>
    <row r="129" spans="1:15" x14ac:dyDescent="0.3">
      <c r="A129" s="5" t="s">
        <v>123</v>
      </c>
      <c r="B129" s="6" t="s">
        <v>25</v>
      </c>
      <c r="C129" s="7">
        <v>45684</v>
      </c>
      <c r="D129" s="6" t="s">
        <v>20</v>
      </c>
      <c r="E129" s="6" t="s">
        <v>21</v>
      </c>
      <c r="F129" s="8">
        <v>3428</v>
      </c>
      <c r="G129" s="8">
        <v>305</v>
      </c>
      <c r="H129" s="8">
        <v>85</v>
      </c>
      <c r="I129" s="8">
        <v>58276</v>
      </c>
      <c r="J129" s="8">
        <v>58052</v>
      </c>
      <c r="K129" s="8">
        <v>242</v>
      </c>
      <c r="L129" s="9" t="s">
        <v>31</v>
      </c>
      <c r="M129" s="9" t="s">
        <v>32</v>
      </c>
      <c r="N129" s="18">
        <f t="shared" si="2"/>
        <v>6.5768621236133126E-2</v>
      </c>
      <c r="O129" s="18">
        <f t="shared" si="3"/>
        <v>6.5515821264328367E-2</v>
      </c>
    </row>
    <row r="130" spans="1:15" x14ac:dyDescent="0.3">
      <c r="A130" s="5" t="s">
        <v>124</v>
      </c>
      <c r="B130" s="6" t="s">
        <v>14</v>
      </c>
      <c r="C130" s="7">
        <v>45449</v>
      </c>
      <c r="D130" s="6" t="s">
        <v>50</v>
      </c>
      <c r="E130" s="6" t="s">
        <v>51</v>
      </c>
      <c r="F130" s="8">
        <v>1436</v>
      </c>
      <c r="G130" s="8">
        <v>765</v>
      </c>
      <c r="H130" s="8">
        <v>496</v>
      </c>
      <c r="I130" s="8">
        <v>12924</v>
      </c>
      <c r="J130" s="8">
        <v>12701</v>
      </c>
      <c r="K130" s="8">
        <v>197</v>
      </c>
      <c r="L130" s="9" t="s">
        <v>37</v>
      </c>
      <c r="M130" s="9" t="s">
        <v>23</v>
      </c>
      <c r="N130" s="18">
        <f t="shared" si="2"/>
        <v>0.21234548460751121</v>
      </c>
      <c r="O130" s="18">
        <f t="shared" si="3"/>
        <v>0.20868152274837512</v>
      </c>
    </row>
    <row r="131" spans="1:15" x14ac:dyDescent="0.3">
      <c r="A131" s="5" t="s">
        <v>124</v>
      </c>
      <c r="B131" s="6" t="s">
        <v>14</v>
      </c>
      <c r="C131" s="7">
        <v>45449</v>
      </c>
      <c r="D131" s="6" t="s">
        <v>50</v>
      </c>
      <c r="E131" s="6" t="s">
        <v>51</v>
      </c>
      <c r="F131" s="8">
        <v>1436</v>
      </c>
      <c r="G131" s="8">
        <v>765</v>
      </c>
      <c r="H131" s="8">
        <v>496</v>
      </c>
      <c r="I131" s="8">
        <v>12924</v>
      </c>
      <c r="J131" s="8">
        <v>12701</v>
      </c>
      <c r="K131" s="8">
        <v>197</v>
      </c>
      <c r="L131" s="9" t="s">
        <v>17</v>
      </c>
      <c r="M131" s="9" t="s">
        <v>23</v>
      </c>
      <c r="N131" s="18">
        <f t="shared" ref="N131:N194" si="4">SUM(F131,G131,H131)/J131</f>
        <v>0.21234548460751121</v>
      </c>
      <c r="O131" s="18">
        <f t="shared" ref="O131:O194" si="5">SUM(F131,G131,H131)/I131</f>
        <v>0.20868152274837512</v>
      </c>
    </row>
    <row r="132" spans="1:15" x14ac:dyDescent="0.3">
      <c r="A132" s="5" t="s">
        <v>125</v>
      </c>
      <c r="B132" s="6" t="s">
        <v>34</v>
      </c>
      <c r="C132" s="7">
        <v>45480</v>
      </c>
      <c r="D132" s="6" t="s">
        <v>28</v>
      </c>
      <c r="E132" s="6" t="s">
        <v>29</v>
      </c>
      <c r="F132" s="8">
        <v>302</v>
      </c>
      <c r="G132" s="8">
        <v>47</v>
      </c>
      <c r="H132" s="8">
        <v>430</v>
      </c>
      <c r="I132" s="8">
        <v>5738</v>
      </c>
      <c r="J132" s="8">
        <v>4890</v>
      </c>
      <c r="K132" s="8">
        <v>25</v>
      </c>
      <c r="L132" s="9" t="s">
        <v>22</v>
      </c>
      <c r="M132" s="9" t="s">
        <v>23</v>
      </c>
      <c r="N132" s="18">
        <f t="shared" si="4"/>
        <v>0.15930470347648262</v>
      </c>
      <c r="O132" s="18">
        <f t="shared" si="5"/>
        <v>0.13576158940397351</v>
      </c>
    </row>
    <row r="133" spans="1:15" x14ac:dyDescent="0.3">
      <c r="A133" s="5" t="s">
        <v>125</v>
      </c>
      <c r="B133" s="6" t="s">
        <v>34</v>
      </c>
      <c r="C133" s="7">
        <v>45480</v>
      </c>
      <c r="D133" s="6" t="s">
        <v>28</v>
      </c>
      <c r="E133" s="6" t="s">
        <v>29</v>
      </c>
      <c r="F133" s="8">
        <v>302</v>
      </c>
      <c r="G133" s="8">
        <v>47</v>
      </c>
      <c r="H133" s="8">
        <v>430</v>
      </c>
      <c r="I133" s="8">
        <v>5738</v>
      </c>
      <c r="J133" s="8">
        <v>4890</v>
      </c>
      <c r="K133" s="8">
        <v>25</v>
      </c>
      <c r="L133" s="9" t="s">
        <v>17</v>
      </c>
      <c r="M133" s="9" t="s">
        <v>23</v>
      </c>
      <c r="N133" s="18">
        <f t="shared" si="4"/>
        <v>0.15930470347648262</v>
      </c>
      <c r="O133" s="18">
        <f t="shared" si="5"/>
        <v>0.13576158940397351</v>
      </c>
    </row>
    <row r="134" spans="1:15" x14ac:dyDescent="0.3">
      <c r="A134" s="5" t="s">
        <v>126</v>
      </c>
      <c r="B134" s="6" t="s">
        <v>14</v>
      </c>
      <c r="C134" s="7">
        <v>45667</v>
      </c>
      <c r="D134" s="6" t="s">
        <v>40</v>
      </c>
      <c r="E134" s="6" t="s">
        <v>41</v>
      </c>
      <c r="F134" s="8">
        <v>2214</v>
      </c>
      <c r="G134" s="8">
        <v>249</v>
      </c>
      <c r="H134" s="8">
        <v>152</v>
      </c>
      <c r="I134" s="8">
        <v>15498</v>
      </c>
      <c r="J134" s="8">
        <v>14800</v>
      </c>
      <c r="K134" s="8">
        <v>180</v>
      </c>
      <c r="L134" s="9" t="s">
        <v>17</v>
      </c>
      <c r="M134" s="9" t="s">
        <v>23</v>
      </c>
      <c r="N134" s="18">
        <f t="shared" si="4"/>
        <v>0.17668918918918919</v>
      </c>
      <c r="O134" s="18">
        <f t="shared" si="5"/>
        <v>0.16873144921925409</v>
      </c>
    </row>
    <row r="135" spans="1:15" x14ac:dyDescent="0.3">
      <c r="A135" s="5" t="s">
        <v>127</v>
      </c>
      <c r="B135" s="6" t="s">
        <v>27</v>
      </c>
      <c r="C135" s="7">
        <v>45446</v>
      </c>
      <c r="D135" s="6" t="s">
        <v>40</v>
      </c>
      <c r="E135" s="6" t="s">
        <v>41</v>
      </c>
      <c r="F135" s="8">
        <v>3861</v>
      </c>
      <c r="G135" s="8">
        <v>960</v>
      </c>
      <c r="H135" s="8">
        <v>101</v>
      </c>
      <c r="I135" s="8">
        <v>69498</v>
      </c>
      <c r="J135" s="8">
        <v>68817</v>
      </c>
      <c r="K135" s="8">
        <v>297</v>
      </c>
      <c r="L135" s="9" t="s">
        <v>22</v>
      </c>
      <c r="M135" s="9" t="s">
        <v>23</v>
      </c>
      <c r="N135" s="18">
        <f t="shared" si="4"/>
        <v>7.1523024833979973E-2</v>
      </c>
      <c r="O135" s="18">
        <f t="shared" si="5"/>
        <v>7.0822181933293038E-2</v>
      </c>
    </row>
    <row r="136" spans="1:15" x14ac:dyDescent="0.3">
      <c r="A136" s="5" t="s">
        <v>128</v>
      </c>
      <c r="B136" s="6" t="s">
        <v>34</v>
      </c>
      <c r="C136" s="7">
        <v>45740</v>
      </c>
      <c r="D136" s="6" t="s">
        <v>40</v>
      </c>
      <c r="E136" s="6" t="s">
        <v>41</v>
      </c>
      <c r="F136" s="8">
        <v>1263</v>
      </c>
      <c r="G136" s="8">
        <v>397</v>
      </c>
      <c r="H136" s="8">
        <v>357</v>
      </c>
      <c r="I136" s="8">
        <v>25260</v>
      </c>
      <c r="J136" s="8">
        <v>24615</v>
      </c>
      <c r="K136" s="8">
        <v>137</v>
      </c>
      <c r="L136" s="9" t="s">
        <v>17</v>
      </c>
      <c r="M136" s="9" t="s">
        <v>23</v>
      </c>
      <c r="N136" s="18">
        <f t="shared" si="4"/>
        <v>8.1941905342270971E-2</v>
      </c>
      <c r="O136" s="18">
        <f t="shared" si="5"/>
        <v>7.984956452889945E-2</v>
      </c>
    </row>
    <row r="137" spans="1:15" x14ac:dyDescent="0.3">
      <c r="A137" s="5" t="s">
        <v>129</v>
      </c>
      <c r="B137" s="6" t="s">
        <v>14</v>
      </c>
      <c r="C137" s="7">
        <v>45586</v>
      </c>
      <c r="D137" s="6" t="s">
        <v>28</v>
      </c>
      <c r="E137" s="6" t="s">
        <v>29</v>
      </c>
      <c r="F137" s="8">
        <v>3801</v>
      </c>
      <c r="G137" s="8">
        <v>967</v>
      </c>
      <c r="H137" s="8">
        <v>401</v>
      </c>
      <c r="I137" s="8">
        <v>38010</v>
      </c>
      <c r="J137" s="8">
        <v>37625</v>
      </c>
      <c r="K137" s="8">
        <v>236</v>
      </c>
      <c r="L137" s="9" t="s">
        <v>31</v>
      </c>
      <c r="M137" s="9" t="s">
        <v>44</v>
      </c>
      <c r="N137" s="18">
        <f t="shared" si="4"/>
        <v>0.13738205980066445</v>
      </c>
      <c r="O137" s="18">
        <f t="shared" si="5"/>
        <v>0.13599052880820836</v>
      </c>
    </row>
    <row r="138" spans="1:15" x14ac:dyDescent="0.3">
      <c r="A138" s="5" t="s">
        <v>130</v>
      </c>
      <c r="B138" s="6" t="s">
        <v>27</v>
      </c>
      <c r="C138" s="7">
        <v>45637</v>
      </c>
      <c r="D138" s="6" t="s">
        <v>50</v>
      </c>
      <c r="E138" s="6" t="s">
        <v>51</v>
      </c>
      <c r="F138" s="8">
        <v>1431</v>
      </c>
      <c r="G138" s="8">
        <v>951</v>
      </c>
      <c r="H138" s="8">
        <v>26</v>
      </c>
      <c r="I138" s="8">
        <v>8586</v>
      </c>
      <c r="J138" s="8">
        <v>8396</v>
      </c>
      <c r="K138" s="8">
        <v>150</v>
      </c>
      <c r="L138" s="9" t="s">
        <v>37</v>
      </c>
      <c r="M138" s="9" t="s">
        <v>18</v>
      </c>
      <c r="N138" s="18">
        <f t="shared" si="4"/>
        <v>0.28680323963792281</v>
      </c>
      <c r="O138" s="18">
        <f t="shared" si="5"/>
        <v>0.28045655718611695</v>
      </c>
    </row>
    <row r="139" spans="1:15" x14ac:dyDescent="0.3">
      <c r="A139" s="5" t="s">
        <v>130</v>
      </c>
      <c r="B139" s="6" t="s">
        <v>27</v>
      </c>
      <c r="C139" s="7">
        <v>45637</v>
      </c>
      <c r="D139" s="6" t="s">
        <v>50</v>
      </c>
      <c r="E139" s="6" t="s">
        <v>51</v>
      </c>
      <c r="F139" s="8">
        <v>1431</v>
      </c>
      <c r="G139" s="8">
        <v>951</v>
      </c>
      <c r="H139" s="8">
        <v>26</v>
      </c>
      <c r="I139" s="8">
        <v>8586</v>
      </c>
      <c r="J139" s="8">
        <v>8396</v>
      </c>
      <c r="K139" s="8">
        <v>150</v>
      </c>
      <c r="L139" s="9" t="s">
        <v>52</v>
      </c>
      <c r="M139" s="9" t="s">
        <v>18</v>
      </c>
      <c r="N139" s="18">
        <f t="shared" si="4"/>
        <v>0.28680323963792281</v>
      </c>
      <c r="O139" s="18">
        <f t="shared" si="5"/>
        <v>0.28045655718611695</v>
      </c>
    </row>
    <row r="140" spans="1:15" x14ac:dyDescent="0.3">
      <c r="A140" s="5" t="s">
        <v>131</v>
      </c>
      <c r="B140" s="6" t="s">
        <v>27</v>
      </c>
      <c r="C140" s="7">
        <v>45603</v>
      </c>
      <c r="D140" s="6" t="s">
        <v>40</v>
      </c>
      <c r="E140" s="6" t="s">
        <v>41</v>
      </c>
      <c r="F140" s="8">
        <v>2647</v>
      </c>
      <c r="G140" s="8">
        <v>304</v>
      </c>
      <c r="H140" s="8">
        <v>170</v>
      </c>
      <c r="I140" s="8">
        <v>18529</v>
      </c>
      <c r="J140" s="8">
        <v>17841</v>
      </c>
      <c r="K140" s="8">
        <v>46</v>
      </c>
      <c r="L140" s="9" t="s">
        <v>31</v>
      </c>
      <c r="M140" s="9" t="s">
        <v>23</v>
      </c>
      <c r="N140" s="18">
        <f t="shared" si="4"/>
        <v>0.17493414046297853</v>
      </c>
      <c r="O140" s="18">
        <f t="shared" si="5"/>
        <v>0.16843866371633656</v>
      </c>
    </row>
    <row r="141" spans="1:15" x14ac:dyDescent="0.3">
      <c r="A141" s="5" t="s">
        <v>132</v>
      </c>
      <c r="B141" s="6" t="s">
        <v>27</v>
      </c>
      <c r="C141" s="7">
        <v>45604</v>
      </c>
      <c r="D141" s="6" t="s">
        <v>20</v>
      </c>
      <c r="E141" s="6" t="s">
        <v>21</v>
      </c>
      <c r="F141" s="8">
        <v>3182</v>
      </c>
      <c r="G141" s="8">
        <v>559</v>
      </c>
      <c r="H141" s="8">
        <v>160</v>
      </c>
      <c r="I141" s="8">
        <v>57276</v>
      </c>
      <c r="J141" s="8">
        <v>56890</v>
      </c>
      <c r="K141" s="8">
        <v>163</v>
      </c>
      <c r="L141" s="9" t="s">
        <v>31</v>
      </c>
      <c r="M141" s="9" t="s">
        <v>23</v>
      </c>
      <c r="N141" s="18">
        <f t="shared" si="4"/>
        <v>6.8570926349094743E-2</v>
      </c>
      <c r="O141" s="18">
        <f t="shared" si="5"/>
        <v>6.8108806480899509E-2</v>
      </c>
    </row>
    <row r="142" spans="1:15" x14ac:dyDescent="0.3">
      <c r="A142" s="5" t="s">
        <v>132</v>
      </c>
      <c r="B142" s="6" t="s">
        <v>27</v>
      </c>
      <c r="C142" s="7">
        <v>45604</v>
      </c>
      <c r="D142" s="6" t="s">
        <v>20</v>
      </c>
      <c r="E142" s="6" t="s">
        <v>21</v>
      </c>
      <c r="F142" s="8">
        <v>3182</v>
      </c>
      <c r="G142" s="8">
        <v>559</v>
      </c>
      <c r="H142" s="8">
        <v>160</v>
      </c>
      <c r="I142" s="8">
        <v>57276</v>
      </c>
      <c r="J142" s="8">
        <v>56890</v>
      </c>
      <c r="K142" s="8">
        <v>163</v>
      </c>
      <c r="L142" s="9" t="s">
        <v>37</v>
      </c>
      <c r="M142" s="9" t="s">
        <v>23</v>
      </c>
      <c r="N142" s="18">
        <f t="shared" si="4"/>
        <v>6.8570926349094743E-2</v>
      </c>
      <c r="O142" s="18">
        <f t="shared" si="5"/>
        <v>6.8108806480899509E-2</v>
      </c>
    </row>
    <row r="143" spans="1:15" x14ac:dyDescent="0.3">
      <c r="A143" s="5" t="s">
        <v>133</v>
      </c>
      <c r="B143" s="6" t="s">
        <v>14</v>
      </c>
      <c r="C143" s="7">
        <v>45545</v>
      </c>
      <c r="D143" s="6" t="s">
        <v>40</v>
      </c>
      <c r="E143" s="6" t="s">
        <v>41</v>
      </c>
      <c r="F143" s="8">
        <v>1238</v>
      </c>
      <c r="G143" s="8">
        <v>366</v>
      </c>
      <c r="H143" s="8">
        <v>444</v>
      </c>
      <c r="I143" s="8">
        <v>19808</v>
      </c>
      <c r="J143" s="8">
        <v>19334</v>
      </c>
      <c r="K143" s="8">
        <v>123</v>
      </c>
      <c r="L143" s="9" t="s">
        <v>52</v>
      </c>
      <c r="M143" s="9" t="s">
        <v>32</v>
      </c>
      <c r="N143" s="18">
        <f t="shared" si="4"/>
        <v>0.1059273818144202</v>
      </c>
      <c r="O143" s="18">
        <f t="shared" si="5"/>
        <v>0.10339256865912763</v>
      </c>
    </row>
    <row r="144" spans="1:15" x14ac:dyDescent="0.3">
      <c r="A144" s="5" t="s">
        <v>134</v>
      </c>
      <c r="B144" s="6" t="s">
        <v>27</v>
      </c>
      <c r="C144" s="7">
        <v>45517</v>
      </c>
      <c r="D144" s="6" t="s">
        <v>40</v>
      </c>
      <c r="E144" s="6" t="s">
        <v>41</v>
      </c>
      <c r="F144" s="8">
        <v>4739</v>
      </c>
      <c r="G144" s="8">
        <v>527</v>
      </c>
      <c r="H144" s="8">
        <v>135</v>
      </c>
      <c r="I144" s="8">
        <v>61607</v>
      </c>
      <c r="J144" s="8">
        <v>61333</v>
      </c>
      <c r="K144" s="8">
        <v>36</v>
      </c>
      <c r="L144" s="9" t="s">
        <v>31</v>
      </c>
      <c r="M144" s="9" t="s">
        <v>23</v>
      </c>
      <c r="N144" s="18">
        <f t="shared" si="4"/>
        <v>8.8060261197071721E-2</v>
      </c>
      <c r="O144" s="18">
        <f t="shared" si="5"/>
        <v>8.7668609086629767E-2</v>
      </c>
    </row>
    <row r="145" spans="1:15" x14ac:dyDescent="0.3">
      <c r="A145" s="5" t="s">
        <v>134</v>
      </c>
      <c r="B145" s="6" t="s">
        <v>27</v>
      </c>
      <c r="C145" s="7">
        <v>45517</v>
      </c>
      <c r="D145" s="6" t="s">
        <v>40</v>
      </c>
      <c r="E145" s="6" t="s">
        <v>41</v>
      </c>
      <c r="F145" s="8">
        <v>4739</v>
      </c>
      <c r="G145" s="8">
        <v>527</v>
      </c>
      <c r="H145" s="8">
        <v>135</v>
      </c>
      <c r="I145" s="8">
        <v>61607</v>
      </c>
      <c r="J145" s="8">
        <v>61333</v>
      </c>
      <c r="K145" s="8">
        <v>36</v>
      </c>
      <c r="L145" s="9" t="s">
        <v>17</v>
      </c>
      <c r="M145" s="9" t="s">
        <v>23</v>
      </c>
      <c r="N145" s="18">
        <f t="shared" si="4"/>
        <v>8.8060261197071721E-2</v>
      </c>
      <c r="O145" s="18">
        <f t="shared" si="5"/>
        <v>8.7668609086629767E-2</v>
      </c>
    </row>
    <row r="146" spans="1:15" x14ac:dyDescent="0.3">
      <c r="A146" s="5" t="s">
        <v>135</v>
      </c>
      <c r="B146" s="6" t="s">
        <v>14</v>
      </c>
      <c r="C146" s="7">
        <v>45453</v>
      </c>
      <c r="D146" s="6" t="s">
        <v>28</v>
      </c>
      <c r="E146" s="6" t="s">
        <v>29</v>
      </c>
      <c r="F146" s="8">
        <v>1575</v>
      </c>
      <c r="G146" s="8">
        <v>771</v>
      </c>
      <c r="H146" s="8">
        <v>486</v>
      </c>
      <c r="I146" s="8">
        <v>25200</v>
      </c>
      <c r="J146" s="8">
        <v>24826</v>
      </c>
      <c r="K146" s="8">
        <v>17</v>
      </c>
      <c r="L146" s="9" t="s">
        <v>31</v>
      </c>
      <c r="M146" s="9" t="s">
        <v>32</v>
      </c>
      <c r="N146" s="18">
        <f t="shared" si="4"/>
        <v>0.1140739547248852</v>
      </c>
      <c r="O146" s="18">
        <f t="shared" si="5"/>
        <v>0.11238095238095239</v>
      </c>
    </row>
    <row r="147" spans="1:15" x14ac:dyDescent="0.3">
      <c r="A147" s="5" t="s">
        <v>136</v>
      </c>
      <c r="B147" s="6" t="s">
        <v>25</v>
      </c>
      <c r="C147" s="7">
        <v>45475</v>
      </c>
      <c r="D147" s="6" t="s">
        <v>35</v>
      </c>
      <c r="E147" s="6" t="s">
        <v>36</v>
      </c>
      <c r="F147" s="8">
        <v>4171</v>
      </c>
      <c r="G147" s="8">
        <v>548</v>
      </c>
      <c r="H147" s="8">
        <v>86</v>
      </c>
      <c r="I147" s="8">
        <v>66736</v>
      </c>
      <c r="J147" s="8">
        <v>66634</v>
      </c>
      <c r="K147" s="8">
        <v>173</v>
      </c>
      <c r="L147" s="9" t="s">
        <v>31</v>
      </c>
      <c r="M147" s="9" t="s">
        <v>32</v>
      </c>
      <c r="N147" s="18">
        <f t="shared" si="4"/>
        <v>7.2110334063691203E-2</v>
      </c>
      <c r="O147" s="18">
        <f t="shared" si="5"/>
        <v>7.2000119875329657E-2</v>
      </c>
    </row>
    <row r="148" spans="1:15" x14ac:dyDescent="0.3">
      <c r="A148" s="5" t="s">
        <v>137</v>
      </c>
      <c r="B148" s="6" t="s">
        <v>25</v>
      </c>
      <c r="C148" s="7">
        <v>45698</v>
      </c>
      <c r="D148" s="6" t="s">
        <v>50</v>
      </c>
      <c r="E148" s="6" t="s">
        <v>51</v>
      </c>
      <c r="F148" s="8">
        <v>1766</v>
      </c>
      <c r="G148" s="8">
        <v>92</v>
      </c>
      <c r="H148" s="8">
        <v>424</v>
      </c>
      <c r="I148" s="8">
        <v>24724</v>
      </c>
      <c r="J148" s="8">
        <v>24333</v>
      </c>
      <c r="K148" s="8">
        <v>52</v>
      </c>
      <c r="L148" s="9" t="s">
        <v>31</v>
      </c>
      <c r="M148" s="9" t="s">
        <v>18</v>
      </c>
      <c r="N148" s="18">
        <f t="shared" si="4"/>
        <v>9.3782106604200055E-2</v>
      </c>
      <c r="O148" s="18">
        <f t="shared" si="5"/>
        <v>9.2298980747451867E-2</v>
      </c>
    </row>
    <row r="149" spans="1:15" x14ac:dyDescent="0.3">
      <c r="A149" s="5" t="s">
        <v>138</v>
      </c>
      <c r="B149" s="6" t="s">
        <v>25</v>
      </c>
      <c r="C149" s="7">
        <v>45583</v>
      </c>
      <c r="D149" s="6" t="s">
        <v>50</v>
      </c>
      <c r="E149" s="6" t="s">
        <v>51</v>
      </c>
      <c r="F149" s="8">
        <v>4450</v>
      </c>
      <c r="G149" s="8">
        <v>983</v>
      </c>
      <c r="H149" s="8">
        <v>143</v>
      </c>
      <c r="I149" s="8">
        <v>75650</v>
      </c>
      <c r="J149" s="8">
        <v>75008</v>
      </c>
      <c r="K149" s="8">
        <v>12</v>
      </c>
      <c r="L149" s="9" t="s">
        <v>17</v>
      </c>
      <c r="M149" s="9" t="s">
        <v>23</v>
      </c>
      <c r="N149" s="18">
        <f t="shared" si="4"/>
        <v>7.433873720136519E-2</v>
      </c>
      <c r="O149" s="18">
        <f t="shared" si="5"/>
        <v>7.3707865168539333E-2</v>
      </c>
    </row>
    <row r="150" spans="1:15" x14ac:dyDescent="0.3">
      <c r="A150" s="5" t="s">
        <v>138</v>
      </c>
      <c r="B150" s="6" t="s">
        <v>25</v>
      </c>
      <c r="C150" s="7">
        <v>45583</v>
      </c>
      <c r="D150" s="6" t="s">
        <v>50</v>
      </c>
      <c r="E150" s="6" t="s">
        <v>51</v>
      </c>
      <c r="F150" s="8">
        <v>4450</v>
      </c>
      <c r="G150" s="8">
        <v>983</v>
      </c>
      <c r="H150" s="8">
        <v>143</v>
      </c>
      <c r="I150" s="8">
        <v>75650</v>
      </c>
      <c r="J150" s="8">
        <v>75008</v>
      </c>
      <c r="K150" s="8">
        <v>12</v>
      </c>
      <c r="L150" s="9" t="s">
        <v>31</v>
      </c>
      <c r="M150" s="9" t="s">
        <v>23</v>
      </c>
      <c r="N150" s="18">
        <f t="shared" si="4"/>
        <v>7.433873720136519E-2</v>
      </c>
      <c r="O150" s="18">
        <f t="shared" si="5"/>
        <v>7.3707865168539333E-2</v>
      </c>
    </row>
    <row r="151" spans="1:15" x14ac:dyDescent="0.3">
      <c r="A151" s="5" t="s">
        <v>139</v>
      </c>
      <c r="B151" s="6" t="s">
        <v>14</v>
      </c>
      <c r="C151" s="7">
        <v>45553</v>
      </c>
      <c r="D151" s="6" t="s">
        <v>15</v>
      </c>
      <c r="E151" s="6" t="s">
        <v>16</v>
      </c>
      <c r="F151" s="8">
        <v>1000</v>
      </c>
      <c r="G151" s="8">
        <v>978</v>
      </c>
      <c r="H151" s="8">
        <v>162</v>
      </c>
      <c r="I151" s="8">
        <v>6000</v>
      </c>
      <c r="J151" s="8">
        <v>5221</v>
      </c>
      <c r="K151" s="8">
        <v>223</v>
      </c>
      <c r="L151" s="9" t="s">
        <v>37</v>
      </c>
      <c r="M151" s="9" t="s">
        <v>32</v>
      </c>
      <c r="N151" s="18">
        <f t="shared" si="4"/>
        <v>0.40988316414479986</v>
      </c>
      <c r="O151" s="18">
        <f t="shared" si="5"/>
        <v>0.35666666666666669</v>
      </c>
    </row>
    <row r="152" spans="1:15" x14ac:dyDescent="0.3">
      <c r="A152" s="5" t="s">
        <v>139</v>
      </c>
      <c r="B152" s="6" t="s">
        <v>14</v>
      </c>
      <c r="C152" s="7">
        <v>45553</v>
      </c>
      <c r="D152" s="6" t="s">
        <v>15</v>
      </c>
      <c r="E152" s="6" t="s">
        <v>16</v>
      </c>
      <c r="F152" s="8">
        <v>1000</v>
      </c>
      <c r="G152" s="8">
        <v>978</v>
      </c>
      <c r="H152" s="8">
        <v>162</v>
      </c>
      <c r="I152" s="8">
        <v>6000</v>
      </c>
      <c r="J152" s="8">
        <v>5221</v>
      </c>
      <c r="K152" s="8">
        <v>223</v>
      </c>
      <c r="L152" s="9" t="s">
        <v>22</v>
      </c>
      <c r="M152" s="9" t="s">
        <v>32</v>
      </c>
      <c r="N152" s="18">
        <f t="shared" si="4"/>
        <v>0.40988316414479986</v>
      </c>
      <c r="O152" s="18">
        <f t="shared" si="5"/>
        <v>0.35666666666666669</v>
      </c>
    </row>
    <row r="153" spans="1:15" x14ac:dyDescent="0.3">
      <c r="A153" s="5" t="s">
        <v>140</v>
      </c>
      <c r="B153" s="6" t="s">
        <v>34</v>
      </c>
      <c r="C153" s="7">
        <v>45454</v>
      </c>
      <c r="D153" s="6" t="s">
        <v>40</v>
      </c>
      <c r="E153" s="6" t="s">
        <v>41</v>
      </c>
      <c r="F153" s="8">
        <v>3689</v>
      </c>
      <c r="G153" s="8">
        <v>48</v>
      </c>
      <c r="H153" s="8">
        <v>306</v>
      </c>
      <c r="I153" s="8">
        <v>40579</v>
      </c>
      <c r="J153" s="8">
        <v>39588</v>
      </c>
      <c r="K153" s="8">
        <v>212</v>
      </c>
      <c r="L153" s="9" t="s">
        <v>37</v>
      </c>
      <c r="M153" s="9" t="s">
        <v>18</v>
      </c>
      <c r="N153" s="18">
        <f t="shared" si="4"/>
        <v>0.10212690714357886</v>
      </c>
      <c r="O153" s="18">
        <f t="shared" si="5"/>
        <v>9.9632815002833983E-2</v>
      </c>
    </row>
    <row r="154" spans="1:15" x14ac:dyDescent="0.3">
      <c r="A154" s="5" t="s">
        <v>141</v>
      </c>
      <c r="B154" s="6" t="s">
        <v>25</v>
      </c>
      <c r="C154" s="7">
        <v>45739</v>
      </c>
      <c r="D154" s="6" t="s">
        <v>28</v>
      </c>
      <c r="E154" s="6" t="s">
        <v>29</v>
      </c>
      <c r="F154" s="8">
        <v>3655</v>
      </c>
      <c r="G154" s="8">
        <v>568</v>
      </c>
      <c r="H154" s="8">
        <v>286</v>
      </c>
      <c r="I154" s="8">
        <v>32895</v>
      </c>
      <c r="J154" s="8">
        <v>32015</v>
      </c>
      <c r="K154" s="8">
        <v>199</v>
      </c>
      <c r="L154" s="9" t="s">
        <v>37</v>
      </c>
      <c r="M154" s="9" t="s">
        <v>44</v>
      </c>
      <c r="N154" s="18">
        <f t="shared" si="4"/>
        <v>0.14084023114165234</v>
      </c>
      <c r="O154" s="18">
        <f t="shared" si="5"/>
        <v>0.13707250341997265</v>
      </c>
    </row>
    <row r="155" spans="1:15" x14ac:dyDescent="0.3">
      <c r="A155" s="5" t="s">
        <v>142</v>
      </c>
      <c r="B155" s="6" t="s">
        <v>27</v>
      </c>
      <c r="C155" s="7">
        <v>45457</v>
      </c>
      <c r="D155" s="6" t="s">
        <v>35</v>
      </c>
      <c r="E155" s="6" t="s">
        <v>36</v>
      </c>
      <c r="F155" s="8">
        <v>498</v>
      </c>
      <c r="G155" s="8">
        <v>38</v>
      </c>
      <c r="H155" s="8">
        <v>42</v>
      </c>
      <c r="I155" s="8">
        <v>4482</v>
      </c>
      <c r="J155" s="8">
        <v>3647</v>
      </c>
      <c r="K155" s="8">
        <v>32</v>
      </c>
      <c r="L155" s="9" t="s">
        <v>31</v>
      </c>
      <c r="M155" s="9" t="s">
        <v>44</v>
      </c>
      <c r="N155" s="18">
        <f t="shared" si="4"/>
        <v>0.15848642720043871</v>
      </c>
      <c r="O155" s="18">
        <f t="shared" si="5"/>
        <v>0.12896028558679162</v>
      </c>
    </row>
    <row r="156" spans="1:15" x14ac:dyDescent="0.3">
      <c r="A156" s="5" t="s">
        <v>142</v>
      </c>
      <c r="B156" s="6" t="s">
        <v>27</v>
      </c>
      <c r="C156" s="7">
        <v>45457</v>
      </c>
      <c r="D156" s="6" t="s">
        <v>35</v>
      </c>
      <c r="E156" s="6" t="s">
        <v>36</v>
      </c>
      <c r="F156" s="8">
        <v>498</v>
      </c>
      <c r="G156" s="8">
        <v>38</v>
      </c>
      <c r="H156" s="8">
        <v>42</v>
      </c>
      <c r="I156" s="8">
        <v>4482</v>
      </c>
      <c r="J156" s="8">
        <v>3647</v>
      </c>
      <c r="K156" s="8">
        <v>32</v>
      </c>
      <c r="L156" s="9" t="s">
        <v>52</v>
      </c>
      <c r="M156" s="9" t="s">
        <v>44</v>
      </c>
      <c r="N156" s="18">
        <f t="shared" si="4"/>
        <v>0.15848642720043871</v>
      </c>
      <c r="O156" s="18">
        <f t="shared" si="5"/>
        <v>0.12896028558679162</v>
      </c>
    </row>
    <row r="157" spans="1:15" x14ac:dyDescent="0.3">
      <c r="A157" s="5" t="s">
        <v>143</v>
      </c>
      <c r="B157" s="6" t="s">
        <v>27</v>
      </c>
      <c r="C157" s="7">
        <v>45692</v>
      </c>
      <c r="D157" s="6" t="s">
        <v>40</v>
      </c>
      <c r="E157" s="6" t="s">
        <v>41</v>
      </c>
      <c r="F157" s="8">
        <v>4619</v>
      </c>
      <c r="G157" s="8">
        <v>821</v>
      </c>
      <c r="H157" s="8">
        <v>499</v>
      </c>
      <c r="I157" s="8">
        <v>69285</v>
      </c>
      <c r="J157" s="8">
        <v>69141</v>
      </c>
      <c r="K157" s="8">
        <v>298</v>
      </c>
      <c r="L157" s="9" t="s">
        <v>22</v>
      </c>
      <c r="M157" s="9" t="s">
        <v>18</v>
      </c>
      <c r="N157" s="18">
        <f t="shared" si="4"/>
        <v>8.5896935248260795E-2</v>
      </c>
      <c r="O157" s="18">
        <f t="shared" si="5"/>
        <v>8.5718409468138843E-2</v>
      </c>
    </row>
    <row r="158" spans="1:15" x14ac:dyDescent="0.3">
      <c r="A158" s="5" t="s">
        <v>144</v>
      </c>
      <c r="B158" s="6" t="s">
        <v>25</v>
      </c>
      <c r="C158" s="7">
        <v>45464</v>
      </c>
      <c r="D158" s="6" t="s">
        <v>40</v>
      </c>
      <c r="E158" s="6" t="s">
        <v>41</v>
      </c>
      <c r="F158" s="8">
        <v>4832</v>
      </c>
      <c r="G158" s="8">
        <v>893</v>
      </c>
      <c r="H158" s="8">
        <v>10</v>
      </c>
      <c r="I158" s="8">
        <v>91808</v>
      </c>
      <c r="J158" s="8">
        <v>91296</v>
      </c>
      <c r="K158" s="8">
        <v>182</v>
      </c>
      <c r="L158" s="9" t="s">
        <v>17</v>
      </c>
      <c r="M158" s="9" t="s">
        <v>32</v>
      </c>
      <c r="N158" s="18">
        <f t="shared" si="4"/>
        <v>6.2817648089730102E-2</v>
      </c>
      <c r="O158" s="18">
        <f t="shared" si="5"/>
        <v>6.2467323109097243E-2</v>
      </c>
    </row>
    <row r="159" spans="1:15" x14ac:dyDescent="0.3">
      <c r="A159" s="5" t="s">
        <v>144</v>
      </c>
      <c r="B159" s="6" t="s">
        <v>25</v>
      </c>
      <c r="C159" s="7">
        <v>45464</v>
      </c>
      <c r="D159" s="6" t="s">
        <v>40</v>
      </c>
      <c r="E159" s="6" t="s">
        <v>41</v>
      </c>
      <c r="F159" s="8">
        <v>4832</v>
      </c>
      <c r="G159" s="8">
        <v>893</v>
      </c>
      <c r="H159" s="8">
        <v>10</v>
      </c>
      <c r="I159" s="8">
        <v>91808</v>
      </c>
      <c r="J159" s="8">
        <v>91296</v>
      </c>
      <c r="K159" s="8">
        <v>182</v>
      </c>
      <c r="L159" s="9" t="s">
        <v>31</v>
      </c>
      <c r="M159" s="9" t="s">
        <v>32</v>
      </c>
      <c r="N159" s="18">
        <f t="shared" si="4"/>
        <v>6.2817648089730102E-2</v>
      </c>
      <c r="O159" s="18">
        <f t="shared" si="5"/>
        <v>6.2467323109097243E-2</v>
      </c>
    </row>
    <row r="160" spans="1:15" x14ac:dyDescent="0.3">
      <c r="A160" s="5" t="s">
        <v>145</v>
      </c>
      <c r="B160" s="6" t="s">
        <v>14</v>
      </c>
      <c r="C160" s="7">
        <v>45741</v>
      </c>
      <c r="D160" s="6" t="s">
        <v>50</v>
      </c>
      <c r="E160" s="6" t="s">
        <v>51</v>
      </c>
      <c r="F160" s="8">
        <v>4050</v>
      </c>
      <c r="G160" s="8">
        <v>871</v>
      </c>
      <c r="H160" s="8">
        <v>347</v>
      </c>
      <c r="I160" s="8">
        <v>52650</v>
      </c>
      <c r="J160" s="8">
        <v>51755</v>
      </c>
      <c r="K160" s="8">
        <v>209</v>
      </c>
      <c r="L160" s="9" t="s">
        <v>31</v>
      </c>
      <c r="M160" s="9" t="s">
        <v>18</v>
      </c>
      <c r="N160" s="18">
        <f t="shared" si="4"/>
        <v>0.10178726693073133</v>
      </c>
      <c r="O160" s="18">
        <f t="shared" si="5"/>
        <v>0.10005698005698006</v>
      </c>
    </row>
    <row r="161" spans="1:15" x14ac:dyDescent="0.3">
      <c r="A161" s="5" t="s">
        <v>145</v>
      </c>
      <c r="B161" s="6" t="s">
        <v>14</v>
      </c>
      <c r="C161" s="7">
        <v>45741</v>
      </c>
      <c r="D161" s="6" t="s">
        <v>50</v>
      </c>
      <c r="E161" s="6" t="s">
        <v>51</v>
      </c>
      <c r="F161" s="8">
        <v>4050</v>
      </c>
      <c r="G161" s="8">
        <v>871</v>
      </c>
      <c r="H161" s="8">
        <v>347</v>
      </c>
      <c r="I161" s="8">
        <v>52650</v>
      </c>
      <c r="J161" s="8">
        <v>51755</v>
      </c>
      <c r="K161" s="8">
        <v>209</v>
      </c>
      <c r="L161" s="9" t="s">
        <v>52</v>
      </c>
      <c r="M161" s="9" t="s">
        <v>18</v>
      </c>
      <c r="N161" s="18">
        <f t="shared" si="4"/>
        <v>0.10178726693073133</v>
      </c>
      <c r="O161" s="18">
        <f t="shared" si="5"/>
        <v>0.10005698005698006</v>
      </c>
    </row>
    <row r="162" spans="1:15" x14ac:dyDescent="0.3">
      <c r="A162" s="5" t="s">
        <v>146</v>
      </c>
      <c r="B162" s="6" t="s">
        <v>14</v>
      </c>
      <c r="C162" s="7">
        <v>45512</v>
      </c>
      <c r="D162" s="6" t="s">
        <v>28</v>
      </c>
      <c r="E162" s="6" t="s">
        <v>29</v>
      </c>
      <c r="F162" s="8">
        <v>3649</v>
      </c>
      <c r="G162" s="8">
        <v>215</v>
      </c>
      <c r="H162" s="8">
        <v>413</v>
      </c>
      <c r="I162" s="8">
        <v>25543</v>
      </c>
      <c r="J162" s="8">
        <v>24963</v>
      </c>
      <c r="K162" s="8">
        <v>167</v>
      </c>
      <c r="L162" s="9" t="s">
        <v>22</v>
      </c>
      <c r="M162" s="9" t="s">
        <v>18</v>
      </c>
      <c r="N162" s="18">
        <f t="shared" si="4"/>
        <v>0.1713335736890598</v>
      </c>
      <c r="O162" s="18">
        <f t="shared" si="5"/>
        <v>0.16744313510550835</v>
      </c>
    </row>
    <row r="163" spans="1:15" x14ac:dyDescent="0.3">
      <c r="A163" s="5" t="s">
        <v>146</v>
      </c>
      <c r="B163" s="6" t="s">
        <v>14</v>
      </c>
      <c r="C163" s="7">
        <v>45512</v>
      </c>
      <c r="D163" s="6" t="s">
        <v>28</v>
      </c>
      <c r="E163" s="6" t="s">
        <v>29</v>
      </c>
      <c r="F163" s="8">
        <v>3649</v>
      </c>
      <c r="G163" s="8">
        <v>215</v>
      </c>
      <c r="H163" s="8">
        <v>413</v>
      </c>
      <c r="I163" s="8">
        <v>25543</v>
      </c>
      <c r="J163" s="8">
        <v>24963</v>
      </c>
      <c r="K163" s="8">
        <v>167</v>
      </c>
      <c r="L163" s="9" t="s">
        <v>31</v>
      </c>
      <c r="M163" s="9" t="s">
        <v>18</v>
      </c>
      <c r="N163" s="18">
        <f t="shared" si="4"/>
        <v>0.1713335736890598</v>
      </c>
      <c r="O163" s="18">
        <f t="shared" si="5"/>
        <v>0.16744313510550835</v>
      </c>
    </row>
    <row r="164" spans="1:15" x14ac:dyDescent="0.3">
      <c r="A164" s="5" t="s">
        <v>147</v>
      </c>
      <c r="B164" s="6" t="s">
        <v>27</v>
      </c>
      <c r="C164" s="7">
        <v>45502</v>
      </c>
      <c r="D164" s="6" t="s">
        <v>15</v>
      </c>
      <c r="E164" s="6" t="s">
        <v>16</v>
      </c>
      <c r="F164" s="8">
        <v>3523</v>
      </c>
      <c r="G164" s="8">
        <v>753</v>
      </c>
      <c r="H164" s="8">
        <v>482</v>
      </c>
      <c r="I164" s="8">
        <v>38753</v>
      </c>
      <c r="J164" s="8">
        <v>38579</v>
      </c>
      <c r="K164" s="8">
        <v>270</v>
      </c>
      <c r="L164" s="9" t="s">
        <v>52</v>
      </c>
      <c r="M164" s="9" t="s">
        <v>23</v>
      </c>
      <c r="N164" s="18">
        <f t="shared" si="4"/>
        <v>0.12333134606910495</v>
      </c>
      <c r="O164" s="18">
        <f t="shared" si="5"/>
        <v>0.12277759141227776</v>
      </c>
    </row>
    <row r="165" spans="1:15" x14ac:dyDescent="0.3">
      <c r="A165" s="5" t="s">
        <v>147</v>
      </c>
      <c r="B165" s="6" t="s">
        <v>27</v>
      </c>
      <c r="C165" s="7">
        <v>45502</v>
      </c>
      <c r="D165" s="6" t="s">
        <v>15</v>
      </c>
      <c r="E165" s="6" t="s">
        <v>16</v>
      </c>
      <c r="F165" s="8">
        <v>3523</v>
      </c>
      <c r="G165" s="8">
        <v>753</v>
      </c>
      <c r="H165" s="8">
        <v>482</v>
      </c>
      <c r="I165" s="8">
        <v>38753</v>
      </c>
      <c r="J165" s="8">
        <v>38579</v>
      </c>
      <c r="K165" s="8">
        <v>270</v>
      </c>
      <c r="L165" s="9" t="s">
        <v>31</v>
      </c>
      <c r="M165" s="9" t="s">
        <v>23</v>
      </c>
      <c r="N165" s="18">
        <f t="shared" si="4"/>
        <v>0.12333134606910495</v>
      </c>
      <c r="O165" s="18">
        <f t="shared" si="5"/>
        <v>0.12277759141227776</v>
      </c>
    </row>
    <row r="166" spans="1:15" x14ac:dyDescent="0.3">
      <c r="A166" s="5" t="s">
        <v>148</v>
      </c>
      <c r="B166" s="6" t="s">
        <v>25</v>
      </c>
      <c r="C166" s="7">
        <v>45619</v>
      </c>
      <c r="D166" s="6" t="s">
        <v>40</v>
      </c>
      <c r="E166" s="6" t="s">
        <v>41</v>
      </c>
      <c r="F166" s="8">
        <v>2719</v>
      </c>
      <c r="G166" s="8">
        <v>17</v>
      </c>
      <c r="H166" s="8">
        <v>285</v>
      </c>
      <c r="I166" s="8">
        <v>40785</v>
      </c>
      <c r="J166" s="8">
        <v>40281</v>
      </c>
      <c r="K166" s="8">
        <v>40</v>
      </c>
      <c r="L166" s="9" t="s">
        <v>22</v>
      </c>
      <c r="M166" s="9" t="s">
        <v>32</v>
      </c>
      <c r="N166" s="18">
        <f t="shared" si="4"/>
        <v>7.4998138079988078E-2</v>
      </c>
      <c r="O166" s="18">
        <f t="shared" si="5"/>
        <v>7.4071349760941527E-2</v>
      </c>
    </row>
    <row r="167" spans="1:15" x14ac:dyDescent="0.3">
      <c r="A167" s="5" t="s">
        <v>148</v>
      </c>
      <c r="B167" s="6" t="s">
        <v>25</v>
      </c>
      <c r="C167" s="7">
        <v>45619</v>
      </c>
      <c r="D167" s="6" t="s">
        <v>40</v>
      </c>
      <c r="E167" s="6" t="s">
        <v>41</v>
      </c>
      <c r="F167" s="8">
        <v>2719</v>
      </c>
      <c r="G167" s="8">
        <v>17</v>
      </c>
      <c r="H167" s="8">
        <v>285</v>
      </c>
      <c r="I167" s="8">
        <v>40785</v>
      </c>
      <c r="J167" s="8">
        <v>40281</v>
      </c>
      <c r="K167" s="8">
        <v>40</v>
      </c>
      <c r="L167" s="9" t="s">
        <v>31</v>
      </c>
      <c r="M167" s="9" t="s">
        <v>32</v>
      </c>
      <c r="N167" s="18">
        <f t="shared" si="4"/>
        <v>7.4998138079988078E-2</v>
      </c>
      <c r="O167" s="18">
        <f t="shared" si="5"/>
        <v>7.4071349760941527E-2</v>
      </c>
    </row>
    <row r="168" spans="1:15" x14ac:dyDescent="0.3">
      <c r="A168" s="5" t="s">
        <v>149</v>
      </c>
      <c r="B168" s="6" t="s">
        <v>14</v>
      </c>
      <c r="C168" s="7">
        <v>45570</v>
      </c>
      <c r="D168" s="6" t="s">
        <v>28</v>
      </c>
      <c r="E168" s="6" t="s">
        <v>29</v>
      </c>
      <c r="F168" s="8">
        <v>1957</v>
      </c>
      <c r="G168" s="8">
        <v>877</v>
      </c>
      <c r="H168" s="8">
        <v>238</v>
      </c>
      <c r="I168" s="8">
        <v>17613</v>
      </c>
      <c r="J168" s="8">
        <v>16865</v>
      </c>
      <c r="K168" s="8">
        <v>297</v>
      </c>
      <c r="L168" s="9" t="s">
        <v>22</v>
      </c>
      <c r="M168" s="9" t="s">
        <v>32</v>
      </c>
      <c r="N168" s="18">
        <f t="shared" si="4"/>
        <v>0.18215238659946634</v>
      </c>
      <c r="O168" s="18">
        <f t="shared" si="5"/>
        <v>0.17441662408448305</v>
      </c>
    </row>
    <row r="169" spans="1:15" x14ac:dyDescent="0.3">
      <c r="A169" s="5" t="s">
        <v>149</v>
      </c>
      <c r="B169" s="6" t="s">
        <v>14</v>
      </c>
      <c r="C169" s="7">
        <v>45570</v>
      </c>
      <c r="D169" s="6" t="s">
        <v>28</v>
      </c>
      <c r="E169" s="6" t="s">
        <v>29</v>
      </c>
      <c r="F169" s="8">
        <v>1957</v>
      </c>
      <c r="G169" s="8">
        <v>877</v>
      </c>
      <c r="H169" s="8">
        <v>238</v>
      </c>
      <c r="I169" s="8">
        <v>17613</v>
      </c>
      <c r="J169" s="8">
        <v>16865</v>
      </c>
      <c r="K169" s="8">
        <v>297</v>
      </c>
      <c r="L169" s="9" t="s">
        <v>17</v>
      </c>
      <c r="M169" s="9" t="s">
        <v>32</v>
      </c>
      <c r="N169" s="18">
        <f t="shared" si="4"/>
        <v>0.18215238659946634</v>
      </c>
      <c r="O169" s="18">
        <f t="shared" si="5"/>
        <v>0.17441662408448305</v>
      </c>
    </row>
    <row r="170" spans="1:15" x14ac:dyDescent="0.3">
      <c r="A170" s="5" t="s">
        <v>150</v>
      </c>
      <c r="B170" s="6" t="s">
        <v>14</v>
      </c>
      <c r="C170" s="7">
        <v>45567</v>
      </c>
      <c r="D170" s="6" t="s">
        <v>35</v>
      </c>
      <c r="E170" s="6" t="s">
        <v>36</v>
      </c>
      <c r="F170" s="8">
        <v>4419</v>
      </c>
      <c r="G170" s="8">
        <v>236</v>
      </c>
      <c r="H170" s="8">
        <v>369</v>
      </c>
      <c r="I170" s="8">
        <v>44190</v>
      </c>
      <c r="J170" s="8">
        <v>43582</v>
      </c>
      <c r="K170" s="8">
        <v>10</v>
      </c>
      <c r="L170" s="9" t="s">
        <v>37</v>
      </c>
      <c r="M170" s="9" t="s">
        <v>44</v>
      </c>
      <c r="N170" s="18">
        <f t="shared" si="4"/>
        <v>0.11527694919921068</v>
      </c>
      <c r="O170" s="18">
        <f t="shared" si="5"/>
        <v>0.11369088028965829</v>
      </c>
    </row>
    <row r="171" spans="1:15" x14ac:dyDescent="0.3">
      <c r="A171" s="5" t="s">
        <v>151</v>
      </c>
      <c r="B171" s="6" t="s">
        <v>14</v>
      </c>
      <c r="C171" s="7">
        <v>45610</v>
      </c>
      <c r="D171" s="6" t="s">
        <v>28</v>
      </c>
      <c r="E171" s="6" t="s">
        <v>29</v>
      </c>
      <c r="F171" s="8">
        <v>4000</v>
      </c>
      <c r="G171" s="8">
        <v>689</v>
      </c>
      <c r="H171" s="8">
        <v>488</v>
      </c>
      <c r="I171" s="8">
        <v>40000</v>
      </c>
      <c r="J171" s="8">
        <v>39569</v>
      </c>
      <c r="K171" s="8">
        <v>44</v>
      </c>
      <c r="L171" s="9" t="s">
        <v>52</v>
      </c>
      <c r="M171" s="9" t="s">
        <v>32</v>
      </c>
      <c r="N171" s="18">
        <f t="shared" si="4"/>
        <v>0.13083474437059314</v>
      </c>
      <c r="O171" s="18">
        <f t="shared" si="5"/>
        <v>0.12942500000000001</v>
      </c>
    </row>
    <row r="172" spans="1:15" x14ac:dyDescent="0.3">
      <c r="A172" s="5" t="s">
        <v>151</v>
      </c>
      <c r="B172" s="6" t="s">
        <v>14</v>
      </c>
      <c r="C172" s="7">
        <v>45610</v>
      </c>
      <c r="D172" s="6" t="s">
        <v>28</v>
      </c>
      <c r="E172" s="6" t="s">
        <v>29</v>
      </c>
      <c r="F172" s="8">
        <v>4000</v>
      </c>
      <c r="G172" s="8">
        <v>689</v>
      </c>
      <c r="H172" s="8">
        <v>488</v>
      </c>
      <c r="I172" s="8">
        <v>40000</v>
      </c>
      <c r="J172" s="8">
        <v>39569</v>
      </c>
      <c r="K172" s="8">
        <v>44</v>
      </c>
      <c r="L172" s="9" t="s">
        <v>22</v>
      </c>
      <c r="M172" s="9" t="s">
        <v>32</v>
      </c>
      <c r="N172" s="18">
        <f t="shared" si="4"/>
        <v>0.13083474437059314</v>
      </c>
      <c r="O172" s="18">
        <f t="shared" si="5"/>
        <v>0.12942500000000001</v>
      </c>
    </row>
    <row r="173" spans="1:15" x14ac:dyDescent="0.3">
      <c r="A173" s="5" t="s">
        <v>152</v>
      </c>
      <c r="B173" s="6" t="s">
        <v>14</v>
      </c>
      <c r="C173" s="7">
        <v>45788</v>
      </c>
      <c r="D173" s="6" t="s">
        <v>40</v>
      </c>
      <c r="E173" s="6" t="s">
        <v>41</v>
      </c>
      <c r="F173" s="8">
        <v>2493</v>
      </c>
      <c r="G173" s="8">
        <v>97</v>
      </c>
      <c r="H173" s="8">
        <v>44</v>
      </c>
      <c r="I173" s="8">
        <v>42381</v>
      </c>
      <c r="J173" s="8">
        <v>41991</v>
      </c>
      <c r="K173" s="8">
        <v>242</v>
      </c>
      <c r="L173" s="9" t="s">
        <v>17</v>
      </c>
      <c r="M173" s="9" t="s">
        <v>18</v>
      </c>
      <c r="N173" s="18">
        <f t="shared" si="4"/>
        <v>6.272772737015074E-2</v>
      </c>
      <c r="O173" s="18">
        <f t="shared" si="5"/>
        <v>6.2150491965739366E-2</v>
      </c>
    </row>
    <row r="174" spans="1:15" x14ac:dyDescent="0.3">
      <c r="A174" s="5" t="s">
        <v>152</v>
      </c>
      <c r="B174" s="6" t="s">
        <v>14</v>
      </c>
      <c r="C174" s="7">
        <v>45788</v>
      </c>
      <c r="D174" s="6" t="s">
        <v>40</v>
      </c>
      <c r="E174" s="6" t="s">
        <v>41</v>
      </c>
      <c r="F174" s="8">
        <v>2493</v>
      </c>
      <c r="G174" s="8">
        <v>97</v>
      </c>
      <c r="H174" s="8">
        <v>44</v>
      </c>
      <c r="I174" s="8">
        <v>42381</v>
      </c>
      <c r="J174" s="8">
        <v>41991</v>
      </c>
      <c r="K174" s="8">
        <v>242</v>
      </c>
      <c r="L174" s="9" t="s">
        <v>31</v>
      </c>
      <c r="M174" s="9" t="s">
        <v>18</v>
      </c>
      <c r="N174" s="18">
        <f t="shared" si="4"/>
        <v>6.272772737015074E-2</v>
      </c>
      <c r="O174" s="18">
        <f t="shared" si="5"/>
        <v>6.2150491965739366E-2</v>
      </c>
    </row>
    <row r="175" spans="1:15" x14ac:dyDescent="0.3">
      <c r="A175" s="5" t="s">
        <v>153</v>
      </c>
      <c r="B175" s="6" t="s">
        <v>25</v>
      </c>
      <c r="C175" s="7">
        <v>45734</v>
      </c>
      <c r="D175" s="6" t="s">
        <v>15</v>
      </c>
      <c r="E175" s="6" t="s">
        <v>16</v>
      </c>
      <c r="F175" s="8">
        <v>3704</v>
      </c>
      <c r="G175" s="8">
        <v>186</v>
      </c>
      <c r="H175" s="8">
        <v>458</v>
      </c>
      <c r="I175" s="8">
        <v>25928</v>
      </c>
      <c r="J175" s="8">
        <v>25081</v>
      </c>
      <c r="K175" s="8">
        <v>131</v>
      </c>
      <c r="L175" s="9" t="s">
        <v>31</v>
      </c>
      <c r="M175" s="9" t="s">
        <v>18</v>
      </c>
      <c r="N175" s="18">
        <f t="shared" si="4"/>
        <v>0.17335831904629001</v>
      </c>
      <c r="O175" s="18">
        <f t="shared" si="5"/>
        <v>0.16769515581610614</v>
      </c>
    </row>
    <row r="176" spans="1:15" x14ac:dyDescent="0.3">
      <c r="A176" s="5" t="s">
        <v>154</v>
      </c>
      <c r="B176" s="6" t="s">
        <v>14</v>
      </c>
      <c r="C176" s="7">
        <v>45600</v>
      </c>
      <c r="D176" s="6" t="s">
        <v>40</v>
      </c>
      <c r="E176" s="6" t="s">
        <v>41</v>
      </c>
      <c r="F176" s="8">
        <v>1606</v>
      </c>
      <c r="G176" s="8">
        <v>451</v>
      </c>
      <c r="H176" s="8">
        <v>405</v>
      </c>
      <c r="I176" s="8">
        <v>20878</v>
      </c>
      <c r="J176" s="8">
        <v>20190</v>
      </c>
      <c r="K176" s="8">
        <v>219</v>
      </c>
      <c r="L176" s="9" t="s">
        <v>17</v>
      </c>
      <c r="M176" s="9" t="s">
        <v>23</v>
      </c>
      <c r="N176" s="18">
        <f t="shared" si="4"/>
        <v>0.12194155522535909</v>
      </c>
      <c r="O176" s="18">
        <f t="shared" si="5"/>
        <v>0.11792317271769326</v>
      </c>
    </row>
    <row r="177" spans="1:15" x14ac:dyDescent="0.3">
      <c r="A177" s="5" t="s">
        <v>154</v>
      </c>
      <c r="B177" s="6" t="s">
        <v>14</v>
      </c>
      <c r="C177" s="7">
        <v>45600</v>
      </c>
      <c r="D177" s="6" t="s">
        <v>40</v>
      </c>
      <c r="E177" s="6" t="s">
        <v>41</v>
      </c>
      <c r="F177" s="8">
        <v>1606</v>
      </c>
      <c r="G177" s="8">
        <v>451</v>
      </c>
      <c r="H177" s="8">
        <v>405</v>
      </c>
      <c r="I177" s="8">
        <v>20878</v>
      </c>
      <c r="J177" s="8">
        <v>20190</v>
      </c>
      <c r="K177" s="8">
        <v>219</v>
      </c>
      <c r="L177" s="9" t="s">
        <v>31</v>
      </c>
      <c r="M177" s="9" t="s">
        <v>23</v>
      </c>
      <c r="N177" s="18">
        <f t="shared" si="4"/>
        <v>0.12194155522535909</v>
      </c>
      <c r="O177" s="18">
        <f t="shared" si="5"/>
        <v>0.11792317271769326</v>
      </c>
    </row>
    <row r="178" spans="1:15" x14ac:dyDescent="0.3">
      <c r="A178" s="5" t="s">
        <v>155</v>
      </c>
      <c r="B178" s="6" t="s">
        <v>34</v>
      </c>
      <c r="C178" s="7">
        <v>45600</v>
      </c>
      <c r="D178" s="6" t="s">
        <v>40</v>
      </c>
      <c r="E178" s="6" t="s">
        <v>41</v>
      </c>
      <c r="F178" s="8">
        <v>4551</v>
      </c>
      <c r="G178" s="8">
        <v>714</v>
      </c>
      <c r="H178" s="8">
        <v>207</v>
      </c>
      <c r="I178" s="8">
        <v>68265</v>
      </c>
      <c r="J178" s="8">
        <v>67754</v>
      </c>
      <c r="K178" s="8">
        <v>57</v>
      </c>
      <c r="L178" s="9" t="s">
        <v>37</v>
      </c>
      <c r="M178" s="9" t="s">
        <v>23</v>
      </c>
      <c r="N178" s="18">
        <f t="shared" si="4"/>
        <v>8.0762759394279307E-2</v>
      </c>
      <c r="O178" s="18">
        <f t="shared" si="5"/>
        <v>8.0158206987475278E-2</v>
      </c>
    </row>
    <row r="179" spans="1:15" x14ac:dyDescent="0.3">
      <c r="A179" s="5" t="s">
        <v>156</v>
      </c>
      <c r="B179" s="6" t="s">
        <v>27</v>
      </c>
      <c r="C179" s="7">
        <v>45695</v>
      </c>
      <c r="D179" s="6" t="s">
        <v>15</v>
      </c>
      <c r="E179" s="6" t="s">
        <v>16</v>
      </c>
      <c r="F179" s="8">
        <v>1970</v>
      </c>
      <c r="G179" s="8">
        <v>675</v>
      </c>
      <c r="H179" s="8">
        <v>478</v>
      </c>
      <c r="I179" s="8">
        <v>9850</v>
      </c>
      <c r="J179" s="8">
        <v>8924</v>
      </c>
      <c r="K179" s="8">
        <v>117</v>
      </c>
      <c r="L179" s="9" t="s">
        <v>37</v>
      </c>
      <c r="M179" s="9" t="s">
        <v>44</v>
      </c>
      <c r="N179" s="18">
        <f t="shared" si="4"/>
        <v>0.34995517705064993</v>
      </c>
      <c r="O179" s="18">
        <f t="shared" si="5"/>
        <v>0.31705583756345179</v>
      </c>
    </row>
    <row r="180" spans="1:15" x14ac:dyDescent="0.3">
      <c r="A180" s="5" t="s">
        <v>157</v>
      </c>
      <c r="B180" s="6" t="s">
        <v>34</v>
      </c>
      <c r="C180" s="7">
        <v>45586</v>
      </c>
      <c r="D180" s="6" t="s">
        <v>28</v>
      </c>
      <c r="E180" s="6" t="s">
        <v>29</v>
      </c>
      <c r="F180" s="8">
        <v>780</v>
      </c>
      <c r="G180" s="8">
        <v>928</v>
      </c>
      <c r="H180" s="8">
        <v>301</v>
      </c>
      <c r="I180" s="8">
        <v>8580</v>
      </c>
      <c r="J180" s="8">
        <v>8081</v>
      </c>
      <c r="K180" s="8">
        <v>91</v>
      </c>
      <c r="L180" s="9" t="s">
        <v>17</v>
      </c>
      <c r="M180" s="9" t="s">
        <v>44</v>
      </c>
      <c r="N180" s="18">
        <f t="shared" si="4"/>
        <v>0.24860784556366786</v>
      </c>
      <c r="O180" s="18">
        <f t="shared" si="5"/>
        <v>0.23414918414918415</v>
      </c>
    </row>
    <row r="181" spans="1:15" x14ac:dyDescent="0.3">
      <c r="A181" s="5" t="s">
        <v>157</v>
      </c>
      <c r="B181" s="6" t="s">
        <v>34</v>
      </c>
      <c r="C181" s="7">
        <v>45586</v>
      </c>
      <c r="D181" s="6" t="s">
        <v>28</v>
      </c>
      <c r="E181" s="6" t="s">
        <v>29</v>
      </c>
      <c r="F181" s="8">
        <v>780</v>
      </c>
      <c r="G181" s="8">
        <v>928</v>
      </c>
      <c r="H181" s="8">
        <v>301</v>
      </c>
      <c r="I181" s="8">
        <v>8580</v>
      </c>
      <c r="J181" s="8">
        <v>8081</v>
      </c>
      <c r="K181" s="8">
        <v>91</v>
      </c>
      <c r="L181" s="9" t="s">
        <v>22</v>
      </c>
      <c r="M181" s="9" t="s">
        <v>44</v>
      </c>
      <c r="N181" s="18">
        <f t="shared" si="4"/>
        <v>0.24860784556366786</v>
      </c>
      <c r="O181" s="18">
        <f t="shared" si="5"/>
        <v>0.23414918414918415</v>
      </c>
    </row>
    <row r="182" spans="1:15" x14ac:dyDescent="0.3">
      <c r="A182" s="5" t="s">
        <v>158</v>
      </c>
      <c r="B182" s="6" t="s">
        <v>27</v>
      </c>
      <c r="C182" s="7">
        <v>45502</v>
      </c>
      <c r="D182" s="6" t="s">
        <v>28</v>
      </c>
      <c r="E182" s="6" t="s">
        <v>29</v>
      </c>
      <c r="F182" s="8">
        <v>498</v>
      </c>
      <c r="G182" s="8">
        <v>701</v>
      </c>
      <c r="H182" s="8">
        <v>412</v>
      </c>
      <c r="I182" s="8">
        <v>4980</v>
      </c>
      <c r="J182" s="8">
        <v>4185</v>
      </c>
      <c r="K182" s="8">
        <v>185</v>
      </c>
      <c r="L182" s="9" t="s">
        <v>52</v>
      </c>
      <c r="M182" s="9" t="s">
        <v>44</v>
      </c>
      <c r="N182" s="18">
        <f t="shared" si="4"/>
        <v>0.38494623655913979</v>
      </c>
      <c r="O182" s="18">
        <f t="shared" si="5"/>
        <v>0.32349397590361445</v>
      </c>
    </row>
    <row r="183" spans="1:15" x14ac:dyDescent="0.3">
      <c r="A183" s="5" t="s">
        <v>158</v>
      </c>
      <c r="B183" s="6" t="s">
        <v>27</v>
      </c>
      <c r="C183" s="7">
        <v>45502</v>
      </c>
      <c r="D183" s="6" t="s">
        <v>28</v>
      </c>
      <c r="E183" s="6" t="s">
        <v>29</v>
      </c>
      <c r="F183" s="8">
        <v>498</v>
      </c>
      <c r="G183" s="8">
        <v>701</v>
      </c>
      <c r="H183" s="8">
        <v>412</v>
      </c>
      <c r="I183" s="8">
        <v>4980</v>
      </c>
      <c r="J183" s="8">
        <v>4185</v>
      </c>
      <c r="K183" s="8">
        <v>185</v>
      </c>
      <c r="L183" s="9" t="s">
        <v>31</v>
      </c>
      <c r="M183" s="9" t="s">
        <v>44</v>
      </c>
      <c r="N183" s="18">
        <f t="shared" si="4"/>
        <v>0.38494623655913979</v>
      </c>
      <c r="O183" s="18">
        <f t="shared" si="5"/>
        <v>0.32349397590361445</v>
      </c>
    </row>
    <row r="184" spans="1:15" x14ac:dyDescent="0.3">
      <c r="A184" s="5" t="s">
        <v>159</v>
      </c>
      <c r="B184" s="6" t="s">
        <v>27</v>
      </c>
      <c r="C184" s="7">
        <v>45567</v>
      </c>
      <c r="D184" s="6" t="s">
        <v>20</v>
      </c>
      <c r="E184" s="6" t="s">
        <v>21</v>
      </c>
      <c r="F184" s="8">
        <v>3432</v>
      </c>
      <c r="G184" s="8">
        <v>869</v>
      </c>
      <c r="H184" s="8">
        <v>123</v>
      </c>
      <c r="I184" s="8">
        <v>54912</v>
      </c>
      <c r="J184" s="8">
        <v>53916</v>
      </c>
      <c r="K184" s="8">
        <v>264</v>
      </c>
      <c r="L184" s="9" t="s">
        <v>22</v>
      </c>
      <c r="M184" s="9" t="s">
        <v>23</v>
      </c>
      <c r="N184" s="18">
        <f t="shared" si="4"/>
        <v>8.2053564804510717E-2</v>
      </c>
      <c r="O184" s="18">
        <f t="shared" si="5"/>
        <v>8.0565268065268064E-2</v>
      </c>
    </row>
    <row r="185" spans="1:15" x14ac:dyDescent="0.3">
      <c r="A185" s="5" t="s">
        <v>159</v>
      </c>
      <c r="B185" s="6" t="s">
        <v>27</v>
      </c>
      <c r="C185" s="7">
        <v>45567</v>
      </c>
      <c r="D185" s="6" t="s">
        <v>20</v>
      </c>
      <c r="E185" s="6" t="s">
        <v>21</v>
      </c>
      <c r="F185" s="8">
        <v>3432</v>
      </c>
      <c r="G185" s="8">
        <v>869</v>
      </c>
      <c r="H185" s="8">
        <v>123</v>
      </c>
      <c r="I185" s="8">
        <v>54912</v>
      </c>
      <c r="J185" s="8">
        <v>53916</v>
      </c>
      <c r="K185" s="8">
        <v>264</v>
      </c>
      <c r="L185" s="9" t="s">
        <v>37</v>
      </c>
      <c r="M185" s="9" t="s">
        <v>23</v>
      </c>
      <c r="N185" s="18">
        <f t="shared" si="4"/>
        <v>8.2053564804510717E-2</v>
      </c>
      <c r="O185" s="18">
        <f t="shared" si="5"/>
        <v>8.0565268065268064E-2</v>
      </c>
    </row>
    <row r="186" spans="1:15" x14ac:dyDescent="0.3">
      <c r="A186" s="5" t="s">
        <v>160</v>
      </c>
      <c r="B186" s="6" t="s">
        <v>27</v>
      </c>
      <c r="C186" s="7">
        <v>45457</v>
      </c>
      <c r="D186" s="6" t="s">
        <v>28</v>
      </c>
      <c r="E186" s="6" t="s">
        <v>29</v>
      </c>
      <c r="F186" s="8">
        <v>4363</v>
      </c>
      <c r="G186" s="8">
        <v>649</v>
      </c>
      <c r="H186" s="8">
        <v>140</v>
      </c>
      <c r="I186" s="8">
        <v>21815</v>
      </c>
      <c r="J186" s="8">
        <v>21481</v>
      </c>
      <c r="K186" s="8">
        <v>157</v>
      </c>
      <c r="L186" s="9" t="s">
        <v>17</v>
      </c>
      <c r="M186" s="9" t="s">
        <v>23</v>
      </c>
      <c r="N186" s="18">
        <f t="shared" si="4"/>
        <v>0.23983985847958661</v>
      </c>
      <c r="O186" s="18">
        <f t="shared" si="5"/>
        <v>0.23616777446710979</v>
      </c>
    </row>
    <row r="187" spans="1:15" x14ac:dyDescent="0.3">
      <c r="A187" s="5" t="s">
        <v>160</v>
      </c>
      <c r="B187" s="6" t="s">
        <v>27</v>
      </c>
      <c r="C187" s="7">
        <v>45457</v>
      </c>
      <c r="D187" s="6" t="s">
        <v>28</v>
      </c>
      <c r="E187" s="6" t="s">
        <v>29</v>
      </c>
      <c r="F187" s="8">
        <v>4363</v>
      </c>
      <c r="G187" s="8">
        <v>649</v>
      </c>
      <c r="H187" s="8">
        <v>140</v>
      </c>
      <c r="I187" s="8">
        <v>21815</v>
      </c>
      <c r="J187" s="8">
        <v>21481</v>
      </c>
      <c r="K187" s="8">
        <v>157</v>
      </c>
      <c r="L187" s="9" t="s">
        <v>22</v>
      </c>
      <c r="M187" s="9" t="s">
        <v>23</v>
      </c>
      <c r="N187" s="18">
        <f t="shared" si="4"/>
        <v>0.23983985847958661</v>
      </c>
      <c r="O187" s="18">
        <f t="shared" si="5"/>
        <v>0.23616777446710979</v>
      </c>
    </row>
    <row r="188" spans="1:15" x14ac:dyDescent="0.3">
      <c r="A188" s="5" t="s">
        <v>161</v>
      </c>
      <c r="B188" s="6" t="s">
        <v>25</v>
      </c>
      <c r="C188" s="7">
        <v>45753</v>
      </c>
      <c r="D188" s="6" t="s">
        <v>35</v>
      </c>
      <c r="E188" s="6" t="s">
        <v>36</v>
      </c>
      <c r="F188" s="8">
        <v>736</v>
      </c>
      <c r="G188" s="8">
        <v>771</v>
      </c>
      <c r="H188" s="8">
        <v>225</v>
      </c>
      <c r="I188" s="8">
        <v>5152</v>
      </c>
      <c r="J188" s="8">
        <v>4706</v>
      </c>
      <c r="K188" s="8">
        <v>19</v>
      </c>
      <c r="L188" s="9" t="s">
        <v>31</v>
      </c>
      <c r="M188" s="9" t="s">
        <v>32</v>
      </c>
      <c r="N188" s="18">
        <f t="shared" si="4"/>
        <v>0.36804079898002551</v>
      </c>
      <c r="O188" s="18">
        <f t="shared" si="5"/>
        <v>0.33618012422360249</v>
      </c>
    </row>
    <row r="189" spans="1:15" x14ac:dyDescent="0.3">
      <c r="A189" s="5" t="s">
        <v>162</v>
      </c>
      <c r="B189" s="6" t="s">
        <v>14</v>
      </c>
      <c r="C189" s="7">
        <v>45543</v>
      </c>
      <c r="D189" s="6" t="s">
        <v>35</v>
      </c>
      <c r="E189" s="6" t="s">
        <v>36</v>
      </c>
      <c r="F189" s="8">
        <v>3811</v>
      </c>
      <c r="G189" s="8">
        <v>866</v>
      </c>
      <c r="H189" s="8">
        <v>216</v>
      </c>
      <c r="I189" s="8">
        <v>34299</v>
      </c>
      <c r="J189" s="8">
        <v>34088</v>
      </c>
      <c r="K189" s="8">
        <v>233</v>
      </c>
      <c r="L189" s="9" t="s">
        <v>31</v>
      </c>
      <c r="M189" s="9" t="s">
        <v>32</v>
      </c>
      <c r="N189" s="18">
        <f t="shared" si="4"/>
        <v>0.14354024876789487</v>
      </c>
      <c r="O189" s="18">
        <f t="shared" si="5"/>
        <v>0.14265722032712325</v>
      </c>
    </row>
    <row r="190" spans="1:15" x14ac:dyDescent="0.3">
      <c r="A190" s="5" t="s">
        <v>163</v>
      </c>
      <c r="B190" s="6" t="s">
        <v>27</v>
      </c>
      <c r="C190" s="7">
        <v>45744</v>
      </c>
      <c r="D190" s="6" t="s">
        <v>35</v>
      </c>
      <c r="E190" s="6" t="s">
        <v>36</v>
      </c>
      <c r="F190" s="8">
        <v>4158</v>
      </c>
      <c r="G190" s="8">
        <v>167</v>
      </c>
      <c r="H190" s="8">
        <v>241</v>
      </c>
      <c r="I190" s="8">
        <v>45738</v>
      </c>
      <c r="J190" s="8">
        <v>45183</v>
      </c>
      <c r="K190" s="8">
        <v>142</v>
      </c>
      <c r="L190" s="9" t="s">
        <v>22</v>
      </c>
      <c r="M190" s="9" t="s">
        <v>23</v>
      </c>
      <c r="N190" s="18">
        <f t="shared" si="4"/>
        <v>0.10105570679237766</v>
      </c>
      <c r="O190" s="18">
        <f t="shared" si="5"/>
        <v>9.9829463465827106E-2</v>
      </c>
    </row>
    <row r="191" spans="1:15" x14ac:dyDescent="0.3">
      <c r="A191" s="5" t="s">
        <v>164</v>
      </c>
      <c r="B191" s="6" t="s">
        <v>34</v>
      </c>
      <c r="C191" s="7">
        <v>45684</v>
      </c>
      <c r="D191" s="6" t="s">
        <v>15</v>
      </c>
      <c r="E191" s="6" t="s">
        <v>16</v>
      </c>
      <c r="F191" s="8">
        <v>3452</v>
      </c>
      <c r="G191" s="8">
        <v>652</v>
      </c>
      <c r="H191" s="8">
        <v>442</v>
      </c>
      <c r="I191" s="8">
        <v>65588</v>
      </c>
      <c r="J191" s="8">
        <v>65049</v>
      </c>
      <c r="K191" s="8">
        <v>158</v>
      </c>
      <c r="L191" s="9" t="s">
        <v>17</v>
      </c>
      <c r="M191" s="9" t="s">
        <v>18</v>
      </c>
      <c r="N191" s="18">
        <f t="shared" si="4"/>
        <v>6.9885778413196209E-2</v>
      </c>
      <c r="O191" s="18">
        <f t="shared" si="5"/>
        <v>6.9311459413307311E-2</v>
      </c>
    </row>
    <row r="192" spans="1:15" x14ac:dyDescent="0.3">
      <c r="A192" s="5" t="s">
        <v>164</v>
      </c>
      <c r="B192" s="6" t="s">
        <v>34</v>
      </c>
      <c r="C192" s="7">
        <v>45684</v>
      </c>
      <c r="D192" s="6" t="s">
        <v>15</v>
      </c>
      <c r="E192" s="6" t="s">
        <v>16</v>
      </c>
      <c r="F192" s="8">
        <v>3452</v>
      </c>
      <c r="G192" s="8">
        <v>652</v>
      </c>
      <c r="H192" s="8">
        <v>442</v>
      </c>
      <c r="I192" s="8">
        <v>65588</v>
      </c>
      <c r="J192" s="8">
        <v>65049</v>
      </c>
      <c r="K192" s="8">
        <v>158</v>
      </c>
      <c r="L192" s="9" t="s">
        <v>31</v>
      </c>
      <c r="M192" s="9" t="s">
        <v>18</v>
      </c>
      <c r="N192" s="18">
        <f t="shared" si="4"/>
        <v>6.9885778413196209E-2</v>
      </c>
      <c r="O192" s="18">
        <f t="shared" si="5"/>
        <v>6.9311459413307311E-2</v>
      </c>
    </row>
    <row r="193" spans="1:15" x14ac:dyDescent="0.3">
      <c r="A193" s="5" t="s">
        <v>165</v>
      </c>
      <c r="B193" s="6" t="s">
        <v>14</v>
      </c>
      <c r="C193" s="7">
        <v>45667</v>
      </c>
      <c r="D193" s="6" t="s">
        <v>40</v>
      </c>
      <c r="E193" s="6" t="s">
        <v>41</v>
      </c>
      <c r="F193" s="8">
        <v>3092</v>
      </c>
      <c r="G193" s="8">
        <v>106</v>
      </c>
      <c r="H193" s="8">
        <v>291</v>
      </c>
      <c r="I193" s="8">
        <v>27828</v>
      </c>
      <c r="J193" s="8">
        <v>27217</v>
      </c>
      <c r="K193" s="8">
        <v>102</v>
      </c>
      <c r="L193" s="9" t="s">
        <v>31</v>
      </c>
      <c r="M193" s="9" t="s">
        <v>44</v>
      </c>
      <c r="N193" s="18">
        <f t="shared" si="4"/>
        <v>0.12819193886174082</v>
      </c>
      <c r="O193" s="18">
        <f t="shared" si="5"/>
        <v>0.12537731780940059</v>
      </c>
    </row>
    <row r="194" spans="1:15" x14ac:dyDescent="0.3">
      <c r="A194" s="5" t="s">
        <v>166</v>
      </c>
      <c r="B194" s="6" t="s">
        <v>14</v>
      </c>
      <c r="C194" s="7">
        <v>45494</v>
      </c>
      <c r="D194" s="6" t="s">
        <v>20</v>
      </c>
      <c r="E194" s="6" t="s">
        <v>21</v>
      </c>
      <c r="F194" s="8">
        <v>2147</v>
      </c>
      <c r="G194" s="8">
        <v>430</v>
      </c>
      <c r="H194" s="8">
        <v>393</v>
      </c>
      <c r="I194" s="8">
        <v>17176</v>
      </c>
      <c r="J194" s="8">
        <v>16483</v>
      </c>
      <c r="K194" s="8">
        <v>170</v>
      </c>
      <c r="L194" s="9" t="s">
        <v>52</v>
      </c>
      <c r="M194" s="9" t="s">
        <v>44</v>
      </c>
      <c r="N194" s="18">
        <f t="shared" si="4"/>
        <v>0.18018564581690227</v>
      </c>
      <c r="O194" s="18">
        <f t="shared" si="5"/>
        <v>0.17291569632044715</v>
      </c>
    </row>
    <row r="195" spans="1:15" x14ac:dyDescent="0.3">
      <c r="A195" s="5" t="s">
        <v>167</v>
      </c>
      <c r="B195" s="6" t="s">
        <v>25</v>
      </c>
      <c r="C195" s="7">
        <v>45564</v>
      </c>
      <c r="D195" s="6" t="s">
        <v>15</v>
      </c>
      <c r="E195" s="6" t="s">
        <v>16</v>
      </c>
      <c r="F195" s="8">
        <v>2936</v>
      </c>
      <c r="G195" s="8">
        <v>439</v>
      </c>
      <c r="H195" s="8">
        <v>44</v>
      </c>
      <c r="I195" s="8">
        <v>38168</v>
      </c>
      <c r="J195" s="8">
        <v>37571</v>
      </c>
      <c r="K195" s="8">
        <v>22</v>
      </c>
      <c r="L195" s="9" t="s">
        <v>17</v>
      </c>
      <c r="M195" s="9" t="s">
        <v>32</v>
      </c>
      <c r="N195" s="18">
        <f t="shared" ref="N195:N258" si="6">SUM(F195,G195,H195)/J195</f>
        <v>9.1001038034654383E-2</v>
      </c>
      <c r="O195" s="18">
        <f t="shared" ref="O195:O258" si="7">SUM(F195,G195,H195)/I195</f>
        <v>8.9577656675749323E-2</v>
      </c>
    </row>
    <row r="196" spans="1:15" x14ac:dyDescent="0.3">
      <c r="A196" s="5" t="s">
        <v>168</v>
      </c>
      <c r="B196" s="6" t="s">
        <v>27</v>
      </c>
      <c r="C196" s="7">
        <v>45586</v>
      </c>
      <c r="D196" s="6" t="s">
        <v>15</v>
      </c>
      <c r="E196" s="6" t="s">
        <v>16</v>
      </c>
      <c r="F196" s="8">
        <v>4840</v>
      </c>
      <c r="G196" s="8">
        <v>658</v>
      </c>
      <c r="H196" s="8">
        <v>211</v>
      </c>
      <c r="I196" s="8">
        <v>43560</v>
      </c>
      <c r="J196" s="8">
        <v>43225</v>
      </c>
      <c r="K196" s="8">
        <v>57</v>
      </c>
      <c r="L196" s="9" t="s">
        <v>17</v>
      </c>
      <c r="M196" s="9" t="s">
        <v>23</v>
      </c>
      <c r="N196" s="18">
        <f t="shared" si="6"/>
        <v>0.13207634470792365</v>
      </c>
      <c r="O196" s="18">
        <f t="shared" si="7"/>
        <v>0.13106060606060607</v>
      </c>
    </row>
    <row r="197" spans="1:15" x14ac:dyDescent="0.3">
      <c r="A197" s="5" t="s">
        <v>168</v>
      </c>
      <c r="B197" s="6" t="s">
        <v>27</v>
      </c>
      <c r="C197" s="7">
        <v>45586</v>
      </c>
      <c r="D197" s="6" t="s">
        <v>15</v>
      </c>
      <c r="E197" s="6" t="s">
        <v>16</v>
      </c>
      <c r="F197" s="8">
        <v>4840</v>
      </c>
      <c r="G197" s="8">
        <v>658</v>
      </c>
      <c r="H197" s="8">
        <v>211</v>
      </c>
      <c r="I197" s="8">
        <v>43560</v>
      </c>
      <c r="J197" s="8">
        <v>43225</v>
      </c>
      <c r="K197" s="8">
        <v>57</v>
      </c>
      <c r="L197" s="9" t="s">
        <v>22</v>
      </c>
      <c r="M197" s="9" t="s">
        <v>23</v>
      </c>
      <c r="N197" s="18">
        <f t="shared" si="6"/>
        <v>0.13207634470792365</v>
      </c>
      <c r="O197" s="18">
        <f t="shared" si="7"/>
        <v>0.13106060606060607</v>
      </c>
    </row>
    <row r="198" spans="1:15" x14ac:dyDescent="0.3">
      <c r="A198" s="5" t="s">
        <v>169</v>
      </c>
      <c r="B198" s="6" t="s">
        <v>27</v>
      </c>
      <c r="C198" s="7">
        <v>45720</v>
      </c>
      <c r="D198" s="6" t="s">
        <v>28</v>
      </c>
      <c r="E198" s="6" t="s">
        <v>29</v>
      </c>
      <c r="F198" s="8">
        <v>1947</v>
      </c>
      <c r="G198" s="8">
        <v>842</v>
      </c>
      <c r="H198" s="8">
        <v>101</v>
      </c>
      <c r="I198" s="8">
        <v>21417</v>
      </c>
      <c r="J198" s="8">
        <v>20967</v>
      </c>
      <c r="K198" s="8">
        <v>186</v>
      </c>
      <c r="L198" s="9" t="s">
        <v>22</v>
      </c>
      <c r="M198" s="9" t="s">
        <v>23</v>
      </c>
      <c r="N198" s="18">
        <f t="shared" si="6"/>
        <v>0.13783564649210664</v>
      </c>
      <c r="O198" s="18">
        <f t="shared" si="7"/>
        <v>0.13493953401503478</v>
      </c>
    </row>
    <row r="199" spans="1:15" x14ac:dyDescent="0.3">
      <c r="A199" s="5" t="s">
        <v>170</v>
      </c>
      <c r="B199" s="6" t="s">
        <v>34</v>
      </c>
      <c r="C199" s="7">
        <v>45694</v>
      </c>
      <c r="D199" s="6" t="s">
        <v>40</v>
      </c>
      <c r="E199" s="6" t="s">
        <v>41</v>
      </c>
      <c r="F199" s="8">
        <v>2072</v>
      </c>
      <c r="G199" s="8">
        <v>532</v>
      </c>
      <c r="H199" s="8">
        <v>71</v>
      </c>
      <c r="I199" s="8">
        <v>37296</v>
      </c>
      <c r="J199" s="8">
        <v>36467</v>
      </c>
      <c r="K199" s="8">
        <v>25</v>
      </c>
      <c r="L199" s="9" t="s">
        <v>17</v>
      </c>
      <c r="M199" s="9" t="s">
        <v>32</v>
      </c>
      <c r="N199" s="18">
        <f t="shared" si="6"/>
        <v>7.3353991279787201E-2</v>
      </c>
      <c r="O199" s="18">
        <f t="shared" si="7"/>
        <v>7.172350922350923E-2</v>
      </c>
    </row>
    <row r="200" spans="1:15" x14ac:dyDescent="0.3">
      <c r="A200" s="5" t="s">
        <v>171</v>
      </c>
      <c r="B200" s="6" t="s">
        <v>14</v>
      </c>
      <c r="C200" s="7">
        <v>45771</v>
      </c>
      <c r="D200" s="6" t="s">
        <v>15</v>
      </c>
      <c r="E200" s="6" t="s">
        <v>16</v>
      </c>
      <c r="F200" s="8">
        <v>3731</v>
      </c>
      <c r="G200" s="8">
        <v>115</v>
      </c>
      <c r="H200" s="8">
        <v>135</v>
      </c>
      <c r="I200" s="8">
        <v>55965</v>
      </c>
      <c r="J200" s="8">
        <v>55436</v>
      </c>
      <c r="K200" s="8">
        <v>103</v>
      </c>
      <c r="L200" s="9" t="s">
        <v>52</v>
      </c>
      <c r="M200" s="9" t="s">
        <v>44</v>
      </c>
      <c r="N200" s="18">
        <f t="shared" si="6"/>
        <v>7.1812540587343959E-2</v>
      </c>
      <c r="O200" s="18">
        <f t="shared" si="7"/>
        <v>7.1133744304476013E-2</v>
      </c>
    </row>
    <row r="201" spans="1:15" x14ac:dyDescent="0.3">
      <c r="A201" s="5" t="s">
        <v>172</v>
      </c>
      <c r="B201" s="6" t="s">
        <v>34</v>
      </c>
      <c r="C201" s="7">
        <v>45624</v>
      </c>
      <c r="D201" s="6" t="s">
        <v>20</v>
      </c>
      <c r="E201" s="6" t="s">
        <v>21</v>
      </c>
      <c r="F201" s="8">
        <v>4213</v>
      </c>
      <c r="G201" s="8">
        <v>253</v>
      </c>
      <c r="H201" s="8">
        <v>434</v>
      </c>
      <c r="I201" s="8">
        <v>75834</v>
      </c>
      <c r="J201" s="8">
        <v>75437</v>
      </c>
      <c r="K201" s="8">
        <v>272</v>
      </c>
      <c r="L201" s="9" t="s">
        <v>37</v>
      </c>
      <c r="M201" s="9" t="s">
        <v>32</v>
      </c>
      <c r="N201" s="18">
        <f t="shared" si="6"/>
        <v>6.4954862998263446E-2</v>
      </c>
      <c r="O201" s="18">
        <f t="shared" si="7"/>
        <v>6.461481657304112E-2</v>
      </c>
    </row>
    <row r="202" spans="1:15" x14ac:dyDescent="0.3">
      <c r="A202" s="5" t="s">
        <v>173</v>
      </c>
      <c r="B202" s="6" t="s">
        <v>27</v>
      </c>
      <c r="C202" s="7">
        <v>45484</v>
      </c>
      <c r="D202" s="6" t="s">
        <v>20</v>
      </c>
      <c r="E202" s="6" t="s">
        <v>21</v>
      </c>
      <c r="F202" s="8">
        <v>3134</v>
      </c>
      <c r="G202" s="8">
        <v>888</v>
      </c>
      <c r="H202" s="8">
        <v>444</v>
      </c>
      <c r="I202" s="8">
        <v>21938</v>
      </c>
      <c r="J202" s="8">
        <v>21337</v>
      </c>
      <c r="K202" s="8">
        <v>130</v>
      </c>
      <c r="L202" s="9" t="s">
        <v>17</v>
      </c>
      <c r="M202" s="9" t="s">
        <v>44</v>
      </c>
      <c r="N202" s="18">
        <f t="shared" si="6"/>
        <v>0.209307775226133</v>
      </c>
      <c r="O202" s="18">
        <f t="shared" si="7"/>
        <v>0.20357370772176134</v>
      </c>
    </row>
    <row r="203" spans="1:15" x14ac:dyDescent="0.3">
      <c r="A203" s="5" t="s">
        <v>173</v>
      </c>
      <c r="B203" s="6" t="s">
        <v>27</v>
      </c>
      <c r="C203" s="7">
        <v>45484</v>
      </c>
      <c r="D203" s="6" t="s">
        <v>20</v>
      </c>
      <c r="E203" s="6" t="s">
        <v>21</v>
      </c>
      <c r="F203" s="8">
        <v>3134</v>
      </c>
      <c r="G203" s="8">
        <v>888</v>
      </c>
      <c r="H203" s="8">
        <v>444</v>
      </c>
      <c r="I203" s="8">
        <v>21938</v>
      </c>
      <c r="J203" s="8">
        <v>21337</v>
      </c>
      <c r="K203" s="8">
        <v>130</v>
      </c>
      <c r="L203" s="9" t="s">
        <v>22</v>
      </c>
      <c r="M203" s="9" t="s">
        <v>44</v>
      </c>
      <c r="N203" s="18">
        <f t="shared" si="6"/>
        <v>0.209307775226133</v>
      </c>
      <c r="O203" s="18">
        <f t="shared" si="7"/>
        <v>0.20357370772176134</v>
      </c>
    </row>
    <row r="204" spans="1:15" x14ac:dyDescent="0.3">
      <c r="A204" s="5" t="s">
        <v>174</v>
      </c>
      <c r="B204" s="6" t="s">
        <v>34</v>
      </c>
      <c r="C204" s="7">
        <v>45504</v>
      </c>
      <c r="D204" s="6" t="s">
        <v>50</v>
      </c>
      <c r="E204" s="6" t="s">
        <v>51</v>
      </c>
      <c r="F204" s="8">
        <v>3008</v>
      </c>
      <c r="G204" s="8">
        <v>94</v>
      </c>
      <c r="H204" s="8">
        <v>37</v>
      </c>
      <c r="I204" s="8">
        <v>15040</v>
      </c>
      <c r="J204" s="8">
        <v>14639</v>
      </c>
      <c r="K204" s="8">
        <v>277</v>
      </c>
      <c r="L204" s="9" t="s">
        <v>52</v>
      </c>
      <c r="M204" s="9" t="s">
        <v>18</v>
      </c>
      <c r="N204" s="18">
        <f t="shared" si="6"/>
        <v>0.2144272149737004</v>
      </c>
      <c r="O204" s="18">
        <f t="shared" si="7"/>
        <v>0.20871010638297871</v>
      </c>
    </row>
    <row r="205" spans="1:15" x14ac:dyDescent="0.3">
      <c r="A205" s="5" t="s">
        <v>175</v>
      </c>
      <c r="B205" s="6" t="s">
        <v>14</v>
      </c>
      <c r="C205" s="7">
        <v>45745</v>
      </c>
      <c r="D205" s="6" t="s">
        <v>40</v>
      </c>
      <c r="E205" s="6" t="s">
        <v>41</v>
      </c>
      <c r="F205" s="8">
        <v>305</v>
      </c>
      <c r="G205" s="8">
        <v>187</v>
      </c>
      <c r="H205" s="8">
        <v>243</v>
      </c>
      <c r="I205" s="8">
        <v>4575</v>
      </c>
      <c r="J205" s="8">
        <v>3704</v>
      </c>
      <c r="K205" s="8">
        <v>234</v>
      </c>
      <c r="L205" s="9" t="s">
        <v>22</v>
      </c>
      <c r="M205" s="9" t="s">
        <v>44</v>
      </c>
      <c r="N205" s="18">
        <f t="shared" si="6"/>
        <v>0.19843412526997839</v>
      </c>
      <c r="O205" s="18">
        <f t="shared" si="7"/>
        <v>0.16065573770491803</v>
      </c>
    </row>
    <row r="206" spans="1:15" x14ac:dyDescent="0.3">
      <c r="A206" s="5" t="s">
        <v>175</v>
      </c>
      <c r="B206" s="6" t="s">
        <v>14</v>
      </c>
      <c r="C206" s="7">
        <v>45745</v>
      </c>
      <c r="D206" s="6" t="s">
        <v>40</v>
      </c>
      <c r="E206" s="6" t="s">
        <v>41</v>
      </c>
      <c r="F206" s="8">
        <v>305</v>
      </c>
      <c r="G206" s="8">
        <v>187</v>
      </c>
      <c r="H206" s="8">
        <v>243</v>
      </c>
      <c r="I206" s="8">
        <v>4575</v>
      </c>
      <c r="J206" s="8">
        <v>3704</v>
      </c>
      <c r="K206" s="8">
        <v>234</v>
      </c>
      <c r="L206" s="9" t="s">
        <v>37</v>
      </c>
      <c r="M206" s="9" t="s">
        <v>44</v>
      </c>
      <c r="N206" s="18">
        <f t="shared" si="6"/>
        <v>0.19843412526997839</v>
      </c>
      <c r="O206" s="18">
        <f t="shared" si="7"/>
        <v>0.16065573770491803</v>
      </c>
    </row>
    <row r="207" spans="1:15" x14ac:dyDescent="0.3">
      <c r="A207" s="5" t="s">
        <v>176</v>
      </c>
      <c r="B207" s="6" t="s">
        <v>25</v>
      </c>
      <c r="C207" s="7">
        <v>45594</v>
      </c>
      <c r="D207" s="6" t="s">
        <v>20</v>
      </c>
      <c r="E207" s="6" t="s">
        <v>21</v>
      </c>
      <c r="F207" s="8">
        <v>2746</v>
      </c>
      <c r="G207" s="8">
        <v>156</v>
      </c>
      <c r="H207" s="8">
        <v>203</v>
      </c>
      <c r="I207" s="8">
        <v>32952</v>
      </c>
      <c r="J207" s="8">
        <v>32147</v>
      </c>
      <c r="K207" s="8">
        <v>147</v>
      </c>
      <c r="L207" s="9" t="s">
        <v>22</v>
      </c>
      <c r="M207" s="9" t="s">
        <v>23</v>
      </c>
      <c r="N207" s="18">
        <f t="shared" si="6"/>
        <v>9.6587550937879116E-2</v>
      </c>
      <c r="O207" s="18">
        <f t="shared" si="7"/>
        <v>9.422796795338674E-2</v>
      </c>
    </row>
    <row r="208" spans="1:15" x14ac:dyDescent="0.3">
      <c r="A208" s="5" t="s">
        <v>176</v>
      </c>
      <c r="B208" s="6" t="s">
        <v>25</v>
      </c>
      <c r="C208" s="7">
        <v>45594</v>
      </c>
      <c r="D208" s="6" t="s">
        <v>20</v>
      </c>
      <c r="E208" s="6" t="s">
        <v>21</v>
      </c>
      <c r="F208" s="8">
        <v>2746</v>
      </c>
      <c r="G208" s="8">
        <v>156</v>
      </c>
      <c r="H208" s="8">
        <v>203</v>
      </c>
      <c r="I208" s="8">
        <v>32952</v>
      </c>
      <c r="J208" s="8">
        <v>32147</v>
      </c>
      <c r="K208" s="8">
        <v>147</v>
      </c>
      <c r="L208" s="9" t="s">
        <v>31</v>
      </c>
      <c r="M208" s="9" t="s">
        <v>23</v>
      </c>
      <c r="N208" s="18">
        <f t="shared" si="6"/>
        <v>9.6587550937879116E-2</v>
      </c>
      <c r="O208" s="18">
        <f t="shared" si="7"/>
        <v>9.422796795338674E-2</v>
      </c>
    </row>
    <row r="209" spans="1:15" x14ac:dyDescent="0.3">
      <c r="A209" s="5" t="s">
        <v>177</v>
      </c>
      <c r="B209" s="6" t="s">
        <v>34</v>
      </c>
      <c r="C209" s="7">
        <v>45488</v>
      </c>
      <c r="D209" s="6" t="s">
        <v>40</v>
      </c>
      <c r="E209" s="6" t="s">
        <v>41</v>
      </c>
      <c r="F209" s="8">
        <v>2291</v>
      </c>
      <c r="G209" s="8">
        <v>78</v>
      </c>
      <c r="H209" s="8">
        <v>485</v>
      </c>
      <c r="I209" s="8">
        <v>18328</v>
      </c>
      <c r="J209" s="8">
        <v>18101</v>
      </c>
      <c r="K209" s="8">
        <v>10</v>
      </c>
      <c r="L209" s="9" t="s">
        <v>52</v>
      </c>
      <c r="M209" s="9" t="s">
        <v>18</v>
      </c>
      <c r="N209" s="18">
        <f t="shared" si="6"/>
        <v>0.15767084691453512</v>
      </c>
      <c r="O209" s="18">
        <f t="shared" si="7"/>
        <v>0.15571802706241816</v>
      </c>
    </row>
    <row r="210" spans="1:15" x14ac:dyDescent="0.3">
      <c r="A210" s="5" t="s">
        <v>178</v>
      </c>
      <c r="B210" s="6" t="s">
        <v>14</v>
      </c>
      <c r="C210" s="7">
        <v>45535</v>
      </c>
      <c r="D210" s="6" t="s">
        <v>40</v>
      </c>
      <c r="E210" s="6" t="s">
        <v>41</v>
      </c>
      <c r="F210" s="8">
        <v>3170</v>
      </c>
      <c r="G210" s="8">
        <v>857</v>
      </c>
      <c r="H210" s="8">
        <v>379</v>
      </c>
      <c r="I210" s="8">
        <v>19020</v>
      </c>
      <c r="J210" s="8">
        <v>18559</v>
      </c>
      <c r="K210" s="8">
        <v>240</v>
      </c>
      <c r="L210" s="9" t="s">
        <v>17</v>
      </c>
      <c r="M210" s="9" t="s">
        <v>32</v>
      </c>
      <c r="N210" s="18">
        <f t="shared" si="6"/>
        <v>0.23740503259873916</v>
      </c>
      <c r="O210" s="18">
        <f t="shared" si="7"/>
        <v>0.2316508937960042</v>
      </c>
    </row>
    <row r="211" spans="1:15" x14ac:dyDescent="0.3">
      <c r="A211" s="5" t="s">
        <v>179</v>
      </c>
      <c r="B211" s="6" t="s">
        <v>25</v>
      </c>
      <c r="C211" s="7">
        <v>45741</v>
      </c>
      <c r="D211" s="6" t="s">
        <v>28</v>
      </c>
      <c r="E211" s="6" t="s">
        <v>29</v>
      </c>
      <c r="F211" s="8">
        <v>2070</v>
      </c>
      <c r="G211" s="8">
        <v>275</v>
      </c>
      <c r="H211" s="8">
        <v>386</v>
      </c>
      <c r="I211" s="8">
        <v>39330</v>
      </c>
      <c r="J211" s="8">
        <v>38627</v>
      </c>
      <c r="K211" s="8">
        <v>114</v>
      </c>
      <c r="L211" s="9" t="s">
        <v>17</v>
      </c>
      <c r="M211" s="9" t="s">
        <v>44</v>
      </c>
      <c r="N211" s="18">
        <f t="shared" si="6"/>
        <v>7.070184068138867E-2</v>
      </c>
      <c r="O211" s="18">
        <f t="shared" si="7"/>
        <v>6.9438087973557078E-2</v>
      </c>
    </row>
    <row r="212" spans="1:15" x14ac:dyDescent="0.3">
      <c r="A212" s="5" t="s">
        <v>180</v>
      </c>
      <c r="B212" s="6" t="s">
        <v>25</v>
      </c>
      <c r="C212" s="7">
        <v>45567</v>
      </c>
      <c r="D212" s="6" t="s">
        <v>35</v>
      </c>
      <c r="E212" s="6" t="s">
        <v>36</v>
      </c>
      <c r="F212" s="8">
        <v>80</v>
      </c>
      <c r="G212" s="8">
        <v>362</v>
      </c>
      <c r="H212" s="8">
        <v>80</v>
      </c>
      <c r="I212" s="8">
        <v>1040</v>
      </c>
      <c r="J212" s="8">
        <v>349</v>
      </c>
      <c r="K212" s="8">
        <v>117</v>
      </c>
      <c r="L212" s="9" t="s">
        <v>22</v>
      </c>
      <c r="M212" s="9" t="s">
        <v>23</v>
      </c>
      <c r="N212" s="18">
        <f t="shared" si="6"/>
        <v>1.4957020057306589</v>
      </c>
      <c r="O212" s="18">
        <f t="shared" si="7"/>
        <v>0.50192307692307692</v>
      </c>
    </row>
    <row r="213" spans="1:15" x14ac:dyDescent="0.3">
      <c r="A213" s="5" t="s">
        <v>180</v>
      </c>
      <c r="B213" s="6" t="s">
        <v>25</v>
      </c>
      <c r="C213" s="7">
        <v>45567</v>
      </c>
      <c r="D213" s="6" t="s">
        <v>35</v>
      </c>
      <c r="E213" s="6" t="s">
        <v>36</v>
      </c>
      <c r="F213" s="8">
        <v>80</v>
      </c>
      <c r="G213" s="8">
        <v>362</v>
      </c>
      <c r="H213" s="8">
        <v>80</v>
      </c>
      <c r="I213" s="8">
        <v>1040</v>
      </c>
      <c r="J213" s="8">
        <v>349</v>
      </c>
      <c r="K213" s="8">
        <v>117</v>
      </c>
      <c r="L213" s="9" t="s">
        <v>31</v>
      </c>
      <c r="M213" s="9" t="s">
        <v>23</v>
      </c>
      <c r="N213" s="18">
        <f t="shared" si="6"/>
        <v>1.4957020057306589</v>
      </c>
      <c r="O213" s="18">
        <f t="shared" si="7"/>
        <v>0.50192307692307692</v>
      </c>
    </row>
    <row r="214" spans="1:15" x14ac:dyDescent="0.3">
      <c r="A214" s="5" t="s">
        <v>181</v>
      </c>
      <c r="B214" s="6" t="s">
        <v>25</v>
      </c>
      <c r="C214" s="7">
        <v>45593</v>
      </c>
      <c r="D214" s="6" t="s">
        <v>28</v>
      </c>
      <c r="E214" s="6" t="s">
        <v>29</v>
      </c>
      <c r="F214" s="8">
        <v>4929</v>
      </c>
      <c r="G214" s="8">
        <v>749</v>
      </c>
      <c r="H214" s="8">
        <v>452</v>
      </c>
      <c r="I214" s="8">
        <v>93651</v>
      </c>
      <c r="J214" s="8">
        <v>92810</v>
      </c>
      <c r="K214" s="8">
        <v>66</v>
      </c>
      <c r="L214" s="9" t="s">
        <v>37</v>
      </c>
      <c r="M214" s="9" t="s">
        <v>18</v>
      </c>
      <c r="N214" s="18">
        <f t="shared" si="6"/>
        <v>6.604891714254929E-2</v>
      </c>
      <c r="O214" s="18">
        <f t="shared" si="7"/>
        <v>6.5455787978772245E-2</v>
      </c>
    </row>
    <row r="215" spans="1:15" x14ac:dyDescent="0.3">
      <c r="A215" s="5" t="s">
        <v>181</v>
      </c>
      <c r="B215" s="6" t="s">
        <v>25</v>
      </c>
      <c r="C215" s="7">
        <v>45593</v>
      </c>
      <c r="D215" s="6" t="s">
        <v>28</v>
      </c>
      <c r="E215" s="6" t="s">
        <v>29</v>
      </c>
      <c r="F215" s="8">
        <v>4929</v>
      </c>
      <c r="G215" s="8">
        <v>749</v>
      </c>
      <c r="H215" s="8">
        <v>452</v>
      </c>
      <c r="I215" s="8">
        <v>93651</v>
      </c>
      <c r="J215" s="8">
        <v>92810</v>
      </c>
      <c r="K215" s="8">
        <v>66</v>
      </c>
      <c r="L215" s="9" t="s">
        <v>31</v>
      </c>
      <c r="M215" s="9" t="s">
        <v>18</v>
      </c>
      <c r="N215" s="18">
        <f t="shared" si="6"/>
        <v>6.604891714254929E-2</v>
      </c>
      <c r="O215" s="18">
        <f t="shared" si="7"/>
        <v>6.5455787978772245E-2</v>
      </c>
    </row>
    <row r="216" spans="1:15" x14ac:dyDescent="0.3">
      <c r="A216" s="5" t="s">
        <v>182</v>
      </c>
      <c r="B216" s="6" t="s">
        <v>27</v>
      </c>
      <c r="C216" s="7">
        <v>45516</v>
      </c>
      <c r="D216" s="6" t="s">
        <v>35</v>
      </c>
      <c r="E216" s="6" t="s">
        <v>36</v>
      </c>
      <c r="F216" s="8">
        <v>1878</v>
      </c>
      <c r="G216" s="8">
        <v>62</v>
      </c>
      <c r="H216" s="8">
        <v>179</v>
      </c>
      <c r="I216" s="8">
        <v>37560</v>
      </c>
      <c r="J216" s="8">
        <v>36874</v>
      </c>
      <c r="K216" s="8">
        <v>142</v>
      </c>
      <c r="L216" s="9" t="s">
        <v>52</v>
      </c>
      <c r="M216" s="9" t="s">
        <v>18</v>
      </c>
      <c r="N216" s="18">
        <f t="shared" si="6"/>
        <v>5.7465965178716709E-2</v>
      </c>
      <c r="O216" s="18">
        <f t="shared" si="7"/>
        <v>5.6416400425985093E-2</v>
      </c>
    </row>
    <row r="217" spans="1:15" x14ac:dyDescent="0.3">
      <c r="A217" s="5" t="s">
        <v>182</v>
      </c>
      <c r="B217" s="6" t="s">
        <v>27</v>
      </c>
      <c r="C217" s="7">
        <v>45516</v>
      </c>
      <c r="D217" s="6" t="s">
        <v>35</v>
      </c>
      <c r="E217" s="6" t="s">
        <v>36</v>
      </c>
      <c r="F217" s="8">
        <v>1878</v>
      </c>
      <c r="G217" s="8">
        <v>62</v>
      </c>
      <c r="H217" s="8">
        <v>179</v>
      </c>
      <c r="I217" s="8">
        <v>37560</v>
      </c>
      <c r="J217" s="8">
        <v>36874</v>
      </c>
      <c r="K217" s="8">
        <v>142</v>
      </c>
      <c r="L217" s="9" t="s">
        <v>37</v>
      </c>
      <c r="M217" s="9" t="s">
        <v>18</v>
      </c>
      <c r="N217" s="18">
        <f t="shared" si="6"/>
        <v>5.7465965178716709E-2</v>
      </c>
      <c r="O217" s="18">
        <f t="shared" si="7"/>
        <v>5.6416400425985093E-2</v>
      </c>
    </row>
    <row r="218" spans="1:15" x14ac:dyDescent="0.3">
      <c r="A218" s="5" t="s">
        <v>183</v>
      </c>
      <c r="B218" s="6" t="s">
        <v>25</v>
      </c>
      <c r="C218" s="7">
        <v>45448</v>
      </c>
      <c r="D218" s="6" t="s">
        <v>15</v>
      </c>
      <c r="E218" s="6" t="s">
        <v>16</v>
      </c>
      <c r="F218" s="8">
        <v>3065</v>
      </c>
      <c r="G218" s="8">
        <v>772</v>
      </c>
      <c r="H218" s="8">
        <v>142</v>
      </c>
      <c r="I218" s="8">
        <v>18390</v>
      </c>
      <c r="J218" s="8">
        <v>17875</v>
      </c>
      <c r="K218" s="8">
        <v>200</v>
      </c>
      <c r="L218" s="9" t="s">
        <v>31</v>
      </c>
      <c r="M218" s="9" t="s">
        <v>18</v>
      </c>
      <c r="N218" s="18">
        <f t="shared" si="6"/>
        <v>0.2226013986013986</v>
      </c>
      <c r="O218" s="18">
        <f t="shared" si="7"/>
        <v>0.21636759108210984</v>
      </c>
    </row>
    <row r="219" spans="1:15" x14ac:dyDescent="0.3">
      <c r="A219" s="5" t="s">
        <v>184</v>
      </c>
      <c r="B219" s="6" t="s">
        <v>27</v>
      </c>
      <c r="C219" s="7">
        <v>45586</v>
      </c>
      <c r="D219" s="6" t="s">
        <v>15</v>
      </c>
      <c r="E219" s="6" t="s">
        <v>16</v>
      </c>
      <c r="F219" s="8">
        <v>3256</v>
      </c>
      <c r="G219" s="8">
        <v>459</v>
      </c>
      <c r="H219" s="8">
        <v>266</v>
      </c>
      <c r="I219" s="8">
        <v>26048</v>
      </c>
      <c r="J219" s="8">
        <v>25529</v>
      </c>
      <c r="K219" s="8">
        <v>143</v>
      </c>
      <c r="L219" s="9" t="s">
        <v>17</v>
      </c>
      <c r="M219" s="9" t="s">
        <v>32</v>
      </c>
      <c r="N219" s="18">
        <f t="shared" si="6"/>
        <v>0.15594030318461358</v>
      </c>
      <c r="O219" s="18">
        <f t="shared" si="7"/>
        <v>0.15283323095823095</v>
      </c>
    </row>
    <row r="220" spans="1:15" x14ac:dyDescent="0.3">
      <c r="A220" s="5" t="s">
        <v>184</v>
      </c>
      <c r="B220" s="6" t="s">
        <v>27</v>
      </c>
      <c r="C220" s="7">
        <v>45586</v>
      </c>
      <c r="D220" s="6" t="s">
        <v>15</v>
      </c>
      <c r="E220" s="6" t="s">
        <v>16</v>
      </c>
      <c r="F220" s="8">
        <v>3256</v>
      </c>
      <c r="G220" s="8">
        <v>459</v>
      </c>
      <c r="H220" s="8">
        <v>266</v>
      </c>
      <c r="I220" s="8">
        <v>26048</v>
      </c>
      <c r="J220" s="8">
        <v>25529</v>
      </c>
      <c r="K220" s="8">
        <v>143</v>
      </c>
      <c r="L220" s="9" t="s">
        <v>31</v>
      </c>
      <c r="M220" s="9" t="s">
        <v>32</v>
      </c>
      <c r="N220" s="18">
        <f t="shared" si="6"/>
        <v>0.15594030318461358</v>
      </c>
      <c r="O220" s="18">
        <f t="shared" si="7"/>
        <v>0.15283323095823095</v>
      </c>
    </row>
    <row r="221" spans="1:15" x14ac:dyDescent="0.3">
      <c r="A221" s="5" t="s">
        <v>185</v>
      </c>
      <c r="B221" s="6" t="s">
        <v>27</v>
      </c>
      <c r="C221" s="7">
        <v>45762</v>
      </c>
      <c r="D221" s="6" t="s">
        <v>50</v>
      </c>
      <c r="E221" s="6" t="s">
        <v>51</v>
      </c>
      <c r="F221" s="8">
        <v>4133</v>
      </c>
      <c r="G221" s="8">
        <v>466</v>
      </c>
      <c r="H221" s="8">
        <v>327</v>
      </c>
      <c r="I221" s="8">
        <v>24798</v>
      </c>
      <c r="J221" s="8">
        <v>24620</v>
      </c>
      <c r="K221" s="8">
        <v>176</v>
      </c>
      <c r="L221" s="9" t="s">
        <v>31</v>
      </c>
      <c r="M221" s="9" t="s">
        <v>23</v>
      </c>
      <c r="N221" s="18">
        <f t="shared" si="6"/>
        <v>0.20008123476848091</v>
      </c>
      <c r="O221" s="18">
        <f t="shared" si="7"/>
        <v>0.19864505202032423</v>
      </c>
    </row>
    <row r="222" spans="1:15" x14ac:dyDescent="0.3">
      <c r="A222" s="5" t="s">
        <v>186</v>
      </c>
      <c r="B222" s="6" t="s">
        <v>14</v>
      </c>
      <c r="C222" s="7">
        <v>45459</v>
      </c>
      <c r="D222" s="6" t="s">
        <v>50</v>
      </c>
      <c r="E222" s="6" t="s">
        <v>51</v>
      </c>
      <c r="F222" s="8">
        <v>1702</v>
      </c>
      <c r="G222" s="8">
        <v>750</v>
      </c>
      <c r="H222" s="8">
        <v>179</v>
      </c>
      <c r="I222" s="8">
        <v>34040</v>
      </c>
      <c r="J222" s="8">
        <v>33174</v>
      </c>
      <c r="K222" s="8">
        <v>76</v>
      </c>
      <c r="L222" s="9" t="s">
        <v>37</v>
      </c>
      <c r="M222" s="9" t="s">
        <v>32</v>
      </c>
      <c r="N222" s="18">
        <f t="shared" si="6"/>
        <v>7.9309097485982999E-2</v>
      </c>
      <c r="O222" s="18">
        <f t="shared" si="7"/>
        <v>7.7291421856639245E-2</v>
      </c>
    </row>
    <row r="223" spans="1:15" x14ac:dyDescent="0.3">
      <c r="A223" s="5" t="s">
        <v>187</v>
      </c>
      <c r="B223" s="6" t="s">
        <v>25</v>
      </c>
      <c r="C223" s="7">
        <v>45526</v>
      </c>
      <c r="D223" s="6" t="s">
        <v>35</v>
      </c>
      <c r="E223" s="6" t="s">
        <v>36</v>
      </c>
      <c r="F223" s="8">
        <v>4295</v>
      </c>
      <c r="G223" s="8">
        <v>853</v>
      </c>
      <c r="H223" s="8">
        <v>325</v>
      </c>
      <c r="I223" s="8">
        <v>85900</v>
      </c>
      <c r="J223" s="8">
        <v>85788</v>
      </c>
      <c r="K223" s="8">
        <v>290</v>
      </c>
      <c r="L223" s="9" t="s">
        <v>37</v>
      </c>
      <c r="M223" s="9" t="s">
        <v>23</v>
      </c>
      <c r="N223" s="18">
        <f t="shared" si="6"/>
        <v>6.379680141744766E-2</v>
      </c>
      <c r="O223" s="18">
        <f t="shared" si="7"/>
        <v>6.3713620488940623E-2</v>
      </c>
    </row>
    <row r="224" spans="1:15" x14ac:dyDescent="0.3">
      <c r="A224" s="5" t="s">
        <v>187</v>
      </c>
      <c r="B224" s="6" t="s">
        <v>25</v>
      </c>
      <c r="C224" s="7">
        <v>45526</v>
      </c>
      <c r="D224" s="6" t="s">
        <v>35</v>
      </c>
      <c r="E224" s="6" t="s">
        <v>36</v>
      </c>
      <c r="F224" s="8">
        <v>4295</v>
      </c>
      <c r="G224" s="8">
        <v>853</v>
      </c>
      <c r="H224" s="8">
        <v>325</v>
      </c>
      <c r="I224" s="8">
        <v>85900</v>
      </c>
      <c r="J224" s="8">
        <v>85788</v>
      </c>
      <c r="K224" s="8">
        <v>290</v>
      </c>
      <c r="L224" s="9" t="s">
        <v>17</v>
      </c>
      <c r="M224" s="9" t="s">
        <v>23</v>
      </c>
      <c r="N224" s="18">
        <f t="shared" si="6"/>
        <v>6.379680141744766E-2</v>
      </c>
      <c r="O224" s="18">
        <f t="shared" si="7"/>
        <v>6.3713620488940623E-2</v>
      </c>
    </row>
    <row r="225" spans="1:15" x14ac:dyDescent="0.3">
      <c r="A225" s="5" t="s">
        <v>188</v>
      </c>
      <c r="B225" s="6" t="s">
        <v>27</v>
      </c>
      <c r="C225" s="7">
        <v>45499</v>
      </c>
      <c r="D225" s="6" t="s">
        <v>40</v>
      </c>
      <c r="E225" s="6" t="s">
        <v>41</v>
      </c>
      <c r="F225" s="8">
        <v>3559</v>
      </c>
      <c r="G225" s="8">
        <v>59</v>
      </c>
      <c r="H225" s="8">
        <v>289</v>
      </c>
      <c r="I225" s="8">
        <v>35590</v>
      </c>
      <c r="J225" s="8">
        <v>35105</v>
      </c>
      <c r="K225" s="8">
        <v>122</v>
      </c>
      <c r="L225" s="9" t="s">
        <v>37</v>
      </c>
      <c r="M225" s="9" t="s">
        <v>32</v>
      </c>
      <c r="N225" s="18">
        <f t="shared" si="6"/>
        <v>0.11129468736647201</v>
      </c>
      <c r="O225" s="18">
        <f t="shared" si="7"/>
        <v>0.10977802753582468</v>
      </c>
    </row>
    <row r="226" spans="1:15" x14ac:dyDescent="0.3">
      <c r="A226" s="5" t="s">
        <v>188</v>
      </c>
      <c r="B226" s="6" t="s">
        <v>27</v>
      </c>
      <c r="C226" s="7">
        <v>45499</v>
      </c>
      <c r="D226" s="6" t="s">
        <v>40</v>
      </c>
      <c r="E226" s="6" t="s">
        <v>41</v>
      </c>
      <c r="F226" s="8">
        <v>3559</v>
      </c>
      <c r="G226" s="8">
        <v>59</v>
      </c>
      <c r="H226" s="8">
        <v>289</v>
      </c>
      <c r="I226" s="8">
        <v>35590</v>
      </c>
      <c r="J226" s="8">
        <v>35105</v>
      </c>
      <c r="K226" s="8">
        <v>122</v>
      </c>
      <c r="L226" s="9" t="s">
        <v>31</v>
      </c>
      <c r="M226" s="9" t="s">
        <v>32</v>
      </c>
      <c r="N226" s="18">
        <f t="shared" si="6"/>
        <v>0.11129468736647201</v>
      </c>
      <c r="O226" s="18">
        <f t="shared" si="7"/>
        <v>0.10977802753582468</v>
      </c>
    </row>
    <row r="227" spans="1:15" x14ac:dyDescent="0.3">
      <c r="A227" s="5" t="s">
        <v>189</v>
      </c>
      <c r="B227" s="6" t="s">
        <v>34</v>
      </c>
      <c r="C227" s="7">
        <v>45769</v>
      </c>
      <c r="D227" s="6" t="s">
        <v>40</v>
      </c>
      <c r="E227" s="6" t="s">
        <v>41</v>
      </c>
      <c r="F227" s="8">
        <v>4804</v>
      </c>
      <c r="G227" s="8">
        <v>550</v>
      </c>
      <c r="H227" s="8">
        <v>270</v>
      </c>
      <c r="I227" s="8">
        <v>28824</v>
      </c>
      <c r="J227" s="8">
        <v>28370</v>
      </c>
      <c r="K227" s="8">
        <v>47</v>
      </c>
      <c r="L227" s="9" t="s">
        <v>17</v>
      </c>
      <c r="M227" s="9" t="s">
        <v>44</v>
      </c>
      <c r="N227" s="18">
        <f t="shared" si="6"/>
        <v>0.19823757490306662</v>
      </c>
      <c r="O227" s="18">
        <f t="shared" si="7"/>
        <v>0.19511518179295032</v>
      </c>
    </row>
    <row r="228" spans="1:15" x14ac:dyDescent="0.3">
      <c r="A228" s="5" t="s">
        <v>189</v>
      </c>
      <c r="B228" s="6" t="s">
        <v>34</v>
      </c>
      <c r="C228" s="7">
        <v>45769</v>
      </c>
      <c r="D228" s="6" t="s">
        <v>40</v>
      </c>
      <c r="E228" s="6" t="s">
        <v>41</v>
      </c>
      <c r="F228" s="8">
        <v>4804</v>
      </c>
      <c r="G228" s="8">
        <v>550</v>
      </c>
      <c r="H228" s="8">
        <v>270</v>
      </c>
      <c r="I228" s="8">
        <v>28824</v>
      </c>
      <c r="J228" s="8">
        <v>28370</v>
      </c>
      <c r="K228" s="8">
        <v>47</v>
      </c>
      <c r="L228" s="9" t="s">
        <v>31</v>
      </c>
      <c r="M228" s="9" t="s">
        <v>44</v>
      </c>
      <c r="N228" s="18">
        <f t="shared" si="6"/>
        <v>0.19823757490306662</v>
      </c>
      <c r="O228" s="18">
        <f t="shared" si="7"/>
        <v>0.19511518179295032</v>
      </c>
    </row>
    <row r="229" spans="1:15" x14ac:dyDescent="0.3">
      <c r="A229" s="5" t="s">
        <v>190</v>
      </c>
      <c r="B229" s="6" t="s">
        <v>14</v>
      </c>
      <c r="C229" s="7">
        <v>45658</v>
      </c>
      <c r="D229" s="6" t="s">
        <v>50</v>
      </c>
      <c r="E229" s="6" t="s">
        <v>51</v>
      </c>
      <c r="F229" s="8">
        <v>754</v>
      </c>
      <c r="G229" s="8">
        <v>197</v>
      </c>
      <c r="H229" s="8">
        <v>257</v>
      </c>
      <c r="I229" s="8">
        <v>6786</v>
      </c>
      <c r="J229" s="8">
        <v>6221</v>
      </c>
      <c r="K229" s="8">
        <v>212</v>
      </c>
      <c r="L229" s="9" t="s">
        <v>52</v>
      </c>
      <c r="M229" s="9" t="s">
        <v>32</v>
      </c>
      <c r="N229" s="18">
        <f t="shared" si="6"/>
        <v>0.19418099983925413</v>
      </c>
      <c r="O229" s="18">
        <f t="shared" si="7"/>
        <v>0.17801355732390214</v>
      </c>
    </row>
    <row r="230" spans="1:15" x14ac:dyDescent="0.3">
      <c r="A230" s="5" t="s">
        <v>190</v>
      </c>
      <c r="B230" s="6" t="s">
        <v>14</v>
      </c>
      <c r="C230" s="7">
        <v>45658</v>
      </c>
      <c r="D230" s="6" t="s">
        <v>50</v>
      </c>
      <c r="E230" s="6" t="s">
        <v>51</v>
      </c>
      <c r="F230" s="8">
        <v>754</v>
      </c>
      <c r="G230" s="8">
        <v>197</v>
      </c>
      <c r="H230" s="8">
        <v>257</v>
      </c>
      <c r="I230" s="8">
        <v>6786</v>
      </c>
      <c r="J230" s="8">
        <v>6221</v>
      </c>
      <c r="K230" s="8">
        <v>212</v>
      </c>
      <c r="L230" s="9" t="s">
        <v>37</v>
      </c>
      <c r="M230" s="9" t="s">
        <v>32</v>
      </c>
      <c r="N230" s="18">
        <f t="shared" si="6"/>
        <v>0.19418099983925413</v>
      </c>
      <c r="O230" s="18">
        <f t="shared" si="7"/>
        <v>0.17801355732390214</v>
      </c>
    </row>
    <row r="231" spans="1:15" x14ac:dyDescent="0.3">
      <c r="A231" s="5" t="s">
        <v>191</v>
      </c>
      <c r="B231" s="6" t="s">
        <v>27</v>
      </c>
      <c r="C231" s="7">
        <v>45574</v>
      </c>
      <c r="D231" s="6" t="s">
        <v>35</v>
      </c>
      <c r="E231" s="6" t="s">
        <v>36</v>
      </c>
      <c r="F231" s="8">
        <v>985</v>
      </c>
      <c r="G231" s="8">
        <v>932</v>
      </c>
      <c r="H231" s="8">
        <v>287</v>
      </c>
      <c r="I231" s="8">
        <v>6895</v>
      </c>
      <c r="J231" s="8">
        <v>6757</v>
      </c>
      <c r="K231" s="8">
        <v>64</v>
      </c>
      <c r="L231" s="9" t="s">
        <v>17</v>
      </c>
      <c r="M231" s="9" t="s">
        <v>23</v>
      </c>
      <c r="N231" s="18">
        <f t="shared" si="6"/>
        <v>0.3261802575107296</v>
      </c>
      <c r="O231" s="18">
        <f t="shared" si="7"/>
        <v>0.31965192168237855</v>
      </c>
    </row>
    <row r="232" spans="1:15" x14ac:dyDescent="0.3">
      <c r="A232" s="5" t="s">
        <v>191</v>
      </c>
      <c r="B232" s="6" t="s">
        <v>27</v>
      </c>
      <c r="C232" s="7">
        <v>45574</v>
      </c>
      <c r="D232" s="6" t="s">
        <v>35</v>
      </c>
      <c r="E232" s="6" t="s">
        <v>36</v>
      </c>
      <c r="F232" s="8">
        <v>985</v>
      </c>
      <c r="G232" s="8">
        <v>932</v>
      </c>
      <c r="H232" s="8">
        <v>287</v>
      </c>
      <c r="I232" s="8">
        <v>6895</v>
      </c>
      <c r="J232" s="8">
        <v>6757</v>
      </c>
      <c r="K232" s="8">
        <v>64</v>
      </c>
      <c r="L232" s="9" t="s">
        <v>22</v>
      </c>
      <c r="M232" s="9" t="s">
        <v>23</v>
      </c>
      <c r="N232" s="18">
        <f t="shared" si="6"/>
        <v>0.3261802575107296</v>
      </c>
      <c r="O232" s="18">
        <f t="shared" si="7"/>
        <v>0.31965192168237855</v>
      </c>
    </row>
    <row r="233" spans="1:15" x14ac:dyDescent="0.3">
      <c r="A233" s="5" t="s">
        <v>192</v>
      </c>
      <c r="B233" s="6" t="s">
        <v>25</v>
      </c>
      <c r="C233" s="7">
        <v>45647</v>
      </c>
      <c r="D233" s="6" t="s">
        <v>40</v>
      </c>
      <c r="E233" s="6" t="s">
        <v>41</v>
      </c>
      <c r="F233" s="8">
        <v>2283</v>
      </c>
      <c r="G233" s="8">
        <v>210</v>
      </c>
      <c r="H233" s="8">
        <v>130</v>
      </c>
      <c r="I233" s="8">
        <v>22830</v>
      </c>
      <c r="J233" s="8">
        <v>22617</v>
      </c>
      <c r="K233" s="8">
        <v>143</v>
      </c>
      <c r="L233" s="9" t="s">
        <v>22</v>
      </c>
      <c r="M233" s="9" t="s">
        <v>32</v>
      </c>
      <c r="N233" s="18">
        <f t="shared" si="6"/>
        <v>0.11597470928947252</v>
      </c>
      <c r="O233" s="18">
        <f t="shared" si="7"/>
        <v>0.11489268506351293</v>
      </c>
    </row>
    <row r="234" spans="1:15" x14ac:dyDescent="0.3">
      <c r="A234" s="5" t="s">
        <v>192</v>
      </c>
      <c r="B234" s="6" t="s">
        <v>25</v>
      </c>
      <c r="C234" s="7">
        <v>45647</v>
      </c>
      <c r="D234" s="6" t="s">
        <v>40</v>
      </c>
      <c r="E234" s="6" t="s">
        <v>41</v>
      </c>
      <c r="F234" s="8">
        <v>2283</v>
      </c>
      <c r="G234" s="8">
        <v>210</v>
      </c>
      <c r="H234" s="8">
        <v>130</v>
      </c>
      <c r="I234" s="8">
        <v>22830</v>
      </c>
      <c r="J234" s="8">
        <v>22617</v>
      </c>
      <c r="K234" s="8">
        <v>143</v>
      </c>
      <c r="L234" s="9" t="s">
        <v>31</v>
      </c>
      <c r="M234" s="9" t="s">
        <v>32</v>
      </c>
      <c r="N234" s="18">
        <f t="shared" si="6"/>
        <v>0.11597470928947252</v>
      </c>
      <c r="O234" s="18">
        <f t="shared" si="7"/>
        <v>0.11489268506351293</v>
      </c>
    </row>
    <row r="235" spans="1:15" x14ac:dyDescent="0.3">
      <c r="A235" s="5" t="s">
        <v>193</v>
      </c>
      <c r="B235" s="6" t="s">
        <v>34</v>
      </c>
      <c r="C235" s="7">
        <v>45587</v>
      </c>
      <c r="D235" s="6" t="s">
        <v>35</v>
      </c>
      <c r="E235" s="6" t="s">
        <v>36</v>
      </c>
      <c r="F235" s="8">
        <v>3352</v>
      </c>
      <c r="G235" s="8">
        <v>941</v>
      </c>
      <c r="H235" s="8">
        <v>482</v>
      </c>
      <c r="I235" s="8">
        <v>43576</v>
      </c>
      <c r="J235" s="8">
        <v>43338</v>
      </c>
      <c r="K235" s="8">
        <v>240</v>
      </c>
      <c r="L235" s="9" t="s">
        <v>37</v>
      </c>
      <c r="M235" s="9" t="s">
        <v>32</v>
      </c>
      <c r="N235" s="18">
        <f t="shared" si="6"/>
        <v>0.11018044210623472</v>
      </c>
      <c r="O235" s="18">
        <f t="shared" si="7"/>
        <v>0.1095786671562328</v>
      </c>
    </row>
    <row r="236" spans="1:15" x14ac:dyDescent="0.3">
      <c r="A236" s="5" t="s">
        <v>194</v>
      </c>
      <c r="B236" s="6" t="s">
        <v>25</v>
      </c>
      <c r="C236" s="7">
        <v>45496</v>
      </c>
      <c r="D236" s="6" t="s">
        <v>28</v>
      </c>
      <c r="E236" s="6" t="s">
        <v>29</v>
      </c>
      <c r="F236" s="8">
        <v>4775</v>
      </c>
      <c r="G236" s="8">
        <v>173</v>
      </c>
      <c r="H236" s="8">
        <v>206</v>
      </c>
      <c r="I236" s="8">
        <v>47750</v>
      </c>
      <c r="J236" s="8">
        <v>47544</v>
      </c>
      <c r="K236" s="8">
        <v>187</v>
      </c>
      <c r="L236" s="9" t="s">
        <v>31</v>
      </c>
      <c r="M236" s="9" t="s">
        <v>44</v>
      </c>
      <c r="N236" s="18">
        <f t="shared" si="6"/>
        <v>0.10840484603735487</v>
      </c>
      <c r="O236" s="18">
        <f t="shared" si="7"/>
        <v>0.10793717277486911</v>
      </c>
    </row>
    <row r="237" spans="1:15" x14ac:dyDescent="0.3">
      <c r="A237" s="5" t="s">
        <v>194</v>
      </c>
      <c r="B237" s="6" t="s">
        <v>25</v>
      </c>
      <c r="C237" s="7">
        <v>45496</v>
      </c>
      <c r="D237" s="6" t="s">
        <v>28</v>
      </c>
      <c r="E237" s="6" t="s">
        <v>29</v>
      </c>
      <c r="F237" s="8">
        <v>4775</v>
      </c>
      <c r="G237" s="8">
        <v>173</v>
      </c>
      <c r="H237" s="8">
        <v>206</v>
      </c>
      <c r="I237" s="8">
        <v>47750</v>
      </c>
      <c r="J237" s="8">
        <v>47544</v>
      </c>
      <c r="K237" s="8">
        <v>187</v>
      </c>
      <c r="L237" s="9" t="s">
        <v>37</v>
      </c>
      <c r="M237" s="9" t="s">
        <v>44</v>
      </c>
      <c r="N237" s="18">
        <f t="shared" si="6"/>
        <v>0.10840484603735487</v>
      </c>
      <c r="O237" s="18">
        <f t="shared" si="7"/>
        <v>0.10793717277486911</v>
      </c>
    </row>
    <row r="238" spans="1:15" x14ac:dyDescent="0.3">
      <c r="A238" s="5" t="s">
        <v>195</v>
      </c>
      <c r="B238" s="6" t="s">
        <v>27</v>
      </c>
      <c r="C238" s="7">
        <v>45515</v>
      </c>
      <c r="D238" s="6" t="s">
        <v>28</v>
      </c>
      <c r="E238" s="6" t="s">
        <v>29</v>
      </c>
      <c r="F238" s="8">
        <v>1762</v>
      </c>
      <c r="G238" s="8">
        <v>405</v>
      </c>
      <c r="H238" s="8">
        <v>423</v>
      </c>
      <c r="I238" s="8">
        <v>22906</v>
      </c>
      <c r="J238" s="8">
        <v>21925</v>
      </c>
      <c r="K238" s="8">
        <v>25</v>
      </c>
      <c r="L238" s="9" t="s">
        <v>52</v>
      </c>
      <c r="M238" s="9" t="s">
        <v>23</v>
      </c>
      <c r="N238" s="18">
        <f t="shared" si="6"/>
        <v>0.11812998859749145</v>
      </c>
      <c r="O238" s="18">
        <f t="shared" si="7"/>
        <v>0.11307081114118571</v>
      </c>
    </row>
    <row r="239" spans="1:15" x14ac:dyDescent="0.3">
      <c r="A239" s="5" t="s">
        <v>196</v>
      </c>
      <c r="B239" s="6" t="s">
        <v>34</v>
      </c>
      <c r="C239" s="7">
        <v>45621</v>
      </c>
      <c r="D239" s="6" t="s">
        <v>28</v>
      </c>
      <c r="E239" s="6" t="s">
        <v>29</v>
      </c>
      <c r="F239" s="8">
        <v>2120</v>
      </c>
      <c r="G239" s="8">
        <v>158</v>
      </c>
      <c r="H239" s="8">
        <v>488</v>
      </c>
      <c r="I239" s="8">
        <v>12720</v>
      </c>
      <c r="J239" s="8">
        <v>12085</v>
      </c>
      <c r="K239" s="8">
        <v>17</v>
      </c>
      <c r="L239" s="9" t="s">
        <v>31</v>
      </c>
      <c r="M239" s="9" t="s">
        <v>23</v>
      </c>
      <c r="N239" s="18">
        <f t="shared" si="6"/>
        <v>0.22887877534133222</v>
      </c>
      <c r="O239" s="18">
        <f t="shared" si="7"/>
        <v>0.21745283018867925</v>
      </c>
    </row>
    <row r="240" spans="1:15" x14ac:dyDescent="0.3">
      <c r="A240" s="5" t="s">
        <v>196</v>
      </c>
      <c r="B240" s="6" t="s">
        <v>34</v>
      </c>
      <c r="C240" s="7">
        <v>45621</v>
      </c>
      <c r="D240" s="6" t="s">
        <v>28</v>
      </c>
      <c r="E240" s="6" t="s">
        <v>29</v>
      </c>
      <c r="F240" s="8">
        <v>2120</v>
      </c>
      <c r="G240" s="8">
        <v>158</v>
      </c>
      <c r="H240" s="8">
        <v>488</v>
      </c>
      <c r="I240" s="8">
        <v>12720</v>
      </c>
      <c r="J240" s="8">
        <v>12085</v>
      </c>
      <c r="K240" s="8">
        <v>17</v>
      </c>
      <c r="L240" s="9" t="s">
        <v>37</v>
      </c>
      <c r="M240" s="9" t="s">
        <v>23</v>
      </c>
      <c r="N240" s="18">
        <f t="shared" si="6"/>
        <v>0.22887877534133222</v>
      </c>
      <c r="O240" s="18">
        <f t="shared" si="7"/>
        <v>0.21745283018867925</v>
      </c>
    </row>
    <row r="241" spans="1:15" x14ac:dyDescent="0.3">
      <c r="A241" s="5" t="s">
        <v>197</v>
      </c>
      <c r="B241" s="6" t="s">
        <v>14</v>
      </c>
      <c r="C241" s="7">
        <v>45528</v>
      </c>
      <c r="D241" s="6" t="s">
        <v>50</v>
      </c>
      <c r="E241" s="6" t="s">
        <v>51</v>
      </c>
      <c r="F241" s="8">
        <v>1082</v>
      </c>
      <c r="G241" s="8">
        <v>209</v>
      </c>
      <c r="H241" s="8">
        <v>484</v>
      </c>
      <c r="I241" s="8">
        <v>19476</v>
      </c>
      <c r="J241" s="8">
        <v>18654</v>
      </c>
      <c r="K241" s="8">
        <v>20</v>
      </c>
      <c r="L241" s="9" t="s">
        <v>31</v>
      </c>
      <c r="M241" s="9" t="s">
        <v>44</v>
      </c>
      <c r="N241" s="18">
        <f t="shared" si="6"/>
        <v>9.5153854401200819E-2</v>
      </c>
      <c r="O241" s="18">
        <f t="shared" si="7"/>
        <v>9.1137810638734856E-2</v>
      </c>
    </row>
    <row r="242" spans="1:15" x14ac:dyDescent="0.3">
      <c r="A242" s="5" t="s">
        <v>198</v>
      </c>
      <c r="B242" s="6" t="s">
        <v>14</v>
      </c>
      <c r="C242" s="7">
        <v>45707</v>
      </c>
      <c r="D242" s="6" t="s">
        <v>20</v>
      </c>
      <c r="E242" s="6" t="s">
        <v>21</v>
      </c>
      <c r="F242" s="8">
        <v>4671</v>
      </c>
      <c r="G242" s="8">
        <v>876</v>
      </c>
      <c r="H242" s="8">
        <v>366</v>
      </c>
      <c r="I242" s="8">
        <v>51381</v>
      </c>
      <c r="J242" s="8">
        <v>50565</v>
      </c>
      <c r="K242" s="8">
        <v>245</v>
      </c>
      <c r="L242" s="9" t="s">
        <v>17</v>
      </c>
      <c r="M242" s="9" t="s">
        <v>23</v>
      </c>
      <c r="N242" s="18">
        <f t="shared" si="6"/>
        <v>0.1169385938890537</v>
      </c>
      <c r="O242" s="18">
        <f t="shared" si="7"/>
        <v>0.11508145034156594</v>
      </c>
    </row>
    <row r="243" spans="1:15" x14ac:dyDescent="0.3">
      <c r="A243" s="5" t="s">
        <v>199</v>
      </c>
      <c r="B243" s="6" t="s">
        <v>34</v>
      </c>
      <c r="C243" s="7">
        <v>45748</v>
      </c>
      <c r="D243" s="6" t="s">
        <v>28</v>
      </c>
      <c r="E243" s="6" t="s">
        <v>29</v>
      </c>
      <c r="F243" s="8">
        <v>3430</v>
      </c>
      <c r="G243" s="8">
        <v>566</v>
      </c>
      <c r="H243" s="8">
        <v>164</v>
      </c>
      <c r="I243" s="8">
        <v>48020</v>
      </c>
      <c r="J243" s="8">
        <v>47305</v>
      </c>
      <c r="K243" s="8">
        <v>120</v>
      </c>
      <c r="L243" s="9" t="s">
        <v>37</v>
      </c>
      <c r="M243" s="9" t="s">
        <v>23</v>
      </c>
      <c r="N243" s="18">
        <f t="shared" si="6"/>
        <v>8.7939964062995452E-2</v>
      </c>
      <c r="O243" s="18">
        <f t="shared" si="7"/>
        <v>8.6630570595585168E-2</v>
      </c>
    </row>
    <row r="244" spans="1:15" x14ac:dyDescent="0.3">
      <c r="A244" s="5" t="s">
        <v>200</v>
      </c>
      <c r="B244" s="6" t="s">
        <v>27</v>
      </c>
      <c r="C244" s="7">
        <v>45755</v>
      </c>
      <c r="D244" s="6" t="s">
        <v>40</v>
      </c>
      <c r="E244" s="6" t="s">
        <v>41</v>
      </c>
      <c r="F244" s="8">
        <v>4501</v>
      </c>
      <c r="G244" s="8">
        <v>375</v>
      </c>
      <c r="H244" s="8">
        <v>323</v>
      </c>
      <c r="I244" s="8">
        <v>22505</v>
      </c>
      <c r="J244" s="8">
        <v>21836</v>
      </c>
      <c r="K244" s="8">
        <v>132</v>
      </c>
      <c r="L244" s="9" t="s">
        <v>22</v>
      </c>
      <c r="M244" s="9" t="s">
        <v>44</v>
      </c>
      <c r="N244" s="18">
        <f t="shared" si="6"/>
        <v>0.23809305733650851</v>
      </c>
      <c r="O244" s="18">
        <f t="shared" si="7"/>
        <v>0.23101532992668297</v>
      </c>
    </row>
    <row r="245" spans="1:15" x14ac:dyDescent="0.3">
      <c r="A245" s="5" t="s">
        <v>201</v>
      </c>
      <c r="B245" s="6" t="s">
        <v>25</v>
      </c>
      <c r="C245" s="7">
        <v>45715</v>
      </c>
      <c r="D245" s="6" t="s">
        <v>20</v>
      </c>
      <c r="E245" s="6" t="s">
        <v>21</v>
      </c>
      <c r="F245" s="8">
        <v>4934</v>
      </c>
      <c r="G245" s="8">
        <v>971</v>
      </c>
      <c r="H245" s="8">
        <v>156</v>
      </c>
      <c r="I245" s="8">
        <v>39472</v>
      </c>
      <c r="J245" s="8">
        <v>39025</v>
      </c>
      <c r="K245" s="8">
        <v>169</v>
      </c>
      <c r="L245" s="9" t="s">
        <v>52</v>
      </c>
      <c r="M245" s="9" t="s">
        <v>23</v>
      </c>
      <c r="N245" s="18">
        <f t="shared" si="6"/>
        <v>0.15531069827033953</v>
      </c>
      <c r="O245" s="18">
        <f t="shared" si="7"/>
        <v>0.15355188488042157</v>
      </c>
    </row>
    <row r="246" spans="1:15" x14ac:dyDescent="0.3">
      <c r="A246" s="5" t="s">
        <v>201</v>
      </c>
      <c r="B246" s="6" t="s">
        <v>25</v>
      </c>
      <c r="C246" s="7">
        <v>45715</v>
      </c>
      <c r="D246" s="6" t="s">
        <v>20</v>
      </c>
      <c r="E246" s="6" t="s">
        <v>21</v>
      </c>
      <c r="F246" s="8">
        <v>4934</v>
      </c>
      <c r="G246" s="8">
        <v>971</v>
      </c>
      <c r="H246" s="8">
        <v>156</v>
      </c>
      <c r="I246" s="8">
        <v>39472</v>
      </c>
      <c r="J246" s="8">
        <v>39025</v>
      </c>
      <c r="K246" s="8">
        <v>169</v>
      </c>
      <c r="L246" s="9" t="s">
        <v>31</v>
      </c>
      <c r="M246" s="9" t="s">
        <v>23</v>
      </c>
      <c r="N246" s="18">
        <f t="shared" si="6"/>
        <v>0.15531069827033953</v>
      </c>
      <c r="O246" s="18">
        <f t="shared" si="7"/>
        <v>0.15355188488042157</v>
      </c>
    </row>
    <row r="247" spans="1:15" x14ac:dyDescent="0.3">
      <c r="A247" s="5" t="s">
        <v>202</v>
      </c>
      <c r="B247" s="6" t="s">
        <v>14</v>
      </c>
      <c r="C247" s="7">
        <v>45637</v>
      </c>
      <c r="D247" s="6" t="s">
        <v>20</v>
      </c>
      <c r="E247" s="6" t="s">
        <v>21</v>
      </c>
      <c r="F247" s="8">
        <v>3239</v>
      </c>
      <c r="G247" s="8">
        <v>43</v>
      </c>
      <c r="H247" s="8">
        <v>211</v>
      </c>
      <c r="I247" s="8">
        <v>22673</v>
      </c>
      <c r="J247" s="8">
        <v>22171</v>
      </c>
      <c r="K247" s="8">
        <v>230</v>
      </c>
      <c r="L247" s="9" t="s">
        <v>37</v>
      </c>
      <c r="M247" s="9" t="s">
        <v>23</v>
      </c>
      <c r="N247" s="18">
        <f t="shared" si="6"/>
        <v>0.1575481484822516</v>
      </c>
      <c r="O247" s="18">
        <f t="shared" si="7"/>
        <v>0.15405989502933004</v>
      </c>
    </row>
    <row r="248" spans="1:15" x14ac:dyDescent="0.3">
      <c r="A248" s="5" t="s">
        <v>202</v>
      </c>
      <c r="B248" s="6" t="s">
        <v>14</v>
      </c>
      <c r="C248" s="7">
        <v>45637</v>
      </c>
      <c r="D248" s="6" t="s">
        <v>20</v>
      </c>
      <c r="E248" s="6" t="s">
        <v>21</v>
      </c>
      <c r="F248" s="8">
        <v>3239</v>
      </c>
      <c r="G248" s="8">
        <v>43</v>
      </c>
      <c r="H248" s="8">
        <v>211</v>
      </c>
      <c r="I248" s="8">
        <v>22673</v>
      </c>
      <c r="J248" s="8">
        <v>22171</v>
      </c>
      <c r="K248" s="8">
        <v>230</v>
      </c>
      <c r="L248" s="9" t="s">
        <v>31</v>
      </c>
      <c r="M248" s="9" t="s">
        <v>23</v>
      </c>
      <c r="N248" s="18">
        <f t="shared" si="6"/>
        <v>0.1575481484822516</v>
      </c>
      <c r="O248" s="18">
        <f t="shared" si="7"/>
        <v>0.15405989502933004</v>
      </c>
    </row>
    <row r="249" spans="1:15" x14ac:dyDescent="0.3">
      <c r="A249" s="5" t="s">
        <v>203</v>
      </c>
      <c r="B249" s="6" t="s">
        <v>14</v>
      </c>
      <c r="C249" s="7">
        <v>45704</v>
      </c>
      <c r="D249" s="6" t="s">
        <v>15</v>
      </c>
      <c r="E249" s="6" t="s">
        <v>16</v>
      </c>
      <c r="F249" s="8">
        <v>1076</v>
      </c>
      <c r="G249" s="8">
        <v>313</v>
      </c>
      <c r="H249" s="8">
        <v>306</v>
      </c>
      <c r="I249" s="8">
        <v>11836</v>
      </c>
      <c r="J249" s="8">
        <v>11596</v>
      </c>
      <c r="K249" s="8">
        <v>104</v>
      </c>
      <c r="L249" s="9" t="s">
        <v>52</v>
      </c>
      <c r="M249" s="9" t="s">
        <v>23</v>
      </c>
      <c r="N249" s="18">
        <f t="shared" si="6"/>
        <v>0.14617109348051052</v>
      </c>
      <c r="O249" s="18">
        <f t="shared" si="7"/>
        <v>0.14320716458262928</v>
      </c>
    </row>
    <row r="250" spans="1:15" x14ac:dyDescent="0.3">
      <c r="A250" s="5" t="s">
        <v>204</v>
      </c>
      <c r="B250" s="6" t="s">
        <v>27</v>
      </c>
      <c r="C250" s="7">
        <v>45624</v>
      </c>
      <c r="D250" s="6" t="s">
        <v>20</v>
      </c>
      <c r="E250" s="6" t="s">
        <v>21</v>
      </c>
      <c r="F250" s="8">
        <v>4771</v>
      </c>
      <c r="G250" s="8">
        <v>818</v>
      </c>
      <c r="H250" s="8">
        <v>56</v>
      </c>
      <c r="I250" s="8">
        <v>57252</v>
      </c>
      <c r="J250" s="8">
        <v>56378</v>
      </c>
      <c r="K250" s="8">
        <v>150</v>
      </c>
      <c r="L250" s="9" t="s">
        <v>17</v>
      </c>
      <c r="M250" s="9" t="s">
        <v>23</v>
      </c>
      <c r="N250" s="18">
        <f t="shared" si="6"/>
        <v>0.10012770939018766</v>
      </c>
      <c r="O250" s="18">
        <f t="shared" si="7"/>
        <v>9.859917557465242E-2</v>
      </c>
    </row>
    <row r="251" spans="1:15" x14ac:dyDescent="0.3">
      <c r="A251" s="5" t="s">
        <v>205</v>
      </c>
      <c r="B251" s="6" t="s">
        <v>34</v>
      </c>
      <c r="C251" s="7">
        <v>45608</v>
      </c>
      <c r="D251" s="6" t="s">
        <v>20</v>
      </c>
      <c r="E251" s="6" t="s">
        <v>21</v>
      </c>
      <c r="F251" s="8">
        <v>2418</v>
      </c>
      <c r="G251" s="8">
        <v>754</v>
      </c>
      <c r="H251" s="8">
        <v>54</v>
      </c>
      <c r="I251" s="8">
        <v>43524</v>
      </c>
      <c r="J251" s="8">
        <v>42743</v>
      </c>
      <c r="K251" s="8">
        <v>182</v>
      </c>
      <c r="L251" s="9" t="s">
        <v>22</v>
      </c>
      <c r="M251" s="9" t="s">
        <v>44</v>
      </c>
      <c r="N251" s="18">
        <f t="shared" si="6"/>
        <v>7.5474346676648804E-2</v>
      </c>
      <c r="O251" s="18">
        <f t="shared" si="7"/>
        <v>7.412002573292896E-2</v>
      </c>
    </row>
    <row r="252" spans="1:15" x14ac:dyDescent="0.3">
      <c r="A252" s="5" t="s">
        <v>205</v>
      </c>
      <c r="B252" s="6" t="s">
        <v>34</v>
      </c>
      <c r="C252" s="7">
        <v>45608</v>
      </c>
      <c r="D252" s="6" t="s">
        <v>20</v>
      </c>
      <c r="E252" s="6" t="s">
        <v>21</v>
      </c>
      <c r="F252" s="8">
        <v>2418</v>
      </c>
      <c r="G252" s="8">
        <v>754</v>
      </c>
      <c r="H252" s="8">
        <v>54</v>
      </c>
      <c r="I252" s="8">
        <v>43524</v>
      </c>
      <c r="J252" s="8">
        <v>42743</v>
      </c>
      <c r="K252" s="8">
        <v>182</v>
      </c>
      <c r="L252" s="9" t="s">
        <v>37</v>
      </c>
      <c r="M252" s="9" t="s">
        <v>44</v>
      </c>
      <c r="N252" s="18">
        <f t="shared" si="6"/>
        <v>7.5474346676648804E-2</v>
      </c>
      <c r="O252" s="18">
        <f t="shared" si="7"/>
        <v>7.412002573292896E-2</v>
      </c>
    </row>
    <row r="253" spans="1:15" x14ac:dyDescent="0.3">
      <c r="A253" s="5" t="s">
        <v>206</v>
      </c>
      <c r="B253" s="6" t="s">
        <v>25</v>
      </c>
      <c r="C253" s="7">
        <v>45629</v>
      </c>
      <c r="D253" s="6" t="s">
        <v>50</v>
      </c>
      <c r="E253" s="6" t="s">
        <v>51</v>
      </c>
      <c r="F253" s="8">
        <v>3809</v>
      </c>
      <c r="G253" s="8">
        <v>273</v>
      </c>
      <c r="H253" s="8">
        <v>200</v>
      </c>
      <c r="I253" s="8">
        <v>34281</v>
      </c>
      <c r="J253" s="8">
        <v>33534</v>
      </c>
      <c r="K253" s="8">
        <v>83</v>
      </c>
      <c r="L253" s="9" t="s">
        <v>37</v>
      </c>
      <c r="M253" s="9" t="s">
        <v>32</v>
      </c>
      <c r="N253" s="18">
        <f t="shared" si="6"/>
        <v>0.12769129838372995</v>
      </c>
      <c r="O253" s="18">
        <f t="shared" si="7"/>
        <v>0.12490884163239112</v>
      </c>
    </row>
    <row r="254" spans="1:15" x14ac:dyDescent="0.3">
      <c r="A254" s="5" t="s">
        <v>207</v>
      </c>
      <c r="B254" s="6" t="s">
        <v>14</v>
      </c>
      <c r="C254" s="7">
        <v>45775</v>
      </c>
      <c r="D254" s="6" t="s">
        <v>20</v>
      </c>
      <c r="E254" s="6" t="s">
        <v>21</v>
      </c>
      <c r="F254" s="8">
        <v>3577</v>
      </c>
      <c r="G254" s="8">
        <v>596</v>
      </c>
      <c r="H254" s="8">
        <v>493</v>
      </c>
      <c r="I254" s="8">
        <v>67963</v>
      </c>
      <c r="J254" s="8">
        <v>67839</v>
      </c>
      <c r="K254" s="8">
        <v>53</v>
      </c>
      <c r="L254" s="9" t="s">
        <v>31</v>
      </c>
      <c r="M254" s="9" t="s">
        <v>44</v>
      </c>
      <c r="N254" s="18">
        <f t="shared" si="6"/>
        <v>6.8780494995504066E-2</v>
      </c>
      <c r="O254" s="18">
        <f t="shared" si="7"/>
        <v>6.8655003457763777E-2</v>
      </c>
    </row>
    <row r="255" spans="1:15" x14ac:dyDescent="0.3">
      <c r="A255" s="5" t="s">
        <v>207</v>
      </c>
      <c r="B255" s="6" t="s">
        <v>14</v>
      </c>
      <c r="C255" s="7">
        <v>45775</v>
      </c>
      <c r="D255" s="6" t="s">
        <v>20</v>
      </c>
      <c r="E255" s="6" t="s">
        <v>21</v>
      </c>
      <c r="F255" s="8">
        <v>3577</v>
      </c>
      <c r="G255" s="8">
        <v>596</v>
      </c>
      <c r="H255" s="8">
        <v>493</v>
      </c>
      <c r="I255" s="8">
        <v>67963</v>
      </c>
      <c r="J255" s="8">
        <v>67839</v>
      </c>
      <c r="K255" s="8">
        <v>53</v>
      </c>
      <c r="L255" s="9" t="s">
        <v>37</v>
      </c>
      <c r="M255" s="9" t="s">
        <v>44</v>
      </c>
      <c r="N255" s="18">
        <f t="shared" si="6"/>
        <v>6.8780494995504066E-2</v>
      </c>
      <c r="O255" s="18">
        <f t="shared" si="7"/>
        <v>6.8655003457763777E-2</v>
      </c>
    </row>
    <row r="256" spans="1:15" x14ac:dyDescent="0.3">
      <c r="A256" s="5" t="s">
        <v>208</v>
      </c>
      <c r="B256" s="6" t="s">
        <v>25</v>
      </c>
      <c r="C256" s="7">
        <v>45657</v>
      </c>
      <c r="D256" s="6" t="s">
        <v>50</v>
      </c>
      <c r="E256" s="6" t="s">
        <v>51</v>
      </c>
      <c r="F256" s="8">
        <v>1018</v>
      </c>
      <c r="G256" s="8">
        <v>447</v>
      </c>
      <c r="H256" s="8">
        <v>332</v>
      </c>
      <c r="I256" s="8">
        <v>18324</v>
      </c>
      <c r="J256" s="8">
        <v>18164</v>
      </c>
      <c r="K256" s="8">
        <v>38</v>
      </c>
      <c r="L256" s="9" t="s">
        <v>17</v>
      </c>
      <c r="M256" s="9" t="s">
        <v>44</v>
      </c>
      <c r="N256" s="18">
        <f t="shared" si="6"/>
        <v>9.8931953314247964E-2</v>
      </c>
      <c r="O256" s="18">
        <f t="shared" si="7"/>
        <v>9.8068107400130972E-2</v>
      </c>
    </row>
    <row r="257" spans="1:15" x14ac:dyDescent="0.3">
      <c r="A257" s="5" t="s">
        <v>208</v>
      </c>
      <c r="B257" s="6" t="s">
        <v>25</v>
      </c>
      <c r="C257" s="7">
        <v>45657</v>
      </c>
      <c r="D257" s="6" t="s">
        <v>50</v>
      </c>
      <c r="E257" s="6" t="s">
        <v>51</v>
      </c>
      <c r="F257" s="8">
        <v>1018</v>
      </c>
      <c r="G257" s="8">
        <v>447</v>
      </c>
      <c r="H257" s="8">
        <v>332</v>
      </c>
      <c r="I257" s="8">
        <v>18324</v>
      </c>
      <c r="J257" s="8">
        <v>18164</v>
      </c>
      <c r="K257" s="8">
        <v>38</v>
      </c>
      <c r="L257" s="9" t="s">
        <v>22</v>
      </c>
      <c r="M257" s="9" t="s">
        <v>44</v>
      </c>
      <c r="N257" s="18">
        <f t="shared" si="6"/>
        <v>9.8931953314247964E-2</v>
      </c>
      <c r="O257" s="18">
        <f t="shared" si="7"/>
        <v>9.8068107400130972E-2</v>
      </c>
    </row>
    <row r="258" spans="1:15" x14ac:dyDescent="0.3">
      <c r="A258" s="5" t="s">
        <v>209</v>
      </c>
      <c r="B258" s="6" t="s">
        <v>34</v>
      </c>
      <c r="C258" s="7">
        <v>45518</v>
      </c>
      <c r="D258" s="6" t="s">
        <v>35</v>
      </c>
      <c r="E258" s="6" t="s">
        <v>36</v>
      </c>
      <c r="F258" s="8">
        <v>3073</v>
      </c>
      <c r="G258" s="8">
        <v>553</v>
      </c>
      <c r="H258" s="8">
        <v>174</v>
      </c>
      <c r="I258" s="8">
        <v>52241</v>
      </c>
      <c r="J258" s="8">
        <v>51605</v>
      </c>
      <c r="K258" s="8">
        <v>246</v>
      </c>
      <c r="L258" s="9" t="s">
        <v>22</v>
      </c>
      <c r="M258" s="9" t="s">
        <v>44</v>
      </c>
      <c r="N258" s="18">
        <f t="shared" si="6"/>
        <v>7.3636275554694319E-2</v>
      </c>
      <c r="O258" s="18">
        <f t="shared" si="7"/>
        <v>7.2739802071170159E-2</v>
      </c>
    </row>
    <row r="259" spans="1:15" x14ac:dyDescent="0.3">
      <c r="A259" s="5" t="s">
        <v>209</v>
      </c>
      <c r="B259" s="6" t="s">
        <v>34</v>
      </c>
      <c r="C259" s="7">
        <v>45518</v>
      </c>
      <c r="D259" s="6" t="s">
        <v>35</v>
      </c>
      <c r="E259" s="6" t="s">
        <v>36</v>
      </c>
      <c r="F259" s="8">
        <v>3073</v>
      </c>
      <c r="G259" s="8">
        <v>553</v>
      </c>
      <c r="H259" s="8">
        <v>174</v>
      </c>
      <c r="I259" s="8">
        <v>52241</v>
      </c>
      <c r="J259" s="8">
        <v>51605</v>
      </c>
      <c r="K259" s="8">
        <v>246</v>
      </c>
      <c r="L259" s="9" t="s">
        <v>31</v>
      </c>
      <c r="M259" s="9" t="s">
        <v>44</v>
      </c>
      <c r="N259" s="18">
        <f t="shared" ref="N259:N322" si="8">SUM(F259,G259,H259)/J259</f>
        <v>7.3636275554694319E-2</v>
      </c>
      <c r="O259" s="18">
        <f t="shared" ref="O259:O322" si="9">SUM(F259,G259,H259)/I259</f>
        <v>7.2739802071170159E-2</v>
      </c>
    </row>
    <row r="260" spans="1:15" x14ac:dyDescent="0.3">
      <c r="A260" s="5" t="s">
        <v>210</v>
      </c>
      <c r="B260" s="6" t="s">
        <v>14</v>
      </c>
      <c r="C260" s="7">
        <v>45631</v>
      </c>
      <c r="D260" s="6" t="s">
        <v>50</v>
      </c>
      <c r="E260" s="6" t="s">
        <v>51</v>
      </c>
      <c r="F260" s="8">
        <v>1330</v>
      </c>
      <c r="G260" s="8">
        <v>925</v>
      </c>
      <c r="H260" s="8">
        <v>35</v>
      </c>
      <c r="I260" s="8">
        <v>15960</v>
      </c>
      <c r="J260" s="8">
        <v>15379</v>
      </c>
      <c r="K260" s="8">
        <v>229</v>
      </c>
      <c r="L260" s="9" t="s">
        <v>52</v>
      </c>
      <c r="M260" s="9" t="s">
        <v>44</v>
      </c>
      <c r="N260" s="18">
        <f t="shared" si="8"/>
        <v>0.14890435008778205</v>
      </c>
      <c r="O260" s="18">
        <f t="shared" si="9"/>
        <v>0.14348370927318296</v>
      </c>
    </row>
    <row r="261" spans="1:15" x14ac:dyDescent="0.3">
      <c r="A261" s="5" t="s">
        <v>210</v>
      </c>
      <c r="B261" s="6" t="s">
        <v>14</v>
      </c>
      <c r="C261" s="7">
        <v>45631</v>
      </c>
      <c r="D261" s="6" t="s">
        <v>50</v>
      </c>
      <c r="E261" s="6" t="s">
        <v>51</v>
      </c>
      <c r="F261" s="8">
        <v>1330</v>
      </c>
      <c r="G261" s="8">
        <v>925</v>
      </c>
      <c r="H261" s="8">
        <v>35</v>
      </c>
      <c r="I261" s="8">
        <v>15960</v>
      </c>
      <c r="J261" s="8">
        <v>15379</v>
      </c>
      <c r="K261" s="8">
        <v>229</v>
      </c>
      <c r="L261" s="9" t="s">
        <v>37</v>
      </c>
      <c r="M261" s="9" t="s">
        <v>44</v>
      </c>
      <c r="N261" s="18">
        <f t="shared" si="8"/>
        <v>0.14890435008778205</v>
      </c>
      <c r="O261" s="18">
        <f t="shared" si="9"/>
        <v>0.14348370927318296</v>
      </c>
    </row>
    <row r="262" spans="1:15" x14ac:dyDescent="0.3">
      <c r="A262" s="5" t="s">
        <v>211</v>
      </c>
      <c r="B262" s="6" t="s">
        <v>34</v>
      </c>
      <c r="C262" s="7">
        <v>45465</v>
      </c>
      <c r="D262" s="6" t="s">
        <v>20</v>
      </c>
      <c r="E262" s="6" t="s">
        <v>21</v>
      </c>
      <c r="F262" s="8">
        <v>3828</v>
      </c>
      <c r="G262" s="8">
        <v>148</v>
      </c>
      <c r="H262" s="8">
        <v>253</v>
      </c>
      <c r="I262" s="8">
        <v>30624</v>
      </c>
      <c r="J262" s="8">
        <v>30229</v>
      </c>
      <c r="K262" s="8">
        <v>235</v>
      </c>
      <c r="L262" s="9" t="s">
        <v>17</v>
      </c>
      <c r="M262" s="9" t="s">
        <v>44</v>
      </c>
      <c r="N262" s="18">
        <f t="shared" si="8"/>
        <v>0.13989877270171028</v>
      </c>
      <c r="O262" s="18">
        <f t="shared" si="9"/>
        <v>0.13809430512016718</v>
      </c>
    </row>
    <row r="263" spans="1:15" x14ac:dyDescent="0.3">
      <c r="A263" s="5" t="s">
        <v>211</v>
      </c>
      <c r="B263" s="6" t="s">
        <v>34</v>
      </c>
      <c r="C263" s="7">
        <v>45465</v>
      </c>
      <c r="D263" s="6" t="s">
        <v>20</v>
      </c>
      <c r="E263" s="6" t="s">
        <v>21</v>
      </c>
      <c r="F263" s="8">
        <v>3828</v>
      </c>
      <c r="G263" s="8">
        <v>148</v>
      </c>
      <c r="H263" s="8">
        <v>253</v>
      </c>
      <c r="I263" s="8">
        <v>30624</v>
      </c>
      <c r="J263" s="8">
        <v>30229</v>
      </c>
      <c r="K263" s="8">
        <v>235</v>
      </c>
      <c r="L263" s="9" t="s">
        <v>31</v>
      </c>
      <c r="M263" s="9" t="s">
        <v>44</v>
      </c>
      <c r="N263" s="18">
        <f t="shared" si="8"/>
        <v>0.13989877270171028</v>
      </c>
      <c r="O263" s="18">
        <f t="shared" si="9"/>
        <v>0.13809430512016718</v>
      </c>
    </row>
    <row r="264" spans="1:15" x14ac:dyDescent="0.3">
      <c r="A264" s="5" t="s">
        <v>212</v>
      </c>
      <c r="B264" s="6" t="s">
        <v>27</v>
      </c>
      <c r="C264" s="7">
        <v>45674</v>
      </c>
      <c r="D264" s="6" t="s">
        <v>15</v>
      </c>
      <c r="E264" s="6" t="s">
        <v>16</v>
      </c>
      <c r="F264" s="8">
        <v>142</v>
      </c>
      <c r="G264" s="8">
        <v>784</v>
      </c>
      <c r="H264" s="8">
        <v>183</v>
      </c>
      <c r="I264" s="8">
        <v>1704</v>
      </c>
      <c r="J264" s="8">
        <v>995</v>
      </c>
      <c r="K264" s="8">
        <v>154</v>
      </c>
      <c r="L264" s="9" t="s">
        <v>17</v>
      </c>
      <c r="M264" s="9" t="s">
        <v>18</v>
      </c>
      <c r="N264" s="18">
        <f t="shared" si="8"/>
        <v>1.114572864321608</v>
      </c>
      <c r="O264" s="18">
        <f t="shared" si="9"/>
        <v>0.6508215962441315</v>
      </c>
    </row>
    <row r="265" spans="1:15" x14ac:dyDescent="0.3">
      <c r="A265" s="5" t="s">
        <v>213</v>
      </c>
      <c r="B265" s="6" t="s">
        <v>34</v>
      </c>
      <c r="C265" s="7">
        <v>45463</v>
      </c>
      <c r="D265" s="6" t="s">
        <v>50</v>
      </c>
      <c r="E265" s="6" t="s">
        <v>51</v>
      </c>
      <c r="F265" s="8">
        <v>3798</v>
      </c>
      <c r="G265" s="8">
        <v>31</v>
      </c>
      <c r="H265" s="8">
        <v>279</v>
      </c>
      <c r="I265" s="8">
        <v>75960</v>
      </c>
      <c r="J265" s="8">
        <v>75813</v>
      </c>
      <c r="K265" s="8">
        <v>266</v>
      </c>
      <c r="L265" s="9" t="s">
        <v>22</v>
      </c>
      <c r="M265" s="9" t="s">
        <v>23</v>
      </c>
      <c r="N265" s="18">
        <f t="shared" si="8"/>
        <v>5.4185957553453894E-2</v>
      </c>
      <c r="O265" s="18">
        <f t="shared" si="9"/>
        <v>5.4081095313322801E-2</v>
      </c>
    </row>
    <row r="266" spans="1:15" x14ac:dyDescent="0.3">
      <c r="A266" s="5" t="s">
        <v>214</v>
      </c>
      <c r="B266" s="6" t="s">
        <v>27</v>
      </c>
      <c r="C266" s="7">
        <v>45483</v>
      </c>
      <c r="D266" s="6" t="s">
        <v>35</v>
      </c>
      <c r="E266" s="6" t="s">
        <v>36</v>
      </c>
      <c r="F266" s="8">
        <v>3099</v>
      </c>
      <c r="G266" s="8">
        <v>694</v>
      </c>
      <c r="H266" s="8">
        <v>171</v>
      </c>
      <c r="I266" s="8">
        <v>43386</v>
      </c>
      <c r="J266" s="8">
        <v>42921</v>
      </c>
      <c r="K266" s="8">
        <v>52</v>
      </c>
      <c r="L266" s="9" t="s">
        <v>52</v>
      </c>
      <c r="M266" s="9" t="s">
        <v>44</v>
      </c>
      <c r="N266" s="18">
        <f t="shared" si="8"/>
        <v>9.2355723305607984E-2</v>
      </c>
      <c r="O266" s="18">
        <f t="shared" si="9"/>
        <v>9.1365878393951966E-2</v>
      </c>
    </row>
    <row r="267" spans="1:15" x14ac:dyDescent="0.3">
      <c r="A267" s="5" t="s">
        <v>215</v>
      </c>
      <c r="B267" s="6" t="s">
        <v>27</v>
      </c>
      <c r="C267" s="7">
        <v>45603</v>
      </c>
      <c r="D267" s="6" t="s">
        <v>50</v>
      </c>
      <c r="E267" s="6" t="s">
        <v>51</v>
      </c>
      <c r="F267" s="8">
        <v>129</v>
      </c>
      <c r="G267" s="8">
        <v>643</v>
      </c>
      <c r="H267" s="8">
        <v>136</v>
      </c>
      <c r="I267" s="8">
        <v>1290</v>
      </c>
      <c r="J267" s="8">
        <v>839</v>
      </c>
      <c r="K267" s="8">
        <v>238</v>
      </c>
      <c r="L267" s="9" t="s">
        <v>31</v>
      </c>
      <c r="M267" s="9" t="s">
        <v>44</v>
      </c>
      <c r="N267" s="18">
        <f t="shared" si="8"/>
        <v>1.0822407628128725</v>
      </c>
      <c r="O267" s="18">
        <f t="shared" si="9"/>
        <v>0.70387596899224802</v>
      </c>
    </row>
    <row r="268" spans="1:15" x14ac:dyDescent="0.3">
      <c r="A268" s="5" t="s">
        <v>215</v>
      </c>
      <c r="B268" s="6" t="s">
        <v>27</v>
      </c>
      <c r="C268" s="7">
        <v>45603</v>
      </c>
      <c r="D268" s="6" t="s">
        <v>50</v>
      </c>
      <c r="E268" s="6" t="s">
        <v>51</v>
      </c>
      <c r="F268" s="8">
        <v>129</v>
      </c>
      <c r="G268" s="8">
        <v>643</v>
      </c>
      <c r="H268" s="8">
        <v>136</v>
      </c>
      <c r="I268" s="8">
        <v>1290</v>
      </c>
      <c r="J268" s="8">
        <v>839</v>
      </c>
      <c r="K268" s="8">
        <v>238</v>
      </c>
      <c r="L268" s="9" t="s">
        <v>52</v>
      </c>
      <c r="M268" s="9" t="s">
        <v>44</v>
      </c>
      <c r="N268" s="18">
        <f t="shared" si="8"/>
        <v>1.0822407628128725</v>
      </c>
      <c r="O268" s="18">
        <f t="shared" si="9"/>
        <v>0.70387596899224802</v>
      </c>
    </row>
    <row r="269" spans="1:15" x14ac:dyDescent="0.3">
      <c r="A269" s="5" t="s">
        <v>216</v>
      </c>
      <c r="B269" s="6" t="s">
        <v>34</v>
      </c>
      <c r="C269" s="7">
        <v>45488</v>
      </c>
      <c r="D269" s="6" t="s">
        <v>35</v>
      </c>
      <c r="E269" s="6" t="s">
        <v>36</v>
      </c>
      <c r="F269" s="8">
        <v>3796</v>
      </c>
      <c r="G269" s="8">
        <v>667</v>
      </c>
      <c r="H269" s="8">
        <v>395</v>
      </c>
      <c r="I269" s="8">
        <v>64532</v>
      </c>
      <c r="J269" s="8">
        <v>63550</v>
      </c>
      <c r="K269" s="8">
        <v>292</v>
      </c>
      <c r="L269" s="9" t="s">
        <v>31</v>
      </c>
      <c r="M269" s="9" t="s">
        <v>18</v>
      </c>
      <c r="N269" s="18">
        <f t="shared" si="8"/>
        <v>7.6443745082612119E-2</v>
      </c>
      <c r="O269" s="18">
        <f t="shared" si="9"/>
        <v>7.5280481001673588E-2</v>
      </c>
    </row>
    <row r="270" spans="1:15" x14ac:dyDescent="0.3">
      <c r="A270" s="5" t="s">
        <v>217</v>
      </c>
      <c r="B270" s="6" t="s">
        <v>25</v>
      </c>
      <c r="C270" s="7">
        <v>45629</v>
      </c>
      <c r="D270" s="6" t="s">
        <v>20</v>
      </c>
      <c r="E270" s="6" t="s">
        <v>21</v>
      </c>
      <c r="F270" s="8">
        <v>3711</v>
      </c>
      <c r="G270" s="8">
        <v>352</v>
      </c>
      <c r="H270" s="8">
        <v>290</v>
      </c>
      <c r="I270" s="8">
        <v>48243</v>
      </c>
      <c r="J270" s="8">
        <v>47579</v>
      </c>
      <c r="K270" s="8">
        <v>11</v>
      </c>
      <c r="L270" s="9" t="s">
        <v>31</v>
      </c>
      <c r="M270" s="9" t="s">
        <v>44</v>
      </c>
      <c r="N270" s="18">
        <f t="shared" si="8"/>
        <v>9.1489943042098398E-2</v>
      </c>
      <c r="O270" s="18">
        <f t="shared" si="9"/>
        <v>9.023070704558174E-2</v>
      </c>
    </row>
    <row r="271" spans="1:15" x14ac:dyDescent="0.3">
      <c r="A271" s="5" t="s">
        <v>217</v>
      </c>
      <c r="B271" s="6" t="s">
        <v>25</v>
      </c>
      <c r="C271" s="7">
        <v>45629</v>
      </c>
      <c r="D271" s="6" t="s">
        <v>20</v>
      </c>
      <c r="E271" s="6" t="s">
        <v>21</v>
      </c>
      <c r="F271" s="8">
        <v>3711</v>
      </c>
      <c r="G271" s="8">
        <v>352</v>
      </c>
      <c r="H271" s="8">
        <v>290</v>
      </c>
      <c r="I271" s="8">
        <v>48243</v>
      </c>
      <c r="J271" s="8">
        <v>47579</v>
      </c>
      <c r="K271" s="8">
        <v>11</v>
      </c>
      <c r="L271" s="9" t="s">
        <v>52</v>
      </c>
      <c r="M271" s="9" t="s">
        <v>44</v>
      </c>
      <c r="N271" s="18">
        <f t="shared" si="8"/>
        <v>9.1489943042098398E-2</v>
      </c>
      <c r="O271" s="18">
        <f t="shared" si="9"/>
        <v>9.023070704558174E-2</v>
      </c>
    </row>
    <row r="272" spans="1:15" x14ac:dyDescent="0.3">
      <c r="A272" s="5" t="s">
        <v>218</v>
      </c>
      <c r="B272" s="6" t="s">
        <v>25</v>
      </c>
      <c r="C272" s="7">
        <v>45737</v>
      </c>
      <c r="D272" s="6" t="s">
        <v>40</v>
      </c>
      <c r="E272" s="6" t="s">
        <v>41</v>
      </c>
      <c r="F272" s="8">
        <v>606</v>
      </c>
      <c r="G272" s="8">
        <v>789</v>
      </c>
      <c r="H272" s="8">
        <v>470</v>
      </c>
      <c r="I272" s="8">
        <v>7878</v>
      </c>
      <c r="J272" s="8">
        <v>7389</v>
      </c>
      <c r="K272" s="8">
        <v>239</v>
      </c>
      <c r="L272" s="9" t="s">
        <v>17</v>
      </c>
      <c r="M272" s="9" t="s">
        <v>23</v>
      </c>
      <c r="N272" s="18">
        <f t="shared" si="8"/>
        <v>0.25240221951549602</v>
      </c>
      <c r="O272" s="18">
        <f t="shared" si="9"/>
        <v>0.23673521198273673</v>
      </c>
    </row>
    <row r="273" spans="1:15" x14ac:dyDescent="0.3">
      <c r="A273" s="5" t="s">
        <v>219</v>
      </c>
      <c r="B273" s="6" t="s">
        <v>34</v>
      </c>
      <c r="C273" s="7">
        <v>45504</v>
      </c>
      <c r="D273" s="6" t="s">
        <v>40</v>
      </c>
      <c r="E273" s="6" t="s">
        <v>41</v>
      </c>
      <c r="F273" s="8">
        <v>4689</v>
      </c>
      <c r="G273" s="8">
        <v>134</v>
      </c>
      <c r="H273" s="8">
        <v>403</v>
      </c>
      <c r="I273" s="8">
        <v>51579</v>
      </c>
      <c r="J273" s="8">
        <v>50924</v>
      </c>
      <c r="K273" s="8">
        <v>173</v>
      </c>
      <c r="L273" s="9" t="s">
        <v>52</v>
      </c>
      <c r="M273" s="9" t="s">
        <v>18</v>
      </c>
      <c r="N273" s="18">
        <f t="shared" si="8"/>
        <v>0.10262351739847617</v>
      </c>
      <c r="O273" s="18">
        <f t="shared" si="9"/>
        <v>0.10132030477519921</v>
      </c>
    </row>
    <row r="274" spans="1:15" x14ac:dyDescent="0.3">
      <c r="A274" s="5" t="s">
        <v>220</v>
      </c>
      <c r="B274" s="6" t="s">
        <v>27</v>
      </c>
      <c r="C274" s="7">
        <v>45643</v>
      </c>
      <c r="D274" s="6" t="s">
        <v>28</v>
      </c>
      <c r="E274" s="6" t="s">
        <v>29</v>
      </c>
      <c r="F274" s="8">
        <v>360</v>
      </c>
      <c r="G274" s="8">
        <v>590</v>
      </c>
      <c r="H274" s="8">
        <v>393</v>
      </c>
      <c r="I274" s="8">
        <v>4680</v>
      </c>
      <c r="J274" s="8">
        <v>4322</v>
      </c>
      <c r="K274" s="8">
        <v>208</v>
      </c>
      <c r="L274" s="9" t="s">
        <v>31</v>
      </c>
      <c r="M274" s="9" t="s">
        <v>23</v>
      </c>
      <c r="N274" s="18">
        <f t="shared" si="8"/>
        <v>0.3107357704766312</v>
      </c>
      <c r="O274" s="18">
        <f t="shared" si="9"/>
        <v>0.28696581196581195</v>
      </c>
    </row>
    <row r="275" spans="1:15" x14ac:dyDescent="0.3">
      <c r="A275" s="5" t="s">
        <v>220</v>
      </c>
      <c r="B275" s="6" t="s">
        <v>27</v>
      </c>
      <c r="C275" s="7">
        <v>45643</v>
      </c>
      <c r="D275" s="6" t="s">
        <v>28</v>
      </c>
      <c r="E275" s="6" t="s">
        <v>29</v>
      </c>
      <c r="F275" s="8">
        <v>360</v>
      </c>
      <c r="G275" s="8">
        <v>590</v>
      </c>
      <c r="H275" s="8">
        <v>393</v>
      </c>
      <c r="I275" s="8">
        <v>4680</v>
      </c>
      <c r="J275" s="8">
        <v>4322</v>
      </c>
      <c r="K275" s="8">
        <v>208</v>
      </c>
      <c r="L275" s="9" t="s">
        <v>52</v>
      </c>
      <c r="M275" s="9" t="s">
        <v>23</v>
      </c>
      <c r="N275" s="18">
        <f t="shared" si="8"/>
        <v>0.3107357704766312</v>
      </c>
      <c r="O275" s="18">
        <f t="shared" si="9"/>
        <v>0.28696581196581195</v>
      </c>
    </row>
    <row r="276" spans="1:15" x14ac:dyDescent="0.3">
      <c r="A276" s="5" t="s">
        <v>221</v>
      </c>
      <c r="B276" s="6" t="s">
        <v>14</v>
      </c>
      <c r="C276" s="7">
        <v>45501</v>
      </c>
      <c r="D276" s="6" t="s">
        <v>40</v>
      </c>
      <c r="E276" s="6" t="s">
        <v>41</v>
      </c>
      <c r="F276" s="8">
        <v>3215</v>
      </c>
      <c r="G276" s="8">
        <v>960</v>
      </c>
      <c r="H276" s="8">
        <v>202</v>
      </c>
      <c r="I276" s="8">
        <v>32150</v>
      </c>
      <c r="J276" s="8">
        <v>31404</v>
      </c>
      <c r="K276" s="8">
        <v>251</v>
      </c>
      <c r="L276" s="9" t="s">
        <v>31</v>
      </c>
      <c r="M276" s="9" t="s">
        <v>32</v>
      </c>
      <c r="N276" s="18">
        <f t="shared" si="8"/>
        <v>0.13937714940771875</v>
      </c>
      <c r="O276" s="18">
        <f t="shared" si="9"/>
        <v>0.13614307931570763</v>
      </c>
    </row>
    <row r="277" spans="1:15" x14ac:dyDescent="0.3">
      <c r="A277" s="5" t="s">
        <v>222</v>
      </c>
      <c r="B277" s="6" t="s">
        <v>27</v>
      </c>
      <c r="C277" s="7">
        <v>45668</v>
      </c>
      <c r="D277" s="6" t="s">
        <v>35</v>
      </c>
      <c r="E277" s="6" t="s">
        <v>36</v>
      </c>
      <c r="F277" s="8">
        <v>4523</v>
      </c>
      <c r="G277" s="8">
        <v>61</v>
      </c>
      <c r="H277" s="8">
        <v>157</v>
      </c>
      <c r="I277" s="8">
        <v>49753</v>
      </c>
      <c r="J277" s="8">
        <v>49329</v>
      </c>
      <c r="K277" s="8">
        <v>71</v>
      </c>
      <c r="L277" s="9" t="s">
        <v>17</v>
      </c>
      <c r="M277" s="9" t="s">
        <v>44</v>
      </c>
      <c r="N277" s="18">
        <f t="shared" si="8"/>
        <v>9.6109793427801085E-2</v>
      </c>
      <c r="O277" s="18">
        <f t="shared" si="9"/>
        <v>9.5290736237010829E-2</v>
      </c>
    </row>
    <row r="278" spans="1:15" x14ac:dyDescent="0.3">
      <c r="A278" s="5" t="s">
        <v>222</v>
      </c>
      <c r="B278" s="6" t="s">
        <v>27</v>
      </c>
      <c r="C278" s="7">
        <v>45668</v>
      </c>
      <c r="D278" s="6" t="s">
        <v>35</v>
      </c>
      <c r="E278" s="6" t="s">
        <v>36</v>
      </c>
      <c r="F278" s="8">
        <v>4523</v>
      </c>
      <c r="G278" s="8">
        <v>61</v>
      </c>
      <c r="H278" s="8">
        <v>157</v>
      </c>
      <c r="I278" s="8">
        <v>49753</v>
      </c>
      <c r="J278" s="8">
        <v>49329</v>
      </c>
      <c r="K278" s="8">
        <v>71</v>
      </c>
      <c r="L278" s="9" t="s">
        <v>37</v>
      </c>
      <c r="M278" s="9" t="s">
        <v>44</v>
      </c>
      <c r="N278" s="18">
        <f t="shared" si="8"/>
        <v>9.6109793427801085E-2</v>
      </c>
      <c r="O278" s="18">
        <f t="shared" si="9"/>
        <v>9.5290736237010829E-2</v>
      </c>
    </row>
    <row r="279" spans="1:15" x14ac:dyDescent="0.3">
      <c r="A279" s="5" t="s">
        <v>223</v>
      </c>
      <c r="B279" s="6" t="s">
        <v>34</v>
      </c>
      <c r="C279" s="7">
        <v>45528</v>
      </c>
      <c r="D279" s="6" t="s">
        <v>35</v>
      </c>
      <c r="E279" s="6" t="s">
        <v>36</v>
      </c>
      <c r="F279" s="8">
        <v>4292</v>
      </c>
      <c r="G279" s="8">
        <v>51</v>
      </c>
      <c r="H279" s="8">
        <v>392</v>
      </c>
      <c r="I279" s="8">
        <v>55796</v>
      </c>
      <c r="J279" s="8">
        <v>54826</v>
      </c>
      <c r="K279" s="8">
        <v>264</v>
      </c>
      <c r="L279" s="9" t="s">
        <v>37</v>
      </c>
      <c r="M279" s="9" t="s">
        <v>18</v>
      </c>
      <c r="N279" s="18">
        <f t="shared" si="8"/>
        <v>8.6364133805128959E-2</v>
      </c>
      <c r="O279" s="18">
        <f t="shared" si="9"/>
        <v>8.4862714173059003E-2</v>
      </c>
    </row>
    <row r="280" spans="1:15" x14ac:dyDescent="0.3">
      <c r="A280" s="5" t="s">
        <v>223</v>
      </c>
      <c r="B280" s="6" t="s">
        <v>34</v>
      </c>
      <c r="C280" s="7">
        <v>45528</v>
      </c>
      <c r="D280" s="6" t="s">
        <v>35</v>
      </c>
      <c r="E280" s="6" t="s">
        <v>36</v>
      </c>
      <c r="F280" s="8">
        <v>4292</v>
      </c>
      <c r="G280" s="8">
        <v>51</v>
      </c>
      <c r="H280" s="8">
        <v>392</v>
      </c>
      <c r="I280" s="8">
        <v>55796</v>
      </c>
      <c r="J280" s="8">
        <v>54826</v>
      </c>
      <c r="K280" s="8">
        <v>264</v>
      </c>
      <c r="L280" s="9" t="s">
        <v>31</v>
      </c>
      <c r="M280" s="9" t="s">
        <v>18</v>
      </c>
      <c r="N280" s="18">
        <f t="shared" si="8"/>
        <v>8.6364133805128959E-2</v>
      </c>
      <c r="O280" s="18">
        <f t="shared" si="9"/>
        <v>8.4862714173059003E-2</v>
      </c>
    </row>
    <row r="281" spans="1:15" x14ac:dyDescent="0.3">
      <c r="A281" s="5" t="s">
        <v>224</v>
      </c>
      <c r="B281" s="6" t="s">
        <v>14</v>
      </c>
      <c r="C281" s="7">
        <v>45648</v>
      </c>
      <c r="D281" s="6" t="s">
        <v>15</v>
      </c>
      <c r="E281" s="6" t="s">
        <v>16</v>
      </c>
      <c r="F281" s="8">
        <v>1644</v>
      </c>
      <c r="G281" s="8">
        <v>546</v>
      </c>
      <c r="H281" s="8">
        <v>150</v>
      </c>
      <c r="I281" s="8">
        <v>27948</v>
      </c>
      <c r="J281" s="8">
        <v>27184</v>
      </c>
      <c r="K281" s="8">
        <v>300</v>
      </c>
      <c r="L281" s="9" t="s">
        <v>17</v>
      </c>
      <c r="M281" s="9" t="s">
        <v>18</v>
      </c>
      <c r="N281" s="18">
        <f t="shared" si="8"/>
        <v>8.6080047086521477E-2</v>
      </c>
      <c r="O281" s="18">
        <f t="shared" si="9"/>
        <v>8.3726921425504502E-2</v>
      </c>
    </row>
    <row r="282" spans="1:15" x14ac:dyDescent="0.3">
      <c r="A282" s="5" t="s">
        <v>224</v>
      </c>
      <c r="B282" s="6" t="s">
        <v>14</v>
      </c>
      <c r="C282" s="7">
        <v>45648</v>
      </c>
      <c r="D282" s="6" t="s">
        <v>15</v>
      </c>
      <c r="E282" s="6" t="s">
        <v>16</v>
      </c>
      <c r="F282" s="8">
        <v>1644</v>
      </c>
      <c r="G282" s="8">
        <v>546</v>
      </c>
      <c r="H282" s="8">
        <v>150</v>
      </c>
      <c r="I282" s="8">
        <v>27948</v>
      </c>
      <c r="J282" s="8">
        <v>27184</v>
      </c>
      <c r="K282" s="8">
        <v>300</v>
      </c>
      <c r="L282" s="9" t="s">
        <v>37</v>
      </c>
      <c r="M282" s="9" t="s">
        <v>18</v>
      </c>
      <c r="N282" s="18">
        <f t="shared" si="8"/>
        <v>8.6080047086521477E-2</v>
      </c>
      <c r="O282" s="18">
        <f t="shared" si="9"/>
        <v>8.3726921425504502E-2</v>
      </c>
    </row>
    <row r="283" spans="1:15" x14ac:dyDescent="0.3">
      <c r="A283" s="5" t="s">
        <v>225</v>
      </c>
      <c r="B283" s="6" t="s">
        <v>25</v>
      </c>
      <c r="C283" s="7">
        <v>45449</v>
      </c>
      <c r="D283" s="6" t="s">
        <v>15</v>
      </c>
      <c r="E283" s="6" t="s">
        <v>16</v>
      </c>
      <c r="F283" s="8">
        <v>2728</v>
      </c>
      <c r="G283" s="8">
        <v>533</v>
      </c>
      <c r="H283" s="8">
        <v>215</v>
      </c>
      <c r="I283" s="8">
        <v>40920</v>
      </c>
      <c r="J283" s="8">
        <v>40816</v>
      </c>
      <c r="K283" s="8">
        <v>137</v>
      </c>
      <c r="L283" s="9" t="s">
        <v>17</v>
      </c>
      <c r="M283" s="9" t="s">
        <v>23</v>
      </c>
      <c r="N283" s="18">
        <f t="shared" si="8"/>
        <v>8.516268130145041E-2</v>
      </c>
      <c r="O283" s="18">
        <f t="shared" si="9"/>
        <v>8.4946236559139784E-2</v>
      </c>
    </row>
    <row r="284" spans="1:15" x14ac:dyDescent="0.3">
      <c r="A284" s="5" t="s">
        <v>226</v>
      </c>
      <c r="B284" s="6" t="s">
        <v>34</v>
      </c>
      <c r="C284" s="7">
        <v>45740</v>
      </c>
      <c r="D284" s="6" t="s">
        <v>15</v>
      </c>
      <c r="E284" s="6" t="s">
        <v>16</v>
      </c>
      <c r="F284" s="8">
        <v>3360</v>
      </c>
      <c r="G284" s="8">
        <v>525</v>
      </c>
      <c r="H284" s="8">
        <v>500</v>
      </c>
      <c r="I284" s="8">
        <v>60480</v>
      </c>
      <c r="J284" s="8">
        <v>59610</v>
      </c>
      <c r="K284" s="8">
        <v>192</v>
      </c>
      <c r="L284" s="9" t="s">
        <v>17</v>
      </c>
      <c r="M284" s="9" t="s">
        <v>18</v>
      </c>
      <c r="N284" s="18">
        <f t="shared" si="8"/>
        <v>7.3561482972655592E-2</v>
      </c>
      <c r="O284" s="18">
        <f t="shared" si="9"/>
        <v>7.2503306878306875E-2</v>
      </c>
    </row>
    <row r="285" spans="1:15" x14ac:dyDescent="0.3">
      <c r="A285" s="5" t="s">
        <v>226</v>
      </c>
      <c r="B285" s="6" t="s">
        <v>34</v>
      </c>
      <c r="C285" s="7">
        <v>45740</v>
      </c>
      <c r="D285" s="6" t="s">
        <v>15</v>
      </c>
      <c r="E285" s="6" t="s">
        <v>16</v>
      </c>
      <c r="F285" s="8">
        <v>3360</v>
      </c>
      <c r="G285" s="8">
        <v>525</v>
      </c>
      <c r="H285" s="8">
        <v>500</v>
      </c>
      <c r="I285" s="8">
        <v>60480</v>
      </c>
      <c r="J285" s="8">
        <v>59610</v>
      </c>
      <c r="K285" s="8">
        <v>192</v>
      </c>
      <c r="L285" s="9" t="s">
        <v>31</v>
      </c>
      <c r="M285" s="9" t="s">
        <v>18</v>
      </c>
      <c r="N285" s="18">
        <f t="shared" si="8"/>
        <v>7.3561482972655592E-2</v>
      </c>
      <c r="O285" s="18">
        <f t="shared" si="9"/>
        <v>7.2503306878306875E-2</v>
      </c>
    </row>
    <row r="286" spans="1:15" x14ac:dyDescent="0.3">
      <c r="A286" s="5" t="s">
        <v>227</v>
      </c>
      <c r="B286" s="6" t="s">
        <v>25</v>
      </c>
      <c r="C286" s="7">
        <v>45569</v>
      </c>
      <c r="D286" s="6" t="s">
        <v>20</v>
      </c>
      <c r="E286" s="6" t="s">
        <v>21</v>
      </c>
      <c r="F286" s="8">
        <v>1963</v>
      </c>
      <c r="G286" s="8">
        <v>213</v>
      </c>
      <c r="H286" s="8">
        <v>19</v>
      </c>
      <c r="I286" s="8">
        <v>39260</v>
      </c>
      <c r="J286" s="8">
        <v>38771</v>
      </c>
      <c r="K286" s="8">
        <v>145</v>
      </c>
      <c r="L286" s="9" t="s">
        <v>31</v>
      </c>
      <c r="M286" s="9" t="s">
        <v>18</v>
      </c>
      <c r="N286" s="18">
        <f t="shared" si="8"/>
        <v>5.6614479894766707E-2</v>
      </c>
      <c r="O286" s="18">
        <f t="shared" si="9"/>
        <v>5.5909322465613857E-2</v>
      </c>
    </row>
    <row r="287" spans="1:15" x14ac:dyDescent="0.3">
      <c r="A287" s="5" t="s">
        <v>228</v>
      </c>
      <c r="B287" s="6" t="s">
        <v>25</v>
      </c>
      <c r="C287" s="7">
        <v>45629</v>
      </c>
      <c r="D287" s="6" t="s">
        <v>28</v>
      </c>
      <c r="E287" s="6" t="s">
        <v>29</v>
      </c>
      <c r="F287" s="8">
        <v>4285</v>
      </c>
      <c r="G287" s="8">
        <v>886</v>
      </c>
      <c r="H287" s="8">
        <v>376</v>
      </c>
      <c r="I287" s="8">
        <v>55705</v>
      </c>
      <c r="J287" s="8">
        <v>55556</v>
      </c>
      <c r="K287" s="8">
        <v>51</v>
      </c>
      <c r="L287" s="9" t="s">
        <v>22</v>
      </c>
      <c r="M287" s="9" t="s">
        <v>44</v>
      </c>
      <c r="N287" s="18">
        <f t="shared" si="8"/>
        <v>9.9845201238390094E-2</v>
      </c>
      <c r="O287" s="18">
        <f t="shared" si="9"/>
        <v>9.9578134817341346E-2</v>
      </c>
    </row>
    <row r="288" spans="1:15" x14ac:dyDescent="0.3">
      <c r="A288" s="5" t="s">
        <v>228</v>
      </c>
      <c r="B288" s="6" t="s">
        <v>25</v>
      </c>
      <c r="C288" s="7">
        <v>45629</v>
      </c>
      <c r="D288" s="6" t="s">
        <v>28</v>
      </c>
      <c r="E288" s="6" t="s">
        <v>29</v>
      </c>
      <c r="F288" s="8">
        <v>4285</v>
      </c>
      <c r="G288" s="8">
        <v>886</v>
      </c>
      <c r="H288" s="8">
        <v>376</v>
      </c>
      <c r="I288" s="8">
        <v>55705</v>
      </c>
      <c r="J288" s="8">
        <v>55556</v>
      </c>
      <c r="K288" s="8">
        <v>51</v>
      </c>
      <c r="L288" s="9" t="s">
        <v>52</v>
      </c>
      <c r="M288" s="9" t="s">
        <v>44</v>
      </c>
      <c r="N288" s="18">
        <f t="shared" si="8"/>
        <v>9.9845201238390094E-2</v>
      </c>
      <c r="O288" s="18">
        <f t="shared" si="9"/>
        <v>9.9578134817341346E-2</v>
      </c>
    </row>
    <row r="289" spans="1:15" x14ac:dyDescent="0.3">
      <c r="A289" s="5" t="s">
        <v>229</v>
      </c>
      <c r="B289" s="6" t="s">
        <v>27</v>
      </c>
      <c r="C289" s="7">
        <v>45625</v>
      </c>
      <c r="D289" s="6" t="s">
        <v>50</v>
      </c>
      <c r="E289" s="6" t="s">
        <v>51</v>
      </c>
      <c r="F289" s="8">
        <v>1176</v>
      </c>
      <c r="G289" s="8">
        <v>464</v>
      </c>
      <c r="H289" s="8">
        <v>394</v>
      </c>
      <c r="I289" s="8">
        <v>14112</v>
      </c>
      <c r="J289" s="8">
        <v>13588</v>
      </c>
      <c r="K289" s="8">
        <v>272</v>
      </c>
      <c r="L289" s="9" t="s">
        <v>52</v>
      </c>
      <c r="M289" s="9" t="s">
        <v>18</v>
      </c>
      <c r="N289" s="18">
        <f t="shared" si="8"/>
        <v>0.14969090373859287</v>
      </c>
      <c r="O289" s="18">
        <f t="shared" si="9"/>
        <v>0.1441326530612245</v>
      </c>
    </row>
    <row r="290" spans="1:15" x14ac:dyDescent="0.3">
      <c r="A290" s="5" t="s">
        <v>230</v>
      </c>
      <c r="B290" s="6" t="s">
        <v>14</v>
      </c>
      <c r="C290" s="7">
        <v>45546</v>
      </c>
      <c r="D290" s="6" t="s">
        <v>40</v>
      </c>
      <c r="E290" s="6" t="s">
        <v>41</v>
      </c>
      <c r="F290" s="8">
        <v>4858</v>
      </c>
      <c r="G290" s="8">
        <v>317</v>
      </c>
      <c r="H290" s="8">
        <v>129</v>
      </c>
      <c r="I290" s="8">
        <v>53438</v>
      </c>
      <c r="J290" s="8">
        <v>52687</v>
      </c>
      <c r="K290" s="8">
        <v>223</v>
      </c>
      <c r="L290" s="9" t="s">
        <v>52</v>
      </c>
      <c r="M290" s="9" t="s">
        <v>18</v>
      </c>
      <c r="N290" s="18">
        <f t="shared" si="8"/>
        <v>0.10066999449579593</v>
      </c>
      <c r="O290" s="18">
        <f t="shared" si="9"/>
        <v>9.9255211647142488E-2</v>
      </c>
    </row>
    <row r="291" spans="1:15" x14ac:dyDescent="0.3">
      <c r="A291" s="5" t="s">
        <v>230</v>
      </c>
      <c r="B291" s="6" t="s">
        <v>14</v>
      </c>
      <c r="C291" s="7">
        <v>45546</v>
      </c>
      <c r="D291" s="6" t="s">
        <v>40</v>
      </c>
      <c r="E291" s="6" t="s">
        <v>41</v>
      </c>
      <c r="F291" s="8">
        <v>4858</v>
      </c>
      <c r="G291" s="8">
        <v>317</v>
      </c>
      <c r="H291" s="8">
        <v>129</v>
      </c>
      <c r="I291" s="8">
        <v>53438</v>
      </c>
      <c r="J291" s="8">
        <v>52687</v>
      </c>
      <c r="K291" s="8">
        <v>223</v>
      </c>
      <c r="L291" s="9" t="s">
        <v>37</v>
      </c>
      <c r="M291" s="9" t="s">
        <v>18</v>
      </c>
      <c r="N291" s="18">
        <f t="shared" si="8"/>
        <v>0.10066999449579593</v>
      </c>
      <c r="O291" s="18">
        <f t="shared" si="9"/>
        <v>9.9255211647142488E-2</v>
      </c>
    </row>
    <row r="292" spans="1:15" x14ac:dyDescent="0.3">
      <c r="A292" s="5" t="s">
        <v>231</v>
      </c>
      <c r="B292" s="6" t="s">
        <v>25</v>
      </c>
      <c r="C292" s="7">
        <v>45567</v>
      </c>
      <c r="D292" s="6" t="s">
        <v>28</v>
      </c>
      <c r="E292" s="6" t="s">
        <v>29</v>
      </c>
      <c r="F292" s="8">
        <v>4350</v>
      </c>
      <c r="G292" s="8">
        <v>771</v>
      </c>
      <c r="H292" s="8">
        <v>7</v>
      </c>
      <c r="I292" s="8">
        <v>60900</v>
      </c>
      <c r="J292" s="8">
        <v>60592</v>
      </c>
      <c r="K292" s="8">
        <v>195</v>
      </c>
      <c r="L292" s="9" t="s">
        <v>52</v>
      </c>
      <c r="M292" s="9" t="s">
        <v>23</v>
      </c>
      <c r="N292" s="18">
        <f t="shared" si="8"/>
        <v>8.4631634539213102E-2</v>
      </c>
      <c r="O292" s="18">
        <f t="shared" si="9"/>
        <v>8.4203612479474554E-2</v>
      </c>
    </row>
    <row r="293" spans="1:15" x14ac:dyDescent="0.3">
      <c r="A293" s="5" t="s">
        <v>231</v>
      </c>
      <c r="B293" s="6" t="s">
        <v>25</v>
      </c>
      <c r="C293" s="7">
        <v>45567</v>
      </c>
      <c r="D293" s="6" t="s">
        <v>28</v>
      </c>
      <c r="E293" s="6" t="s">
        <v>29</v>
      </c>
      <c r="F293" s="8">
        <v>4350</v>
      </c>
      <c r="G293" s="8">
        <v>771</v>
      </c>
      <c r="H293" s="8">
        <v>7</v>
      </c>
      <c r="I293" s="8">
        <v>60900</v>
      </c>
      <c r="J293" s="8">
        <v>60592</v>
      </c>
      <c r="K293" s="8">
        <v>195</v>
      </c>
      <c r="L293" s="9" t="s">
        <v>31</v>
      </c>
      <c r="M293" s="9" t="s">
        <v>23</v>
      </c>
      <c r="N293" s="18">
        <f t="shared" si="8"/>
        <v>8.4631634539213102E-2</v>
      </c>
      <c r="O293" s="18">
        <f t="shared" si="9"/>
        <v>8.4203612479474554E-2</v>
      </c>
    </row>
    <row r="294" spans="1:15" x14ac:dyDescent="0.3">
      <c r="A294" s="5" t="s">
        <v>232</v>
      </c>
      <c r="B294" s="6" t="s">
        <v>27</v>
      </c>
      <c r="C294" s="7">
        <v>45519</v>
      </c>
      <c r="D294" s="6" t="s">
        <v>35</v>
      </c>
      <c r="E294" s="6" t="s">
        <v>36</v>
      </c>
      <c r="F294" s="8">
        <v>914</v>
      </c>
      <c r="G294" s="8">
        <v>464</v>
      </c>
      <c r="H294" s="8">
        <v>246</v>
      </c>
      <c r="I294" s="8">
        <v>11882</v>
      </c>
      <c r="J294" s="8">
        <v>11500</v>
      </c>
      <c r="K294" s="8">
        <v>282</v>
      </c>
      <c r="L294" s="9" t="s">
        <v>22</v>
      </c>
      <c r="M294" s="9" t="s">
        <v>32</v>
      </c>
      <c r="N294" s="18">
        <f t="shared" si="8"/>
        <v>0.14121739130434782</v>
      </c>
      <c r="O294" s="18">
        <f t="shared" si="9"/>
        <v>0.13667732704931829</v>
      </c>
    </row>
    <row r="295" spans="1:15" x14ac:dyDescent="0.3">
      <c r="A295" s="5" t="s">
        <v>232</v>
      </c>
      <c r="B295" s="6" t="s">
        <v>27</v>
      </c>
      <c r="C295" s="7">
        <v>45519</v>
      </c>
      <c r="D295" s="6" t="s">
        <v>35</v>
      </c>
      <c r="E295" s="6" t="s">
        <v>36</v>
      </c>
      <c r="F295" s="8">
        <v>914</v>
      </c>
      <c r="G295" s="8">
        <v>464</v>
      </c>
      <c r="H295" s="8">
        <v>246</v>
      </c>
      <c r="I295" s="8">
        <v>11882</v>
      </c>
      <c r="J295" s="8">
        <v>11500</v>
      </c>
      <c r="K295" s="8">
        <v>282</v>
      </c>
      <c r="L295" s="9" t="s">
        <v>37</v>
      </c>
      <c r="M295" s="9" t="s">
        <v>32</v>
      </c>
      <c r="N295" s="18">
        <f t="shared" si="8"/>
        <v>0.14121739130434782</v>
      </c>
      <c r="O295" s="18">
        <f t="shared" si="9"/>
        <v>0.13667732704931829</v>
      </c>
    </row>
    <row r="296" spans="1:15" x14ac:dyDescent="0.3">
      <c r="A296" s="5" t="s">
        <v>233</v>
      </c>
      <c r="B296" s="6" t="s">
        <v>27</v>
      </c>
      <c r="C296" s="7">
        <v>45645</v>
      </c>
      <c r="D296" s="6" t="s">
        <v>20</v>
      </c>
      <c r="E296" s="6" t="s">
        <v>21</v>
      </c>
      <c r="F296" s="8">
        <v>1813</v>
      </c>
      <c r="G296" s="8">
        <v>623</v>
      </c>
      <c r="H296" s="8">
        <v>72</v>
      </c>
      <c r="I296" s="8">
        <v>19943</v>
      </c>
      <c r="J296" s="8">
        <v>18959</v>
      </c>
      <c r="K296" s="8">
        <v>85</v>
      </c>
      <c r="L296" s="9" t="s">
        <v>37</v>
      </c>
      <c r="M296" s="9" t="s">
        <v>32</v>
      </c>
      <c r="N296" s="18">
        <f t="shared" si="8"/>
        <v>0.13228545809378131</v>
      </c>
      <c r="O296" s="18">
        <f t="shared" si="9"/>
        <v>0.12575841147269717</v>
      </c>
    </row>
    <row r="297" spans="1:15" x14ac:dyDescent="0.3">
      <c r="A297" s="5" t="s">
        <v>233</v>
      </c>
      <c r="B297" s="6" t="s">
        <v>27</v>
      </c>
      <c r="C297" s="7">
        <v>45645</v>
      </c>
      <c r="D297" s="6" t="s">
        <v>20</v>
      </c>
      <c r="E297" s="6" t="s">
        <v>21</v>
      </c>
      <c r="F297" s="8">
        <v>1813</v>
      </c>
      <c r="G297" s="8">
        <v>623</v>
      </c>
      <c r="H297" s="8">
        <v>72</v>
      </c>
      <c r="I297" s="8">
        <v>19943</v>
      </c>
      <c r="J297" s="8">
        <v>18959</v>
      </c>
      <c r="K297" s="8">
        <v>85</v>
      </c>
      <c r="L297" s="9" t="s">
        <v>22</v>
      </c>
      <c r="M297" s="9" t="s">
        <v>32</v>
      </c>
      <c r="N297" s="18">
        <f t="shared" si="8"/>
        <v>0.13228545809378131</v>
      </c>
      <c r="O297" s="18">
        <f t="shared" si="9"/>
        <v>0.12575841147269717</v>
      </c>
    </row>
    <row r="298" spans="1:15" x14ac:dyDescent="0.3">
      <c r="A298" s="5" t="s">
        <v>234</v>
      </c>
      <c r="B298" s="6" t="s">
        <v>14</v>
      </c>
      <c r="C298" s="7">
        <v>45587</v>
      </c>
      <c r="D298" s="6" t="s">
        <v>15</v>
      </c>
      <c r="E298" s="6" t="s">
        <v>16</v>
      </c>
      <c r="F298" s="8">
        <v>4782</v>
      </c>
      <c r="G298" s="8">
        <v>721</v>
      </c>
      <c r="H298" s="8">
        <v>82</v>
      </c>
      <c r="I298" s="8">
        <v>86076</v>
      </c>
      <c r="J298" s="8">
        <v>85339</v>
      </c>
      <c r="K298" s="8">
        <v>19</v>
      </c>
      <c r="L298" s="9" t="s">
        <v>52</v>
      </c>
      <c r="M298" s="9" t="s">
        <v>23</v>
      </c>
      <c r="N298" s="18">
        <f t="shared" si="8"/>
        <v>6.5444872801415532E-2</v>
      </c>
      <c r="O298" s="18">
        <f t="shared" si="9"/>
        <v>6.4884520656164318E-2</v>
      </c>
    </row>
    <row r="299" spans="1:15" x14ac:dyDescent="0.3">
      <c r="A299" s="5" t="s">
        <v>235</v>
      </c>
      <c r="B299" s="6" t="s">
        <v>14</v>
      </c>
      <c r="C299" s="7">
        <v>45549</v>
      </c>
      <c r="D299" s="6" t="s">
        <v>40</v>
      </c>
      <c r="E299" s="6" t="s">
        <v>41</v>
      </c>
      <c r="F299" s="8">
        <v>1048</v>
      </c>
      <c r="G299" s="8">
        <v>374</v>
      </c>
      <c r="H299" s="8">
        <v>450</v>
      </c>
      <c r="I299" s="8">
        <v>9432</v>
      </c>
      <c r="J299" s="8">
        <v>8882</v>
      </c>
      <c r="K299" s="8">
        <v>158</v>
      </c>
      <c r="L299" s="9" t="s">
        <v>37</v>
      </c>
      <c r="M299" s="9" t="s">
        <v>23</v>
      </c>
      <c r="N299" s="18">
        <f t="shared" si="8"/>
        <v>0.21076334158973203</v>
      </c>
      <c r="O299" s="18">
        <f t="shared" si="9"/>
        <v>0.19847328244274809</v>
      </c>
    </row>
    <row r="300" spans="1:15" x14ac:dyDescent="0.3">
      <c r="A300" s="5" t="s">
        <v>235</v>
      </c>
      <c r="B300" s="6" t="s">
        <v>14</v>
      </c>
      <c r="C300" s="7">
        <v>45549</v>
      </c>
      <c r="D300" s="6" t="s">
        <v>40</v>
      </c>
      <c r="E300" s="6" t="s">
        <v>41</v>
      </c>
      <c r="F300" s="8">
        <v>1048</v>
      </c>
      <c r="G300" s="8">
        <v>374</v>
      </c>
      <c r="H300" s="8">
        <v>450</v>
      </c>
      <c r="I300" s="8">
        <v>9432</v>
      </c>
      <c r="J300" s="8">
        <v>8882</v>
      </c>
      <c r="K300" s="8">
        <v>158</v>
      </c>
      <c r="L300" s="9" t="s">
        <v>17</v>
      </c>
      <c r="M300" s="9" t="s">
        <v>23</v>
      </c>
      <c r="N300" s="18">
        <f t="shared" si="8"/>
        <v>0.21076334158973203</v>
      </c>
      <c r="O300" s="18">
        <f t="shared" si="9"/>
        <v>0.19847328244274809</v>
      </c>
    </row>
    <row r="301" spans="1:15" x14ac:dyDescent="0.3">
      <c r="A301" s="5" t="s">
        <v>236</v>
      </c>
      <c r="B301" s="6" t="s">
        <v>25</v>
      </c>
      <c r="C301" s="7">
        <v>45626</v>
      </c>
      <c r="D301" s="6" t="s">
        <v>35</v>
      </c>
      <c r="E301" s="6" t="s">
        <v>36</v>
      </c>
      <c r="F301" s="8">
        <v>2509</v>
      </c>
      <c r="G301" s="8">
        <v>324</v>
      </c>
      <c r="H301" s="8">
        <v>171</v>
      </c>
      <c r="I301" s="8">
        <v>35126</v>
      </c>
      <c r="J301" s="8">
        <v>34685</v>
      </c>
      <c r="K301" s="8">
        <v>277</v>
      </c>
      <c r="L301" s="9" t="s">
        <v>52</v>
      </c>
      <c r="M301" s="9" t="s">
        <v>23</v>
      </c>
      <c r="N301" s="18">
        <f t="shared" si="8"/>
        <v>8.6608043822978237E-2</v>
      </c>
      <c r="O301" s="18">
        <f t="shared" si="9"/>
        <v>8.5520696919660646E-2</v>
      </c>
    </row>
    <row r="302" spans="1:15" x14ac:dyDescent="0.3">
      <c r="A302" s="5" t="s">
        <v>237</v>
      </c>
      <c r="B302" s="6" t="s">
        <v>34</v>
      </c>
      <c r="C302" s="7">
        <v>45754</v>
      </c>
      <c r="D302" s="6" t="s">
        <v>15</v>
      </c>
      <c r="E302" s="6" t="s">
        <v>16</v>
      </c>
      <c r="F302" s="8">
        <v>3718</v>
      </c>
      <c r="G302" s="8">
        <v>385</v>
      </c>
      <c r="H302" s="8">
        <v>310</v>
      </c>
      <c r="I302" s="8">
        <v>70642</v>
      </c>
      <c r="J302" s="8">
        <v>69749</v>
      </c>
      <c r="K302" s="8">
        <v>233</v>
      </c>
      <c r="L302" s="9" t="s">
        <v>37</v>
      </c>
      <c r="M302" s="9" t="s">
        <v>18</v>
      </c>
      <c r="N302" s="18">
        <f t="shared" si="8"/>
        <v>6.3269724297122534E-2</v>
      </c>
      <c r="O302" s="18">
        <f t="shared" si="9"/>
        <v>6.246991874522239E-2</v>
      </c>
    </row>
    <row r="303" spans="1:15" x14ac:dyDescent="0.3">
      <c r="A303" s="5" t="s">
        <v>238</v>
      </c>
      <c r="B303" s="6" t="s">
        <v>14</v>
      </c>
      <c r="C303" s="7">
        <v>45672</v>
      </c>
      <c r="D303" s="6" t="s">
        <v>15</v>
      </c>
      <c r="E303" s="6" t="s">
        <v>16</v>
      </c>
      <c r="F303" s="8">
        <v>802</v>
      </c>
      <c r="G303" s="8">
        <v>262</v>
      </c>
      <c r="H303" s="8">
        <v>244</v>
      </c>
      <c r="I303" s="8">
        <v>14436</v>
      </c>
      <c r="J303" s="8">
        <v>14280</v>
      </c>
      <c r="K303" s="8">
        <v>49</v>
      </c>
      <c r="L303" s="9" t="s">
        <v>17</v>
      </c>
      <c r="M303" s="9" t="s">
        <v>44</v>
      </c>
      <c r="N303" s="18">
        <f t="shared" si="8"/>
        <v>9.1596638655462179E-2</v>
      </c>
      <c r="O303" s="18">
        <f t="shared" si="9"/>
        <v>9.0606816292601824E-2</v>
      </c>
    </row>
    <row r="304" spans="1:15" x14ac:dyDescent="0.3">
      <c r="A304" s="5" t="s">
        <v>238</v>
      </c>
      <c r="B304" s="6" t="s">
        <v>14</v>
      </c>
      <c r="C304" s="7">
        <v>45672</v>
      </c>
      <c r="D304" s="6" t="s">
        <v>15</v>
      </c>
      <c r="E304" s="6" t="s">
        <v>16</v>
      </c>
      <c r="F304" s="8">
        <v>802</v>
      </c>
      <c r="G304" s="8">
        <v>262</v>
      </c>
      <c r="H304" s="8">
        <v>244</v>
      </c>
      <c r="I304" s="8">
        <v>14436</v>
      </c>
      <c r="J304" s="8">
        <v>14280</v>
      </c>
      <c r="K304" s="8">
        <v>49</v>
      </c>
      <c r="L304" s="9" t="s">
        <v>52</v>
      </c>
      <c r="M304" s="9" t="s">
        <v>44</v>
      </c>
      <c r="N304" s="18">
        <f t="shared" si="8"/>
        <v>9.1596638655462179E-2</v>
      </c>
      <c r="O304" s="18">
        <f t="shared" si="9"/>
        <v>9.0606816292601824E-2</v>
      </c>
    </row>
    <row r="305" spans="1:15" x14ac:dyDescent="0.3">
      <c r="A305" s="5" t="s">
        <v>239</v>
      </c>
      <c r="B305" s="6" t="s">
        <v>34</v>
      </c>
      <c r="C305" s="7">
        <v>45445</v>
      </c>
      <c r="D305" s="6" t="s">
        <v>40</v>
      </c>
      <c r="E305" s="6" t="s">
        <v>41</v>
      </c>
      <c r="F305" s="8">
        <v>1871</v>
      </c>
      <c r="G305" s="8">
        <v>252</v>
      </c>
      <c r="H305" s="8">
        <v>335</v>
      </c>
      <c r="I305" s="8">
        <v>29936</v>
      </c>
      <c r="J305" s="8">
        <v>29576</v>
      </c>
      <c r="K305" s="8">
        <v>288</v>
      </c>
      <c r="L305" s="9" t="s">
        <v>37</v>
      </c>
      <c r="M305" s="9" t="s">
        <v>23</v>
      </c>
      <c r="N305" s="18">
        <f t="shared" si="8"/>
        <v>8.3107925344874226E-2</v>
      </c>
      <c r="O305" s="18">
        <f t="shared" si="9"/>
        <v>8.2108498129342594E-2</v>
      </c>
    </row>
    <row r="306" spans="1:15" x14ac:dyDescent="0.3">
      <c r="A306" s="5" t="s">
        <v>240</v>
      </c>
      <c r="B306" s="6" t="s">
        <v>27</v>
      </c>
      <c r="C306" s="7">
        <v>45617</v>
      </c>
      <c r="D306" s="6" t="s">
        <v>35</v>
      </c>
      <c r="E306" s="6" t="s">
        <v>36</v>
      </c>
      <c r="F306" s="8">
        <v>3773</v>
      </c>
      <c r="G306" s="8">
        <v>299</v>
      </c>
      <c r="H306" s="8">
        <v>38</v>
      </c>
      <c r="I306" s="8">
        <v>71687</v>
      </c>
      <c r="J306" s="8">
        <v>71447</v>
      </c>
      <c r="K306" s="8">
        <v>286</v>
      </c>
      <c r="L306" s="9" t="s">
        <v>37</v>
      </c>
      <c r="M306" s="9" t="s">
        <v>44</v>
      </c>
      <c r="N306" s="18">
        <f t="shared" si="8"/>
        <v>5.7525158509104654E-2</v>
      </c>
      <c r="O306" s="18">
        <f t="shared" si="9"/>
        <v>5.7332570758993957E-2</v>
      </c>
    </row>
    <row r="307" spans="1:15" x14ac:dyDescent="0.3">
      <c r="A307" s="5" t="s">
        <v>241</v>
      </c>
      <c r="B307" s="6" t="s">
        <v>27</v>
      </c>
      <c r="C307" s="7">
        <v>45658</v>
      </c>
      <c r="D307" s="6" t="s">
        <v>35</v>
      </c>
      <c r="E307" s="6" t="s">
        <v>36</v>
      </c>
      <c r="F307" s="8">
        <v>2234</v>
      </c>
      <c r="G307" s="8">
        <v>653</v>
      </c>
      <c r="H307" s="8">
        <v>432</v>
      </c>
      <c r="I307" s="8">
        <v>11170</v>
      </c>
      <c r="J307" s="8">
        <v>10569</v>
      </c>
      <c r="K307" s="8">
        <v>198</v>
      </c>
      <c r="L307" s="9" t="s">
        <v>52</v>
      </c>
      <c r="M307" s="9" t="s">
        <v>44</v>
      </c>
      <c r="N307" s="18">
        <f t="shared" si="8"/>
        <v>0.31403160185448009</v>
      </c>
      <c r="O307" s="18">
        <f t="shared" si="9"/>
        <v>0.29713518352730528</v>
      </c>
    </row>
    <row r="308" spans="1:15" x14ac:dyDescent="0.3">
      <c r="A308" s="5" t="s">
        <v>241</v>
      </c>
      <c r="B308" s="6" t="s">
        <v>27</v>
      </c>
      <c r="C308" s="7">
        <v>45658</v>
      </c>
      <c r="D308" s="6" t="s">
        <v>35</v>
      </c>
      <c r="E308" s="6" t="s">
        <v>36</v>
      </c>
      <c r="F308" s="8">
        <v>2234</v>
      </c>
      <c r="G308" s="8">
        <v>653</v>
      </c>
      <c r="H308" s="8">
        <v>432</v>
      </c>
      <c r="I308" s="8">
        <v>11170</v>
      </c>
      <c r="J308" s="8">
        <v>10569</v>
      </c>
      <c r="K308" s="8">
        <v>198</v>
      </c>
      <c r="L308" s="9" t="s">
        <v>31</v>
      </c>
      <c r="M308" s="9" t="s">
        <v>44</v>
      </c>
      <c r="N308" s="18">
        <f t="shared" si="8"/>
        <v>0.31403160185448009</v>
      </c>
      <c r="O308" s="18">
        <f t="shared" si="9"/>
        <v>0.29713518352730528</v>
      </c>
    </row>
    <row r="309" spans="1:15" x14ac:dyDescent="0.3">
      <c r="A309" s="5" t="s">
        <v>242</v>
      </c>
      <c r="B309" s="6" t="s">
        <v>14</v>
      </c>
      <c r="C309" s="7">
        <v>45771</v>
      </c>
      <c r="D309" s="6" t="s">
        <v>50</v>
      </c>
      <c r="E309" s="6" t="s">
        <v>51</v>
      </c>
      <c r="F309" s="8">
        <v>3820</v>
      </c>
      <c r="G309" s="8">
        <v>697</v>
      </c>
      <c r="H309" s="8">
        <v>268</v>
      </c>
      <c r="I309" s="8">
        <v>45840</v>
      </c>
      <c r="J309" s="8">
        <v>45631</v>
      </c>
      <c r="K309" s="8">
        <v>171</v>
      </c>
      <c r="L309" s="9" t="s">
        <v>31</v>
      </c>
      <c r="M309" s="9" t="s">
        <v>18</v>
      </c>
      <c r="N309" s="18">
        <f t="shared" si="8"/>
        <v>0.10486292213626701</v>
      </c>
      <c r="O309" s="18">
        <f t="shared" si="9"/>
        <v>0.1043848167539267</v>
      </c>
    </row>
    <row r="310" spans="1:15" x14ac:dyDescent="0.3">
      <c r="A310" s="5" t="s">
        <v>242</v>
      </c>
      <c r="B310" s="6" t="s">
        <v>14</v>
      </c>
      <c r="C310" s="7">
        <v>45771</v>
      </c>
      <c r="D310" s="6" t="s">
        <v>50</v>
      </c>
      <c r="E310" s="6" t="s">
        <v>51</v>
      </c>
      <c r="F310" s="8">
        <v>3820</v>
      </c>
      <c r="G310" s="8">
        <v>697</v>
      </c>
      <c r="H310" s="8">
        <v>268</v>
      </c>
      <c r="I310" s="8">
        <v>45840</v>
      </c>
      <c r="J310" s="8">
        <v>45631</v>
      </c>
      <c r="K310" s="8">
        <v>171</v>
      </c>
      <c r="L310" s="9" t="s">
        <v>52</v>
      </c>
      <c r="M310" s="9" t="s">
        <v>18</v>
      </c>
      <c r="N310" s="18">
        <f t="shared" si="8"/>
        <v>0.10486292213626701</v>
      </c>
      <c r="O310" s="18">
        <f t="shared" si="9"/>
        <v>0.1043848167539267</v>
      </c>
    </row>
    <row r="311" spans="1:15" x14ac:dyDescent="0.3">
      <c r="A311" s="5" t="s">
        <v>243</v>
      </c>
      <c r="B311" s="6" t="s">
        <v>14</v>
      </c>
      <c r="C311" s="7">
        <v>45467</v>
      </c>
      <c r="D311" s="6" t="s">
        <v>20</v>
      </c>
      <c r="E311" s="6" t="s">
        <v>21</v>
      </c>
      <c r="F311" s="8">
        <v>941</v>
      </c>
      <c r="G311" s="8">
        <v>121</v>
      </c>
      <c r="H311" s="8">
        <v>458</v>
      </c>
      <c r="I311" s="8">
        <v>14115</v>
      </c>
      <c r="J311" s="8">
        <v>13838</v>
      </c>
      <c r="K311" s="8">
        <v>87</v>
      </c>
      <c r="L311" s="9" t="s">
        <v>22</v>
      </c>
      <c r="M311" s="9" t="s">
        <v>23</v>
      </c>
      <c r="N311" s="18">
        <f t="shared" si="8"/>
        <v>0.10984246278363925</v>
      </c>
      <c r="O311" s="18">
        <f t="shared" si="9"/>
        <v>0.10768685795253277</v>
      </c>
    </row>
    <row r="312" spans="1:15" x14ac:dyDescent="0.3">
      <c r="A312" s="5" t="s">
        <v>243</v>
      </c>
      <c r="B312" s="6" t="s">
        <v>14</v>
      </c>
      <c r="C312" s="7">
        <v>45467</v>
      </c>
      <c r="D312" s="6" t="s">
        <v>20</v>
      </c>
      <c r="E312" s="6" t="s">
        <v>21</v>
      </c>
      <c r="F312" s="8">
        <v>941</v>
      </c>
      <c r="G312" s="8">
        <v>121</v>
      </c>
      <c r="H312" s="8">
        <v>458</v>
      </c>
      <c r="I312" s="8">
        <v>14115</v>
      </c>
      <c r="J312" s="8">
        <v>13838</v>
      </c>
      <c r="K312" s="8">
        <v>87</v>
      </c>
      <c r="L312" s="9" t="s">
        <v>17</v>
      </c>
      <c r="M312" s="9" t="s">
        <v>23</v>
      </c>
      <c r="N312" s="18">
        <f t="shared" si="8"/>
        <v>0.10984246278363925</v>
      </c>
      <c r="O312" s="18">
        <f t="shared" si="9"/>
        <v>0.10768685795253277</v>
      </c>
    </row>
    <row r="313" spans="1:15" x14ac:dyDescent="0.3">
      <c r="A313" s="5" t="s">
        <v>244</v>
      </c>
      <c r="B313" s="6" t="s">
        <v>14</v>
      </c>
      <c r="C313" s="7">
        <v>45655</v>
      </c>
      <c r="D313" s="6" t="s">
        <v>35</v>
      </c>
      <c r="E313" s="6" t="s">
        <v>36</v>
      </c>
      <c r="F313" s="8">
        <v>4274</v>
      </c>
      <c r="G313" s="8">
        <v>340</v>
      </c>
      <c r="H313" s="8">
        <v>281</v>
      </c>
      <c r="I313" s="8">
        <v>34192</v>
      </c>
      <c r="J313" s="8">
        <v>33446</v>
      </c>
      <c r="K313" s="8">
        <v>129</v>
      </c>
      <c r="L313" s="9" t="s">
        <v>31</v>
      </c>
      <c r="M313" s="9" t="s">
        <v>32</v>
      </c>
      <c r="N313" s="18">
        <f t="shared" si="8"/>
        <v>0.14635531902170662</v>
      </c>
      <c r="O313" s="18">
        <f t="shared" si="9"/>
        <v>0.14316214319138981</v>
      </c>
    </row>
    <row r="314" spans="1:15" x14ac:dyDescent="0.3">
      <c r="A314" s="5" t="s">
        <v>244</v>
      </c>
      <c r="B314" s="6" t="s">
        <v>14</v>
      </c>
      <c r="C314" s="7">
        <v>45655</v>
      </c>
      <c r="D314" s="6" t="s">
        <v>35</v>
      </c>
      <c r="E314" s="6" t="s">
        <v>36</v>
      </c>
      <c r="F314" s="8">
        <v>4274</v>
      </c>
      <c r="G314" s="8">
        <v>340</v>
      </c>
      <c r="H314" s="8">
        <v>281</v>
      </c>
      <c r="I314" s="8">
        <v>34192</v>
      </c>
      <c r="J314" s="8">
        <v>33446</v>
      </c>
      <c r="K314" s="8">
        <v>129</v>
      </c>
      <c r="L314" s="9" t="s">
        <v>52</v>
      </c>
      <c r="M314" s="9" t="s">
        <v>32</v>
      </c>
      <c r="N314" s="18">
        <f t="shared" si="8"/>
        <v>0.14635531902170662</v>
      </c>
      <c r="O314" s="18">
        <f t="shared" si="9"/>
        <v>0.14316214319138981</v>
      </c>
    </row>
    <row r="315" spans="1:15" x14ac:dyDescent="0.3">
      <c r="A315" s="5" t="s">
        <v>245</v>
      </c>
      <c r="B315" s="6" t="s">
        <v>25</v>
      </c>
      <c r="C315" s="7">
        <v>45467</v>
      </c>
      <c r="D315" s="6" t="s">
        <v>50</v>
      </c>
      <c r="E315" s="6" t="s">
        <v>51</v>
      </c>
      <c r="F315" s="8">
        <v>2949</v>
      </c>
      <c r="G315" s="8">
        <v>476</v>
      </c>
      <c r="H315" s="8">
        <v>403</v>
      </c>
      <c r="I315" s="8">
        <v>44235</v>
      </c>
      <c r="J315" s="8">
        <v>43705</v>
      </c>
      <c r="K315" s="8">
        <v>135</v>
      </c>
      <c r="L315" s="9" t="s">
        <v>37</v>
      </c>
      <c r="M315" s="9" t="s">
        <v>18</v>
      </c>
      <c r="N315" s="18">
        <f t="shared" si="8"/>
        <v>8.7587232582084423E-2</v>
      </c>
      <c r="O315" s="18">
        <f t="shared" si="9"/>
        <v>8.6537809426924378E-2</v>
      </c>
    </row>
    <row r="316" spans="1:15" x14ac:dyDescent="0.3">
      <c r="A316" s="5" t="s">
        <v>245</v>
      </c>
      <c r="B316" s="6" t="s">
        <v>25</v>
      </c>
      <c r="C316" s="7">
        <v>45467</v>
      </c>
      <c r="D316" s="6" t="s">
        <v>50</v>
      </c>
      <c r="E316" s="6" t="s">
        <v>51</v>
      </c>
      <c r="F316" s="8">
        <v>2949</v>
      </c>
      <c r="G316" s="8">
        <v>476</v>
      </c>
      <c r="H316" s="8">
        <v>403</v>
      </c>
      <c r="I316" s="8">
        <v>44235</v>
      </c>
      <c r="J316" s="8">
        <v>43705</v>
      </c>
      <c r="K316" s="8">
        <v>135</v>
      </c>
      <c r="L316" s="9" t="s">
        <v>52</v>
      </c>
      <c r="M316" s="9" t="s">
        <v>18</v>
      </c>
      <c r="N316" s="18">
        <f t="shared" si="8"/>
        <v>8.7587232582084423E-2</v>
      </c>
      <c r="O316" s="18">
        <f t="shared" si="9"/>
        <v>8.6537809426924378E-2</v>
      </c>
    </row>
    <row r="317" spans="1:15" x14ac:dyDescent="0.3">
      <c r="A317" s="5" t="s">
        <v>246</v>
      </c>
      <c r="B317" s="6" t="s">
        <v>14</v>
      </c>
      <c r="C317" s="7">
        <v>45735</v>
      </c>
      <c r="D317" s="6" t="s">
        <v>50</v>
      </c>
      <c r="E317" s="6" t="s">
        <v>51</v>
      </c>
      <c r="F317" s="8">
        <v>3160</v>
      </c>
      <c r="G317" s="8">
        <v>204</v>
      </c>
      <c r="H317" s="8">
        <v>297</v>
      </c>
      <c r="I317" s="8">
        <v>44240</v>
      </c>
      <c r="J317" s="8">
        <v>43666</v>
      </c>
      <c r="K317" s="8">
        <v>49</v>
      </c>
      <c r="L317" s="9" t="s">
        <v>31</v>
      </c>
      <c r="M317" s="9" t="s">
        <v>18</v>
      </c>
      <c r="N317" s="18">
        <f t="shared" si="8"/>
        <v>8.3840974671369028E-2</v>
      </c>
      <c r="O317" s="18">
        <f t="shared" si="9"/>
        <v>8.2753164556962022E-2</v>
      </c>
    </row>
    <row r="318" spans="1:15" x14ac:dyDescent="0.3">
      <c r="A318" s="5" t="s">
        <v>246</v>
      </c>
      <c r="B318" s="6" t="s">
        <v>14</v>
      </c>
      <c r="C318" s="7">
        <v>45735</v>
      </c>
      <c r="D318" s="6" t="s">
        <v>50</v>
      </c>
      <c r="E318" s="6" t="s">
        <v>51</v>
      </c>
      <c r="F318" s="8">
        <v>3160</v>
      </c>
      <c r="G318" s="8">
        <v>204</v>
      </c>
      <c r="H318" s="8">
        <v>297</v>
      </c>
      <c r="I318" s="8">
        <v>44240</v>
      </c>
      <c r="J318" s="8">
        <v>43666</v>
      </c>
      <c r="K318" s="8">
        <v>49</v>
      </c>
      <c r="L318" s="9" t="s">
        <v>37</v>
      </c>
      <c r="M318" s="9" t="s">
        <v>18</v>
      </c>
      <c r="N318" s="18">
        <f t="shared" si="8"/>
        <v>8.3840974671369028E-2</v>
      </c>
      <c r="O318" s="18">
        <f t="shared" si="9"/>
        <v>8.2753164556962022E-2</v>
      </c>
    </row>
    <row r="319" spans="1:15" x14ac:dyDescent="0.3">
      <c r="A319" s="5" t="s">
        <v>247</v>
      </c>
      <c r="B319" s="6" t="s">
        <v>25</v>
      </c>
      <c r="C319" s="7">
        <v>45707</v>
      </c>
      <c r="D319" s="6" t="s">
        <v>40</v>
      </c>
      <c r="E319" s="6" t="s">
        <v>41</v>
      </c>
      <c r="F319" s="8">
        <v>257</v>
      </c>
      <c r="G319" s="8">
        <v>966</v>
      </c>
      <c r="H319" s="8">
        <v>398</v>
      </c>
      <c r="I319" s="8">
        <v>3341</v>
      </c>
      <c r="J319" s="8">
        <v>2753</v>
      </c>
      <c r="K319" s="8">
        <v>287</v>
      </c>
      <c r="L319" s="9" t="s">
        <v>37</v>
      </c>
      <c r="M319" s="9" t="s">
        <v>18</v>
      </c>
      <c r="N319" s="18">
        <f t="shared" si="8"/>
        <v>0.58881220486741737</v>
      </c>
      <c r="O319" s="18">
        <f t="shared" si="9"/>
        <v>0.48518407662376534</v>
      </c>
    </row>
    <row r="320" spans="1:15" x14ac:dyDescent="0.3">
      <c r="A320" s="5" t="s">
        <v>247</v>
      </c>
      <c r="B320" s="6" t="s">
        <v>25</v>
      </c>
      <c r="C320" s="7">
        <v>45707</v>
      </c>
      <c r="D320" s="6" t="s">
        <v>40</v>
      </c>
      <c r="E320" s="6" t="s">
        <v>41</v>
      </c>
      <c r="F320" s="8">
        <v>257</v>
      </c>
      <c r="G320" s="8">
        <v>966</v>
      </c>
      <c r="H320" s="8">
        <v>398</v>
      </c>
      <c r="I320" s="8">
        <v>3341</v>
      </c>
      <c r="J320" s="8">
        <v>2753</v>
      </c>
      <c r="K320" s="8">
        <v>287</v>
      </c>
      <c r="L320" s="9" t="s">
        <v>17</v>
      </c>
      <c r="M320" s="9" t="s">
        <v>18</v>
      </c>
      <c r="N320" s="18">
        <f t="shared" si="8"/>
        <v>0.58881220486741737</v>
      </c>
      <c r="O320" s="18">
        <f t="shared" si="9"/>
        <v>0.48518407662376534</v>
      </c>
    </row>
    <row r="321" spans="1:15" x14ac:dyDescent="0.3">
      <c r="A321" s="5" t="s">
        <v>248</v>
      </c>
      <c r="B321" s="6" t="s">
        <v>14</v>
      </c>
      <c r="C321" s="7">
        <v>45491</v>
      </c>
      <c r="D321" s="6" t="s">
        <v>35</v>
      </c>
      <c r="E321" s="6" t="s">
        <v>36</v>
      </c>
      <c r="F321" s="8">
        <v>2120</v>
      </c>
      <c r="G321" s="8">
        <v>38</v>
      </c>
      <c r="H321" s="8">
        <v>212</v>
      </c>
      <c r="I321" s="8">
        <v>12720</v>
      </c>
      <c r="J321" s="8">
        <v>12564</v>
      </c>
      <c r="K321" s="8">
        <v>21</v>
      </c>
      <c r="L321" s="9" t="s">
        <v>37</v>
      </c>
      <c r="M321" s="9" t="s">
        <v>18</v>
      </c>
      <c r="N321" s="18">
        <f t="shared" si="8"/>
        <v>0.18863419293218719</v>
      </c>
      <c r="O321" s="18">
        <f t="shared" si="9"/>
        <v>0.18632075471698112</v>
      </c>
    </row>
    <row r="322" spans="1:15" x14ac:dyDescent="0.3">
      <c r="A322" s="5" t="s">
        <v>248</v>
      </c>
      <c r="B322" s="6" t="s">
        <v>14</v>
      </c>
      <c r="C322" s="7">
        <v>45491</v>
      </c>
      <c r="D322" s="6" t="s">
        <v>35</v>
      </c>
      <c r="E322" s="6" t="s">
        <v>36</v>
      </c>
      <c r="F322" s="8">
        <v>2120</v>
      </c>
      <c r="G322" s="8">
        <v>38</v>
      </c>
      <c r="H322" s="8">
        <v>212</v>
      </c>
      <c r="I322" s="8">
        <v>12720</v>
      </c>
      <c r="J322" s="8">
        <v>12564</v>
      </c>
      <c r="K322" s="8">
        <v>21</v>
      </c>
      <c r="L322" s="9" t="s">
        <v>17</v>
      </c>
      <c r="M322" s="9" t="s">
        <v>18</v>
      </c>
      <c r="N322" s="18">
        <f t="shared" si="8"/>
        <v>0.18863419293218719</v>
      </c>
      <c r="O322" s="18">
        <f t="shared" si="9"/>
        <v>0.18632075471698112</v>
      </c>
    </row>
    <row r="323" spans="1:15" x14ac:dyDescent="0.3">
      <c r="A323" s="5" t="s">
        <v>249</v>
      </c>
      <c r="B323" s="6" t="s">
        <v>25</v>
      </c>
      <c r="C323" s="7">
        <v>45719</v>
      </c>
      <c r="D323" s="6" t="s">
        <v>50</v>
      </c>
      <c r="E323" s="6" t="s">
        <v>51</v>
      </c>
      <c r="F323" s="8">
        <v>3874</v>
      </c>
      <c r="G323" s="8">
        <v>884</v>
      </c>
      <c r="H323" s="8">
        <v>19</v>
      </c>
      <c r="I323" s="8">
        <v>38740</v>
      </c>
      <c r="J323" s="8">
        <v>38552</v>
      </c>
      <c r="K323" s="8">
        <v>219</v>
      </c>
      <c r="L323" s="9" t="s">
        <v>31</v>
      </c>
      <c r="M323" s="9" t="s">
        <v>44</v>
      </c>
      <c r="N323" s="18">
        <f t="shared" ref="N323:N386" si="10">SUM(F323,G323,H323)/J323</f>
        <v>0.12391056235733555</v>
      </c>
      <c r="O323" s="18">
        <f t="shared" ref="O323:O386" si="11">SUM(F323,G323,H323)/I323</f>
        <v>0.123309241094476</v>
      </c>
    </row>
    <row r="324" spans="1:15" x14ac:dyDescent="0.3">
      <c r="A324" s="5" t="s">
        <v>250</v>
      </c>
      <c r="B324" s="6" t="s">
        <v>34</v>
      </c>
      <c r="C324" s="7">
        <v>45778</v>
      </c>
      <c r="D324" s="6" t="s">
        <v>35</v>
      </c>
      <c r="E324" s="6" t="s">
        <v>36</v>
      </c>
      <c r="F324" s="8">
        <v>2696</v>
      </c>
      <c r="G324" s="8">
        <v>628</v>
      </c>
      <c r="H324" s="8">
        <v>443</v>
      </c>
      <c r="I324" s="8">
        <v>45832</v>
      </c>
      <c r="J324" s="8">
        <v>45632</v>
      </c>
      <c r="K324" s="8">
        <v>248</v>
      </c>
      <c r="L324" s="9" t="s">
        <v>17</v>
      </c>
      <c r="M324" s="9" t="s">
        <v>32</v>
      </c>
      <c r="N324" s="18">
        <f t="shared" si="10"/>
        <v>8.2551718092566617E-2</v>
      </c>
      <c r="O324" s="18">
        <f t="shared" si="11"/>
        <v>8.21914819340199E-2</v>
      </c>
    </row>
    <row r="325" spans="1:15" x14ac:dyDescent="0.3">
      <c r="A325" s="5" t="s">
        <v>251</v>
      </c>
      <c r="B325" s="6" t="s">
        <v>27</v>
      </c>
      <c r="C325" s="7">
        <v>45649</v>
      </c>
      <c r="D325" s="6" t="s">
        <v>40</v>
      </c>
      <c r="E325" s="6" t="s">
        <v>41</v>
      </c>
      <c r="F325" s="8">
        <v>521</v>
      </c>
      <c r="G325" s="8">
        <v>746</v>
      </c>
      <c r="H325" s="8">
        <v>315</v>
      </c>
      <c r="I325" s="8">
        <v>4168</v>
      </c>
      <c r="J325" s="8">
        <v>3399</v>
      </c>
      <c r="K325" s="8">
        <v>282</v>
      </c>
      <c r="L325" s="9" t="s">
        <v>17</v>
      </c>
      <c r="M325" s="9" t="s">
        <v>18</v>
      </c>
      <c r="N325" s="18">
        <f t="shared" si="10"/>
        <v>0.46543100912032953</v>
      </c>
      <c r="O325" s="18">
        <f t="shared" si="11"/>
        <v>0.37955854126679461</v>
      </c>
    </row>
    <row r="326" spans="1:15" x14ac:dyDescent="0.3">
      <c r="A326" s="5" t="s">
        <v>252</v>
      </c>
      <c r="B326" s="6" t="s">
        <v>34</v>
      </c>
      <c r="C326" s="7">
        <v>45783</v>
      </c>
      <c r="D326" s="6" t="s">
        <v>40</v>
      </c>
      <c r="E326" s="6" t="s">
        <v>41</v>
      </c>
      <c r="F326" s="8">
        <v>4872</v>
      </c>
      <c r="G326" s="8">
        <v>925</v>
      </c>
      <c r="H326" s="8">
        <v>176</v>
      </c>
      <c r="I326" s="8">
        <v>82824</v>
      </c>
      <c r="J326" s="8">
        <v>82543</v>
      </c>
      <c r="K326" s="8">
        <v>89</v>
      </c>
      <c r="L326" s="9" t="s">
        <v>17</v>
      </c>
      <c r="M326" s="9" t="s">
        <v>18</v>
      </c>
      <c r="N326" s="18">
        <f t="shared" si="10"/>
        <v>7.2362283900512456E-2</v>
      </c>
      <c r="O326" s="18">
        <f t="shared" si="11"/>
        <v>7.2116777745580993E-2</v>
      </c>
    </row>
    <row r="327" spans="1:15" x14ac:dyDescent="0.3">
      <c r="A327" s="5" t="s">
        <v>252</v>
      </c>
      <c r="B327" s="6" t="s">
        <v>34</v>
      </c>
      <c r="C327" s="7">
        <v>45783</v>
      </c>
      <c r="D327" s="6" t="s">
        <v>40</v>
      </c>
      <c r="E327" s="6" t="s">
        <v>41</v>
      </c>
      <c r="F327" s="8">
        <v>4872</v>
      </c>
      <c r="G327" s="8">
        <v>925</v>
      </c>
      <c r="H327" s="8">
        <v>176</v>
      </c>
      <c r="I327" s="8">
        <v>82824</v>
      </c>
      <c r="J327" s="8">
        <v>82543</v>
      </c>
      <c r="K327" s="8">
        <v>89</v>
      </c>
      <c r="L327" s="9" t="s">
        <v>37</v>
      </c>
      <c r="M327" s="9" t="s">
        <v>18</v>
      </c>
      <c r="N327" s="18">
        <f t="shared" si="10"/>
        <v>7.2362283900512456E-2</v>
      </c>
      <c r="O327" s="18">
        <f t="shared" si="11"/>
        <v>7.2116777745580993E-2</v>
      </c>
    </row>
    <row r="328" spans="1:15" x14ac:dyDescent="0.3">
      <c r="A328" s="5" t="s">
        <v>253</v>
      </c>
      <c r="B328" s="6" t="s">
        <v>25</v>
      </c>
      <c r="C328" s="7">
        <v>45502</v>
      </c>
      <c r="D328" s="6" t="s">
        <v>28</v>
      </c>
      <c r="E328" s="6" t="s">
        <v>29</v>
      </c>
      <c r="F328" s="8">
        <v>1509</v>
      </c>
      <c r="G328" s="8">
        <v>88</v>
      </c>
      <c r="H328" s="8">
        <v>163</v>
      </c>
      <c r="I328" s="8">
        <v>30180</v>
      </c>
      <c r="J328" s="8">
        <v>29689</v>
      </c>
      <c r="K328" s="8">
        <v>119</v>
      </c>
      <c r="L328" s="9" t="s">
        <v>37</v>
      </c>
      <c r="M328" s="9" t="s">
        <v>18</v>
      </c>
      <c r="N328" s="18">
        <f t="shared" si="10"/>
        <v>5.928121526491293E-2</v>
      </c>
      <c r="O328" s="18">
        <f t="shared" si="11"/>
        <v>5.8316766070245198E-2</v>
      </c>
    </row>
    <row r="329" spans="1:15" x14ac:dyDescent="0.3">
      <c r="A329" s="5" t="s">
        <v>254</v>
      </c>
      <c r="B329" s="6" t="s">
        <v>34</v>
      </c>
      <c r="C329" s="7">
        <v>45629</v>
      </c>
      <c r="D329" s="6" t="s">
        <v>40</v>
      </c>
      <c r="E329" s="6" t="s">
        <v>41</v>
      </c>
      <c r="F329" s="8">
        <v>4606</v>
      </c>
      <c r="G329" s="8">
        <v>931</v>
      </c>
      <c r="H329" s="8">
        <v>230</v>
      </c>
      <c r="I329" s="8">
        <v>92120</v>
      </c>
      <c r="J329" s="8">
        <v>91440</v>
      </c>
      <c r="K329" s="8">
        <v>56</v>
      </c>
      <c r="L329" s="9" t="s">
        <v>52</v>
      </c>
      <c r="M329" s="9" t="s">
        <v>32</v>
      </c>
      <c r="N329" s="18">
        <f t="shared" si="10"/>
        <v>6.3068678915135609E-2</v>
      </c>
      <c r="O329" s="18">
        <f t="shared" si="11"/>
        <v>6.2603126356925748E-2</v>
      </c>
    </row>
    <row r="330" spans="1:15" x14ac:dyDescent="0.3">
      <c r="A330" s="5" t="s">
        <v>254</v>
      </c>
      <c r="B330" s="6" t="s">
        <v>34</v>
      </c>
      <c r="C330" s="7">
        <v>45629</v>
      </c>
      <c r="D330" s="6" t="s">
        <v>40</v>
      </c>
      <c r="E330" s="6" t="s">
        <v>41</v>
      </c>
      <c r="F330" s="8">
        <v>4606</v>
      </c>
      <c r="G330" s="8">
        <v>931</v>
      </c>
      <c r="H330" s="8">
        <v>230</v>
      </c>
      <c r="I330" s="8">
        <v>92120</v>
      </c>
      <c r="J330" s="8">
        <v>91440</v>
      </c>
      <c r="K330" s="8">
        <v>56</v>
      </c>
      <c r="L330" s="9" t="s">
        <v>22</v>
      </c>
      <c r="M330" s="9" t="s">
        <v>32</v>
      </c>
      <c r="N330" s="18">
        <f t="shared" si="10"/>
        <v>6.3068678915135609E-2</v>
      </c>
      <c r="O330" s="18">
        <f t="shared" si="11"/>
        <v>6.2603126356925748E-2</v>
      </c>
    </row>
    <row r="331" spans="1:15" x14ac:dyDescent="0.3">
      <c r="A331" s="5" t="s">
        <v>255</v>
      </c>
      <c r="B331" s="6" t="s">
        <v>34</v>
      </c>
      <c r="C331" s="7">
        <v>45454</v>
      </c>
      <c r="D331" s="6" t="s">
        <v>35</v>
      </c>
      <c r="E331" s="6" t="s">
        <v>36</v>
      </c>
      <c r="F331" s="8">
        <v>1869</v>
      </c>
      <c r="G331" s="8">
        <v>453</v>
      </c>
      <c r="H331" s="8">
        <v>490</v>
      </c>
      <c r="I331" s="8">
        <v>14952</v>
      </c>
      <c r="J331" s="8">
        <v>14309</v>
      </c>
      <c r="K331" s="8">
        <v>275</v>
      </c>
      <c r="L331" s="9" t="s">
        <v>52</v>
      </c>
      <c r="M331" s="9" t="s">
        <v>18</v>
      </c>
      <c r="N331" s="18">
        <f t="shared" si="10"/>
        <v>0.19651967293311901</v>
      </c>
      <c r="O331" s="18">
        <f t="shared" si="11"/>
        <v>0.18806848582129482</v>
      </c>
    </row>
    <row r="332" spans="1:15" x14ac:dyDescent="0.3">
      <c r="A332" s="5" t="s">
        <v>255</v>
      </c>
      <c r="B332" s="6" t="s">
        <v>34</v>
      </c>
      <c r="C332" s="7">
        <v>45454</v>
      </c>
      <c r="D332" s="6" t="s">
        <v>35</v>
      </c>
      <c r="E332" s="6" t="s">
        <v>36</v>
      </c>
      <c r="F332" s="8">
        <v>1869</v>
      </c>
      <c r="G332" s="8">
        <v>453</v>
      </c>
      <c r="H332" s="8">
        <v>490</v>
      </c>
      <c r="I332" s="8">
        <v>14952</v>
      </c>
      <c r="J332" s="8">
        <v>14309</v>
      </c>
      <c r="K332" s="8">
        <v>275</v>
      </c>
      <c r="L332" s="9" t="s">
        <v>31</v>
      </c>
      <c r="M332" s="9" t="s">
        <v>18</v>
      </c>
      <c r="N332" s="18">
        <f t="shared" si="10"/>
        <v>0.19651967293311901</v>
      </c>
      <c r="O332" s="18">
        <f t="shared" si="11"/>
        <v>0.18806848582129482</v>
      </c>
    </row>
    <row r="333" spans="1:15" x14ac:dyDescent="0.3">
      <c r="A333" s="5" t="s">
        <v>256</v>
      </c>
      <c r="B333" s="6" t="s">
        <v>14</v>
      </c>
      <c r="C333" s="7">
        <v>45685</v>
      </c>
      <c r="D333" s="6" t="s">
        <v>15</v>
      </c>
      <c r="E333" s="6" t="s">
        <v>16</v>
      </c>
      <c r="F333" s="8">
        <v>1188</v>
      </c>
      <c r="G333" s="8">
        <v>470</v>
      </c>
      <c r="H333" s="8">
        <v>174</v>
      </c>
      <c r="I333" s="8">
        <v>7128</v>
      </c>
      <c r="J333" s="8">
        <v>6145</v>
      </c>
      <c r="K333" s="8">
        <v>270</v>
      </c>
      <c r="L333" s="9" t="s">
        <v>31</v>
      </c>
      <c r="M333" s="9" t="s">
        <v>23</v>
      </c>
      <c r="N333" s="18">
        <f t="shared" si="10"/>
        <v>0.29812855980471931</v>
      </c>
      <c r="O333" s="18">
        <f t="shared" si="11"/>
        <v>0.25701459034792368</v>
      </c>
    </row>
    <row r="334" spans="1:15" x14ac:dyDescent="0.3">
      <c r="A334" s="5" t="s">
        <v>256</v>
      </c>
      <c r="B334" s="6" t="s">
        <v>14</v>
      </c>
      <c r="C334" s="7">
        <v>45685</v>
      </c>
      <c r="D334" s="6" t="s">
        <v>15</v>
      </c>
      <c r="E334" s="6" t="s">
        <v>16</v>
      </c>
      <c r="F334" s="8">
        <v>1188</v>
      </c>
      <c r="G334" s="8">
        <v>470</v>
      </c>
      <c r="H334" s="8">
        <v>174</v>
      </c>
      <c r="I334" s="8">
        <v>7128</v>
      </c>
      <c r="J334" s="8">
        <v>6145</v>
      </c>
      <c r="K334" s="8">
        <v>270</v>
      </c>
      <c r="L334" s="9" t="s">
        <v>22</v>
      </c>
      <c r="M334" s="9" t="s">
        <v>23</v>
      </c>
      <c r="N334" s="18">
        <f t="shared" si="10"/>
        <v>0.29812855980471931</v>
      </c>
      <c r="O334" s="18">
        <f t="shared" si="11"/>
        <v>0.25701459034792368</v>
      </c>
    </row>
    <row r="335" spans="1:15" x14ac:dyDescent="0.3">
      <c r="A335" s="5" t="s">
        <v>257</v>
      </c>
      <c r="B335" s="6" t="s">
        <v>27</v>
      </c>
      <c r="C335" s="7">
        <v>45445</v>
      </c>
      <c r="D335" s="6" t="s">
        <v>28</v>
      </c>
      <c r="E335" s="6" t="s">
        <v>29</v>
      </c>
      <c r="F335" s="8">
        <v>84</v>
      </c>
      <c r="G335" s="8">
        <v>897</v>
      </c>
      <c r="H335" s="8">
        <v>85</v>
      </c>
      <c r="I335" s="8">
        <v>588</v>
      </c>
      <c r="J335" s="8">
        <v>8</v>
      </c>
      <c r="K335" s="8">
        <v>12</v>
      </c>
      <c r="L335" s="9" t="s">
        <v>31</v>
      </c>
      <c r="M335" s="9" t="s">
        <v>23</v>
      </c>
      <c r="N335" s="18">
        <f t="shared" si="10"/>
        <v>133.25</v>
      </c>
      <c r="O335" s="18">
        <f t="shared" si="11"/>
        <v>1.8129251700680271</v>
      </c>
    </row>
    <row r="336" spans="1:15" x14ac:dyDescent="0.3">
      <c r="A336" s="5" t="s">
        <v>258</v>
      </c>
      <c r="B336" s="6" t="s">
        <v>34</v>
      </c>
      <c r="C336" s="7">
        <v>45739</v>
      </c>
      <c r="D336" s="6" t="s">
        <v>50</v>
      </c>
      <c r="E336" s="6" t="s">
        <v>51</v>
      </c>
      <c r="F336" s="8">
        <v>4453</v>
      </c>
      <c r="G336" s="8">
        <v>111</v>
      </c>
      <c r="H336" s="8">
        <v>420</v>
      </c>
      <c r="I336" s="8">
        <v>31171</v>
      </c>
      <c r="J336" s="8">
        <v>30565</v>
      </c>
      <c r="K336" s="8">
        <v>23</v>
      </c>
      <c r="L336" s="9" t="s">
        <v>37</v>
      </c>
      <c r="M336" s="9" t="s">
        <v>44</v>
      </c>
      <c r="N336" s="18">
        <f t="shared" si="10"/>
        <v>0.1630623261900867</v>
      </c>
      <c r="O336" s="18">
        <f t="shared" si="11"/>
        <v>0.15989220750056141</v>
      </c>
    </row>
    <row r="337" spans="1:15" x14ac:dyDescent="0.3">
      <c r="A337" s="5" t="s">
        <v>258</v>
      </c>
      <c r="B337" s="6" t="s">
        <v>34</v>
      </c>
      <c r="C337" s="7">
        <v>45739</v>
      </c>
      <c r="D337" s="6" t="s">
        <v>50</v>
      </c>
      <c r="E337" s="6" t="s">
        <v>51</v>
      </c>
      <c r="F337" s="8">
        <v>4453</v>
      </c>
      <c r="G337" s="8">
        <v>111</v>
      </c>
      <c r="H337" s="8">
        <v>420</v>
      </c>
      <c r="I337" s="8">
        <v>31171</v>
      </c>
      <c r="J337" s="8">
        <v>30565</v>
      </c>
      <c r="K337" s="8">
        <v>23</v>
      </c>
      <c r="L337" s="9" t="s">
        <v>22</v>
      </c>
      <c r="M337" s="9" t="s">
        <v>44</v>
      </c>
      <c r="N337" s="18">
        <f t="shared" si="10"/>
        <v>0.1630623261900867</v>
      </c>
      <c r="O337" s="18">
        <f t="shared" si="11"/>
        <v>0.15989220750056141</v>
      </c>
    </row>
    <row r="338" spans="1:15" x14ac:dyDescent="0.3">
      <c r="A338" s="5" t="s">
        <v>259</v>
      </c>
      <c r="B338" s="6" t="s">
        <v>34</v>
      </c>
      <c r="C338" s="7">
        <v>45573</v>
      </c>
      <c r="D338" s="6" t="s">
        <v>15</v>
      </c>
      <c r="E338" s="6" t="s">
        <v>16</v>
      </c>
      <c r="F338" s="8">
        <v>1814</v>
      </c>
      <c r="G338" s="8">
        <v>653</v>
      </c>
      <c r="H338" s="8">
        <v>363</v>
      </c>
      <c r="I338" s="8">
        <v>25396</v>
      </c>
      <c r="J338" s="8">
        <v>25286</v>
      </c>
      <c r="K338" s="8">
        <v>39</v>
      </c>
      <c r="L338" s="9" t="s">
        <v>31</v>
      </c>
      <c r="M338" s="9" t="s">
        <v>18</v>
      </c>
      <c r="N338" s="18">
        <f t="shared" si="10"/>
        <v>0.11191963932610931</v>
      </c>
      <c r="O338" s="18">
        <f t="shared" si="11"/>
        <v>0.11143487163332809</v>
      </c>
    </row>
    <row r="339" spans="1:15" x14ac:dyDescent="0.3">
      <c r="A339" s="5" t="s">
        <v>260</v>
      </c>
      <c r="B339" s="6" t="s">
        <v>14</v>
      </c>
      <c r="C339" s="7">
        <v>45608</v>
      </c>
      <c r="D339" s="6" t="s">
        <v>40</v>
      </c>
      <c r="E339" s="6" t="s">
        <v>41</v>
      </c>
      <c r="F339" s="8">
        <v>3338</v>
      </c>
      <c r="G339" s="8">
        <v>277</v>
      </c>
      <c r="H339" s="8">
        <v>118</v>
      </c>
      <c r="I339" s="8">
        <v>60084</v>
      </c>
      <c r="J339" s="8">
        <v>59842</v>
      </c>
      <c r="K339" s="8">
        <v>252</v>
      </c>
      <c r="L339" s="9" t="s">
        <v>31</v>
      </c>
      <c r="M339" s="9" t="s">
        <v>18</v>
      </c>
      <c r="N339" s="18">
        <f t="shared" si="10"/>
        <v>6.2380936466027208E-2</v>
      </c>
      <c r="O339" s="18">
        <f t="shared" si="11"/>
        <v>6.2129685107516146E-2</v>
      </c>
    </row>
    <row r="340" spans="1:15" x14ac:dyDescent="0.3">
      <c r="A340" s="5" t="s">
        <v>261</v>
      </c>
      <c r="B340" s="6" t="s">
        <v>34</v>
      </c>
      <c r="C340" s="7">
        <v>45790</v>
      </c>
      <c r="D340" s="6" t="s">
        <v>40</v>
      </c>
      <c r="E340" s="6" t="s">
        <v>41</v>
      </c>
      <c r="F340" s="8">
        <v>602</v>
      </c>
      <c r="G340" s="8">
        <v>594</v>
      </c>
      <c r="H340" s="8">
        <v>156</v>
      </c>
      <c r="I340" s="8">
        <v>4214</v>
      </c>
      <c r="J340" s="8">
        <v>3363</v>
      </c>
      <c r="K340" s="8">
        <v>164</v>
      </c>
      <c r="L340" s="9" t="s">
        <v>17</v>
      </c>
      <c r="M340" s="9" t="s">
        <v>32</v>
      </c>
      <c r="N340" s="18">
        <f t="shared" si="10"/>
        <v>0.40202200416294975</v>
      </c>
      <c r="O340" s="18">
        <f t="shared" si="11"/>
        <v>0.32083531086853345</v>
      </c>
    </row>
    <row r="341" spans="1:15" x14ac:dyDescent="0.3">
      <c r="A341" s="5" t="s">
        <v>262</v>
      </c>
      <c r="B341" s="6" t="s">
        <v>14</v>
      </c>
      <c r="C341" s="7">
        <v>45463</v>
      </c>
      <c r="D341" s="6" t="s">
        <v>35</v>
      </c>
      <c r="E341" s="6" t="s">
        <v>36</v>
      </c>
      <c r="F341" s="8">
        <v>4672</v>
      </c>
      <c r="G341" s="8">
        <v>325</v>
      </c>
      <c r="H341" s="8">
        <v>32</v>
      </c>
      <c r="I341" s="8">
        <v>88768</v>
      </c>
      <c r="J341" s="8">
        <v>87833</v>
      </c>
      <c r="K341" s="8">
        <v>118</v>
      </c>
      <c r="L341" s="9" t="s">
        <v>52</v>
      </c>
      <c r="M341" s="9" t="s">
        <v>32</v>
      </c>
      <c r="N341" s="18">
        <f t="shared" si="10"/>
        <v>5.7256384274703129E-2</v>
      </c>
      <c r="O341" s="18">
        <f t="shared" si="11"/>
        <v>5.6653298485940883E-2</v>
      </c>
    </row>
    <row r="342" spans="1:15" x14ac:dyDescent="0.3">
      <c r="A342" s="5" t="s">
        <v>262</v>
      </c>
      <c r="B342" s="6" t="s">
        <v>14</v>
      </c>
      <c r="C342" s="7">
        <v>45463</v>
      </c>
      <c r="D342" s="6" t="s">
        <v>35</v>
      </c>
      <c r="E342" s="6" t="s">
        <v>36</v>
      </c>
      <c r="F342" s="8">
        <v>4672</v>
      </c>
      <c r="G342" s="8">
        <v>325</v>
      </c>
      <c r="H342" s="8">
        <v>32</v>
      </c>
      <c r="I342" s="8">
        <v>88768</v>
      </c>
      <c r="J342" s="8">
        <v>87833</v>
      </c>
      <c r="K342" s="8">
        <v>118</v>
      </c>
      <c r="L342" s="9" t="s">
        <v>17</v>
      </c>
      <c r="M342" s="9" t="s">
        <v>32</v>
      </c>
      <c r="N342" s="18">
        <f t="shared" si="10"/>
        <v>5.7256384274703129E-2</v>
      </c>
      <c r="O342" s="18">
        <f t="shared" si="11"/>
        <v>5.6653298485940883E-2</v>
      </c>
    </row>
    <row r="343" spans="1:15" x14ac:dyDescent="0.3">
      <c r="A343" s="5" t="s">
        <v>263</v>
      </c>
      <c r="B343" s="6" t="s">
        <v>27</v>
      </c>
      <c r="C343" s="7">
        <v>45511</v>
      </c>
      <c r="D343" s="6" t="s">
        <v>35</v>
      </c>
      <c r="E343" s="6" t="s">
        <v>36</v>
      </c>
      <c r="F343" s="8">
        <v>1741</v>
      </c>
      <c r="G343" s="8">
        <v>164</v>
      </c>
      <c r="H343" s="8">
        <v>318</v>
      </c>
      <c r="I343" s="8">
        <v>8705</v>
      </c>
      <c r="J343" s="8">
        <v>8272</v>
      </c>
      <c r="K343" s="8">
        <v>121</v>
      </c>
      <c r="L343" s="9" t="s">
        <v>17</v>
      </c>
      <c r="M343" s="9" t="s">
        <v>23</v>
      </c>
      <c r="N343" s="18">
        <f t="shared" si="10"/>
        <v>0.26873791102514505</v>
      </c>
      <c r="O343" s="18">
        <f t="shared" si="11"/>
        <v>0.25537047673750718</v>
      </c>
    </row>
    <row r="344" spans="1:15" x14ac:dyDescent="0.3">
      <c r="A344" s="5" t="s">
        <v>264</v>
      </c>
      <c r="B344" s="6" t="s">
        <v>27</v>
      </c>
      <c r="C344" s="7">
        <v>45455</v>
      </c>
      <c r="D344" s="6" t="s">
        <v>20</v>
      </c>
      <c r="E344" s="6" t="s">
        <v>21</v>
      </c>
      <c r="F344" s="8">
        <v>246</v>
      </c>
      <c r="G344" s="8">
        <v>149</v>
      </c>
      <c r="H344" s="8">
        <v>130</v>
      </c>
      <c r="I344" s="8">
        <v>4674</v>
      </c>
      <c r="J344" s="8">
        <v>4390</v>
      </c>
      <c r="K344" s="8">
        <v>217</v>
      </c>
      <c r="L344" s="9" t="s">
        <v>37</v>
      </c>
      <c r="M344" s="9" t="s">
        <v>23</v>
      </c>
      <c r="N344" s="18">
        <f t="shared" si="10"/>
        <v>0.11958997722095673</v>
      </c>
      <c r="O344" s="18">
        <f t="shared" si="11"/>
        <v>0.11232349165596919</v>
      </c>
    </row>
    <row r="345" spans="1:15" x14ac:dyDescent="0.3">
      <c r="A345" s="5" t="s">
        <v>264</v>
      </c>
      <c r="B345" s="6" t="s">
        <v>27</v>
      </c>
      <c r="C345" s="7">
        <v>45455</v>
      </c>
      <c r="D345" s="6" t="s">
        <v>20</v>
      </c>
      <c r="E345" s="6" t="s">
        <v>21</v>
      </c>
      <c r="F345" s="8">
        <v>246</v>
      </c>
      <c r="G345" s="8">
        <v>149</v>
      </c>
      <c r="H345" s="8">
        <v>130</v>
      </c>
      <c r="I345" s="8">
        <v>4674</v>
      </c>
      <c r="J345" s="8">
        <v>4390</v>
      </c>
      <c r="K345" s="8">
        <v>217</v>
      </c>
      <c r="L345" s="9" t="s">
        <v>52</v>
      </c>
      <c r="M345" s="9" t="s">
        <v>23</v>
      </c>
      <c r="N345" s="18">
        <f t="shared" si="10"/>
        <v>0.11958997722095673</v>
      </c>
      <c r="O345" s="18">
        <f t="shared" si="11"/>
        <v>0.11232349165596919</v>
      </c>
    </row>
    <row r="346" spans="1:15" x14ac:dyDescent="0.3">
      <c r="A346" s="5" t="s">
        <v>265</v>
      </c>
      <c r="B346" s="6" t="s">
        <v>27</v>
      </c>
      <c r="C346" s="7">
        <v>45474</v>
      </c>
      <c r="D346" s="6" t="s">
        <v>28</v>
      </c>
      <c r="E346" s="6" t="s">
        <v>29</v>
      </c>
      <c r="F346" s="8">
        <v>4808</v>
      </c>
      <c r="G346" s="8">
        <v>772</v>
      </c>
      <c r="H346" s="8">
        <v>320</v>
      </c>
      <c r="I346" s="8">
        <v>72120</v>
      </c>
      <c r="J346" s="8">
        <v>71696</v>
      </c>
      <c r="K346" s="8">
        <v>195</v>
      </c>
      <c r="L346" s="9" t="s">
        <v>37</v>
      </c>
      <c r="M346" s="9" t="s">
        <v>44</v>
      </c>
      <c r="N346" s="18">
        <f t="shared" si="10"/>
        <v>8.2291899129658563E-2</v>
      </c>
      <c r="O346" s="18">
        <f t="shared" si="11"/>
        <v>8.1808097615085965E-2</v>
      </c>
    </row>
    <row r="347" spans="1:15" x14ac:dyDescent="0.3">
      <c r="A347" s="5" t="s">
        <v>265</v>
      </c>
      <c r="B347" s="6" t="s">
        <v>27</v>
      </c>
      <c r="C347" s="7">
        <v>45474</v>
      </c>
      <c r="D347" s="6" t="s">
        <v>28</v>
      </c>
      <c r="E347" s="6" t="s">
        <v>29</v>
      </c>
      <c r="F347" s="8">
        <v>4808</v>
      </c>
      <c r="G347" s="8">
        <v>772</v>
      </c>
      <c r="H347" s="8">
        <v>320</v>
      </c>
      <c r="I347" s="8">
        <v>72120</v>
      </c>
      <c r="J347" s="8">
        <v>71696</v>
      </c>
      <c r="K347" s="8">
        <v>195</v>
      </c>
      <c r="L347" s="9" t="s">
        <v>17</v>
      </c>
      <c r="M347" s="9" t="s">
        <v>44</v>
      </c>
      <c r="N347" s="18">
        <f t="shared" si="10"/>
        <v>8.2291899129658563E-2</v>
      </c>
      <c r="O347" s="18">
        <f t="shared" si="11"/>
        <v>8.1808097615085965E-2</v>
      </c>
    </row>
    <row r="348" spans="1:15" x14ac:dyDescent="0.3">
      <c r="A348" s="5" t="s">
        <v>266</v>
      </c>
      <c r="B348" s="6" t="s">
        <v>27</v>
      </c>
      <c r="C348" s="7">
        <v>45476</v>
      </c>
      <c r="D348" s="6" t="s">
        <v>35</v>
      </c>
      <c r="E348" s="6" t="s">
        <v>36</v>
      </c>
      <c r="F348" s="8">
        <v>4799</v>
      </c>
      <c r="G348" s="8">
        <v>694</v>
      </c>
      <c r="H348" s="8">
        <v>289</v>
      </c>
      <c r="I348" s="8">
        <v>43191</v>
      </c>
      <c r="J348" s="8">
        <v>42228</v>
      </c>
      <c r="K348" s="8">
        <v>118</v>
      </c>
      <c r="L348" s="9" t="s">
        <v>37</v>
      </c>
      <c r="M348" s="9" t="s">
        <v>23</v>
      </c>
      <c r="N348" s="18">
        <f t="shared" si="10"/>
        <v>0.13692336838116889</v>
      </c>
      <c r="O348" s="18">
        <f t="shared" si="11"/>
        <v>0.13387048227640017</v>
      </c>
    </row>
    <row r="349" spans="1:15" x14ac:dyDescent="0.3">
      <c r="A349" s="5" t="s">
        <v>267</v>
      </c>
      <c r="B349" s="6" t="s">
        <v>34</v>
      </c>
      <c r="C349" s="7">
        <v>45488</v>
      </c>
      <c r="D349" s="6" t="s">
        <v>15</v>
      </c>
      <c r="E349" s="6" t="s">
        <v>16</v>
      </c>
      <c r="F349" s="8">
        <v>3663</v>
      </c>
      <c r="G349" s="8">
        <v>17</v>
      </c>
      <c r="H349" s="8">
        <v>295</v>
      </c>
      <c r="I349" s="8">
        <v>51282</v>
      </c>
      <c r="J349" s="8">
        <v>50567</v>
      </c>
      <c r="K349" s="8">
        <v>84</v>
      </c>
      <c r="L349" s="9" t="s">
        <v>17</v>
      </c>
      <c r="M349" s="9" t="s">
        <v>18</v>
      </c>
      <c r="N349" s="18">
        <f t="shared" si="10"/>
        <v>7.8608578717345307E-2</v>
      </c>
      <c r="O349" s="18">
        <f t="shared" si="11"/>
        <v>7.7512577512577507E-2</v>
      </c>
    </row>
    <row r="350" spans="1:15" x14ac:dyDescent="0.3">
      <c r="A350" s="5" t="s">
        <v>268</v>
      </c>
      <c r="B350" s="6" t="s">
        <v>27</v>
      </c>
      <c r="C350" s="7">
        <v>45778</v>
      </c>
      <c r="D350" s="6" t="s">
        <v>20</v>
      </c>
      <c r="E350" s="6" t="s">
        <v>21</v>
      </c>
      <c r="F350" s="8">
        <v>1430</v>
      </c>
      <c r="G350" s="8">
        <v>376</v>
      </c>
      <c r="H350" s="8">
        <v>33</v>
      </c>
      <c r="I350" s="8">
        <v>21450</v>
      </c>
      <c r="J350" s="8">
        <v>20509</v>
      </c>
      <c r="K350" s="8">
        <v>251</v>
      </c>
      <c r="L350" s="9" t="s">
        <v>52</v>
      </c>
      <c r="M350" s="9" t="s">
        <v>32</v>
      </c>
      <c r="N350" s="18">
        <f t="shared" si="10"/>
        <v>8.9667950655809639E-2</v>
      </c>
      <c r="O350" s="18">
        <f t="shared" si="11"/>
        <v>8.5734265734265735E-2</v>
      </c>
    </row>
    <row r="351" spans="1:15" x14ac:dyDescent="0.3">
      <c r="A351" s="5" t="s">
        <v>269</v>
      </c>
      <c r="B351" s="6" t="s">
        <v>14</v>
      </c>
      <c r="C351" s="7">
        <v>45776</v>
      </c>
      <c r="D351" s="6" t="s">
        <v>28</v>
      </c>
      <c r="E351" s="6" t="s">
        <v>29</v>
      </c>
      <c r="F351" s="8">
        <v>249</v>
      </c>
      <c r="G351" s="8">
        <v>592</v>
      </c>
      <c r="H351" s="8">
        <v>230</v>
      </c>
      <c r="I351" s="8">
        <v>1494</v>
      </c>
      <c r="J351" s="8">
        <v>1044</v>
      </c>
      <c r="K351" s="8">
        <v>201</v>
      </c>
      <c r="L351" s="9" t="s">
        <v>22</v>
      </c>
      <c r="M351" s="9" t="s">
        <v>44</v>
      </c>
      <c r="N351" s="18">
        <f t="shared" si="10"/>
        <v>1.0258620689655173</v>
      </c>
      <c r="O351" s="18">
        <f t="shared" si="11"/>
        <v>0.7168674698795181</v>
      </c>
    </row>
    <row r="352" spans="1:15" x14ac:dyDescent="0.3">
      <c r="A352" s="5" t="s">
        <v>269</v>
      </c>
      <c r="B352" s="6" t="s">
        <v>14</v>
      </c>
      <c r="C352" s="7">
        <v>45776</v>
      </c>
      <c r="D352" s="6" t="s">
        <v>28</v>
      </c>
      <c r="E352" s="6" t="s">
        <v>29</v>
      </c>
      <c r="F352" s="8">
        <v>249</v>
      </c>
      <c r="G352" s="8">
        <v>592</v>
      </c>
      <c r="H352" s="8">
        <v>230</v>
      </c>
      <c r="I352" s="8">
        <v>1494</v>
      </c>
      <c r="J352" s="8">
        <v>1044</v>
      </c>
      <c r="K352" s="8">
        <v>201</v>
      </c>
      <c r="L352" s="9" t="s">
        <v>37</v>
      </c>
      <c r="M352" s="9" t="s">
        <v>44</v>
      </c>
      <c r="N352" s="18">
        <f t="shared" si="10"/>
        <v>1.0258620689655173</v>
      </c>
      <c r="O352" s="18">
        <f t="shared" si="11"/>
        <v>0.7168674698795181</v>
      </c>
    </row>
    <row r="353" spans="1:15" x14ac:dyDescent="0.3">
      <c r="A353" s="5" t="s">
        <v>270</v>
      </c>
      <c r="B353" s="6" t="s">
        <v>34</v>
      </c>
      <c r="C353" s="7">
        <v>45724</v>
      </c>
      <c r="D353" s="6" t="s">
        <v>40</v>
      </c>
      <c r="E353" s="6" t="s">
        <v>41</v>
      </c>
      <c r="F353" s="8">
        <v>2382</v>
      </c>
      <c r="G353" s="8">
        <v>265</v>
      </c>
      <c r="H353" s="8">
        <v>134</v>
      </c>
      <c r="I353" s="8">
        <v>38112</v>
      </c>
      <c r="J353" s="8">
        <v>37437</v>
      </c>
      <c r="K353" s="8">
        <v>249</v>
      </c>
      <c r="L353" s="9" t="s">
        <v>52</v>
      </c>
      <c r="M353" s="9" t="s">
        <v>23</v>
      </c>
      <c r="N353" s="18">
        <f t="shared" si="10"/>
        <v>7.4284798461415183E-2</v>
      </c>
      <c r="O353" s="18">
        <f t="shared" si="11"/>
        <v>7.2969143576826198E-2</v>
      </c>
    </row>
    <row r="354" spans="1:15" x14ac:dyDescent="0.3">
      <c r="A354" s="5" t="s">
        <v>270</v>
      </c>
      <c r="B354" s="6" t="s">
        <v>34</v>
      </c>
      <c r="C354" s="7">
        <v>45724</v>
      </c>
      <c r="D354" s="6" t="s">
        <v>40</v>
      </c>
      <c r="E354" s="6" t="s">
        <v>41</v>
      </c>
      <c r="F354" s="8">
        <v>2382</v>
      </c>
      <c r="G354" s="8">
        <v>265</v>
      </c>
      <c r="H354" s="8">
        <v>134</v>
      </c>
      <c r="I354" s="8">
        <v>38112</v>
      </c>
      <c r="J354" s="8">
        <v>37437</v>
      </c>
      <c r="K354" s="8">
        <v>249</v>
      </c>
      <c r="L354" s="9" t="s">
        <v>37</v>
      </c>
      <c r="M354" s="9" t="s">
        <v>23</v>
      </c>
      <c r="N354" s="18">
        <f t="shared" si="10"/>
        <v>7.4284798461415183E-2</v>
      </c>
      <c r="O354" s="18">
        <f t="shared" si="11"/>
        <v>7.2969143576826198E-2</v>
      </c>
    </row>
    <row r="355" spans="1:15" x14ac:dyDescent="0.3">
      <c r="A355" s="5" t="s">
        <v>271</v>
      </c>
      <c r="B355" s="6" t="s">
        <v>34</v>
      </c>
      <c r="C355" s="7">
        <v>45444</v>
      </c>
      <c r="D355" s="6" t="s">
        <v>20</v>
      </c>
      <c r="E355" s="6" t="s">
        <v>21</v>
      </c>
      <c r="F355" s="8">
        <v>1272</v>
      </c>
      <c r="G355" s="8">
        <v>465</v>
      </c>
      <c r="H355" s="8">
        <v>99</v>
      </c>
      <c r="I355" s="8">
        <v>24168</v>
      </c>
      <c r="J355" s="8">
        <v>23719</v>
      </c>
      <c r="K355" s="8">
        <v>42</v>
      </c>
      <c r="L355" s="9" t="s">
        <v>22</v>
      </c>
      <c r="M355" s="9" t="s">
        <v>23</v>
      </c>
      <c r="N355" s="18">
        <f t="shared" si="10"/>
        <v>7.7406298747839289E-2</v>
      </c>
      <c r="O355" s="18">
        <f t="shared" si="11"/>
        <v>7.5968222442899705E-2</v>
      </c>
    </row>
    <row r="356" spans="1:15" x14ac:dyDescent="0.3">
      <c r="A356" s="5" t="s">
        <v>271</v>
      </c>
      <c r="B356" s="6" t="s">
        <v>34</v>
      </c>
      <c r="C356" s="7">
        <v>45444</v>
      </c>
      <c r="D356" s="6" t="s">
        <v>20</v>
      </c>
      <c r="E356" s="6" t="s">
        <v>21</v>
      </c>
      <c r="F356" s="8">
        <v>1272</v>
      </c>
      <c r="G356" s="8">
        <v>465</v>
      </c>
      <c r="H356" s="8">
        <v>99</v>
      </c>
      <c r="I356" s="8">
        <v>24168</v>
      </c>
      <c r="J356" s="8">
        <v>23719</v>
      </c>
      <c r="K356" s="8">
        <v>42</v>
      </c>
      <c r="L356" s="9" t="s">
        <v>52</v>
      </c>
      <c r="M356" s="9" t="s">
        <v>23</v>
      </c>
      <c r="N356" s="18">
        <f t="shared" si="10"/>
        <v>7.7406298747839289E-2</v>
      </c>
      <c r="O356" s="18">
        <f t="shared" si="11"/>
        <v>7.5968222442899705E-2</v>
      </c>
    </row>
    <row r="357" spans="1:15" x14ac:dyDescent="0.3">
      <c r="A357" s="5" t="s">
        <v>272</v>
      </c>
      <c r="B357" s="6" t="s">
        <v>34</v>
      </c>
      <c r="C357" s="7">
        <v>45648</v>
      </c>
      <c r="D357" s="6" t="s">
        <v>40</v>
      </c>
      <c r="E357" s="6" t="s">
        <v>41</v>
      </c>
      <c r="F357" s="8">
        <v>3196</v>
      </c>
      <c r="G357" s="8">
        <v>941</v>
      </c>
      <c r="H357" s="8">
        <v>376</v>
      </c>
      <c r="I357" s="8">
        <v>35156</v>
      </c>
      <c r="J357" s="8">
        <v>34444</v>
      </c>
      <c r="K357" s="8">
        <v>241</v>
      </c>
      <c r="L357" s="9" t="s">
        <v>31</v>
      </c>
      <c r="M357" s="9" t="s">
        <v>44</v>
      </c>
      <c r="N357" s="18">
        <f t="shared" si="10"/>
        <v>0.13102427128091976</v>
      </c>
      <c r="O357" s="18">
        <f t="shared" si="11"/>
        <v>0.1283706906360223</v>
      </c>
    </row>
    <row r="358" spans="1:15" x14ac:dyDescent="0.3">
      <c r="A358" s="5" t="s">
        <v>272</v>
      </c>
      <c r="B358" s="6" t="s">
        <v>34</v>
      </c>
      <c r="C358" s="7">
        <v>45648</v>
      </c>
      <c r="D358" s="6" t="s">
        <v>40</v>
      </c>
      <c r="E358" s="6" t="s">
        <v>41</v>
      </c>
      <c r="F358" s="8">
        <v>3196</v>
      </c>
      <c r="G358" s="8">
        <v>941</v>
      </c>
      <c r="H358" s="8">
        <v>376</v>
      </c>
      <c r="I358" s="8">
        <v>35156</v>
      </c>
      <c r="J358" s="8">
        <v>34444</v>
      </c>
      <c r="K358" s="8">
        <v>241</v>
      </c>
      <c r="L358" s="9" t="s">
        <v>37</v>
      </c>
      <c r="M358" s="9" t="s">
        <v>44</v>
      </c>
      <c r="N358" s="18">
        <f t="shared" si="10"/>
        <v>0.13102427128091976</v>
      </c>
      <c r="O358" s="18">
        <f t="shared" si="11"/>
        <v>0.1283706906360223</v>
      </c>
    </row>
    <row r="359" spans="1:15" x14ac:dyDescent="0.3">
      <c r="A359" s="5" t="s">
        <v>273</v>
      </c>
      <c r="B359" s="6" t="s">
        <v>34</v>
      </c>
      <c r="C359" s="7">
        <v>45523</v>
      </c>
      <c r="D359" s="6" t="s">
        <v>20</v>
      </c>
      <c r="E359" s="6" t="s">
        <v>21</v>
      </c>
      <c r="F359" s="8">
        <v>1257</v>
      </c>
      <c r="G359" s="8">
        <v>19</v>
      </c>
      <c r="H359" s="8">
        <v>351</v>
      </c>
      <c r="I359" s="8">
        <v>12570</v>
      </c>
      <c r="J359" s="8">
        <v>11660</v>
      </c>
      <c r="K359" s="8">
        <v>194</v>
      </c>
      <c r="L359" s="9" t="s">
        <v>31</v>
      </c>
      <c r="M359" s="9" t="s">
        <v>18</v>
      </c>
      <c r="N359" s="18">
        <f t="shared" si="10"/>
        <v>0.13953687821612351</v>
      </c>
      <c r="O359" s="18">
        <f t="shared" si="11"/>
        <v>0.12943516308671441</v>
      </c>
    </row>
    <row r="360" spans="1:15" x14ac:dyDescent="0.3">
      <c r="A360" s="5" t="s">
        <v>274</v>
      </c>
      <c r="B360" s="6" t="s">
        <v>27</v>
      </c>
      <c r="C360" s="7">
        <v>45587</v>
      </c>
      <c r="D360" s="6" t="s">
        <v>28</v>
      </c>
      <c r="E360" s="6" t="s">
        <v>29</v>
      </c>
      <c r="F360" s="8">
        <v>3770</v>
      </c>
      <c r="G360" s="8">
        <v>917</v>
      </c>
      <c r="H360" s="8">
        <v>129</v>
      </c>
      <c r="I360" s="8">
        <v>71630</v>
      </c>
      <c r="J360" s="8">
        <v>71322</v>
      </c>
      <c r="K360" s="8">
        <v>76</v>
      </c>
      <c r="L360" s="9" t="s">
        <v>17</v>
      </c>
      <c r="M360" s="9" t="s">
        <v>44</v>
      </c>
      <c r="N360" s="18">
        <f t="shared" si="10"/>
        <v>6.752474692240823E-2</v>
      </c>
      <c r="O360" s="18">
        <f t="shared" si="11"/>
        <v>6.7234398994834563E-2</v>
      </c>
    </row>
    <row r="361" spans="1:15" x14ac:dyDescent="0.3">
      <c r="A361" s="5" t="s">
        <v>274</v>
      </c>
      <c r="B361" s="6" t="s">
        <v>27</v>
      </c>
      <c r="C361" s="7">
        <v>45587</v>
      </c>
      <c r="D361" s="6" t="s">
        <v>28</v>
      </c>
      <c r="E361" s="6" t="s">
        <v>29</v>
      </c>
      <c r="F361" s="8">
        <v>3770</v>
      </c>
      <c r="G361" s="8">
        <v>917</v>
      </c>
      <c r="H361" s="8">
        <v>129</v>
      </c>
      <c r="I361" s="8">
        <v>71630</v>
      </c>
      <c r="J361" s="8">
        <v>71322</v>
      </c>
      <c r="K361" s="8">
        <v>76</v>
      </c>
      <c r="L361" s="9" t="s">
        <v>37</v>
      </c>
      <c r="M361" s="9" t="s">
        <v>44</v>
      </c>
      <c r="N361" s="18">
        <f t="shared" si="10"/>
        <v>6.752474692240823E-2</v>
      </c>
      <c r="O361" s="18">
        <f t="shared" si="11"/>
        <v>6.7234398994834563E-2</v>
      </c>
    </row>
    <row r="362" spans="1:15" x14ac:dyDescent="0.3">
      <c r="A362" s="5" t="s">
        <v>275</v>
      </c>
      <c r="B362" s="6" t="s">
        <v>14</v>
      </c>
      <c r="C362" s="7">
        <v>45489</v>
      </c>
      <c r="D362" s="6" t="s">
        <v>20</v>
      </c>
      <c r="E362" s="6" t="s">
        <v>21</v>
      </c>
      <c r="F362" s="8">
        <v>4725</v>
      </c>
      <c r="G362" s="8">
        <v>400</v>
      </c>
      <c r="H362" s="8">
        <v>362</v>
      </c>
      <c r="I362" s="8">
        <v>75600</v>
      </c>
      <c r="J362" s="8">
        <v>74927</v>
      </c>
      <c r="K362" s="8">
        <v>43</v>
      </c>
      <c r="L362" s="9" t="s">
        <v>37</v>
      </c>
      <c r="M362" s="9" t="s">
        <v>18</v>
      </c>
      <c r="N362" s="18">
        <f t="shared" si="10"/>
        <v>7.323127844435251E-2</v>
      </c>
      <c r="O362" s="18">
        <f t="shared" si="11"/>
        <v>7.2579365079365077E-2</v>
      </c>
    </row>
    <row r="363" spans="1:15" x14ac:dyDescent="0.3">
      <c r="A363" s="5" t="s">
        <v>275</v>
      </c>
      <c r="B363" s="6" t="s">
        <v>14</v>
      </c>
      <c r="C363" s="7">
        <v>45489</v>
      </c>
      <c r="D363" s="6" t="s">
        <v>20</v>
      </c>
      <c r="E363" s="6" t="s">
        <v>21</v>
      </c>
      <c r="F363" s="8">
        <v>4725</v>
      </c>
      <c r="G363" s="8">
        <v>400</v>
      </c>
      <c r="H363" s="8">
        <v>362</v>
      </c>
      <c r="I363" s="8">
        <v>75600</v>
      </c>
      <c r="J363" s="8">
        <v>74927</v>
      </c>
      <c r="K363" s="8">
        <v>43</v>
      </c>
      <c r="L363" s="9" t="s">
        <v>22</v>
      </c>
      <c r="M363" s="9" t="s">
        <v>18</v>
      </c>
      <c r="N363" s="18">
        <f t="shared" si="10"/>
        <v>7.323127844435251E-2</v>
      </c>
      <c r="O363" s="18">
        <f t="shared" si="11"/>
        <v>7.2579365079365077E-2</v>
      </c>
    </row>
    <row r="364" spans="1:15" x14ac:dyDescent="0.3">
      <c r="A364" s="5" t="s">
        <v>276</v>
      </c>
      <c r="B364" s="6" t="s">
        <v>25</v>
      </c>
      <c r="C364" s="7">
        <v>45712</v>
      </c>
      <c r="D364" s="6" t="s">
        <v>20</v>
      </c>
      <c r="E364" s="6" t="s">
        <v>21</v>
      </c>
      <c r="F364" s="8">
        <v>4188</v>
      </c>
      <c r="G364" s="8">
        <v>942</v>
      </c>
      <c r="H364" s="8">
        <v>118</v>
      </c>
      <c r="I364" s="8">
        <v>20940</v>
      </c>
      <c r="J364" s="8">
        <v>20471</v>
      </c>
      <c r="K364" s="8">
        <v>102</v>
      </c>
      <c r="L364" s="9" t="s">
        <v>31</v>
      </c>
      <c r="M364" s="9" t="s">
        <v>23</v>
      </c>
      <c r="N364" s="18">
        <f t="shared" si="10"/>
        <v>0.25636265937179425</v>
      </c>
      <c r="O364" s="18">
        <f t="shared" si="11"/>
        <v>0.25062082139446035</v>
      </c>
    </row>
    <row r="365" spans="1:15" x14ac:dyDescent="0.3">
      <c r="A365" s="5" t="s">
        <v>277</v>
      </c>
      <c r="B365" s="6" t="s">
        <v>14</v>
      </c>
      <c r="C365" s="7">
        <v>45530</v>
      </c>
      <c r="D365" s="6" t="s">
        <v>35</v>
      </c>
      <c r="E365" s="6" t="s">
        <v>36</v>
      </c>
      <c r="F365" s="8">
        <v>929</v>
      </c>
      <c r="G365" s="8">
        <v>192</v>
      </c>
      <c r="H365" s="8">
        <v>322</v>
      </c>
      <c r="I365" s="8">
        <v>16722</v>
      </c>
      <c r="J365" s="8">
        <v>15996</v>
      </c>
      <c r="K365" s="8">
        <v>145</v>
      </c>
      <c r="L365" s="9" t="s">
        <v>22</v>
      </c>
      <c r="M365" s="9" t="s">
        <v>32</v>
      </c>
      <c r="N365" s="18">
        <f t="shared" si="10"/>
        <v>9.0210052513128289E-2</v>
      </c>
      <c r="O365" s="18">
        <f t="shared" si="11"/>
        <v>8.6293505561535699E-2</v>
      </c>
    </row>
    <row r="366" spans="1:15" x14ac:dyDescent="0.3">
      <c r="A366" s="5" t="s">
        <v>278</v>
      </c>
      <c r="B366" s="6" t="s">
        <v>34</v>
      </c>
      <c r="C366" s="7">
        <v>45675</v>
      </c>
      <c r="D366" s="6" t="s">
        <v>28</v>
      </c>
      <c r="E366" s="6" t="s">
        <v>29</v>
      </c>
      <c r="F366" s="8">
        <v>4321</v>
      </c>
      <c r="G366" s="8">
        <v>874</v>
      </c>
      <c r="H366" s="8">
        <v>172</v>
      </c>
      <c r="I366" s="8">
        <v>30247</v>
      </c>
      <c r="J366" s="8">
        <v>29254</v>
      </c>
      <c r="K366" s="8">
        <v>122</v>
      </c>
      <c r="L366" s="9" t="s">
        <v>17</v>
      </c>
      <c r="M366" s="9" t="s">
        <v>32</v>
      </c>
      <c r="N366" s="18">
        <f t="shared" si="10"/>
        <v>0.18346209065426949</v>
      </c>
      <c r="O366" s="18">
        <f t="shared" si="11"/>
        <v>0.17743908486792079</v>
      </c>
    </row>
    <row r="367" spans="1:15" x14ac:dyDescent="0.3">
      <c r="A367" s="5" t="s">
        <v>278</v>
      </c>
      <c r="B367" s="6" t="s">
        <v>34</v>
      </c>
      <c r="C367" s="7">
        <v>45675</v>
      </c>
      <c r="D367" s="6" t="s">
        <v>28</v>
      </c>
      <c r="E367" s="6" t="s">
        <v>29</v>
      </c>
      <c r="F367" s="8">
        <v>4321</v>
      </c>
      <c r="G367" s="8">
        <v>874</v>
      </c>
      <c r="H367" s="8">
        <v>172</v>
      </c>
      <c r="I367" s="8">
        <v>30247</v>
      </c>
      <c r="J367" s="8">
        <v>29254</v>
      </c>
      <c r="K367" s="8">
        <v>122</v>
      </c>
      <c r="L367" s="9" t="s">
        <v>22</v>
      </c>
      <c r="M367" s="9" t="s">
        <v>32</v>
      </c>
      <c r="N367" s="18">
        <f t="shared" si="10"/>
        <v>0.18346209065426949</v>
      </c>
      <c r="O367" s="18">
        <f t="shared" si="11"/>
        <v>0.17743908486792079</v>
      </c>
    </row>
    <row r="368" spans="1:15" x14ac:dyDescent="0.3">
      <c r="A368" s="5" t="s">
        <v>279</v>
      </c>
      <c r="B368" s="6" t="s">
        <v>34</v>
      </c>
      <c r="C368" s="7">
        <v>45480</v>
      </c>
      <c r="D368" s="6" t="s">
        <v>15</v>
      </c>
      <c r="E368" s="6" t="s">
        <v>16</v>
      </c>
      <c r="F368" s="8">
        <v>4767</v>
      </c>
      <c r="G368" s="8">
        <v>190</v>
      </c>
      <c r="H368" s="8">
        <v>340</v>
      </c>
      <c r="I368" s="8">
        <v>28602</v>
      </c>
      <c r="J368" s="8">
        <v>28044</v>
      </c>
      <c r="K368" s="8">
        <v>210</v>
      </c>
      <c r="L368" s="9" t="s">
        <v>52</v>
      </c>
      <c r="M368" s="9" t="s">
        <v>44</v>
      </c>
      <c r="N368" s="18">
        <f t="shared" si="10"/>
        <v>0.18888175723862502</v>
      </c>
      <c r="O368" s="18">
        <f t="shared" si="11"/>
        <v>0.18519683938186141</v>
      </c>
    </row>
    <row r="369" spans="1:15" x14ac:dyDescent="0.3">
      <c r="A369" s="5" t="s">
        <v>280</v>
      </c>
      <c r="B369" s="6" t="s">
        <v>14</v>
      </c>
      <c r="C369" s="7">
        <v>45722</v>
      </c>
      <c r="D369" s="6" t="s">
        <v>40</v>
      </c>
      <c r="E369" s="6" t="s">
        <v>41</v>
      </c>
      <c r="F369" s="8">
        <v>3592</v>
      </c>
      <c r="G369" s="8">
        <v>911</v>
      </c>
      <c r="H369" s="8">
        <v>375</v>
      </c>
      <c r="I369" s="8">
        <v>50288</v>
      </c>
      <c r="J369" s="8">
        <v>49490</v>
      </c>
      <c r="K369" s="8">
        <v>32</v>
      </c>
      <c r="L369" s="9" t="s">
        <v>31</v>
      </c>
      <c r="M369" s="9" t="s">
        <v>23</v>
      </c>
      <c r="N369" s="18">
        <f t="shared" si="10"/>
        <v>9.8565366740755708E-2</v>
      </c>
      <c r="O369" s="18">
        <f t="shared" si="11"/>
        <v>9.7001272669424113E-2</v>
      </c>
    </row>
    <row r="370" spans="1:15" x14ac:dyDescent="0.3">
      <c r="A370" s="5" t="s">
        <v>281</v>
      </c>
      <c r="B370" s="6" t="s">
        <v>25</v>
      </c>
      <c r="C370" s="7">
        <v>45590</v>
      </c>
      <c r="D370" s="6" t="s">
        <v>50</v>
      </c>
      <c r="E370" s="6" t="s">
        <v>51</v>
      </c>
      <c r="F370" s="8">
        <v>4661</v>
      </c>
      <c r="G370" s="8">
        <v>935</v>
      </c>
      <c r="H370" s="8">
        <v>433</v>
      </c>
      <c r="I370" s="8">
        <v>23305</v>
      </c>
      <c r="J370" s="8">
        <v>22583</v>
      </c>
      <c r="K370" s="8">
        <v>63</v>
      </c>
      <c r="L370" s="9" t="s">
        <v>31</v>
      </c>
      <c r="M370" s="9" t="s">
        <v>18</v>
      </c>
      <c r="N370" s="18">
        <f t="shared" si="10"/>
        <v>0.26697073019527962</v>
      </c>
      <c r="O370" s="18">
        <f t="shared" si="11"/>
        <v>0.25869984981763572</v>
      </c>
    </row>
    <row r="371" spans="1:15" x14ac:dyDescent="0.3">
      <c r="A371" s="5" t="s">
        <v>281</v>
      </c>
      <c r="B371" s="6" t="s">
        <v>25</v>
      </c>
      <c r="C371" s="7">
        <v>45590</v>
      </c>
      <c r="D371" s="6" t="s">
        <v>50</v>
      </c>
      <c r="E371" s="6" t="s">
        <v>51</v>
      </c>
      <c r="F371" s="8">
        <v>4661</v>
      </c>
      <c r="G371" s="8">
        <v>935</v>
      </c>
      <c r="H371" s="8">
        <v>433</v>
      </c>
      <c r="I371" s="8">
        <v>23305</v>
      </c>
      <c r="J371" s="8">
        <v>22583</v>
      </c>
      <c r="K371" s="8">
        <v>63</v>
      </c>
      <c r="L371" s="9" t="s">
        <v>52</v>
      </c>
      <c r="M371" s="9" t="s">
        <v>18</v>
      </c>
      <c r="N371" s="18">
        <f t="shared" si="10"/>
        <v>0.26697073019527962</v>
      </c>
      <c r="O371" s="18">
        <f t="shared" si="11"/>
        <v>0.25869984981763572</v>
      </c>
    </row>
    <row r="372" spans="1:15" x14ac:dyDescent="0.3">
      <c r="A372" s="5" t="s">
        <v>282</v>
      </c>
      <c r="B372" s="6" t="s">
        <v>34</v>
      </c>
      <c r="C372" s="7">
        <v>45669</v>
      </c>
      <c r="D372" s="6" t="s">
        <v>15</v>
      </c>
      <c r="E372" s="6" t="s">
        <v>16</v>
      </c>
      <c r="F372" s="8">
        <v>4134</v>
      </c>
      <c r="G372" s="8">
        <v>824</v>
      </c>
      <c r="H372" s="8">
        <v>99</v>
      </c>
      <c r="I372" s="8">
        <v>41340</v>
      </c>
      <c r="J372" s="8">
        <v>41050</v>
      </c>
      <c r="K372" s="8">
        <v>177</v>
      </c>
      <c r="L372" s="9" t="s">
        <v>22</v>
      </c>
      <c r="M372" s="9" t="s">
        <v>23</v>
      </c>
      <c r="N372" s="18">
        <f t="shared" si="10"/>
        <v>0.12319123020706456</v>
      </c>
      <c r="O372" s="18">
        <f t="shared" si="11"/>
        <v>0.12232704402515723</v>
      </c>
    </row>
    <row r="373" spans="1:15" x14ac:dyDescent="0.3">
      <c r="A373" s="5" t="s">
        <v>283</v>
      </c>
      <c r="B373" s="6" t="s">
        <v>34</v>
      </c>
      <c r="C373" s="7">
        <v>45576</v>
      </c>
      <c r="D373" s="6" t="s">
        <v>40</v>
      </c>
      <c r="E373" s="6" t="s">
        <v>41</v>
      </c>
      <c r="F373" s="8">
        <v>400</v>
      </c>
      <c r="G373" s="8">
        <v>680</v>
      </c>
      <c r="H373" s="8">
        <v>434</v>
      </c>
      <c r="I373" s="8">
        <v>6400</v>
      </c>
      <c r="J373" s="8">
        <v>5472</v>
      </c>
      <c r="K373" s="8">
        <v>160</v>
      </c>
      <c r="L373" s="9" t="s">
        <v>17</v>
      </c>
      <c r="M373" s="9" t="s">
        <v>23</v>
      </c>
      <c r="N373" s="18">
        <f t="shared" si="10"/>
        <v>0.27668128654970758</v>
      </c>
      <c r="O373" s="18">
        <f t="shared" si="11"/>
        <v>0.23656250000000001</v>
      </c>
    </row>
    <row r="374" spans="1:15" x14ac:dyDescent="0.3">
      <c r="A374" s="5" t="s">
        <v>283</v>
      </c>
      <c r="B374" s="6" t="s">
        <v>34</v>
      </c>
      <c r="C374" s="7">
        <v>45576</v>
      </c>
      <c r="D374" s="6" t="s">
        <v>40</v>
      </c>
      <c r="E374" s="6" t="s">
        <v>41</v>
      </c>
      <c r="F374" s="8">
        <v>400</v>
      </c>
      <c r="G374" s="8">
        <v>680</v>
      </c>
      <c r="H374" s="8">
        <v>434</v>
      </c>
      <c r="I374" s="8">
        <v>6400</v>
      </c>
      <c r="J374" s="8">
        <v>5472</v>
      </c>
      <c r="K374" s="8">
        <v>160</v>
      </c>
      <c r="L374" s="9" t="s">
        <v>37</v>
      </c>
      <c r="M374" s="9" t="s">
        <v>23</v>
      </c>
      <c r="N374" s="18">
        <f t="shared" si="10"/>
        <v>0.27668128654970758</v>
      </c>
      <c r="O374" s="18">
        <f t="shared" si="11"/>
        <v>0.23656250000000001</v>
      </c>
    </row>
    <row r="375" spans="1:15" x14ac:dyDescent="0.3">
      <c r="A375" s="5" t="s">
        <v>284</v>
      </c>
      <c r="B375" s="6" t="s">
        <v>34</v>
      </c>
      <c r="C375" s="7">
        <v>45531</v>
      </c>
      <c r="D375" s="6" t="s">
        <v>15</v>
      </c>
      <c r="E375" s="6" t="s">
        <v>16</v>
      </c>
      <c r="F375" s="8">
        <v>3960</v>
      </c>
      <c r="G375" s="8">
        <v>266</v>
      </c>
      <c r="H375" s="8">
        <v>8</v>
      </c>
      <c r="I375" s="8">
        <v>35640</v>
      </c>
      <c r="J375" s="8">
        <v>34850</v>
      </c>
      <c r="K375" s="8">
        <v>208</v>
      </c>
      <c r="L375" s="9" t="s">
        <v>37</v>
      </c>
      <c r="M375" s="9" t="s">
        <v>44</v>
      </c>
      <c r="N375" s="18">
        <f t="shared" si="10"/>
        <v>0.12149210903873744</v>
      </c>
      <c r="O375" s="18">
        <f t="shared" si="11"/>
        <v>0.11879910213243547</v>
      </c>
    </row>
    <row r="376" spans="1:15" x14ac:dyDescent="0.3">
      <c r="A376" s="5" t="s">
        <v>284</v>
      </c>
      <c r="B376" s="6" t="s">
        <v>34</v>
      </c>
      <c r="C376" s="7">
        <v>45531</v>
      </c>
      <c r="D376" s="6" t="s">
        <v>15</v>
      </c>
      <c r="E376" s="6" t="s">
        <v>16</v>
      </c>
      <c r="F376" s="8">
        <v>3960</v>
      </c>
      <c r="G376" s="8">
        <v>266</v>
      </c>
      <c r="H376" s="8">
        <v>8</v>
      </c>
      <c r="I376" s="8">
        <v>35640</v>
      </c>
      <c r="J376" s="8">
        <v>34850</v>
      </c>
      <c r="K376" s="8">
        <v>208</v>
      </c>
      <c r="L376" s="9" t="s">
        <v>22</v>
      </c>
      <c r="M376" s="9" t="s">
        <v>44</v>
      </c>
      <c r="N376" s="18">
        <f t="shared" si="10"/>
        <v>0.12149210903873744</v>
      </c>
      <c r="O376" s="18">
        <f t="shared" si="11"/>
        <v>0.11879910213243547</v>
      </c>
    </row>
    <row r="377" spans="1:15" x14ac:dyDescent="0.3">
      <c r="A377" s="5" t="s">
        <v>285</v>
      </c>
      <c r="B377" s="6" t="s">
        <v>34</v>
      </c>
      <c r="C377" s="7">
        <v>45690</v>
      </c>
      <c r="D377" s="6" t="s">
        <v>28</v>
      </c>
      <c r="E377" s="6" t="s">
        <v>29</v>
      </c>
      <c r="F377" s="8">
        <v>886</v>
      </c>
      <c r="G377" s="8">
        <v>126</v>
      </c>
      <c r="H377" s="8">
        <v>153</v>
      </c>
      <c r="I377" s="8">
        <v>4430</v>
      </c>
      <c r="J377" s="8">
        <v>4037</v>
      </c>
      <c r="K377" s="8">
        <v>212</v>
      </c>
      <c r="L377" s="9" t="s">
        <v>17</v>
      </c>
      <c r="M377" s="9" t="s">
        <v>32</v>
      </c>
      <c r="N377" s="18">
        <f t="shared" si="10"/>
        <v>0.2885806291800842</v>
      </c>
      <c r="O377" s="18">
        <f t="shared" si="11"/>
        <v>0.26297968397291194</v>
      </c>
    </row>
    <row r="378" spans="1:15" x14ac:dyDescent="0.3">
      <c r="A378" s="5" t="s">
        <v>286</v>
      </c>
      <c r="B378" s="6" t="s">
        <v>14</v>
      </c>
      <c r="C378" s="7">
        <v>45491</v>
      </c>
      <c r="D378" s="6" t="s">
        <v>40</v>
      </c>
      <c r="E378" s="6" t="s">
        <v>41</v>
      </c>
      <c r="F378" s="8">
        <v>827</v>
      </c>
      <c r="G378" s="8">
        <v>77</v>
      </c>
      <c r="H378" s="8">
        <v>402</v>
      </c>
      <c r="I378" s="8">
        <v>14886</v>
      </c>
      <c r="J378" s="8">
        <v>14129</v>
      </c>
      <c r="K378" s="8">
        <v>254</v>
      </c>
      <c r="L378" s="9" t="s">
        <v>31</v>
      </c>
      <c r="M378" s="9" t="s">
        <v>23</v>
      </c>
      <c r="N378" s="18">
        <f t="shared" si="10"/>
        <v>9.2434000990869847E-2</v>
      </c>
      <c r="O378" s="18">
        <f t="shared" si="11"/>
        <v>8.7733440816874911E-2</v>
      </c>
    </row>
    <row r="379" spans="1:15" x14ac:dyDescent="0.3">
      <c r="A379" s="5" t="s">
        <v>287</v>
      </c>
      <c r="B379" s="6" t="s">
        <v>34</v>
      </c>
      <c r="C379" s="7">
        <v>45465</v>
      </c>
      <c r="D379" s="6" t="s">
        <v>15</v>
      </c>
      <c r="E379" s="6" t="s">
        <v>16</v>
      </c>
      <c r="F379" s="8">
        <v>3813</v>
      </c>
      <c r="G379" s="8">
        <v>935</v>
      </c>
      <c r="H379" s="8">
        <v>274</v>
      </c>
      <c r="I379" s="8">
        <v>68634</v>
      </c>
      <c r="J379" s="8">
        <v>68488</v>
      </c>
      <c r="K379" s="8">
        <v>251</v>
      </c>
      <c r="L379" s="9" t="s">
        <v>52</v>
      </c>
      <c r="M379" s="9" t="s">
        <v>18</v>
      </c>
      <c r="N379" s="18">
        <f t="shared" si="10"/>
        <v>7.3326714168905502E-2</v>
      </c>
      <c r="O379" s="18">
        <f t="shared" si="11"/>
        <v>7.3170731707317069E-2</v>
      </c>
    </row>
    <row r="380" spans="1:15" x14ac:dyDescent="0.3">
      <c r="A380" s="5" t="s">
        <v>287</v>
      </c>
      <c r="B380" s="6" t="s">
        <v>34</v>
      </c>
      <c r="C380" s="7">
        <v>45465</v>
      </c>
      <c r="D380" s="6" t="s">
        <v>15</v>
      </c>
      <c r="E380" s="6" t="s">
        <v>16</v>
      </c>
      <c r="F380" s="8">
        <v>3813</v>
      </c>
      <c r="G380" s="8">
        <v>935</v>
      </c>
      <c r="H380" s="8">
        <v>274</v>
      </c>
      <c r="I380" s="8">
        <v>68634</v>
      </c>
      <c r="J380" s="8">
        <v>68488</v>
      </c>
      <c r="K380" s="8">
        <v>251</v>
      </c>
      <c r="L380" s="9" t="s">
        <v>37</v>
      </c>
      <c r="M380" s="9" t="s">
        <v>18</v>
      </c>
      <c r="N380" s="18">
        <f t="shared" si="10"/>
        <v>7.3326714168905502E-2</v>
      </c>
      <c r="O380" s="18">
        <f t="shared" si="11"/>
        <v>7.3170731707317069E-2</v>
      </c>
    </row>
    <row r="381" spans="1:15" x14ac:dyDescent="0.3">
      <c r="A381" s="5" t="s">
        <v>288</v>
      </c>
      <c r="B381" s="6" t="s">
        <v>27</v>
      </c>
      <c r="C381" s="7">
        <v>45743</v>
      </c>
      <c r="D381" s="6" t="s">
        <v>35</v>
      </c>
      <c r="E381" s="6" t="s">
        <v>36</v>
      </c>
      <c r="F381" s="8">
        <v>1377</v>
      </c>
      <c r="G381" s="8">
        <v>796</v>
      </c>
      <c r="H381" s="8">
        <v>387</v>
      </c>
      <c r="I381" s="8">
        <v>22032</v>
      </c>
      <c r="J381" s="8">
        <v>21869</v>
      </c>
      <c r="K381" s="8">
        <v>189</v>
      </c>
      <c r="L381" s="9" t="s">
        <v>52</v>
      </c>
      <c r="M381" s="9" t="s">
        <v>32</v>
      </c>
      <c r="N381" s="18">
        <f t="shared" si="10"/>
        <v>0.11706067950066304</v>
      </c>
      <c r="O381" s="18">
        <f t="shared" si="11"/>
        <v>0.11619462599854757</v>
      </c>
    </row>
    <row r="382" spans="1:15" x14ac:dyDescent="0.3">
      <c r="A382" s="5" t="s">
        <v>288</v>
      </c>
      <c r="B382" s="6" t="s">
        <v>27</v>
      </c>
      <c r="C382" s="7">
        <v>45743</v>
      </c>
      <c r="D382" s="6" t="s">
        <v>35</v>
      </c>
      <c r="E382" s="6" t="s">
        <v>36</v>
      </c>
      <c r="F382" s="8">
        <v>1377</v>
      </c>
      <c r="G382" s="8">
        <v>796</v>
      </c>
      <c r="H382" s="8">
        <v>387</v>
      </c>
      <c r="I382" s="8">
        <v>22032</v>
      </c>
      <c r="J382" s="8">
        <v>21869</v>
      </c>
      <c r="K382" s="8">
        <v>189</v>
      </c>
      <c r="L382" s="9" t="s">
        <v>22</v>
      </c>
      <c r="M382" s="9" t="s">
        <v>32</v>
      </c>
      <c r="N382" s="18">
        <f t="shared" si="10"/>
        <v>0.11706067950066304</v>
      </c>
      <c r="O382" s="18">
        <f t="shared" si="11"/>
        <v>0.11619462599854757</v>
      </c>
    </row>
    <row r="383" spans="1:15" x14ac:dyDescent="0.3">
      <c r="A383" s="5" t="s">
        <v>289</v>
      </c>
      <c r="B383" s="6" t="s">
        <v>34</v>
      </c>
      <c r="C383" s="7">
        <v>45775</v>
      </c>
      <c r="D383" s="6" t="s">
        <v>35</v>
      </c>
      <c r="E383" s="6" t="s">
        <v>36</v>
      </c>
      <c r="F383" s="8">
        <v>2089</v>
      </c>
      <c r="G383" s="8">
        <v>476</v>
      </c>
      <c r="H383" s="8">
        <v>69</v>
      </c>
      <c r="I383" s="8">
        <v>16712</v>
      </c>
      <c r="J383" s="8">
        <v>16309</v>
      </c>
      <c r="K383" s="8">
        <v>64</v>
      </c>
      <c r="L383" s="9" t="s">
        <v>31</v>
      </c>
      <c r="M383" s="9" t="s">
        <v>18</v>
      </c>
      <c r="N383" s="18">
        <f t="shared" si="10"/>
        <v>0.16150591697835551</v>
      </c>
      <c r="O383" s="18">
        <f t="shared" si="11"/>
        <v>0.15761129727142173</v>
      </c>
    </row>
    <row r="384" spans="1:15" x14ac:dyDescent="0.3">
      <c r="A384" s="5" t="s">
        <v>289</v>
      </c>
      <c r="B384" s="6" t="s">
        <v>34</v>
      </c>
      <c r="C384" s="7">
        <v>45775</v>
      </c>
      <c r="D384" s="6" t="s">
        <v>35</v>
      </c>
      <c r="E384" s="6" t="s">
        <v>36</v>
      </c>
      <c r="F384" s="8">
        <v>2089</v>
      </c>
      <c r="G384" s="8">
        <v>476</v>
      </c>
      <c r="H384" s="8">
        <v>69</v>
      </c>
      <c r="I384" s="8">
        <v>16712</v>
      </c>
      <c r="J384" s="8">
        <v>16309</v>
      </c>
      <c r="K384" s="8">
        <v>64</v>
      </c>
      <c r="L384" s="9" t="s">
        <v>17</v>
      </c>
      <c r="M384" s="9" t="s">
        <v>18</v>
      </c>
      <c r="N384" s="18">
        <f t="shared" si="10"/>
        <v>0.16150591697835551</v>
      </c>
      <c r="O384" s="18">
        <f t="shared" si="11"/>
        <v>0.15761129727142173</v>
      </c>
    </row>
    <row r="385" spans="1:15" x14ac:dyDescent="0.3">
      <c r="A385" s="5" t="s">
        <v>290</v>
      </c>
      <c r="B385" s="6" t="s">
        <v>14</v>
      </c>
      <c r="C385" s="7">
        <v>45507</v>
      </c>
      <c r="D385" s="6" t="s">
        <v>15</v>
      </c>
      <c r="E385" s="6" t="s">
        <v>16</v>
      </c>
      <c r="F385" s="8">
        <v>3791</v>
      </c>
      <c r="G385" s="8">
        <v>593</v>
      </c>
      <c r="H385" s="8">
        <v>228</v>
      </c>
      <c r="I385" s="8">
        <v>53074</v>
      </c>
      <c r="J385" s="8">
        <v>52613</v>
      </c>
      <c r="K385" s="8">
        <v>205</v>
      </c>
      <c r="L385" s="9" t="s">
        <v>31</v>
      </c>
      <c r="M385" s="9" t="s">
        <v>18</v>
      </c>
      <c r="N385" s="18">
        <f t="shared" si="10"/>
        <v>8.7658943607093309E-2</v>
      </c>
      <c r="O385" s="18">
        <f t="shared" si="11"/>
        <v>8.6897539284772202E-2</v>
      </c>
    </row>
    <row r="386" spans="1:15" x14ac:dyDescent="0.3">
      <c r="A386" s="5" t="s">
        <v>290</v>
      </c>
      <c r="B386" s="6" t="s">
        <v>14</v>
      </c>
      <c r="C386" s="7">
        <v>45507</v>
      </c>
      <c r="D386" s="6" t="s">
        <v>15</v>
      </c>
      <c r="E386" s="6" t="s">
        <v>16</v>
      </c>
      <c r="F386" s="8">
        <v>3791</v>
      </c>
      <c r="G386" s="8">
        <v>593</v>
      </c>
      <c r="H386" s="8">
        <v>228</v>
      </c>
      <c r="I386" s="8">
        <v>53074</v>
      </c>
      <c r="J386" s="8">
        <v>52613</v>
      </c>
      <c r="K386" s="8">
        <v>205</v>
      </c>
      <c r="L386" s="9" t="s">
        <v>52</v>
      </c>
      <c r="M386" s="9" t="s">
        <v>18</v>
      </c>
      <c r="N386" s="18">
        <f t="shared" si="10"/>
        <v>8.7658943607093309E-2</v>
      </c>
      <c r="O386" s="18">
        <f t="shared" si="11"/>
        <v>8.6897539284772202E-2</v>
      </c>
    </row>
    <row r="387" spans="1:15" x14ac:dyDescent="0.3">
      <c r="A387" s="5" t="s">
        <v>291</v>
      </c>
      <c r="B387" s="6" t="s">
        <v>14</v>
      </c>
      <c r="C387" s="7">
        <v>45671</v>
      </c>
      <c r="D387" s="6" t="s">
        <v>40</v>
      </c>
      <c r="E387" s="6" t="s">
        <v>41</v>
      </c>
      <c r="F387" s="8">
        <v>2692</v>
      </c>
      <c r="G387" s="8">
        <v>115</v>
      </c>
      <c r="H387" s="8">
        <v>64</v>
      </c>
      <c r="I387" s="8">
        <v>21536</v>
      </c>
      <c r="J387" s="8">
        <v>21120</v>
      </c>
      <c r="K387" s="8">
        <v>224</v>
      </c>
      <c r="L387" s="9" t="s">
        <v>52</v>
      </c>
      <c r="M387" s="9" t="s">
        <v>44</v>
      </c>
      <c r="N387" s="18">
        <f t="shared" ref="N387:N450" si="12">SUM(F387,G387,H387)/J387</f>
        <v>0.13593749999999999</v>
      </c>
      <c r="O387" s="18">
        <f t="shared" ref="O387:O450" si="13">SUM(F387,G387,H387)/I387</f>
        <v>0.13331166419019316</v>
      </c>
    </row>
    <row r="388" spans="1:15" x14ac:dyDescent="0.3">
      <c r="A388" s="5" t="s">
        <v>291</v>
      </c>
      <c r="B388" s="6" t="s">
        <v>14</v>
      </c>
      <c r="C388" s="7">
        <v>45671</v>
      </c>
      <c r="D388" s="6" t="s">
        <v>40</v>
      </c>
      <c r="E388" s="6" t="s">
        <v>41</v>
      </c>
      <c r="F388" s="8">
        <v>2692</v>
      </c>
      <c r="G388" s="8">
        <v>115</v>
      </c>
      <c r="H388" s="8">
        <v>64</v>
      </c>
      <c r="I388" s="8">
        <v>21536</v>
      </c>
      <c r="J388" s="8">
        <v>21120</v>
      </c>
      <c r="K388" s="8">
        <v>224</v>
      </c>
      <c r="L388" s="9" t="s">
        <v>37</v>
      </c>
      <c r="M388" s="9" t="s">
        <v>44</v>
      </c>
      <c r="N388" s="18">
        <f t="shared" si="12"/>
        <v>0.13593749999999999</v>
      </c>
      <c r="O388" s="18">
        <f t="shared" si="13"/>
        <v>0.13331166419019316</v>
      </c>
    </row>
    <row r="389" spans="1:15" x14ac:dyDescent="0.3">
      <c r="A389" s="5" t="s">
        <v>292</v>
      </c>
      <c r="B389" s="6" t="s">
        <v>34</v>
      </c>
      <c r="C389" s="7">
        <v>45750</v>
      </c>
      <c r="D389" s="6" t="s">
        <v>28</v>
      </c>
      <c r="E389" s="6" t="s">
        <v>29</v>
      </c>
      <c r="F389" s="8">
        <v>3767</v>
      </c>
      <c r="G389" s="8">
        <v>514</v>
      </c>
      <c r="H389" s="8">
        <v>238</v>
      </c>
      <c r="I389" s="8">
        <v>37670</v>
      </c>
      <c r="J389" s="8">
        <v>36807</v>
      </c>
      <c r="K389" s="8">
        <v>226</v>
      </c>
      <c r="L389" s="9" t="s">
        <v>31</v>
      </c>
      <c r="M389" s="9" t="s">
        <v>18</v>
      </c>
      <c r="N389" s="18">
        <f t="shared" si="12"/>
        <v>0.12277555899692993</v>
      </c>
      <c r="O389" s="18">
        <f t="shared" si="13"/>
        <v>0.11996283514733209</v>
      </c>
    </row>
    <row r="390" spans="1:15" x14ac:dyDescent="0.3">
      <c r="A390" s="5" t="s">
        <v>292</v>
      </c>
      <c r="B390" s="6" t="s">
        <v>34</v>
      </c>
      <c r="C390" s="7">
        <v>45750</v>
      </c>
      <c r="D390" s="6" t="s">
        <v>28</v>
      </c>
      <c r="E390" s="6" t="s">
        <v>29</v>
      </c>
      <c r="F390" s="8">
        <v>3767</v>
      </c>
      <c r="G390" s="8">
        <v>514</v>
      </c>
      <c r="H390" s="8">
        <v>238</v>
      </c>
      <c r="I390" s="8">
        <v>37670</v>
      </c>
      <c r="J390" s="8">
        <v>36807</v>
      </c>
      <c r="K390" s="8">
        <v>226</v>
      </c>
      <c r="L390" s="9" t="s">
        <v>52</v>
      </c>
      <c r="M390" s="9" t="s">
        <v>18</v>
      </c>
      <c r="N390" s="18">
        <f t="shared" si="12"/>
        <v>0.12277555899692993</v>
      </c>
      <c r="O390" s="18">
        <f t="shared" si="13"/>
        <v>0.11996283514733209</v>
      </c>
    </row>
    <row r="391" spans="1:15" x14ac:dyDescent="0.3">
      <c r="A391" s="5" t="s">
        <v>293</v>
      </c>
      <c r="B391" s="6" t="s">
        <v>25</v>
      </c>
      <c r="C391" s="7">
        <v>45553</v>
      </c>
      <c r="D391" s="6" t="s">
        <v>35</v>
      </c>
      <c r="E391" s="6" t="s">
        <v>36</v>
      </c>
      <c r="F391" s="8">
        <v>2143</v>
      </c>
      <c r="G391" s="8">
        <v>12</v>
      </c>
      <c r="H391" s="8">
        <v>204</v>
      </c>
      <c r="I391" s="8">
        <v>40717</v>
      </c>
      <c r="J391" s="8">
        <v>40125</v>
      </c>
      <c r="K391" s="8">
        <v>248</v>
      </c>
      <c r="L391" s="9" t="s">
        <v>52</v>
      </c>
      <c r="M391" s="9" t="s">
        <v>44</v>
      </c>
      <c r="N391" s="18">
        <f t="shared" si="12"/>
        <v>5.8791277258566976E-2</v>
      </c>
      <c r="O391" s="18">
        <f t="shared" si="13"/>
        <v>5.7936488444630008E-2</v>
      </c>
    </row>
    <row r="392" spans="1:15" x14ac:dyDescent="0.3">
      <c r="A392" s="5" t="s">
        <v>293</v>
      </c>
      <c r="B392" s="6" t="s">
        <v>25</v>
      </c>
      <c r="C392" s="7">
        <v>45553</v>
      </c>
      <c r="D392" s="6" t="s">
        <v>35</v>
      </c>
      <c r="E392" s="6" t="s">
        <v>36</v>
      </c>
      <c r="F392" s="8">
        <v>2143</v>
      </c>
      <c r="G392" s="8">
        <v>12</v>
      </c>
      <c r="H392" s="8">
        <v>204</v>
      </c>
      <c r="I392" s="8">
        <v>40717</v>
      </c>
      <c r="J392" s="8">
        <v>40125</v>
      </c>
      <c r="K392" s="8">
        <v>248</v>
      </c>
      <c r="L392" s="9" t="s">
        <v>17</v>
      </c>
      <c r="M392" s="9" t="s">
        <v>44</v>
      </c>
      <c r="N392" s="18">
        <f t="shared" si="12"/>
        <v>5.8791277258566976E-2</v>
      </c>
      <c r="O392" s="18">
        <f t="shared" si="13"/>
        <v>5.7936488444630008E-2</v>
      </c>
    </row>
    <row r="393" spans="1:15" x14ac:dyDescent="0.3">
      <c r="A393" s="5" t="s">
        <v>294</v>
      </c>
      <c r="B393" s="6" t="s">
        <v>34</v>
      </c>
      <c r="C393" s="7">
        <v>45753</v>
      </c>
      <c r="D393" s="6" t="s">
        <v>40</v>
      </c>
      <c r="E393" s="6" t="s">
        <v>41</v>
      </c>
      <c r="F393" s="8">
        <v>3090</v>
      </c>
      <c r="G393" s="8">
        <v>697</v>
      </c>
      <c r="H393" s="8">
        <v>164</v>
      </c>
      <c r="I393" s="8">
        <v>49440</v>
      </c>
      <c r="J393" s="8">
        <v>48524</v>
      </c>
      <c r="K393" s="8">
        <v>25</v>
      </c>
      <c r="L393" s="9" t="s">
        <v>52</v>
      </c>
      <c r="M393" s="9" t="s">
        <v>44</v>
      </c>
      <c r="N393" s="18">
        <f t="shared" si="12"/>
        <v>8.1423625422471349E-2</v>
      </c>
      <c r="O393" s="18">
        <f t="shared" si="13"/>
        <v>7.9915048543689318E-2</v>
      </c>
    </row>
    <row r="394" spans="1:15" x14ac:dyDescent="0.3">
      <c r="A394" s="5" t="s">
        <v>294</v>
      </c>
      <c r="B394" s="6" t="s">
        <v>34</v>
      </c>
      <c r="C394" s="7">
        <v>45753</v>
      </c>
      <c r="D394" s="6" t="s">
        <v>40</v>
      </c>
      <c r="E394" s="6" t="s">
        <v>41</v>
      </c>
      <c r="F394" s="8">
        <v>3090</v>
      </c>
      <c r="G394" s="8">
        <v>697</v>
      </c>
      <c r="H394" s="8">
        <v>164</v>
      </c>
      <c r="I394" s="8">
        <v>49440</v>
      </c>
      <c r="J394" s="8">
        <v>48524</v>
      </c>
      <c r="K394" s="8">
        <v>25</v>
      </c>
      <c r="L394" s="9" t="s">
        <v>31</v>
      </c>
      <c r="M394" s="9" t="s">
        <v>44</v>
      </c>
      <c r="N394" s="18">
        <f t="shared" si="12"/>
        <v>8.1423625422471349E-2</v>
      </c>
      <c r="O394" s="18">
        <f t="shared" si="13"/>
        <v>7.9915048543689318E-2</v>
      </c>
    </row>
    <row r="395" spans="1:15" x14ac:dyDescent="0.3">
      <c r="A395" s="5" t="s">
        <v>295</v>
      </c>
      <c r="B395" s="6" t="s">
        <v>27</v>
      </c>
      <c r="C395" s="7">
        <v>45509</v>
      </c>
      <c r="D395" s="6" t="s">
        <v>28</v>
      </c>
      <c r="E395" s="6" t="s">
        <v>29</v>
      </c>
      <c r="F395" s="8">
        <v>3601</v>
      </c>
      <c r="G395" s="8">
        <v>695</v>
      </c>
      <c r="H395" s="8">
        <v>75</v>
      </c>
      <c r="I395" s="8">
        <v>21606</v>
      </c>
      <c r="J395" s="8">
        <v>21454</v>
      </c>
      <c r="K395" s="8">
        <v>172</v>
      </c>
      <c r="L395" s="9" t="s">
        <v>31</v>
      </c>
      <c r="M395" s="9" t="s">
        <v>23</v>
      </c>
      <c r="N395" s="18">
        <f t="shared" si="12"/>
        <v>0.20373823063298219</v>
      </c>
      <c r="O395" s="18">
        <f t="shared" si="13"/>
        <v>0.2023049153013052</v>
      </c>
    </row>
    <row r="396" spans="1:15" x14ac:dyDescent="0.3">
      <c r="A396" s="5" t="s">
        <v>296</v>
      </c>
      <c r="B396" s="6" t="s">
        <v>34</v>
      </c>
      <c r="C396" s="7">
        <v>45698</v>
      </c>
      <c r="D396" s="6" t="s">
        <v>20</v>
      </c>
      <c r="E396" s="6" t="s">
        <v>21</v>
      </c>
      <c r="F396" s="8">
        <v>562</v>
      </c>
      <c r="G396" s="8">
        <v>158</v>
      </c>
      <c r="H396" s="8">
        <v>149</v>
      </c>
      <c r="I396" s="8">
        <v>3372</v>
      </c>
      <c r="J396" s="8">
        <v>2940</v>
      </c>
      <c r="K396" s="8">
        <v>93</v>
      </c>
      <c r="L396" s="9" t="s">
        <v>52</v>
      </c>
      <c r="M396" s="9" t="s">
        <v>44</v>
      </c>
      <c r="N396" s="18">
        <f t="shared" si="12"/>
        <v>0.29557823129251698</v>
      </c>
      <c r="O396" s="18">
        <f t="shared" si="13"/>
        <v>0.25771055753262156</v>
      </c>
    </row>
    <row r="397" spans="1:15" x14ac:dyDescent="0.3">
      <c r="A397" s="5" t="s">
        <v>296</v>
      </c>
      <c r="B397" s="6" t="s">
        <v>34</v>
      </c>
      <c r="C397" s="7">
        <v>45698</v>
      </c>
      <c r="D397" s="6" t="s">
        <v>20</v>
      </c>
      <c r="E397" s="6" t="s">
        <v>21</v>
      </c>
      <c r="F397" s="8">
        <v>562</v>
      </c>
      <c r="G397" s="8">
        <v>158</v>
      </c>
      <c r="H397" s="8">
        <v>149</v>
      </c>
      <c r="I397" s="8">
        <v>3372</v>
      </c>
      <c r="J397" s="8">
        <v>2940</v>
      </c>
      <c r="K397" s="8">
        <v>93</v>
      </c>
      <c r="L397" s="9" t="s">
        <v>17</v>
      </c>
      <c r="M397" s="9" t="s">
        <v>44</v>
      </c>
      <c r="N397" s="18">
        <f t="shared" si="12"/>
        <v>0.29557823129251698</v>
      </c>
      <c r="O397" s="18">
        <f t="shared" si="13"/>
        <v>0.25771055753262156</v>
      </c>
    </row>
    <row r="398" spans="1:15" x14ac:dyDescent="0.3">
      <c r="A398" s="5" t="s">
        <v>297</v>
      </c>
      <c r="B398" s="6" t="s">
        <v>27</v>
      </c>
      <c r="C398" s="7">
        <v>45700</v>
      </c>
      <c r="D398" s="6" t="s">
        <v>28</v>
      </c>
      <c r="E398" s="6" t="s">
        <v>29</v>
      </c>
      <c r="F398" s="8">
        <v>4332</v>
      </c>
      <c r="G398" s="8">
        <v>771</v>
      </c>
      <c r="H398" s="8">
        <v>219</v>
      </c>
      <c r="I398" s="8">
        <v>60648</v>
      </c>
      <c r="J398" s="8">
        <v>60397</v>
      </c>
      <c r="K398" s="8">
        <v>10</v>
      </c>
      <c r="L398" s="9" t="s">
        <v>22</v>
      </c>
      <c r="M398" s="9" t="s">
        <v>32</v>
      </c>
      <c r="N398" s="18">
        <f t="shared" si="12"/>
        <v>8.8116959451628396E-2</v>
      </c>
      <c r="O398" s="18">
        <f t="shared" si="13"/>
        <v>8.7752275425405618E-2</v>
      </c>
    </row>
    <row r="399" spans="1:15" x14ac:dyDescent="0.3">
      <c r="A399" s="5" t="s">
        <v>298</v>
      </c>
      <c r="B399" s="6" t="s">
        <v>27</v>
      </c>
      <c r="C399" s="7">
        <v>45592</v>
      </c>
      <c r="D399" s="6" t="s">
        <v>40</v>
      </c>
      <c r="E399" s="6" t="s">
        <v>41</v>
      </c>
      <c r="F399" s="8">
        <v>4853</v>
      </c>
      <c r="G399" s="8">
        <v>837</v>
      </c>
      <c r="H399" s="8">
        <v>340</v>
      </c>
      <c r="I399" s="8">
        <v>72795</v>
      </c>
      <c r="J399" s="8">
        <v>72237</v>
      </c>
      <c r="K399" s="8">
        <v>170</v>
      </c>
      <c r="L399" s="9" t="s">
        <v>17</v>
      </c>
      <c r="M399" s="9" t="s">
        <v>23</v>
      </c>
      <c r="N399" s="18">
        <f t="shared" si="12"/>
        <v>8.3475227376552177E-2</v>
      </c>
      <c r="O399" s="18">
        <f t="shared" si="13"/>
        <v>8.2835359571399134E-2</v>
      </c>
    </row>
    <row r="400" spans="1:15" x14ac:dyDescent="0.3">
      <c r="A400" s="5" t="s">
        <v>299</v>
      </c>
      <c r="B400" s="6" t="s">
        <v>25</v>
      </c>
      <c r="C400" s="7">
        <v>45675</v>
      </c>
      <c r="D400" s="6" t="s">
        <v>40</v>
      </c>
      <c r="E400" s="6" t="s">
        <v>41</v>
      </c>
      <c r="F400" s="8">
        <v>1206</v>
      </c>
      <c r="G400" s="8">
        <v>238</v>
      </c>
      <c r="H400" s="8">
        <v>36</v>
      </c>
      <c r="I400" s="8">
        <v>9648</v>
      </c>
      <c r="J400" s="8">
        <v>9417</v>
      </c>
      <c r="K400" s="8">
        <v>237</v>
      </c>
      <c r="L400" s="9" t="s">
        <v>17</v>
      </c>
      <c r="M400" s="9" t="s">
        <v>32</v>
      </c>
      <c r="N400" s="18">
        <f t="shared" si="12"/>
        <v>0.15716257831581182</v>
      </c>
      <c r="O400" s="18">
        <f t="shared" si="13"/>
        <v>0.15339966832504145</v>
      </c>
    </row>
    <row r="401" spans="1:15" x14ac:dyDescent="0.3">
      <c r="A401" s="5" t="s">
        <v>299</v>
      </c>
      <c r="B401" s="6" t="s">
        <v>25</v>
      </c>
      <c r="C401" s="7">
        <v>45675</v>
      </c>
      <c r="D401" s="6" t="s">
        <v>40</v>
      </c>
      <c r="E401" s="6" t="s">
        <v>41</v>
      </c>
      <c r="F401" s="8">
        <v>1206</v>
      </c>
      <c r="G401" s="8">
        <v>238</v>
      </c>
      <c r="H401" s="8">
        <v>36</v>
      </c>
      <c r="I401" s="8">
        <v>9648</v>
      </c>
      <c r="J401" s="8">
        <v>9417</v>
      </c>
      <c r="K401" s="8">
        <v>237</v>
      </c>
      <c r="L401" s="9" t="s">
        <v>31</v>
      </c>
      <c r="M401" s="9" t="s">
        <v>32</v>
      </c>
      <c r="N401" s="18">
        <f t="shared" si="12"/>
        <v>0.15716257831581182</v>
      </c>
      <c r="O401" s="18">
        <f t="shared" si="13"/>
        <v>0.15339966832504145</v>
      </c>
    </row>
    <row r="402" spans="1:15" x14ac:dyDescent="0.3">
      <c r="A402" s="5" t="s">
        <v>300</v>
      </c>
      <c r="B402" s="6" t="s">
        <v>27</v>
      </c>
      <c r="C402" s="7">
        <v>45524</v>
      </c>
      <c r="D402" s="6" t="s">
        <v>15</v>
      </c>
      <c r="E402" s="6" t="s">
        <v>16</v>
      </c>
      <c r="F402" s="8">
        <v>2603</v>
      </c>
      <c r="G402" s="8">
        <v>690</v>
      </c>
      <c r="H402" s="8">
        <v>205</v>
      </c>
      <c r="I402" s="8">
        <v>13015</v>
      </c>
      <c r="J402" s="8">
        <v>12130</v>
      </c>
      <c r="K402" s="8">
        <v>20</v>
      </c>
      <c r="L402" s="9" t="s">
        <v>37</v>
      </c>
      <c r="M402" s="9" t="s">
        <v>18</v>
      </c>
      <c r="N402" s="18">
        <f t="shared" si="12"/>
        <v>0.28837592745259688</v>
      </c>
      <c r="O402" s="18">
        <f t="shared" si="13"/>
        <v>0.26876680752977333</v>
      </c>
    </row>
    <row r="403" spans="1:15" x14ac:dyDescent="0.3">
      <c r="A403" s="5" t="s">
        <v>301</v>
      </c>
      <c r="B403" s="6" t="s">
        <v>14</v>
      </c>
      <c r="C403" s="7">
        <v>45687</v>
      </c>
      <c r="D403" s="6" t="s">
        <v>40</v>
      </c>
      <c r="E403" s="6" t="s">
        <v>41</v>
      </c>
      <c r="F403" s="8">
        <v>59</v>
      </c>
      <c r="G403" s="8">
        <v>163</v>
      </c>
      <c r="H403" s="8">
        <v>93</v>
      </c>
      <c r="I403" s="8">
        <v>590</v>
      </c>
      <c r="J403" s="8">
        <v>475</v>
      </c>
      <c r="K403" s="8">
        <v>293</v>
      </c>
      <c r="L403" s="9" t="s">
        <v>37</v>
      </c>
      <c r="M403" s="9" t="s">
        <v>44</v>
      </c>
      <c r="N403" s="18">
        <f t="shared" si="12"/>
        <v>0.66315789473684206</v>
      </c>
      <c r="O403" s="18">
        <f t="shared" si="13"/>
        <v>0.53389830508474578</v>
      </c>
    </row>
    <row r="404" spans="1:15" x14ac:dyDescent="0.3">
      <c r="A404" s="5" t="s">
        <v>302</v>
      </c>
      <c r="B404" s="6" t="s">
        <v>14</v>
      </c>
      <c r="C404" s="7">
        <v>45708</v>
      </c>
      <c r="D404" s="6" t="s">
        <v>35</v>
      </c>
      <c r="E404" s="6" t="s">
        <v>36</v>
      </c>
      <c r="F404" s="8">
        <v>1877</v>
      </c>
      <c r="G404" s="8">
        <v>745</v>
      </c>
      <c r="H404" s="8">
        <v>225</v>
      </c>
      <c r="I404" s="8">
        <v>11262</v>
      </c>
      <c r="J404" s="8">
        <v>10967</v>
      </c>
      <c r="K404" s="8">
        <v>41</v>
      </c>
      <c r="L404" s="9" t="s">
        <v>31</v>
      </c>
      <c r="M404" s="9" t="s">
        <v>18</v>
      </c>
      <c r="N404" s="18">
        <f t="shared" si="12"/>
        <v>0.25959697273639099</v>
      </c>
      <c r="O404" s="18">
        <f t="shared" si="13"/>
        <v>0.25279701651571657</v>
      </c>
    </row>
    <row r="405" spans="1:15" x14ac:dyDescent="0.3">
      <c r="A405" s="5" t="s">
        <v>302</v>
      </c>
      <c r="B405" s="6" t="s">
        <v>14</v>
      </c>
      <c r="C405" s="7">
        <v>45708</v>
      </c>
      <c r="D405" s="6" t="s">
        <v>35</v>
      </c>
      <c r="E405" s="6" t="s">
        <v>36</v>
      </c>
      <c r="F405" s="8">
        <v>1877</v>
      </c>
      <c r="G405" s="8">
        <v>745</v>
      </c>
      <c r="H405" s="8">
        <v>225</v>
      </c>
      <c r="I405" s="8">
        <v>11262</v>
      </c>
      <c r="J405" s="8">
        <v>10967</v>
      </c>
      <c r="K405" s="8">
        <v>41</v>
      </c>
      <c r="L405" s="9" t="s">
        <v>17</v>
      </c>
      <c r="M405" s="9" t="s">
        <v>18</v>
      </c>
      <c r="N405" s="18">
        <f t="shared" si="12"/>
        <v>0.25959697273639099</v>
      </c>
      <c r="O405" s="18">
        <f t="shared" si="13"/>
        <v>0.25279701651571657</v>
      </c>
    </row>
    <row r="406" spans="1:15" x14ac:dyDescent="0.3">
      <c r="A406" s="5" t="s">
        <v>303</v>
      </c>
      <c r="B406" s="6" t="s">
        <v>34</v>
      </c>
      <c r="C406" s="7">
        <v>45621</v>
      </c>
      <c r="D406" s="6" t="s">
        <v>28</v>
      </c>
      <c r="E406" s="6" t="s">
        <v>29</v>
      </c>
      <c r="F406" s="8">
        <v>4182</v>
      </c>
      <c r="G406" s="8">
        <v>640</v>
      </c>
      <c r="H406" s="8">
        <v>240</v>
      </c>
      <c r="I406" s="8">
        <v>50184</v>
      </c>
      <c r="J406" s="8">
        <v>49351</v>
      </c>
      <c r="K406" s="8">
        <v>10</v>
      </c>
      <c r="L406" s="9" t="s">
        <v>17</v>
      </c>
      <c r="M406" s="9" t="s">
        <v>32</v>
      </c>
      <c r="N406" s="18">
        <f t="shared" si="12"/>
        <v>0.10257137646653564</v>
      </c>
      <c r="O406" s="18">
        <f t="shared" si="13"/>
        <v>0.10086880280567512</v>
      </c>
    </row>
    <row r="407" spans="1:15" x14ac:dyDescent="0.3">
      <c r="A407" s="5" t="s">
        <v>303</v>
      </c>
      <c r="B407" s="6" t="s">
        <v>34</v>
      </c>
      <c r="C407" s="7">
        <v>45621</v>
      </c>
      <c r="D407" s="6" t="s">
        <v>28</v>
      </c>
      <c r="E407" s="6" t="s">
        <v>29</v>
      </c>
      <c r="F407" s="8">
        <v>4182</v>
      </c>
      <c r="G407" s="8">
        <v>640</v>
      </c>
      <c r="H407" s="8">
        <v>240</v>
      </c>
      <c r="I407" s="8">
        <v>50184</v>
      </c>
      <c r="J407" s="8">
        <v>49351</v>
      </c>
      <c r="K407" s="8">
        <v>10</v>
      </c>
      <c r="L407" s="9" t="s">
        <v>31</v>
      </c>
      <c r="M407" s="9" t="s">
        <v>32</v>
      </c>
      <c r="N407" s="18">
        <f t="shared" si="12"/>
        <v>0.10257137646653564</v>
      </c>
      <c r="O407" s="18">
        <f t="shared" si="13"/>
        <v>0.10086880280567512</v>
      </c>
    </row>
    <row r="408" spans="1:15" x14ac:dyDescent="0.3">
      <c r="A408" s="5" t="s">
        <v>304</v>
      </c>
      <c r="B408" s="6" t="s">
        <v>14</v>
      </c>
      <c r="C408" s="7">
        <v>45569</v>
      </c>
      <c r="D408" s="6" t="s">
        <v>15</v>
      </c>
      <c r="E408" s="6" t="s">
        <v>16</v>
      </c>
      <c r="F408" s="8">
        <v>4187</v>
      </c>
      <c r="G408" s="8">
        <v>66</v>
      </c>
      <c r="H408" s="8">
        <v>31</v>
      </c>
      <c r="I408" s="8">
        <v>66992</v>
      </c>
      <c r="J408" s="8">
        <v>66614</v>
      </c>
      <c r="K408" s="8">
        <v>62</v>
      </c>
      <c r="L408" s="9" t="s">
        <v>31</v>
      </c>
      <c r="M408" s="9" t="s">
        <v>44</v>
      </c>
      <c r="N408" s="18">
        <f t="shared" si="12"/>
        <v>6.4310805536373736E-2</v>
      </c>
      <c r="O408" s="18">
        <f t="shared" si="13"/>
        <v>6.3947934081681396E-2</v>
      </c>
    </row>
    <row r="409" spans="1:15" x14ac:dyDescent="0.3">
      <c r="A409" s="5" t="s">
        <v>305</v>
      </c>
      <c r="B409" s="6" t="s">
        <v>27</v>
      </c>
      <c r="C409" s="7">
        <v>45760</v>
      </c>
      <c r="D409" s="6" t="s">
        <v>15</v>
      </c>
      <c r="E409" s="6" t="s">
        <v>16</v>
      </c>
      <c r="F409" s="8">
        <v>4579</v>
      </c>
      <c r="G409" s="8">
        <v>125</v>
      </c>
      <c r="H409" s="8">
        <v>300</v>
      </c>
      <c r="I409" s="8">
        <v>59527</v>
      </c>
      <c r="J409" s="8">
        <v>59400</v>
      </c>
      <c r="K409" s="8">
        <v>269</v>
      </c>
      <c r="L409" s="9" t="s">
        <v>31</v>
      </c>
      <c r="M409" s="9" t="s">
        <v>18</v>
      </c>
      <c r="N409" s="18">
        <f t="shared" si="12"/>
        <v>8.4242424242424244E-2</v>
      </c>
      <c r="O409" s="18">
        <f t="shared" si="13"/>
        <v>8.4062694239588759E-2</v>
      </c>
    </row>
    <row r="410" spans="1:15" x14ac:dyDescent="0.3">
      <c r="A410" s="5" t="s">
        <v>305</v>
      </c>
      <c r="B410" s="6" t="s">
        <v>27</v>
      </c>
      <c r="C410" s="7">
        <v>45760</v>
      </c>
      <c r="D410" s="6" t="s">
        <v>15</v>
      </c>
      <c r="E410" s="6" t="s">
        <v>16</v>
      </c>
      <c r="F410" s="8">
        <v>4579</v>
      </c>
      <c r="G410" s="8">
        <v>125</v>
      </c>
      <c r="H410" s="8">
        <v>300</v>
      </c>
      <c r="I410" s="8">
        <v>59527</v>
      </c>
      <c r="J410" s="8">
        <v>59400</v>
      </c>
      <c r="K410" s="8">
        <v>269</v>
      </c>
      <c r="L410" s="9" t="s">
        <v>22</v>
      </c>
      <c r="M410" s="9" t="s">
        <v>18</v>
      </c>
      <c r="N410" s="18">
        <f t="shared" si="12"/>
        <v>8.4242424242424244E-2</v>
      </c>
      <c r="O410" s="18">
        <f t="shared" si="13"/>
        <v>8.4062694239588759E-2</v>
      </c>
    </row>
    <row r="411" spans="1:15" x14ac:dyDescent="0.3">
      <c r="A411" s="5" t="s">
        <v>306</v>
      </c>
      <c r="B411" s="6" t="s">
        <v>27</v>
      </c>
      <c r="C411" s="7">
        <v>45601</v>
      </c>
      <c r="D411" s="6" t="s">
        <v>50</v>
      </c>
      <c r="E411" s="6" t="s">
        <v>51</v>
      </c>
      <c r="F411" s="8">
        <v>4561</v>
      </c>
      <c r="G411" s="8">
        <v>51</v>
      </c>
      <c r="H411" s="8">
        <v>441</v>
      </c>
      <c r="I411" s="8">
        <v>22805</v>
      </c>
      <c r="J411" s="8">
        <v>21890</v>
      </c>
      <c r="K411" s="8">
        <v>45</v>
      </c>
      <c r="L411" s="9" t="s">
        <v>31</v>
      </c>
      <c r="M411" s="9" t="s">
        <v>23</v>
      </c>
      <c r="N411" s="18">
        <f t="shared" si="12"/>
        <v>0.23083599817268158</v>
      </c>
      <c r="O411" s="18">
        <f t="shared" si="13"/>
        <v>0.22157421618066214</v>
      </c>
    </row>
    <row r="412" spans="1:15" x14ac:dyDescent="0.3">
      <c r="A412" s="5" t="s">
        <v>307</v>
      </c>
      <c r="B412" s="6" t="s">
        <v>25</v>
      </c>
      <c r="C412" s="7">
        <v>45672</v>
      </c>
      <c r="D412" s="6" t="s">
        <v>15</v>
      </c>
      <c r="E412" s="6" t="s">
        <v>16</v>
      </c>
      <c r="F412" s="8">
        <v>3774</v>
      </c>
      <c r="G412" s="8">
        <v>239</v>
      </c>
      <c r="H412" s="8">
        <v>39</v>
      </c>
      <c r="I412" s="8">
        <v>60384</v>
      </c>
      <c r="J412" s="8">
        <v>59490</v>
      </c>
      <c r="K412" s="8">
        <v>241</v>
      </c>
      <c r="L412" s="9" t="s">
        <v>52</v>
      </c>
      <c r="M412" s="9" t="s">
        <v>32</v>
      </c>
      <c r="N412" s="18">
        <f t="shared" si="12"/>
        <v>6.8112287779458727E-2</v>
      </c>
      <c r="O412" s="18">
        <f t="shared" si="13"/>
        <v>6.7103868574456813E-2</v>
      </c>
    </row>
    <row r="413" spans="1:15" x14ac:dyDescent="0.3">
      <c r="A413" s="5" t="s">
        <v>308</v>
      </c>
      <c r="B413" s="6" t="s">
        <v>27</v>
      </c>
      <c r="C413" s="7">
        <v>45582</v>
      </c>
      <c r="D413" s="6" t="s">
        <v>50</v>
      </c>
      <c r="E413" s="6" t="s">
        <v>51</v>
      </c>
      <c r="F413" s="8">
        <v>3575</v>
      </c>
      <c r="G413" s="8">
        <v>749</v>
      </c>
      <c r="H413" s="8">
        <v>111</v>
      </c>
      <c r="I413" s="8">
        <v>21450</v>
      </c>
      <c r="J413" s="8">
        <v>20785</v>
      </c>
      <c r="K413" s="8">
        <v>195</v>
      </c>
      <c r="L413" s="9" t="s">
        <v>52</v>
      </c>
      <c r="M413" s="9" t="s">
        <v>32</v>
      </c>
      <c r="N413" s="18">
        <f t="shared" si="12"/>
        <v>0.21337503006976186</v>
      </c>
      <c r="O413" s="18">
        <f t="shared" si="13"/>
        <v>0.20675990675990677</v>
      </c>
    </row>
    <row r="414" spans="1:15" x14ac:dyDescent="0.3">
      <c r="A414" s="5" t="s">
        <v>309</v>
      </c>
      <c r="B414" s="6" t="s">
        <v>27</v>
      </c>
      <c r="C414" s="7">
        <v>45743</v>
      </c>
      <c r="D414" s="6" t="s">
        <v>20</v>
      </c>
      <c r="E414" s="6" t="s">
        <v>21</v>
      </c>
      <c r="F414" s="8">
        <v>4941</v>
      </c>
      <c r="G414" s="8">
        <v>414</v>
      </c>
      <c r="H414" s="8">
        <v>266</v>
      </c>
      <c r="I414" s="8">
        <v>39528</v>
      </c>
      <c r="J414" s="8">
        <v>39154</v>
      </c>
      <c r="K414" s="8">
        <v>217</v>
      </c>
      <c r="L414" s="9" t="s">
        <v>17</v>
      </c>
      <c r="M414" s="9" t="s">
        <v>23</v>
      </c>
      <c r="N414" s="18">
        <f t="shared" si="12"/>
        <v>0.14356132195944221</v>
      </c>
      <c r="O414" s="18">
        <f t="shared" si="13"/>
        <v>0.14220299534507186</v>
      </c>
    </row>
    <row r="415" spans="1:15" x14ac:dyDescent="0.3">
      <c r="A415" s="5" t="s">
        <v>310</v>
      </c>
      <c r="B415" s="6" t="s">
        <v>25</v>
      </c>
      <c r="C415" s="7">
        <v>45577</v>
      </c>
      <c r="D415" s="6" t="s">
        <v>28</v>
      </c>
      <c r="E415" s="6" t="s">
        <v>29</v>
      </c>
      <c r="F415" s="8">
        <v>3641</v>
      </c>
      <c r="G415" s="8">
        <v>226</v>
      </c>
      <c r="H415" s="8">
        <v>46</v>
      </c>
      <c r="I415" s="8">
        <v>40051</v>
      </c>
      <c r="J415" s="8">
        <v>39319</v>
      </c>
      <c r="K415" s="8">
        <v>296</v>
      </c>
      <c r="L415" s="9" t="s">
        <v>37</v>
      </c>
      <c r="M415" s="9" t="s">
        <v>23</v>
      </c>
      <c r="N415" s="18">
        <f t="shared" si="12"/>
        <v>9.9519316361046828E-2</v>
      </c>
      <c r="O415" s="18">
        <f t="shared" si="13"/>
        <v>9.7700431949264685E-2</v>
      </c>
    </row>
    <row r="416" spans="1:15" x14ac:dyDescent="0.3">
      <c r="A416" s="5" t="s">
        <v>311</v>
      </c>
      <c r="B416" s="6" t="s">
        <v>14</v>
      </c>
      <c r="C416" s="7">
        <v>45658</v>
      </c>
      <c r="D416" s="6" t="s">
        <v>35</v>
      </c>
      <c r="E416" s="6" t="s">
        <v>36</v>
      </c>
      <c r="F416" s="8">
        <v>3535</v>
      </c>
      <c r="G416" s="8">
        <v>494</v>
      </c>
      <c r="H416" s="8">
        <v>152</v>
      </c>
      <c r="I416" s="8">
        <v>53025</v>
      </c>
      <c r="J416" s="8">
        <v>52791</v>
      </c>
      <c r="K416" s="8">
        <v>44</v>
      </c>
      <c r="L416" s="9" t="s">
        <v>37</v>
      </c>
      <c r="M416" s="9" t="s">
        <v>23</v>
      </c>
      <c r="N416" s="18">
        <f t="shared" si="12"/>
        <v>7.9199105908204046E-2</v>
      </c>
      <c r="O416" s="18">
        <f t="shared" si="13"/>
        <v>7.8849599245638849E-2</v>
      </c>
    </row>
    <row r="417" spans="1:15" x14ac:dyDescent="0.3">
      <c r="A417" s="5" t="s">
        <v>311</v>
      </c>
      <c r="B417" s="6" t="s">
        <v>14</v>
      </c>
      <c r="C417" s="7">
        <v>45658</v>
      </c>
      <c r="D417" s="6" t="s">
        <v>35</v>
      </c>
      <c r="E417" s="6" t="s">
        <v>36</v>
      </c>
      <c r="F417" s="8">
        <v>3535</v>
      </c>
      <c r="G417" s="8">
        <v>494</v>
      </c>
      <c r="H417" s="8">
        <v>152</v>
      </c>
      <c r="I417" s="8">
        <v>53025</v>
      </c>
      <c r="J417" s="8">
        <v>52791</v>
      </c>
      <c r="K417" s="8">
        <v>44</v>
      </c>
      <c r="L417" s="9" t="s">
        <v>31</v>
      </c>
      <c r="M417" s="9" t="s">
        <v>23</v>
      </c>
      <c r="N417" s="18">
        <f t="shared" si="12"/>
        <v>7.9199105908204046E-2</v>
      </c>
      <c r="O417" s="18">
        <f t="shared" si="13"/>
        <v>7.8849599245638849E-2</v>
      </c>
    </row>
    <row r="418" spans="1:15" x14ac:dyDescent="0.3">
      <c r="A418" s="5" t="s">
        <v>312</v>
      </c>
      <c r="B418" s="6" t="s">
        <v>34</v>
      </c>
      <c r="C418" s="7">
        <v>45509</v>
      </c>
      <c r="D418" s="6" t="s">
        <v>15</v>
      </c>
      <c r="E418" s="6" t="s">
        <v>16</v>
      </c>
      <c r="F418" s="8">
        <v>1741</v>
      </c>
      <c r="G418" s="8">
        <v>831</v>
      </c>
      <c r="H418" s="8">
        <v>345</v>
      </c>
      <c r="I418" s="8">
        <v>17410</v>
      </c>
      <c r="J418" s="8">
        <v>16844</v>
      </c>
      <c r="K418" s="8">
        <v>58</v>
      </c>
      <c r="L418" s="9" t="s">
        <v>22</v>
      </c>
      <c r="M418" s="9" t="s">
        <v>44</v>
      </c>
      <c r="N418" s="18">
        <f t="shared" si="12"/>
        <v>0.17317739254333889</v>
      </c>
      <c r="O418" s="18">
        <f t="shared" si="13"/>
        <v>0.16754738655944859</v>
      </c>
    </row>
    <row r="419" spans="1:15" x14ac:dyDescent="0.3">
      <c r="A419" s="5" t="s">
        <v>312</v>
      </c>
      <c r="B419" s="6" t="s">
        <v>34</v>
      </c>
      <c r="C419" s="7">
        <v>45509</v>
      </c>
      <c r="D419" s="6" t="s">
        <v>15</v>
      </c>
      <c r="E419" s="6" t="s">
        <v>16</v>
      </c>
      <c r="F419" s="8">
        <v>1741</v>
      </c>
      <c r="G419" s="8">
        <v>831</v>
      </c>
      <c r="H419" s="8">
        <v>345</v>
      </c>
      <c r="I419" s="8">
        <v>17410</v>
      </c>
      <c r="J419" s="8">
        <v>16844</v>
      </c>
      <c r="K419" s="8">
        <v>58</v>
      </c>
      <c r="L419" s="9" t="s">
        <v>52</v>
      </c>
      <c r="M419" s="9" t="s">
        <v>44</v>
      </c>
      <c r="N419" s="18">
        <f t="shared" si="12"/>
        <v>0.17317739254333889</v>
      </c>
      <c r="O419" s="18">
        <f t="shared" si="13"/>
        <v>0.16754738655944859</v>
      </c>
    </row>
    <row r="420" spans="1:15" x14ac:dyDescent="0.3">
      <c r="A420" s="5" t="s">
        <v>313</v>
      </c>
      <c r="B420" s="6" t="s">
        <v>14</v>
      </c>
      <c r="C420" s="7">
        <v>45450</v>
      </c>
      <c r="D420" s="6" t="s">
        <v>35</v>
      </c>
      <c r="E420" s="6" t="s">
        <v>36</v>
      </c>
      <c r="F420" s="8">
        <v>1556</v>
      </c>
      <c r="G420" s="8">
        <v>195</v>
      </c>
      <c r="H420" s="8">
        <v>131</v>
      </c>
      <c r="I420" s="8">
        <v>9336</v>
      </c>
      <c r="J420" s="8">
        <v>8875</v>
      </c>
      <c r="K420" s="8">
        <v>137</v>
      </c>
      <c r="L420" s="9" t="s">
        <v>22</v>
      </c>
      <c r="M420" s="9" t="s">
        <v>23</v>
      </c>
      <c r="N420" s="18">
        <f t="shared" si="12"/>
        <v>0.21205633802816901</v>
      </c>
      <c r="O420" s="18">
        <f t="shared" si="13"/>
        <v>0.2015852613538989</v>
      </c>
    </row>
    <row r="421" spans="1:15" x14ac:dyDescent="0.3">
      <c r="A421" s="5" t="s">
        <v>314</v>
      </c>
      <c r="B421" s="6" t="s">
        <v>34</v>
      </c>
      <c r="C421" s="7">
        <v>45753</v>
      </c>
      <c r="D421" s="6" t="s">
        <v>40</v>
      </c>
      <c r="E421" s="6" t="s">
        <v>41</v>
      </c>
      <c r="F421" s="8">
        <v>4236</v>
      </c>
      <c r="G421" s="8">
        <v>711</v>
      </c>
      <c r="H421" s="8">
        <v>298</v>
      </c>
      <c r="I421" s="8">
        <v>21180</v>
      </c>
      <c r="J421" s="8">
        <v>20516</v>
      </c>
      <c r="K421" s="8">
        <v>238</v>
      </c>
      <c r="L421" s="9" t="s">
        <v>37</v>
      </c>
      <c r="M421" s="9" t="s">
        <v>44</v>
      </c>
      <c r="N421" s="18">
        <f t="shared" si="12"/>
        <v>0.25565412361084033</v>
      </c>
      <c r="O421" s="18">
        <f t="shared" si="13"/>
        <v>0.24763928234183191</v>
      </c>
    </row>
    <row r="422" spans="1:15" x14ac:dyDescent="0.3">
      <c r="A422" s="5" t="s">
        <v>314</v>
      </c>
      <c r="B422" s="6" t="s">
        <v>34</v>
      </c>
      <c r="C422" s="7">
        <v>45753</v>
      </c>
      <c r="D422" s="6" t="s">
        <v>40</v>
      </c>
      <c r="E422" s="6" t="s">
        <v>41</v>
      </c>
      <c r="F422" s="8">
        <v>4236</v>
      </c>
      <c r="G422" s="8">
        <v>711</v>
      </c>
      <c r="H422" s="8">
        <v>298</v>
      </c>
      <c r="I422" s="8">
        <v>21180</v>
      </c>
      <c r="J422" s="8">
        <v>20516</v>
      </c>
      <c r="K422" s="8">
        <v>238</v>
      </c>
      <c r="L422" s="9" t="s">
        <v>17</v>
      </c>
      <c r="M422" s="9" t="s">
        <v>44</v>
      </c>
      <c r="N422" s="18">
        <f t="shared" si="12"/>
        <v>0.25565412361084033</v>
      </c>
      <c r="O422" s="18">
        <f t="shared" si="13"/>
        <v>0.24763928234183191</v>
      </c>
    </row>
    <row r="423" spans="1:15" x14ac:dyDescent="0.3">
      <c r="A423" s="5" t="s">
        <v>315</v>
      </c>
      <c r="B423" s="6" t="s">
        <v>14</v>
      </c>
      <c r="C423" s="7">
        <v>45622</v>
      </c>
      <c r="D423" s="6" t="s">
        <v>20</v>
      </c>
      <c r="E423" s="6" t="s">
        <v>21</v>
      </c>
      <c r="F423" s="8">
        <v>4516</v>
      </c>
      <c r="G423" s="8">
        <v>836</v>
      </c>
      <c r="H423" s="8">
        <v>169</v>
      </c>
      <c r="I423" s="8">
        <v>49676</v>
      </c>
      <c r="J423" s="8">
        <v>49257</v>
      </c>
      <c r="K423" s="8">
        <v>282</v>
      </c>
      <c r="L423" s="9" t="s">
        <v>37</v>
      </c>
      <c r="M423" s="9" t="s">
        <v>18</v>
      </c>
      <c r="N423" s="18">
        <f t="shared" si="12"/>
        <v>0.11208559189556815</v>
      </c>
      <c r="O423" s="18">
        <f t="shared" si="13"/>
        <v>0.11114018842096787</v>
      </c>
    </row>
    <row r="424" spans="1:15" x14ac:dyDescent="0.3">
      <c r="A424" s="5" t="s">
        <v>316</v>
      </c>
      <c r="B424" s="6" t="s">
        <v>25</v>
      </c>
      <c r="C424" s="7">
        <v>45537</v>
      </c>
      <c r="D424" s="6" t="s">
        <v>40</v>
      </c>
      <c r="E424" s="6" t="s">
        <v>41</v>
      </c>
      <c r="F424" s="8">
        <v>4905</v>
      </c>
      <c r="G424" s="8">
        <v>845</v>
      </c>
      <c r="H424" s="8">
        <v>129</v>
      </c>
      <c r="I424" s="8">
        <v>98100</v>
      </c>
      <c r="J424" s="8">
        <v>97772</v>
      </c>
      <c r="K424" s="8">
        <v>279</v>
      </c>
      <c r="L424" s="9" t="s">
        <v>37</v>
      </c>
      <c r="M424" s="9" t="s">
        <v>44</v>
      </c>
      <c r="N424" s="18">
        <f t="shared" si="12"/>
        <v>6.0129689481651191E-2</v>
      </c>
      <c r="O424" s="18">
        <f t="shared" si="13"/>
        <v>5.9928644240570844E-2</v>
      </c>
    </row>
    <row r="425" spans="1:15" x14ac:dyDescent="0.3">
      <c r="A425" s="5" t="s">
        <v>317</v>
      </c>
      <c r="B425" s="6" t="s">
        <v>25</v>
      </c>
      <c r="C425" s="7">
        <v>45586</v>
      </c>
      <c r="D425" s="6" t="s">
        <v>50</v>
      </c>
      <c r="E425" s="6" t="s">
        <v>51</v>
      </c>
      <c r="F425" s="8">
        <v>4275</v>
      </c>
      <c r="G425" s="8">
        <v>680</v>
      </c>
      <c r="H425" s="8">
        <v>385</v>
      </c>
      <c r="I425" s="8">
        <v>64125</v>
      </c>
      <c r="J425" s="8">
        <v>63650</v>
      </c>
      <c r="K425" s="8">
        <v>104</v>
      </c>
      <c r="L425" s="9" t="s">
        <v>31</v>
      </c>
      <c r="M425" s="9" t="s">
        <v>44</v>
      </c>
      <c r="N425" s="18">
        <f t="shared" si="12"/>
        <v>8.3896307934014133E-2</v>
      </c>
      <c r="O425" s="18">
        <f t="shared" si="13"/>
        <v>8.3274853801169585E-2</v>
      </c>
    </row>
    <row r="426" spans="1:15" x14ac:dyDescent="0.3">
      <c r="A426" s="5" t="s">
        <v>318</v>
      </c>
      <c r="B426" s="6" t="s">
        <v>25</v>
      </c>
      <c r="C426" s="7">
        <v>45738</v>
      </c>
      <c r="D426" s="6" t="s">
        <v>40</v>
      </c>
      <c r="E426" s="6" t="s">
        <v>41</v>
      </c>
      <c r="F426" s="8">
        <v>3166</v>
      </c>
      <c r="G426" s="8">
        <v>90</v>
      </c>
      <c r="H426" s="8">
        <v>341</v>
      </c>
      <c r="I426" s="8">
        <v>56988</v>
      </c>
      <c r="J426" s="8">
        <v>56125</v>
      </c>
      <c r="K426" s="8">
        <v>135</v>
      </c>
      <c r="L426" s="9" t="s">
        <v>22</v>
      </c>
      <c r="M426" s="9" t="s">
        <v>23</v>
      </c>
      <c r="N426" s="18">
        <f t="shared" si="12"/>
        <v>6.4089086859688199E-2</v>
      </c>
      <c r="O426" s="18">
        <f t="shared" si="13"/>
        <v>6.3118551273952411E-2</v>
      </c>
    </row>
    <row r="427" spans="1:15" x14ac:dyDescent="0.3">
      <c r="A427" s="5" t="s">
        <v>318</v>
      </c>
      <c r="B427" s="6" t="s">
        <v>25</v>
      </c>
      <c r="C427" s="7">
        <v>45738</v>
      </c>
      <c r="D427" s="6" t="s">
        <v>40</v>
      </c>
      <c r="E427" s="6" t="s">
        <v>41</v>
      </c>
      <c r="F427" s="8">
        <v>3166</v>
      </c>
      <c r="G427" s="8">
        <v>90</v>
      </c>
      <c r="H427" s="8">
        <v>341</v>
      </c>
      <c r="I427" s="8">
        <v>56988</v>
      </c>
      <c r="J427" s="8">
        <v>56125</v>
      </c>
      <c r="K427" s="8">
        <v>135</v>
      </c>
      <c r="L427" s="9" t="s">
        <v>31</v>
      </c>
      <c r="M427" s="9" t="s">
        <v>23</v>
      </c>
      <c r="N427" s="18">
        <f t="shared" si="12"/>
        <v>6.4089086859688199E-2</v>
      </c>
      <c r="O427" s="18">
        <f t="shared" si="13"/>
        <v>6.3118551273952411E-2</v>
      </c>
    </row>
    <row r="428" spans="1:15" x14ac:dyDescent="0.3">
      <c r="A428" s="5" t="s">
        <v>319</v>
      </c>
      <c r="B428" s="6" t="s">
        <v>27</v>
      </c>
      <c r="C428" s="7">
        <v>45568</v>
      </c>
      <c r="D428" s="6" t="s">
        <v>50</v>
      </c>
      <c r="E428" s="6" t="s">
        <v>51</v>
      </c>
      <c r="F428" s="8">
        <v>1488</v>
      </c>
      <c r="G428" s="8">
        <v>417</v>
      </c>
      <c r="H428" s="8">
        <v>168</v>
      </c>
      <c r="I428" s="8">
        <v>19344</v>
      </c>
      <c r="J428" s="8">
        <v>18395</v>
      </c>
      <c r="K428" s="8">
        <v>30</v>
      </c>
      <c r="L428" s="9" t="s">
        <v>17</v>
      </c>
      <c r="M428" s="9" t="s">
        <v>18</v>
      </c>
      <c r="N428" s="18">
        <f t="shared" si="12"/>
        <v>0.11269366675727099</v>
      </c>
      <c r="O428" s="18">
        <f t="shared" si="13"/>
        <v>0.1071650124069479</v>
      </c>
    </row>
    <row r="429" spans="1:15" x14ac:dyDescent="0.3">
      <c r="A429" s="5" t="s">
        <v>320</v>
      </c>
      <c r="B429" s="6" t="s">
        <v>14</v>
      </c>
      <c r="C429" s="7">
        <v>45786</v>
      </c>
      <c r="D429" s="6" t="s">
        <v>15</v>
      </c>
      <c r="E429" s="6" t="s">
        <v>16</v>
      </c>
      <c r="F429" s="8">
        <v>3367</v>
      </c>
      <c r="G429" s="8">
        <v>302</v>
      </c>
      <c r="H429" s="8">
        <v>57</v>
      </c>
      <c r="I429" s="8">
        <v>63973</v>
      </c>
      <c r="J429" s="8">
        <v>63789</v>
      </c>
      <c r="K429" s="8">
        <v>157</v>
      </c>
      <c r="L429" s="9" t="s">
        <v>37</v>
      </c>
      <c r="M429" s="9" t="s">
        <v>32</v>
      </c>
      <c r="N429" s="18">
        <f t="shared" si="12"/>
        <v>5.841132483657057E-2</v>
      </c>
      <c r="O429" s="18">
        <f t="shared" si="13"/>
        <v>5.8243321401216137E-2</v>
      </c>
    </row>
    <row r="430" spans="1:15" x14ac:dyDescent="0.3">
      <c r="A430" s="5" t="s">
        <v>320</v>
      </c>
      <c r="B430" s="6" t="s">
        <v>14</v>
      </c>
      <c r="C430" s="7">
        <v>45786</v>
      </c>
      <c r="D430" s="6" t="s">
        <v>15</v>
      </c>
      <c r="E430" s="6" t="s">
        <v>16</v>
      </c>
      <c r="F430" s="8">
        <v>3367</v>
      </c>
      <c r="G430" s="8">
        <v>302</v>
      </c>
      <c r="H430" s="8">
        <v>57</v>
      </c>
      <c r="I430" s="8">
        <v>63973</v>
      </c>
      <c r="J430" s="8">
        <v>63789</v>
      </c>
      <c r="K430" s="8">
        <v>157</v>
      </c>
      <c r="L430" s="9" t="s">
        <v>22</v>
      </c>
      <c r="M430" s="9" t="s">
        <v>32</v>
      </c>
      <c r="N430" s="18">
        <f t="shared" si="12"/>
        <v>5.841132483657057E-2</v>
      </c>
      <c r="O430" s="18">
        <f t="shared" si="13"/>
        <v>5.8243321401216137E-2</v>
      </c>
    </row>
    <row r="431" spans="1:15" x14ac:dyDescent="0.3">
      <c r="A431" s="5" t="s">
        <v>321</v>
      </c>
      <c r="B431" s="6" t="s">
        <v>14</v>
      </c>
      <c r="C431" s="7">
        <v>45552</v>
      </c>
      <c r="D431" s="6" t="s">
        <v>20</v>
      </c>
      <c r="E431" s="6" t="s">
        <v>21</v>
      </c>
      <c r="F431" s="8">
        <v>571</v>
      </c>
      <c r="G431" s="8">
        <v>190</v>
      </c>
      <c r="H431" s="8">
        <v>352</v>
      </c>
      <c r="I431" s="8">
        <v>9707</v>
      </c>
      <c r="J431" s="8">
        <v>9418</v>
      </c>
      <c r="K431" s="8">
        <v>231</v>
      </c>
      <c r="L431" s="9" t="s">
        <v>52</v>
      </c>
      <c r="M431" s="9" t="s">
        <v>23</v>
      </c>
      <c r="N431" s="18">
        <f t="shared" si="12"/>
        <v>0.11817795710341898</v>
      </c>
      <c r="O431" s="18">
        <f t="shared" si="13"/>
        <v>0.11465952405480581</v>
      </c>
    </row>
    <row r="432" spans="1:15" x14ac:dyDescent="0.3">
      <c r="A432" s="5" t="s">
        <v>322</v>
      </c>
      <c r="B432" s="6" t="s">
        <v>25</v>
      </c>
      <c r="C432" s="7">
        <v>45491</v>
      </c>
      <c r="D432" s="6" t="s">
        <v>20</v>
      </c>
      <c r="E432" s="6" t="s">
        <v>21</v>
      </c>
      <c r="F432" s="8">
        <v>4021</v>
      </c>
      <c r="G432" s="8">
        <v>794</v>
      </c>
      <c r="H432" s="8">
        <v>77</v>
      </c>
      <c r="I432" s="8">
        <v>36189</v>
      </c>
      <c r="J432" s="8">
        <v>35505</v>
      </c>
      <c r="K432" s="8">
        <v>174</v>
      </c>
      <c r="L432" s="9" t="s">
        <v>52</v>
      </c>
      <c r="M432" s="9" t="s">
        <v>18</v>
      </c>
      <c r="N432" s="18">
        <f t="shared" si="12"/>
        <v>0.13778341078721307</v>
      </c>
      <c r="O432" s="18">
        <f t="shared" si="13"/>
        <v>0.13517919809886983</v>
      </c>
    </row>
    <row r="433" spans="1:15" x14ac:dyDescent="0.3">
      <c r="A433" s="5" t="s">
        <v>322</v>
      </c>
      <c r="B433" s="6" t="s">
        <v>25</v>
      </c>
      <c r="C433" s="7">
        <v>45491</v>
      </c>
      <c r="D433" s="6" t="s">
        <v>20</v>
      </c>
      <c r="E433" s="6" t="s">
        <v>21</v>
      </c>
      <c r="F433" s="8">
        <v>4021</v>
      </c>
      <c r="G433" s="8">
        <v>794</v>
      </c>
      <c r="H433" s="8">
        <v>77</v>
      </c>
      <c r="I433" s="8">
        <v>36189</v>
      </c>
      <c r="J433" s="8">
        <v>35505</v>
      </c>
      <c r="K433" s="8">
        <v>174</v>
      </c>
      <c r="L433" s="9" t="s">
        <v>31</v>
      </c>
      <c r="M433" s="9" t="s">
        <v>18</v>
      </c>
      <c r="N433" s="18">
        <f t="shared" si="12"/>
        <v>0.13778341078721307</v>
      </c>
      <c r="O433" s="18">
        <f t="shared" si="13"/>
        <v>0.13517919809886983</v>
      </c>
    </row>
    <row r="434" spans="1:15" x14ac:dyDescent="0.3">
      <c r="A434" s="5" t="s">
        <v>323</v>
      </c>
      <c r="B434" s="6" t="s">
        <v>25</v>
      </c>
      <c r="C434" s="7">
        <v>45560</v>
      </c>
      <c r="D434" s="6" t="s">
        <v>50</v>
      </c>
      <c r="E434" s="6" t="s">
        <v>51</v>
      </c>
      <c r="F434" s="8">
        <v>3389</v>
      </c>
      <c r="G434" s="8">
        <v>344</v>
      </c>
      <c r="H434" s="8">
        <v>229</v>
      </c>
      <c r="I434" s="8">
        <v>20334</v>
      </c>
      <c r="J434" s="8">
        <v>19443</v>
      </c>
      <c r="K434" s="8">
        <v>228</v>
      </c>
      <c r="L434" s="9" t="s">
        <v>22</v>
      </c>
      <c r="M434" s="9" t="s">
        <v>23</v>
      </c>
      <c r="N434" s="18">
        <f t="shared" si="12"/>
        <v>0.20377513758164892</v>
      </c>
      <c r="O434" s="18">
        <f t="shared" si="13"/>
        <v>0.19484607062063539</v>
      </c>
    </row>
    <row r="435" spans="1:15" x14ac:dyDescent="0.3">
      <c r="A435" s="5" t="s">
        <v>323</v>
      </c>
      <c r="B435" s="6" t="s">
        <v>25</v>
      </c>
      <c r="C435" s="7">
        <v>45560</v>
      </c>
      <c r="D435" s="6" t="s">
        <v>50</v>
      </c>
      <c r="E435" s="6" t="s">
        <v>51</v>
      </c>
      <c r="F435" s="8">
        <v>3389</v>
      </c>
      <c r="G435" s="8">
        <v>344</v>
      </c>
      <c r="H435" s="8">
        <v>229</v>
      </c>
      <c r="I435" s="8">
        <v>20334</v>
      </c>
      <c r="J435" s="8">
        <v>19443</v>
      </c>
      <c r="K435" s="8">
        <v>228</v>
      </c>
      <c r="L435" s="9" t="s">
        <v>17</v>
      </c>
      <c r="M435" s="9" t="s">
        <v>23</v>
      </c>
      <c r="N435" s="18">
        <f t="shared" si="12"/>
        <v>0.20377513758164892</v>
      </c>
      <c r="O435" s="18">
        <f t="shared" si="13"/>
        <v>0.19484607062063539</v>
      </c>
    </row>
    <row r="436" spans="1:15" x14ac:dyDescent="0.3">
      <c r="A436" s="5" t="s">
        <v>324</v>
      </c>
      <c r="B436" s="6" t="s">
        <v>27</v>
      </c>
      <c r="C436" s="7">
        <v>45519</v>
      </c>
      <c r="D436" s="6" t="s">
        <v>15</v>
      </c>
      <c r="E436" s="6" t="s">
        <v>16</v>
      </c>
      <c r="F436" s="8">
        <v>1164</v>
      </c>
      <c r="G436" s="8">
        <v>616</v>
      </c>
      <c r="H436" s="8">
        <v>324</v>
      </c>
      <c r="I436" s="8">
        <v>6984</v>
      </c>
      <c r="J436" s="8">
        <v>6636</v>
      </c>
      <c r="K436" s="8">
        <v>82</v>
      </c>
      <c r="L436" s="9" t="s">
        <v>22</v>
      </c>
      <c r="M436" s="9" t="s">
        <v>32</v>
      </c>
      <c r="N436" s="18">
        <f t="shared" si="12"/>
        <v>0.31705846895720313</v>
      </c>
      <c r="O436" s="18">
        <f t="shared" si="13"/>
        <v>0.30126002290950743</v>
      </c>
    </row>
    <row r="437" spans="1:15" x14ac:dyDescent="0.3">
      <c r="A437" s="5" t="s">
        <v>324</v>
      </c>
      <c r="B437" s="6" t="s">
        <v>27</v>
      </c>
      <c r="C437" s="7">
        <v>45519</v>
      </c>
      <c r="D437" s="6" t="s">
        <v>15</v>
      </c>
      <c r="E437" s="6" t="s">
        <v>16</v>
      </c>
      <c r="F437" s="8">
        <v>1164</v>
      </c>
      <c r="G437" s="8">
        <v>616</v>
      </c>
      <c r="H437" s="8">
        <v>324</v>
      </c>
      <c r="I437" s="8">
        <v>6984</v>
      </c>
      <c r="J437" s="8">
        <v>6636</v>
      </c>
      <c r="K437" s="8">
        <v>82</v>
      </c>
      <c r="L437" s="9" t="s">
        <v>37</v>
      </c>
      <c r="M437" s="9" t="s">
        <v>32</v>
      </c>
      <c r="N437" s="18">
        <f t="shared" si="12"/>
        <v>0.31705846895720313</v>
      </c>
      <c r="O437" s="18">
        <f t="shared" si="13"/>
        <v>0.30126002290950743</v>
      </c>
    </row>
    <row r="438" spans="1:15" x14ac:dyDescent="0.3">
      <c r="A438" s="5" t="s">
        <v>325</v>
      </c>
      <c r="B438" s="6" t="s">
        <v>25</v>
      </c>
      <c r="C438" s="7">
        <v>45764</v>
      </c>
      <c r="D438" s="6" t="s">
        <v>35</v>
      </c>
      <c r="E438" s="6" t="s">
        <v>36</v>
      </c>
      <c r="F438" s="8">
        <v>4780</v>
      </c>
      <c r="G438" s="8">
        <v>691</v>
      </c>
      <c r="H438" s="8">
        <v>380</v>
      </c>
      <c r="I438" s="8">
        <v>86040</v>
      </c>
      <c r="J438" s="8">
        <v>85743</v>
      </c>
      <c r="K438" s="8">
        <v>262</v>
      </c>
      <c r="L438" s="9" t="s">
        <v>22</v>
      </c>
      <c r="M438" s="9" t="s">
        <v>32</v>
      </c>
      <c r="N438" s="18">
        <f t="shared" si="12"/>
        <v>6.8238806666433408E-2</v>
      </c>
      <c r="O438" s="18">
        <f t="shared" si="13"/>
        <v>6.800325430032543E-2</v>
      </c>
    </row>
    <row r="439" spans="1:15" x14ac:dyDescent="0.3">
      <c r="A439" s="5" t="s">
        <v>325</v>
      </c>
      <c r="B439" s="6" t="s">
        <v>25</v>
      </c>
      <c r="C439" s="7">
        <v>45764</v>
      </c>
      <c r="D439" s="6" t="s">
        <v>35</v>
      </c>
      <c r="E439" s="6" t="s">
        <v>36</v>
      </c>
      <c r="F439" s="8">
        <v>4780</v>
      </c>
      <c r="G439" s="8">
        <v>691</v>
      </c>
      <c r="H439" s="8">
        <v>380</v>
      </c>
      <c r="I439" s="8">
        <v>86040</v>
      </c>
      <c r="J439" s="8">
        <v>85743</v>
      </c>
      <c r="K439" s="8">
        <v>262</v>
      </c>
      <c r="L439" s="9" t="s">
        <v>52</v>
      </c>
      <c r="M439" s="9" t="s">
        <v>32</v>
      </c>
      <c r="N439" s="18">
        <f t="shared" si="12"/>
        <v>6.8238806666433408E-2</v>
      </c>
      <c r="O439" s="18">
        <f t="shared" si="13"/>
        <v>6.800325430032543E-2</v>
      </c>
    </row>
    <row r="440" spans="1:15" x14ac:dyDescent="0.3">
      <c r="A440" s="5" t="s">
        <v>326</v>
      </c>
      <c r="B440" s="6" t="s">
        <v>34</v>
      </c>
      <c r="C440" s="7">
        <v>45624</v>
      </c>
      <c r="D440" s="6" t="s">
        <v>35</v>
      </c>
      <c r="E440" s="6" t="s">
        <v>36</v>
      </c>
      <c r="F440" s="8">
        <v>2751</v>
      </c>
      <c r="G440" s="8">
        <v>33</v>
      </c>
      <c r="H440" s="8">
        <v>430</v>
      </c>
      <c r="I440" s="8">
        <v>44016</v>
      </c>
      <c r="J440" s="8">
        <v>43415</v>
      </c>
      <c r="K440" s="8">
        <v>129</v>
      </c>
      <c r="L440" s="9" t="s">
        <v>37</v>
      </c>
      <c r="M440" s="9" t="s">
        <v>23</v>
      </c>
      <c r="N440" s="18">
        <f t="shared" si="12"/>
        <v>7.4029713232753661E-2</v>
      </c>
      <c r="O440" s="18">
        <f t="shared" si="13"/>
        <v>7.3018902217375503E-2</v>
      </c>
    </row>
    <row r="441" spans="1:15" x14ac:dyDescent="0.3">
      <c r="A441" s="5" t="s">
        <v>326</v>
      </c>
      <c r="B441" s="6" t="s">
        <v>34</v>
      </c>
      <c r="C441" s="7">
        <v>45624</v>
      </c>
      <c r="D441" s="6" t="s">
        <v>35</v>
      </c>
      <c r="E441" s="6" t="s">
        <v>36</v>
      </c>
      <c r="F441" s="8">
        <v>2751</v>
      </c>
      <c r="G441" s="8">
        <v>33</v>
      </c>
      <c r="H441" s="8">
        <v>430</v>
      </c>
      <c r="I441" s="8">
        <v>44016</v>
      </c>
      <c r="J441" s="8">
        <v>43415</v>
      </c>
      <c r="K441" s="8">
        <v>129</v>
      </c>
      <c r="L441" s="9" t="s">
        <v>31</v>
      </c>
      <c r="M441" s="9" t="s">
        <v>23</v>
      </c>
      <c r="N441" s="18">
        <f t="shared" si="12"/>
        <v>7.4029713232753661E-2</v>
      </c>
      <c r="O441" s="18">
        <f t="shared" si="13"/>
        <v>7.3018902217375503E-2</v>
      </c>
    </row>
    <row r="442" spans="1:15" x14ac:dyDescent="0.3">
      <c r="A442" s="5" t="s">
        <v>327</v>
      </c>
      <c r="B442" s="6" t="s">
        <v>27</v>
      </c>
      <c r="C442" s="7">
        <v>45646</v>
      </c>
      <c r="D442" s="6" t="s">
        <v>35</v>
      </c>
      <c r="E442" s="6" t="s">
        <v>36</v>
      </c>
      <c r="F442" s="8">
        <v>2107</v>
      </c>
      <c r="G442" s="8">
        <v>550</v>
      </c>
      <c r="H442" s="8">
        <v>349</v>
      </c>
      <c r="I442" s="8">
        <v>35819</v>
      </c>
      <c r="J442" s="8">
        <v>35340</v>
      </c>
      <c r="K442" s="8">
        <v>191</v>
      </c>
      <c r="L442" s="9" t="s">
        <v>37</v>
      </c>
      <c r="M442" s="9" t="s">
        <v>32</v>
      </c>
      <c r="N442" s="18">
        <f t="shared" si="12"/>
        <v>8.5059422750424454E-2</v>
      </c>
      <c r="O442" s="18">
        <f t="shared" si="13"/>
        <v>8.3921940869371006E-2</v>
      </c>
    </row>
    <row r="443" spans="1:15" x14ac:dyDescent="0.3">
      <c r="A443" s="5" t="s">
        <v>328</v>
      </c>
      <c r="B443" s="6" t="s">
        <v>34</v>
      </c>
      <c r="C443" s="7">
        <v>45602</v>
      </c>
      <c r="D443" s="6" t="s">
        <v>50</v>
      </c>
      <c r="E443" s="6" t="s">
        <v>51</v>
      </c>
      <c r="F443" s="8">
        <v>4663</v>
      </c>
      <c r="G443" s="8">
        <v>145</v>
      </c>
      <c r="H443" s="8">
        <v>225</v>
      </c>
      <c r="I443" s="8">
        <v>69945</v>
      </c>
      <c r="J443" s="8">
        <v>69596</v>
      </c>
      <c r="K443" s="8">
        <v>35</v>
      </c>
      <c r="L443" s="9" t="s">
        <v>22</v>
      </c>
      <c r="M443" s="9" t="s">
        <v>23</v>
      </c>
      <c r="N443" s="18">
        <f t="shared" si="12"/>
        <v>7.2317374561756423E-2</v>
      </c>
      <c r="O443" s="18">
        <f t="shared" si="13"/>
        <v>7.1956537279290869E-2</v>
      </c>
    </row>
    <row r="444" spans="1:15" x14ac:dyDescent="0.3">
      <c r="A444" s="5" t="s">
        <v>329</v>
      </c>
      <c r="B444" s="6" t="s">
        <v>34</v>
      </c>
      <c r="C444" s="7">
        <v>45613</v>
      </c>
      <c r="D444" s="6" t="s">
        <v>20</v>
      </c>
      <c r="E444" s="6" t="s">
        <v>21</v>
      </c>
      <c r="F444" s="8">
        <v>880</v>
      </c>
      <c r="G444" s="8">
        <v>297</v>
      </c>
      <c r="H444" s="8">
        <v>345</v>
      </c>
      <c r="I444" s="8">
        <v>12320</v>
      </c>
      <c r="J444" s="8">
        <v>11978</v>
      </c>
      <c r="K444" s="8">
        <v>238</v>
      </c>
      <c r="L444" s="9" t="s">
        <v>17</v>
      </c>
      <c r="M444" s="9" t="s">
        <v>23</v>
      </c>
      <c r="N444" s="18">
        <f t="shared" si="12"/>
        <v>0.12706628819502422</v>
      </c>
      <c r="O444" s="18">
        <f t="shared" si="13"/>
        <v>0.12353896103896105</v>
      </c>
    </row>
    <row r="445" spans="1:15" x14ac:dyDescent="0.3">
      <c r="A445" s="5" t="s">
        <v>330</v>
      </c>
      <c r="B445" s="6" t="s">
        <v>34</v>
      </c>
      <c r="C445" s="7">
        <v>45791</v>
      </c>
      <c r="D445" s="6" t="s">
        <v>20</v>
      </c>
      <c r="E445" s="6" t="s">
        <v>21</v>
      </c>
      <c r="F445" s="8">
        <v>2634</v>
      </c>
      <c r="G445" s="8">
        <v>726</v>
      </c>
      <c r="H445" s="8">
        <v>241</v>
      </c>
      <c r="I445" s="8">
        <v>28974</v>
      </c>
      <c r="J445" s="8">
        <v>28102</v>
      </c>
      <c r="K445" s="8">
        <v>277</v>
      </c>
      <c r="L445" s="9" t="s">
        <v>31</v>
      </c>
      <c r="M445" s="9" t="s">
        <v>32</v>
      </c>
      <c r="N445" s="18">
        <f t="shared" si="12"/>
        <v>0.12814034588285531</v>
      </c>
      <c r="O445" s="18">
        <f t="shared" si="13"/>
        <v>0.12428384068475185</v>
      </c>
    </row>
    <row r="446" spans="1:15" x14ac:dyDescent="0.3">
      <c r="A446" s="5" t="s">
        <v>331</v>
      </c>
      <c r="B446" s="6" t="s">
        <v>34</v>
      </c>
      <c r="C446" s="7">
        <v>45462</v>
      </c>
      <c r="D446" s="6" t="s">
        <v>35</v>
      </c>
      <c r="E446" s="6" t="s">
        <v>36</v>
      </c>
      <c r="F446" s="8">
        <v>4731</v>
      </c>
      <c r="G446" s="8">
        <v>173</v>
      </c>
      <c r="H446" s="8">
        <v>276</v>
      </c>
      <c r="I446" s="8">
        <v>28386</v>
      </c>
      <c r="J446" s="8">
        <v>28185</v>
      </c>
      <c r="K446" s="8">
        <v>89</v>
      </c>
      <c r="L446" s="9" t="s">
        <v>37</v>
      </c>
      <c r="M446" s="9" t="s">
        <v>44</v>
      </c>
      <c r="N446" s="18">
        <f t="shared" si="12"/>
        <v>0.18378570161433386</v>
      </c>
      <c r="O446" s="18">
        <f t="shared" si="13"/>
        <v>0.18248432325794406</v>
      </c>
    </row>
    <row r="447" spans="1:15" x14ac:dyDescent="0.3">
      <c r="A447" s="5" t="s">
        <v>331</v>
      </c>
      <c r="B447" s="6" t="s">
        <v>34</v>
      </c>
      <c r="C447" s="7">
        <v>45462</v>
      </c>
      <c r="D447" s="6" t="s">
        <v>35</v>
      </c>
      <c r="E447" s="6" t="s">
        <v>36</v>
      </c>
      <c r="F447" s="8">
        <v>4731</v>
      </c>
      <c r="G447" s="8">
        <v>173</v>
      </c>
      <c r="H447" s="8">
        <v>276</v>
      </c>
      <c r="I447" s="8">
        <v>28386</v>
      </c>
      <c r="J447" s="8">
        <v>28185</v>
      </c>
      <c r="K447" s="8">
        <v>89</v>
      </c>
      <c r="L447" s="9" t="s">
        <v>22</v>
      </c>
      <c r="M447" s="9" t="s">
        <v>44</v>
      </c>
      <c r="N447" s="18">
        <f t="shared" si="12"/>
        <v>0.18378570161433386</v>
      </c>
      <c r="O447" s="18">
        <f t="shared" si="13"/>
        <v>0.18248432325794406</v>
      </c>
    </row>
    <row r="448" spans="1:15" x14ac:dyDescent="0.3">
      <c r="A448" s="5" t="s">
        <v>332</v>
      </c>
      <c r="B448" s="6" t="s">
        <v>14</v>
      </c>
      <c r="C448" s="7">
        <v>45783</v>
      </c>
      <c r="D448" s="6" t="s">
        <v>40</v>
      </c>
      <c r="E448" s="6" t="s">
        <v>41</v>
      </c>
      <c r="F448" s="8">
        <v>1952</v>
      </c>
      <c r="G448" s="8">
        <v>344</v>
      </c>
      <c r="H448" s="8">
        <v>287</v>
      </c>
      <c r="I448" s="8">
        <v>15616</v>
      </c>
      <c r="J448" s="8">
        <v>15403</v>
      </c>
      <c r="K448" s="8">
        <v>235</v>
      </c>
      <c r="L448" s="9" t="s">
        <v>17</v>
      </c>
      <c r="M448" s="9" t="s">
        <v>32</v>
      </c>
      <c r="N448" s="18">
        <f t="shared" si="12"/>
        <v>0.16769460494708824</v>
      </c>
      <c r="O448" s="18">
        <f t="shared" si="13"/>
        <v>0.16540727459016394</v>
      </c>
    </row>
    <row r="449" spans="1:15" x14ac:dyDescent="0.3">
      <c r="A449" s="5" t="s">
        <v>332</v>
      </c>
      <c r="B449" s="6" t="s">
        <v>14</v>
      </c>
      <c r="C449" s="7">
        <v>45783</v>
      </c>
      <c r="D449" s="6" t="s">
        <v>40</v>
      </c>
      <c r="E449" s="6" t="s">
        <v>41</v>
      </c>
      <c r="F449" s="8">
        <v>1952</v>
      </c>
      <c r="G449" s="8">
        <v>344</v>
      </c>
      <c r="H449" s="8">
        <v>287</v>
      </c>
      <c r="I449" s="8">
        <v>15616</v>
      </c>
      <c r="J449" s="8">
        <v>15403</v>
      </c>
      <c r="K449" s="8">
        <v>235</v>
      </c>
      <c r="L449" s="9" t="s">
        <v>22</v>
      </c>
      <c r="M449" s="9" t="s">
        <v>32</v>
      </c>
      <c r="N449" s="18">
        <f t="shared" si="12"/>
        <v>0.16769460494708824</v>
      </c>
      <c r="O449" s="18">
        <f t="shared" si="13"/>
        <v>0.16540727459016394</v>
      </c>
    </row>
    <row r="450" spans="1:15" x14ac:dyDescent="0.3">
      <c r="A450" s="5" t="s">
        <v>333</v>
      </c>
      <c r="B450" s="6" t="s">
        <v>14</v>
      </c>
      <c r="C450" s="7">
        <v>45699</v>
      </c>
      <c r="D450" s="6" t="s">
        <v>50</v>
      </c>
      <c r="E450" s="6" t="s">
        <v>51</v>
      </c>
      <c r="F450" s="8">
        <v>3440</v>
      </c>
      <c r="G450" s="8">
        <v>13</v>
      </c>
      <c r="H450" s="8">
        <v>20</v>
      </c>
      <c r="I450" s="8">
        <v>58480</v>
      </c>
      <c r="J450" s="8">
        <v>58146</v>
      </c>
      <c r="K450" s="8">
        <v>210</v>
      </c>
      <c r="L450" s="9" t="s">
        <v>22</v>
      </c>
      <c r="M450" s="9" t="s">
        <v>18</v>
      </c>
      <c r="N450" s="18">
        <f t="shared" si="12"/>
        <v>5.9728958139854849E-2</v>
      </c>
      <c r="O450" s="18">
        <f t="shared" si="13"/>
        <v>5.9387824897400819E-2</v>
      </c>
    </row>
    <row r="451" spans="1:15" x14ac:dyDescent="0.3">
      <c r="A451" s="5" t="s">
        <v>333</v>
      </c>
      <c r="B451" s="6" t="s">
        <v>14</v>
      </c>
      <c r="C451" s="7">
        <v>45699</v>
      </c>
      <c r="D451" s="6" t="s">
        <v>50</v>
      </c>
      <c r="E451" s="6" t="s">
        <v>51</v>
      </c>
      <c r="F451" s="8">
        <v>3440</v>
      </c>
      <c r="G451" s="8">
        <v>13</v>
      </c>
      <c r="H451" s="8">
        <v>20</v>
      </c>
      <c r="I451" s="8">
        <v>58480</v>
      </c>
      <c r="J451" s="8">
        <v>58146</v>
      </c>
      <c r="K451" s="8">
        <v>210</v>
      </c>
      <c r="L451" s="9" t="s">
        <v>52</v>
      </c>
      <c r="M451" s="9" t="s">
        <v>18</v>
      </c>
      <c r="N451" s="18">
        <f t="shared" ref="N451:N457" si="14">SUM(F451,G451,H451)/J451</f>
        <v>5.9728958139854849E-2</v>
      </c>
      <c r="O451" s="18">
        <f t="shared" ref="O451:O457" si="15">SUM(F451,G451,H451)/I451</f>
        <v>5.9387824897400819E-2</v>
      </c>
    </row>
    <row r="452" spans="1:15" x14ac:dyDescent="0.3">
      <c r="A452" s="5" t="s">
        <v>334</v>
      </c>
      <c r="B452" s="6" t="s">
        <v>14</v>
      </c>
      <c r="C452" s="7">
        <v>45650</v>
      </c>
      <c r="D452" s="6" t="s">
        <v>20</v>
      </c>
      <c r="E452" s="6" t="s">
        <v>21</v>
      </c>
      <c r="F452" s="8">
        <v>2166</v>
      </c>
      <c r="G452" s="8">
        <v>354</v>
      </c>
      <c r="H452" s="8">
        <v>117</v>
      </c>
      <c r="I452" s="8">
        <v>10830</v>
      </c>
      <c r="J452" s="8">
        <v>10245</v>
      </c>
      <c r="K452" s="8">
        <v>24</v>
      </c>
      <c r="L452" s="9" t="s">
        <v>31</v>
      </c>
      <c r="M452" s="9" t="s">
        <v>18</v>
      </c>
      <c r="N452" s="18">
        <f t="shared" si="14"/>
        <v>0.257393850658858</v>
      </c>
      <c r="O452" s="18">
        <f t="shared" si="15"/>
        <v>0.24349030470914126</v>
      </c>
    </row>
    <row r="453" spans="1:15" x14ac:dyDescent="0.3">
      <c r="A453" s="5" t="s">
        <v>334</v>
      </c>
      <c r="B453" s="6" t="s">
        <v>14</v>
      </c>
      <c r="C453" s="7">
        <v>45650</v>
      </c>
      <c r="D453" s="6" t="s">
        <v>20</v>
      </c>
      <c r="E453" s="6" t="s">
        <v>21</v>
      </c>
      <c r="F453" s="8">
        <v>2166</v>
      </c>
      <c r="G453" s="8">
        <v>354</v>
      </c>
      <c r="H453" s="8">
        <v>117</v>
      </c>
      <c r="I453" s="8">
        <v>10830</v>
      </c>
      <c r="J453" s="8">
        <v>10245</v>
      </c>
      <c r="K453" s="8">
        <v>24</v>
      </c>
      <c r="L453" s="9" t="s">
        <v>37</v>
      </c>
      <c r="M453" s="9" t="s">
        <v>18</v>
      </c>
      <c r="N453" s="18">
        <f t="shared" si="14"/>
        <v>0.257393850658858</v>
      </c>
      <c r="O453" s="18">
        <f t="shared" si="15"/>
        <v>0.24349030470914126</v>
      </c>
    </row>
    <row r="454" spans="1:15" x14ac:dyDescent="0.3">
      <c r="A454" s="5" t="s">
        <v>335</v>
      </c>
      <c r="B454" s="6" t="s">
        <v>34</v>
      </c>
      <c r="C454" s="7">
        <v>45589</v>
      </c>
      <c r="D454" s="6" t="s">
        <v>40</v>
      </c>
      <c r="E454" s="6" t="s">
        <v>41</v>
      </c>
      <c r="F454" s="8">
        <v>4303</v>
      </c>
      <c r="G454" s="8">
        <v>451</v>
      </c>
      <c r="H454" s="8">
        <v>286</v>
      </c>
      <c r="I454" s="8">
        <v>86060</v>
      </c>
      <c r="J454" s="8">
        <v>85823</v>
      </c>
      <c r="K454" s="8">
        <v>14</v>
      </c>
      <c r="L454" s="9" t="s">
        <v>17</v>
      </c>
      <c r="M454" s="9" t="s">
        <v>23</v>
      </c>
      <c r="N454" s="18">
        <f t="shared" si="14"/>
        <v>5.8725516469943957E-2</v>
      </c>
      <c r="O454" s="18">
        <f t="shared" si="15"/>
        <v>5.8563792702765516E-2</v>
      </c>
    </row>
    <row r="455" spans="1:15" x14ac:dyDescent="0.3">
      <c r="A455" s="5" t="s">
        <v>336</v>
      </c>
      <c r="B455" s="6" t="s">
        <v>34</v>
      </c>
      <c r="C455" s="7">
        <v>45530</v>
      </c>
      <c r="D455" s="6" t="s">
        <v>40</v>
      </c>
      <c r="E455" s="6" t="s">
        <v>41</v>
      </c>
      <c r="F455" s="8">
        <v>2581</v>
      </c>
      <c r="G455" s="8">
        <v>517</v>
      </c>
      <c r="H455" s="8">
        <v>117</v>
      </c>
      <c r="I455" s="8">
        <v>23229</v>
      </c>
      <c r="J455" s="8">
        <v>22331</v>
      </c>
      <c r="K455" s="8">
        <v>70</v>
      </c>
      <c r="L455" s="9" t="s">
        <v>17</v>
      </c>
      <c r="M455" s="9" t="s">
        <v>23</v>
      </c>
      <c r="N455" s="18">
        <f t="shared" si="14"/>
        <v>0.14397026555013209</v>
      </c>
      <c r="O455" s="18">
        <f t="shared" si="15"/>
        <v>0.13840458048129492</v>
      </c>
    </row>
    <row r="456" spans="1:15" x14ac:dyDescent="0.3">
      <c r="A456" s="5" t="s">
        <v>336</v>
      </c>
      <c r="B456" s="6" t="s">
        <v>34</v>
      </c>
      <c r="C456" s="7">
        <v>45530</v>
      </c>
      <c r="D456" s="6" t="s">
        <v>40</v>
      </c>
      <c r="E456" s="6" t="s">
        <v>41</v>
      </c>
      <c r="F456" s="8">
        <v>2581</v>
      </c>
      <c r="G456" s="8">
        <v>517</v>
      </c>
      <c r="H456" s="8">
        <v>117</v>
      </c>
      <c r="I456" s="8">
        <v>23229</v>
      </c>
      <c r="J456" s="8">
        <v>22331</v>
      </c>
      <c r="K456" s="8">
        <v>70</v>
      </c>
      <c r="L456" s="9" t="s">
        <v>31</v>
      </c>
      <c r="M456" s="9" t="s">
        <v>23</v>
      </c>
      <c r="N456" s="18">
        <f t="shared" si="14"/>
        <v>0.14397026555013209</v>
      </c>
      <c r="O456" s="18">
        <f t="shared" si="15"/>
        <v>0.13840458048129492</v>
      </c>
    </row>
    <row r="457" spans="1:15" x14ac:dyDescent="0.3">
      <c r="A457" s="10" t="s">
        <v>337</v>
      </c>
      <c r="B457" s="11" t="s">
        <v>14</v>
      </c>
      <c r="C457" s="12">
        <v>45535</v>
      </c>
      <c r="D457" s="11" t="s">
        <v>35</v>
      </c>
      <c r="E457" s="11" t="s">
        <v>36</v>
      </c>
      <c r="F457" s="13">
        <v>4494</v>
      </c>
      <c r="G457" s="13">
        <v>717</v>
      </c>
      <c r="H457" s="13">
        <v>45</v>
      </c>
      <c r="I457" s="13">
        <v>62916</v>
      </c>
      <c r="J457" s="13">
        <v>62688</v>
      </c>
      <c r="K457" s="13">
        <v>191</v>
      </c>
      <c r="L457" s="14" t="s">
        <v>22</v>
      </c>
      <c r="M457" s="14" t="s">
        <v>18</v>
      </c>
      <c r="N457" s="18">
        <f t="shared" si="14"/>
        <v>8.3843797856049007E-2</v>
      </c>
      <c r="O457" s="18">
        <f t="shared" si="15"/>
        <v>8.3539958039290485E-2</v>
      </c>
    </row>
  </sheetData>
  <mergeCells count="1">
    <mergeCell ref="R6:Y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freq_hashtags</vt:lpstr>
      <vt:lpstr>Avg_Performance</vt:lpstr>
      <vt:lpstr>content _performance</vt:lpstr>
      <vt:lpstr>recommend_content_type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Tella Vaishnavi</dc:creator>
  <cp:lastModifiedBy>Tella Vaishnavi</cp:lastModifiedBy>
  <dcterms:created xsi:type="dcterms:W3CDTF">2025-12-17T07:07:07Z</dcterms:created>
  <dcterms:modified xsi:type="dcterms:W3CDTF">2025-12-21T13:55:27Z</dcterms:modified>
</cp:coreProperties>
</file>